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https://d.docs.live.net/0e117a6154335130/Desktop/code/CS/team/final/"/>
    </mc:Choice>
  </mc:AlternateContent>
  <xr:revisionPtr revIDLastSave="82" documentId="13_ncr:80000009_{97C726D6-202D-40B3-BC31-9F2B461A4C54}" xr6:coauthVersionLast="47" xr6:coauthVersionMax="47" xr10:uidLastSave="{B075E13B-107D-424D-9DAA-4495815E1712}"/>
  <bookViews>
    <workbookView xWindow="-108" yWindow="-108" windowWidth="24792" windowHeight="14856" xr2:uid="{F4AB174D-FF1C-4A6E-9A0F-3ED0974EF3EE}"/>
  </bookViews>
  <sheets>
    <sheet name="T. S2 microarray results" sheetId="1" r:id="rId1"/>
    <sheet name="Count" sheetId="2" r:id="rId2"/>
    <sheet name="Check" sheetId="3" r:id="rId3"/>
    <sheet name="CLeaned Data"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4" l="1" a="1"/>
  <c r="F3" i="4" s="1"/>
  <c r="G3" i="4" a="1"/>
  <c r="G3" i="4" s="1"/>
  <c r="H3" i="4" a="1"/>
  <c r="H3" i="4" s="1"/>
  <c r="F4" i="4" a="1"/>
  <c r="F4" i="4" s="1"/>
  <c r="G4" i="4" a="1"/>
  <c r="G4" i="4" s="1"/>
  <c r="H4" i="4" a="1"/>
  <c r="H4" i="4" s="1"/>
  <c r="F5" i="4" a="1"/>
  <c r="F5" i="4" s="1"/>
  <c r="G5" i="4" a="1"/>
  <c r="G5" i="4" s="1"/>
  <c r="H5" i="4" a="1"/>
  <c r="H5" i="4" s="1"/>
  <c r="F6" i="4" a="1"/>
  <c r="F6" i="4" s="1"/>
  <c r="G6" i="4" a="1"/>
  <c r="G6" i="4" s="1"/>
  <c r="H6" i="4" a="1"/>
  <c r="H6" i="4" s="1"/>
  <c r="F7" i="4" a="1"/>
  <c r="F7" i="4" s="1"/>
  <c r="G7" i="4" a="1"/>
  <c r="G7" i="4" s="1"/>
  <c r="H7" i="4" a="1"/>
  <c r="H7" i="4" s="1"/>
  <c r="F8" i="4" a="1"/>
  <c r="F8" i="4" s="1"/>
  <c r="G8" i="4" a="1"/>
  <c r="G8" i="4" s="1"/>
  <c r="H8" i="4" a="1"/>
  <c r="H8" i="4" s="1"/>
  <c r="F9" i="4" a="1"/>
  <c r="F9" i="4" s="1"/>
  <c r="G9" i="4" a="1"/>
  <c r="G9" i="4" s="1"/>
  <c r="H9" i="4" a="1"/>
  <c r="H9" i="4" s="1"/>
  <c r="F10" i="4" a="1"/>
  <c r="F10" i="4" s="1"/>
  <c r="G10" i="4" a="1"/>
  <c r="G10" i="4" s="1"/>
  <c r="H10" i="4" a="1"/>
  <c r="H10" i="4" s="1"/>
  <c r="F11" i="4" a="1"/>
  <c r="F11" i="4" s="1"/>
  <c r="G11" i="4" a="1"/>
  <c r="G11" i="4" s="1"/>
  <c r="H11" i="4" a="1"/>
  <c r="H11" i="4" s="1"/>
  <c r="F12" i="4" a="1"/>
  <c r="F12" i="4" s="1"/>
  <c r="G12" i="4" a="1"/>
  <c r="G12" i="4" s="1"/>
  <c r="H12" i="4" a="1"/>
  <c r="H12" i="4" s="1"/>
  <c r="F13" i="4" a="1"/>
  <c r="F13" i="4" s="1"/>
  <c r="G13" i="4" a="1"/>
  <c r="G13" i="4" s="1"/>
  <c r="H13" i="4" a="1"/>
  <c r="H13" i="4" s="1"/>
  <c r="F14" i="4" a="1"/>
  <c r="F14" i="4" s="1"/>
  <c r="G14" i="4" a="1"/>
  <c r="G14" i="4" s="1"/>
  <c r="H14" i="4" a="1"/>
  <c r="H14" i="4" s="1"/>
  <c r="F15" i="4" a="1"/>
  <c r="F15" i="4" s="1"/>
  <c r="G15" i="4" a="1"/>
  <c r="G15" i="4" s="1"/>
  <c r="H15" i="4" a="1"/>
  <c r="H15" i="4" s="1"/>
  <c r="F16" i="4" a="1"/>
  <c r="F16" i="4" s="1"/>
  <c r="G16" i="4" a="1"/>
  <c r="G16" i="4" s="1"/>
  <c r="H16" i="4" a="1"/>
  <c r="H16" i="4" s="1"/>
  <c r="F17" i="4" a="1"/>
  <c r="F17" i="4" s="1"/>
  <c r="G17" i="4" a="1"/>
  <c r="G17" i="4" s="1"/>
  <c r="H17" i="4" a="1"/>
  <c r="H17" i="4" s="1"/>
  <c r="F18" i="4" a="1"/>
  <c r="F18" i="4" s="1"/>
  <c r="G18" i="4" a="1"/>
  <c r="G18" i="4" s="1"/>
  <c r="H18" i="4" a="1"/>
  <c r="H18" i="4" s="1"/>
  <c r="F19" i="4" a="1"/>
  <c r="F19" i="4" s="1"/>
  <c r="G19" i="4" a="1"/>
  <c r="G19" i="4" s="1"/>
  <c r="H19" i="4" a="1"/>
  <c r="H19" i="4" s="1"/>
  <c r="F20" i="4" a="1"/>
  <c r="F20" i="4" s="1"/>
  <c r="G20" i="4" a="1"/>
  <c r="G20" i="4" s="1"/>
  <c r="H20" i="4" a="1"/>
  <c r="H20" i="4" s="1"/>
  <c r="F21" i="4" a="1"/>
  <c r="F21" i="4" s="1"/>
  <c r="G21" i="4" a="1"/>
  <c r="G21" i="4" s="1"/>
  <c r="H21" i="4" a="1"/>
  <c r="H21" i="4" s="1"/>
  <c r="F22" i="4" a="1"/>
  <c r="F22" i="4" s="1"/>
  <c r="G22" i="4" a="1"/>
  <c r="G22" i="4" s="1"/>
  <c r="H22" i="4" a="1"/>
  <c r="H22" i="4" s="1"/>
  <c r="F23" i="4" a="1"/>
  <c r="F23" i="4" s="1"/>
  <c r="G23" i="4" a="1"/>
  <c r="G23" i="4" s="1"/>
  <c r="H23" i="4" a="1"/>
  <c r="H23" i="4" s="1"/>
  <c r="F24" i="4" a="1"/>
  <c r="F24" i="4" s="1"/>
  <c r="G24" i="4" a="1"/>
  <c r="G24" i="4" s="1"/>
  <c r="H24" i="4" a="1"/>
  <c r="H24" i="4" s="1"/>
  <c r="F25" i="4" a="1"/>
  <c r="F25" i="4" s="1"/>
  <c r="G25" i="4" a="1"/>
  <c r="G25" i="4" s="1"/>
  <c r="H25" i="4" a="1"/>
  <c r="H25" i="4" s="1"/>
  <c r="F26" i="4" a="1"/>
  <c r="F26" i="4" s="1"/>
  <c r="G26" i="4" a="1"/>
  <c r="G26" i="4" s="1"/>
  <c r="H26" i="4" a="1"/>
  <c r="H26" i="4" s="1"/>
  <c r="F27" i="4" a="1"/>
  <c r="F27" i="4" s="1"/>
  <c r="G27" i="4" a="1"/>
  <c r="G27" i="4" s="1"/>
  <c r="H27" i="4" a="1"/>
  <c r="H27" i="4" s="1"/>
  <c r="F28" i="4" a="1"/>
  <c r="F28" i="4" s="1"/>
  <c r="G28" i="4" a="1"/>
  <c r="G28" i="4" s="1"/>
  <c r="H28" i="4" a="1"/>
  <c r="H28" i="4" s="1"/>
  <c r="F29" i="4" a="1"/>
  <c r="F29" i="4" s="1"/>
  <c r="G29" i="4" a="1"/>
  <c r="G29" i="4" s="1"/>
  <c r="H29" i="4" a="1"/>
  <c r="H29" i="4" s="1"/>
  <c r="F30" i="4" a="1"/>
  <c r="F30" i="4" s="1"/>
  <c r="G30" i="4" a="1"/>
  <c r="G30" i="4" s="1"/>
  <c r="H30" i="4" a="1"/>
  <c r="H30" i="4" s="1"/>
  <c r="F31" i="4" a="1"/>
  <c r="F31" i="4" s="1"/>
  <c r="G31" i="4" a="1"/>
  <c r="G31" i="4" s="1"/>
  <c r="H31" i="4" a="1"/>
  <c r="H31" i="4" s="1"/>
  <c r="F32" i="4" a="1"/>
  <c r="F32" i="4" s="1"/>
  <c r="G32" i="4" a="1"/>
  <c r="G32" i="4" s="1"/>
  <c r="H32" i="4" a="1"/>
  <c r="H32" i="4" s="1"/>
  <c r="F33" i="4" a="1"/>
  <c r="F33" i="4" s="1"/>
  <c r="G33" i="4" a="1"/>
  <c r="G33" i="4" s="1"/>
  <c r="H33" i="4" a="1"/>
  <c r="H33" i="4" s="1"/>
  <c r="F34" i="4" a="1"/>
  <c r="F34" i="4" s="1"/>
  <c r="G34" i="4" a="1"/>
  <c r="G34" i="4" s="1"/>
  <c r="H34" i="4" a="1"/>
  <c r="H34" i="4" s="1"/>
  <c r="F35" i="4" a="1"/>
  <c r="F35" i="4" s="1"/>
  <c r="G35" i="4" a="1"/>
  <c r="G35" i="4" s="1"/>
  <c r="H35" i="4" a="1"/>
  <c r="H35" i="4" s="1"/>
  <c r="F36" i="4" a="1"/>
  <c r="F36" i="4" s="1"/>
  <c r="G36" i="4" a="1"/>
  <c r="G36" i="4" s="1"/>
  <c r="H36" i="4" a="1"/>
  <c r="H36" i="4" s="1"/>
  <c r="F37" i="4" a="1"/>
  <c r="F37" i="4" s="1"/>
  <c r="G37" i="4" a="1"/>
  <c r="G37" i="4" s="1"/>
  <c r="H37" i="4" a="1"/>
  <c r="H37" i="4" s="1"/>
  <c r="F38" i="4" a="1"/>
  <c r="F38" i="4" s="1"/>
  <c r="G38" i="4" a="1"/>
  <c r="G38" i="4" s="1"/>
  <c r="H38" i="4" a="1"/>
  <c r="H38" i="4" s="1"/>
  <c r="F39" i="4" a="1"/>
  <c r="F39" i="4" s="1"/>
  <c r="G39" i="4" a="1"/>
  <c r="G39" i="4" s="1"/>
  <c r="H39" i="4" a="1"/>
  <c r="H39" i="4" s="1"/>
  <c r="F40" i="4" a="1"/>
  <c r="F40" i="4" s="1"/>
  <c r="G40" i="4" a="1"/>
  <c r="G40" i="4" s="1"/>
  <c r="H40" i="4" a="1"/>
  <c r="H40" i="4" s="1"/>
  <c r="F41" i="4" a="1"/>
  <c r="F41" i="4" s="1"/>
  <c r="G41" i="4" a="1"/>
  <c r="G41" i="4" s="1"/>
  <c r="H41" i="4" a="1"/>
  <c r="H41" i="4" s="1"/>
  <c r="F42" i="4" a="1"/>
  <c r="F42" i="4" s="1"/>
  <c r="G42" i="4" a="1"/>
  <c r="G42" i="4" s="1"/>
  <c r="H42" i="4" a="1"/>
  <c r="H42" i="4" s="1"/>
  <c r="F43" i="4" a="1"/>
  <c r="F43" i="4" s="1"/>
  <c r="G43" i="4" a="1"/>
  <c r="G43" i="4" s="1"/>
  <c r="H43" i="4" a="1"/>
  <c r="H43" i="4" s="1"/>
  <c r="F44" i="4" a="1"/>
  <c r="F44" i="4" s="1"/>
  <c r="G44" i="4" a="1"/>
  <c r="G44" i="4" s="1"/>
  <c r="H44" i="4" a="1"/>
  <c r="H44" i="4" s="1"/>
  <c r="F45" i="4" a="1"/>
  <c r="F45" i="4" s="1"/>
  <c r="G45" i="4" a="1"/>
  <c r="G45" i="4" s="1"/>
  <c r="H45" i="4" a="1"/>
  <c r="H45" i="4" s="1"/>
  <c r="F46" i="4" a="1"/>
  <c r="F46" i="4" s="1"/>
  <c r="G46" i="4" a="1"/>
  <c r="G46" i="4" s="1"/>
  <c r="H46" i="4" a="1"/>
  <c r="H46" i="4" s="1"/>
  <c r="F47" i="4" a="1"/>
  <c r="F47" i="4" s="1"/>
  <c r="G47" i="4" a="1"/>
  <c r="G47" i="4" s="1"/>
  <c r="H47" i="4" a="1"/>
  <c r="H47" i="4" s="1"/>
  <c r="F48" i="4" a="1"/>
  <c r="F48" i="4" s="1"/>
  <c r="G48" i="4" a="1"/>
  <c r="G48" i="4" s="1"/>
  <c r="H48" i="4" a="1"/>
  <c r="H48" i="4" s="1"/>
  <c r="F49" i="4" a="1"/>
  <c r="F49" i="4" s="1"/>
  <c r="G49" i="4" a="1"/>
  <c r="G49" i="4" s="1"/>
  <c r="H49" i="4" a="1"/>
  <c r="H49" i="4" s="1"/>
  <c r="F50" i="4" a="1"/>
  <c r="F50" i="4" s="1"/>
  <c r="G50" i="4" a="1"/>
  <c r="G50" i="4" s="1"/>
  <c r="H50" i="4" a="1"/>
  <c r="H50" i="4" s="1"/>
  <c r="F51" i="4" a="1"/>
  <c r="F51" i="4" s="1"/>
  <c r="G51" i="4" a="1"/>
  <c r="G51" i="4" s="1"/>
  <c r="H51" i="4" a="1"/>
  <c r="H51" i="4" s="1"/>
  <c r="F52" i="4" a="1"/>
  <c r="F52" i="4" s="1"/>
  <c r="G52" i="4" a="1"/>
  <c r="G52" i="4" s="1"/>
  <c r="H52" i="4" a="1"/>
  <c r="H52" i="4" s="1"/>
  <c r="F53" i="4" a="1"/>
  <c r="F53" i="4" s="1"/>
  <c r="G53" i="4" a="1"/>
  <c r="G53" i="4" s="1"/>
  <c r="H53" i="4" a="1"/>
  <c r="H53" i="4" s="1"/>
  <c r="F54" i="4" a="1"/>
  <c r="F54" i="4" s="1"/>
  <c r="G54" i="4" a="1"/>
  <c r="G54" i="4" s="1"/>
  <c r="H54" i="4" a="1"/>
  <c r="H54" i="4" s="1"/>
  <c r="F55" i="4" a="1"/>
  <c r="F55" i="4" s="1"/>
  <c r="G55" i="4" a="1"/>
  <c r="G55" i="4" s="1"/>
  <c r="H55" i="4" a="1"/>
  <c r="H55" i="4" s="1"/>
  <c r="F56" i="4" a="1"/>
  <c r="F56" i="4" s="1"/>
  <c r="G56" i="4" a="1"/>
  <c r="G56" i="4" s="1"/>
  <c r="H56" i="4" a="1"/>
  <c r="H56" i="4" s="1"/>
  <c r="F57" i="4" a="1"/>
  <c r="F57" i="4" s="1"/>
  <c r="G57" i="4" a="1"/>
  <c r="G57" i="4" s="1"/>
  <c r="H57" i="4" a="1"/>
  <c r="H57" i="4" s="1"/>
  <c r="F58" i="4" a="1"/>
  <c r="F58" i="4" s="1"/>
  <c r="G58" i="4" a="1"/>
  <c r="G58" i="4" s="1"/>
  <c r="H58" i="4" a="1"/>
  <c r="H58" i="4" s="1"/>
  <c r="F59" i="4" a="1"/>
  <c r="F59" i="4" s="1"/>
  <c r="G59" i="4" a="1"/>
  <c r="G59" i="4" s="1"/>
  <c r="H59" i="4" a="1"/>
  <c r="H59" i="4" s="1"/>
  <c r="F60" i="4" a="1"/>
  <c r="F60" i="4" s="1"/>
  <c r="G60" i="4" a="1"/>
  <c r="G60" i="4" s="1"/>
  <c r="H60" i="4" a="1"/>
  <c r="H60" i="4" s="1"/>
  <c r="F61" i="4" a="1"/>
  <c r="F61" i="4" s="1"/>
  <c r="G61" i="4" a="1"/>
  <c r="G61" i="4" s="1"/>
  <c r="H61" i="4" a="1"/>
  <c r="H61" i="4" s="1"/>
  <c r="F62" i="4" a="1"/>
  <c r="F62" i="4" s="1"/>
  <c r="G62" i="4" a="1"/>
  <c r="G62" i="4" s="1"/>
  <c r="H62" i="4" a="1"/>
  <c r="H62" i="4" s="1"/>
  <c r="F63" i="4" a="1"/>
  <c r="F63" i="4" s="1"/>
  <c r="G63" i="4" a="1"/>
  <c r="G63" i="4" s="1"/>
  <c r="H63" i="4" a="1"/>
  <c r="H63" i="4" s="1"/>
  <c r="F64" i="4" a="1"/>
  <c r="F64" i="4" s="1"/>
  <c r="G64" i="4" a="1"/>
  <c r="G64" i="4" s="1"/>
  <c r="H64" i="4" a="1"/>
  <c r="H64" i="4" s="1"/>
  <c r="F65" i="4" a="1"/>
  <c r="F65" i="4" s="1"/>
  <c r="G65" i="4" a="1"/>
  <c r="G65" i="4" s="1"/>
  <c r="H65" i="4" a="1"/>
  <c r="H65" i="4" s="1"/>
  <c r="F66" i="4" a="1"/>
  <c r="F66" i="4" s="1"/>
  <c r="G66" i="4" a="1"/>
  <c r="G66" i="4" s="1"/>
  <c r="H66" i="4" a="1"/>
  <c r="H66" i="4" s="1"/>
  <c r="F67" i="4" a="1"/>
  <c r="F67" i="4" s="1"/>
  <c r="G67" i="4" a="1"/>
  <c r="G67" i="4" s="1"/>
  <c r="H67" i="4" a="1"/>
  <c r="H67" i="4" s="1"/>
  <c r="F68" i="4" a="1"/>
  <c r="F68" i="4" s="1"/>
  <c r="G68" i="4" a="1"/>
  <c r="G68" i="4" s="1"/>
  <c r="H68" i="4" a="1"/>
  <c r="H68" i="4" s="1"/>
  <c r="F69" i="4" a="1"/>
  <c r="F69" i="4" s="1"/>
  <c r="G69" i="4" a="1"/>
  <c r="G69" i="4" s="1"/>
  <c r="H69" i="4" a="1"/>
  <c r="H69" i="4" s="1"/>
  <c r="F70" i="4" a="1"/>
  <c r="F70" i="4" s="1"/>
  <c r="G70" i="4" a="1"/>
  <c r="G70" i="4" s="1"/>
  <c r="H70" i="4" a="1"/>
  <c r="H70" i="4" s="1"/>
  <c r="F71" i="4" a="1"/>
  <c r="F71" i="4" s="1"/>
  <c r="G71" i="4" a="1"/>
  <c r="G71" i="4" s="1"/>
  <c r="H71" i="4" a="1"/>
  <c r="H71" i="4" s="1"/>
  <c r="F72" i="4" a="1"/>
  <c r="F72" i="4" s="1"/>
  <c r="G72" i="4" a="1"/>
  <c r="G72" i="4" s="1"/>
  <c r="H72" i="4" a="1"/>
  <c r="H72" i="4" s="1"/>
  <c r="F73" i="4" a="1"/>
  <c r="F73" i="4" s="1"/>
  <c r="G73" i="4" a="1"/>
  <c r="G73" i="4" s="1"/>
  <c r="H73" i="4" a="1"/>
  <c r="H73" i="4" s="1"/>
  <c r="F74" i="4" a="1"/>
  <c r="F74" i="4" s="1"/>
  <c r="G74" i="4" a="1"/>
  <c r="G74" i="4" s="1"/>
  <c r="H74" i="4" a="1"/>
  <c r="H74" i="4" s="1"/>
  <c r="F75" i="4" a="1"/>
  <c r="F75" i="4" s="1"/>
  <c r="G75" i="4" a="1"/>
  <c r="G75" i="4" s="1"/>
  <c r="H75" i="4" a="1"/>
  <c r="H75" i="4" s="1"/>
  <c r="F76" i="4" a="1"/>
  <c r="F76" i="4" s="1"/>
  <c r="G76" i="4" a="1"/>
  <c r="G76" i="4" s="1"/>
  <c r="H76" i="4" a="1"/>
  <c r="H76" i="4" s="1"/>
  <c r="F77" i="4" a="1"/>
  <c r="F77" i="4" s="1"/>
  <c r="G77" i="4" a="1"/>
  <c r="G77" i="4" s="1"/>
  <c r="H77" i="4" a="1"/>
  <c r="H77" i="4" s="1"/>
  <c r="F78" i="4" a="1"/>
  <c r="F78" i="4" s="1"/>
  <c r="G78" i="4" a="1"/>
  <c r="G78" i="4" s="1"/>
  <c r="H78" i="4" a="1"/>
  <c r="H78" i="4" s="1"/>
  <c r="F79" i="4" a="1"/>
  <c r="F79" i="4" s="1"/>
  <c r="G79" i="4" a="1"/>
  <c r="G79" i="4" s="1"/>
  <c r="H79" i="4" a="1"/>
  <c r="H79" i="4" s="1"/>
  <c r="F80" i="4" a="1"/>
  <c r="F80" i="4" s="1"/>
  <c r="G80" i="4" a="1"/>
  <c r="G80" i="4" s="1"/>
  <c r="H80" i="4" a="1"/>
  <c r="H80" i="4" s="1"/>
  <c r="F81" i="4" a="1"/>
  <c r="F81" i="4" s="1"/>
  <c r="G81" i="4" a="1"/>
  <c r="G81" i="4" s="1"/>
  <c r="H81" i="4" a="1"/>
  <c r="H81" i="4" s="1"/>
  <c r="F82" i="4" a="1"/>
  <c r="F82" i="4" s="1"/>
  <c r="G82" i="4" a="1"/>
  <c r="G82" i="4" s="1"/>
  <c r="H82" i="4" a="1"/>
  <c r="H82" i="4" s="1"/>
  <c r="F83" i="4" a="1"/>
  <c r="F83" i="4" s="1"/>
  <c r="G83" i="4" a="1"/>
  <c r="G83" i="4" s="1"/>
  <c r="H83" i="4" a="1"/>
  <c r="H83" i="4" s="1"/>
  <c r="F84" i="4" a="1"/>
  <c r="F84" i="4" s="1"/>
  <c r="G84" i="4" a="1"/>
  <c r="G84" i="4" s="1"/>
  <c r="H84" i="4" a="1"/>
  <c r="H84" i="4" s="1"/>
  <c r="F85" i="4" a="1"/>
  <c r="F85" i="4" s="1"/>
  <c r="G85" i="4" a="1"/>
  <c r="G85" i="4" s="1"/>
  <c r="H85" i="4" a="1"/>
  <c r="H85" i="4" s="1"/>
  <c r="F86" i="4" a="1"/>
  <c r="F86" i="4" s="1"/>
  <c r="G86" i="4" a="1"/>
  <c r="G86" i="4" s="1"/>
  <c r="H86" i="4" a="1"/>
  <c r="H86" i="4" s="1"/>
  <c r="F87" i="4" a="1"/>
  <c r="F87" i="4" s="1"/>
  <c r="G87" i="4" a="1"/>
  <c r="G87" i="4" s="1"/>
  <c r="H87" i="4" a="1"/>
  <c r="H87" i="4" s="1"/>
  <c r="F88" i="4" a="1"/>
  <c r="F88" i="4" s="1"/>
  <c r="G88" i="4" a="1"/>
  <c r="G88" i="4" s="1"/>
  <c r="H88" i="4" a="1"/>
  <c r="H88" i="4" s="1"/>
  <c r="F89" i="4" a="1"/>
  <c r="F89" i="4" s="1"/>
  <c r="G89" i="4" a="1"/>
  <c r="G89" i="4" s="1"/>
  <c r="H89" i="4" a="1"/>
  <c r="H89" i="4" s="1"/>
  <c r="F90" i="4" a="1"/>
  <c r="F90" i="4" s="1"/>
  <c r="G90" i="4" a="1"/>
  <c r="G90" i="4" s="1"/>
  <c r="H90" i="4" a="1"/>
  <c r="H90" i="4" s="1"/>
  <c r="F91" i="4" a="1"/>
  <c r="F91" i="4" s="1"/>
  <c r="G91" i="4" a="1"/>
  <c r="G91" i="4" s="1"/>
  <c r="H91" i="4" a="1"/>
  <c r="H91" i="4" s="1"/>
  <c r="F92" i="4" a="1"/>
  <c r="F92" i="4" s="1"/>
  <c r="G92" i="4" a="1"/>
  <c r="G92" i="4" s="1"/>
  <c r="H92" i="4" a="1"/>
  <c r="H92" i="4" s="1"/>
  <c r="F93" i="4" a="1"/>
  <c r="F93" i="4" s="1"/>
  <c r="G93" i="4" a="1"/>
  <c r="G93" i="4" s="1"/>
  <c r="H93" i="4" a="1"/>
  <c r="H93" i="4" s="1"/>
  <c r="F94" i="4" a="1"/>
  <c r="F94" i="4" s="1"/>
  <c r="G94" i="4" a="1"/>
  <c r="G94" i="4" s="1"/>
  <c r="H94" i="4" a="1"/>
  <c r="H94" i="4" s="1"/>
  <c r="F95" i="4" a="1"/>
  <c r="F95" i="4" s="1"/>
  <c r="G95" i="4" a="1"/>
  <c r="G95" i="4" s="1"/>
  <c r="H95" i="4" a="1"/>
  <c r="H95" i="4" s="1"/>
  <c r="F96" i="4" a="1"/>
  <c r="F96" i="4" s="1"/>
  <c r="G96" i="4" a="1"/>
  <c r="G96" i="4" s="1"/>
  <c r="H96" i="4" a="1"/>
  <c r="H96" i="4" s="1"/>
  <c r="F97" i="4" a="1"/>
  <c r="F97" i="4" s="1"/>
  <c r="G97" i="4" a="1"/>
  <c r="G97" i="4" s="1"/>
  <c r="H97" i="4" a="1"/>
  <c r="H97" i="4" s="1"/>
  <c r="F98" i="4" a="1"/>
  <c r="F98" i="4" s="1"/>
  <c r="G98" i="4" a="1"/>
  <c r="G98" i="4" s="1"/>
  <c r="H98" i="4" a="1"/>
  <c r="H98" i="4" s="1"/>
  <c r="F99" i="4" a="1"/>
  <c r="F99" i="4" s="1"/>
  <c r="G99" i="4" a="1"/>
  <c r="G99" i="4" s="1"/>
  <c r="H99" i="4" a="1"/>
  <c r="H99" i="4" s="1"/>
  <c r="F100" i="4" a="1"/>
  <c r="F100" i="4" s="1"/>
  <c r="G100" i="4" a="1"/>
  <c r="G100" i="4" s="1"/>
  <c r="H100" i="4" a="1"/>
  <c r="H100" i="4" s="1"/>
  <c r="F101" i="4" a="1"/>
  <c r="F101" i="4" s="1"/>
  <c r="G101" i="4" a="1"/>
  <c r="G101" i="4" s="1"/>
  <c r="H101" i="4" a="1"/>
  <c r="H101" i="4" s="1"/>
  <c r="F102" i="4" a="1"/>
  <c r="F102" i="4" s="1"/>
  <c r="G102" i="4" a="1"/>
  <c r="G102" i="4" s="1"/>
  <c r="H102" i="4" a="1"/>
  <c r="H102" i="4" s="1"/>
  <c r="F103" i="4" a="1"/>
  <c r="F103" i="4" s="1"/>
  <c r="G103" i="4" a="1"/>
  <c r="G103" i="4" s="1"/>
  <c r="H103" i="4" a="1"/>
  <c r="H103" i="4" s="1"/>
  <c r="F104" i="4" a="1"/>
  <c r="F104" i="4" s="1"/>
  <c r="G104" i="4" a="1"/>
  <c r="G104" i="4" s="1"/>
  <c r="H104" i="4" a="1"/>
  <c r="H104" i="4" s="1"/>
  <c r="F105" i="4" a="1"/>
  <c r="F105" i="4" s="1"/>
  <c r="G105" i="4" a="1"/>
  <c r="G105" i="4" s="1"/>
  <c r="H105" i="4" a="1"/>
  <c r="H105" i="4" s="1"/>
  <c r="F106" i="4" a="1"/>
  <c r="F106" i="4" s="1"/>
  <c r="G106" i="4" a="1"/>
  <c r="G106" i="4" s="1"/>
  <c r="H106" i="4" a="1"/>
  <c r="H106" i="4" s="1"/>
  <c r="F107" i="4" a="1"/>
  <c r="F107" i="4" s="1"/>
  <c r="G107" i="4" a="1"/>
  <c r="G107" i="4" s="1"/>
  <c r="H107" i="4" a="1"/>
  <c r="H107" i="4" s="1"/>
  <c r="F108" i="4" a="1"/>
  <c r="F108" i="4" s="1"/>
  <c r="G108" i="4" a="1"/>
  <c r="G108" i="4" s="1"/>
  <c r="H108" i="4" a="1"/>
  <c r="H108" i="4" s="1"/>
  <c r="F109" i="4" a="1"/>
  <c r="F109" i="4" s="1"/>
  <c r="G109" i="4" a="1"/>
  <c r="G109" i="4" s="1"/>
  <c r="H109" i="4" a="1"/>
  <c r="H109" i="4" s="1"/>
  <c r="F110" i="4" a="1"/>
  <c r="F110" i="4" s="1"/>
  <c r="G110" i="4" a="1"/>
  <c r="G110" i="4" s="1"/>
  <c r="H110" i="4" a="1"/>
  <c r="H110" i="4" s="1"/>
  <c r="F111" i="4" a="1"/>
  <c r="F111" i="4" s="1"/>
  <c r="G111" i="4" a="1"/>
  <c r="G111" i="4" s="1"/>
  <c r="H111" i="4" a="1"/>
  <c r="H111" i="4" s="1"/>
  <c r="F112" i="4" a="1"/>
  <c r="F112" i="4" s="1"/>
  <c r="G112" i="4" a="1"/>
  <c r="G112" i="4" s="1"/>
  <c r="H112" i="4" a="1"/>
  <c r="H112" i="4" s="1"/>
  <c r="F113" i="4" a="1"/>
  <c r="F113" i="4" s="1"/>
  <c r="G113" i="4" a="1"/>
  <c r="G113" i="4" s="1"/>
  <c r="H113" i="4" a="1"/>
  <c r="H113" i="4" s="1"/>
  <c r="F114" i="4" a="1"/>
  <c r="F114" i="4" s="1"/>
  <c r="G114" i="4" a="1"/>
  <c r="G114" i="4" s="1"/>
  <c r="H114" i="4" a="1"/>
  <c r="H114" i="4" s="1"/>
  <c r="F115" i="4" a="1"/>
  <c r="F115" i="4" s="1"/>
  <c r="G115" i="4" a="1"/>
  <c r="G115" i="4" s="1"/>
  <c r="H115" i="4" a="1"/>
  <c r="H115" i="4" s="1"/>
  <c r="F116" i="4" a="1"/>
  <c r="F116" i="4" s="1"/>
  <c r="G116" i="4" a="1"/>
  <c r="G116" i="4" s="1"/>
  <c r="H116" i="4" a="1"/>
  <c r="H116" i="4" s="1"/>
  <c r="F117" i="4" a="1"/>
  <c r="F117" i="4" s="1"/>
  <c r="G117" i="4" a="1"/>
  <c r="G117" i="4" s="1"/>
  <c r="H117" i="4" a="1"/>
  <c r="H117" i="4" s="1"/>
  <c r="F118" i="4" a="1"/>
  <c r="F118" i="4" s="1"/>
  <c r="G118" i="4" a="1"/>
  <c r="G118" i="4" s="1"/>
  <c r="H118" i="4" a="1"/>
  <c r="H118" i="4" s="1"/>
  <c r="F119" i="4" a="1"/>
  <c r="F119" i="4" s="1"/>
  <c r="G119" i="4" a="1"/>
  <c r="G119" i="4" s="1"/>
  <c r="H119" i="4" a="1"/>
  <c r="H119" i="4" s="1"/>
  <c r="F120" i="4" a="1"/>
  <c r="F120" i="4" s="1"/>
  <c r="G120" i="4" a="1"/>
  <c r="G120" i="4" s="1"/>
  <c r="H120" i="4" a="1"/>
  <c r="H120" i="4" s="1"/>
  <c r="F121" i="4" a="1"/>
  <c r="F121" i="4" s="1"/>
  <c r="G121" i="4" a="1"/>
  <c r="G121" i="4" s="1"/>
  <c r="H121" i="4" a="1"/>
  <c r="H121" i="4" s="1"/>
  <c r="F122" i="4" a="1"/>
  <c r="F122" i="4" s="1"/>
  <c r="G122" i="4" a="1"/>
  <c r="G122" i="4" s="1"/>
  <c r="H122" i="4" a="1"/>
  <c r="H122" i="4" s="1"/>
  <c r="F123" i="4" a="1"/>
  <c r="F123" i="4" s="1"/>
  <c r="G123" i="4" a="1"/>
  <c r="G123" i="4" s="1"/>
  <c r="H123" i="4" a="1"/>
  <c r="H123" i="4" s="1"/>
  <c r="F124" i="4" a="1"/>
  <c r="F124" i="4" s="1"/>
  <c r="G124" i="4" a="1"/>
  <c r="G124" i="4" s="1"/>
  <c r="H124" i="4" a="1"/>
  <c r="H124" i="4" s="1"/>
  <c r="F125" i="4" a="1"/>
  <c r="F125" i="4" s="1"/>
  <c r="G125" i="4" a="1"/>
  <c r="G125" i="4" s="1"/>
  <c r="H125" i="4" a="1"/>
  <c r="H125" i="4" s="1"/>
  <c r="F126" i="4" a="1"/>
  <c r="F126" i="4" s="1"/>
  <c r="G126" i="4" a="1"/>
  <c r="G126" i="4" s="1"/>
  <c r="H126" i="4" a="1"/>
  <c r="H126" i="4" s="1"/>
  <c r="F127" i="4" a="1"/>
  <c r="F127" i="4" s="1"/>
  <c r="G127" i="4" a="1"/>
  <c r="G127" i="4" s="1"/>
  <c r="H127" i="4" a="1"/>
  <c r="H127" i="4" s="1"/>
  <c r="F128" i="4" a="1"/>
  <c r="F128" i="4" s="1"/>
  <c r="G128" i="4" a="1"/>
  <c r="G128" i="4" s="1"/>
  <c r="H128" i="4" a="1"/>
  <c r="H128" i="4" s="1"/>
  <c r="F129" i="4" a="1"/>
  <c r="F129" i="4" s="1"/>
  <c r="G129" i="4" a="1"/>
  <c r="G129" i="4" s="1"/>
  <c r="H129" i="4" a="1"/>
  <c r="H129" i="4" s="1"/>
  <c r="F130" i="4" a="1"/>
  <c r="F130" i="4" s="1"/>
  <c r="G130" i="4" a="1"/>
  <c r="G130" i="4" s="1"/>
  <c r="H130" i="4" a="1"/>
  <c r="H130" i="4" s="1"/>
  <c r="F131" i="4" a="1"/>
  <c r="F131" i="4" s="1"/>
  <c r="G131" i="4" a="1"/>
  <c r="G131" i="4" s="1"/>
  <c r="H131" i="4" a="1"/>
  <c r="H131" i="4" s="1"/>
  <c r="F132" i="4" a="1"/>
  <c r="F132" i="4" s="1"/>
  <c r="G132" i="4" a="1"/>
  <c r="G132" i="4" s="1"/>
  <c r="H132" i="4" a="1"/>
  <c r="H132" i="4" s="1"/>
  <c r="F133" i="4" a="1"/>
  <c r="F133" i="4" s="1"/>
  <c r="G133" i="4" a="1"/>
  <c r="G133" i="4" s="1"/>
  <c r="H133" i="4" a="1"/>
  <c r="H133" i="4" s="1"/>
  <c r="F134" i="4" a="1"/>
  <c r="F134" i="4" s="1"/>
  <c r="G134" i="4" a="1"/>
  <c r="G134" i="4" s="1"/>
  <c r="H134" i="4" a="1"/>
  <c r="H134" i="4" s="1"/>
  <c r="F135" i="4" a="1"/>
  <c r="F135" i="4" s="1"/>
  <c r="G135" i="4" a="1"/>
  <c r="G135" i="4" s="1"/>
  <c r="H135" i="4" a="1"/>
  <c r="H135" i="4" s="1"/>
  <c r="F136" i="4" a="1"/>
  <c r="F136" i="4" s="1"/>
  <c r="G136" i="4" a="1"/>
  <c r="G136" i="4" s="1"/>
  <c r="H136" i="4" a="1"/>
  <c r="H136" i="4" s="1"/>
  <c r="F137" i="4" a="1"/>
  <c r="F137" i="4" s="1"/>
  <c r="G137" i="4" a="1"/>
  <c r="G137" i="4" s="1"/>
  <c r="H137" i="4" a="1"/>
  <c r="H137" i="4" s="1"/>
  <c r="F138" i="4" a="1"/>
  <c r="F138" i="4" s="1"/>
  <c r="G138" i="4" a="1"/>
  <c r="G138" i="4" s="1"/>
  <c r="H138" i="4" a="1"/>
  <c r="H138" i="4" s="1"/>
  <c r="F139" i="4" a="1"/>
  <c r="F139" i="4" s="1"/>
  <c r="G139" i="4" a="1"/>
  <c r="G139" i="4" s="1"/>
  <c r="H139" i="4" a="1"/>
  <c r="H139" i="4" s="1"/>
  <c r="F140" i="4" a="1"/>
  <c r="F140" i="4" s="1"/>
  <c r="G140" i="4" a="1"/>
  <c r="G140" i="4" s="1"/>
  <c r="H140" i="4" a="1"/>
  <c r="H140" i="4" s="1"/>
  <c r="F141" i="4" a="1"/>
  <c r="F141" i="4" s="1"/>
  <c r="G141" i="4" a="1"/>
  <c r="G141" i="4" s="1"/>
  <c r="H141" i="4" a="1"/>
  <c r="H141" i="4" s="1"/>
  <c r="F142" i="4" a="1"/>
  <c r="F142" i="4" s="1"/>
  <c r="G142" i="4" a="1"/>
  <c r="G142" i="4" s="1"/>
  <c r="H142" i="4" a="1"/>
  <c r="H142" i="4" s="1"/>
  <c r="F143" i="4" a="1"/>
  <c r="F143" i="4" s="1"/>
  <c r="G143" i="4" a="1"/>
  <c r="G143" i="4" s="1"/>
  <c r="H143" i="4" a="1"/>
  <c r="H143" i="4" s="1"/>
  <c r="F144" i="4" a="1"/>
  <c r="F144" i="4" s="1"/>
  <c r="G144" i="4" a="1"/>
  <c r="G144" i="4" s="1"/>
  <c r="H144" i="4" a="1"/>
  <c r="H144" i="4" s="1"/>
  <c r="F145" i="4" a="1"/>
  <c r="F145" i="4" s="1"/>
  <c r="G145" i="4" a="1"/>
  <c r="G145" i="4" s="1"/>
  <c r="H145" i="4" a="1"/>
  <c r="H145" i="4" s="1"/>
  <c r="F146" i="4" a="1"/>
  <c r="F146" i="4" s="1"/>
  <c r="G146" i="4" a="1"/>
  <c r="G146" i="4" s="1"/>
  <c r="H146" i="4" a="1"/>
  <c r="H146" i="4" s="1"/>
  <c r="F147" i="4" a="1"/>
  <c r="F147" i="4" s="1"/>
  <c r="G147" i="4" a="1"/>
  <c r="G147" i="4" s="1"/>
  <c r="H147" i="4" a="1"/>
  <c r="H147" i="4" s="1"/>
  <c r="F148" i="4" a="1"/>
  <c r="F148" i="4" s="1"/>
  <c r="G148" i="4" a="1"/>
  <c r="G148" i="4" s="1"/>
  <c r="H148" i="4" a="1"/>
  <c r="H148" i="4" s="1"/>
  <c r="F149" i="4" a="1"/>
  <c r="F149" i="4" s="1"/>
  <c r="G149" i="4" a="1"/>
  <c r="G149" i="4" s="1"/>
  <c r="H149" i="4" a="1"/>
  <c r="H149" i="4" s="1"/>
  <c r="F150" i="4" a="1"/>
  <c r="F150" i="4" s="1"/>
  <c r="G150" i="4" a="1"/>
  <c r="G150" i="4" s="1"/>
  <c r="H150" i="4" a="1"/>
  <c r="H150" i="4" s="1"/>
  <c r="F151" i="4" a="1"/>
  <c r="F151" i="4" s="1"/>
  <c r="G151" i="4" a="1"/>
  <c r="G151" i="4" s="1"/>
  <c r="H151" i="4" a="1"/>
  <c r="H151" i="4" s="1"/>
  <c r="F152" i="4" a="1"/>
  <c r="F152" i="4" s="1"/>
  <c r="G152" i="4" a="1"/>
  <c r="G152" i="4" s="1"/>
  <c r="H152" i="4" a="1"/>
  <c r="H152" i="4" s="1"/>
  <c r="F153" i="4" a="1"/>
  <c r="F153" i="4" s="1"/>
  <c r="G153" i="4" a="1"/>
  <c r="G153" i="4" s="1"/>
  <c r="H153" i="4" a="1"/>
  <c r="H153" i="4" s="1"/>
  <c r="F154" i="4" a="1"/>
  <c r="F154" i="4" s="1"/>
  <c r="G154" i="4" a="1"/>
  <c r="G154" i="4" s="1"/>
  <c r="H154" i="4" a="1"/>
  <c r="H154" i="4" s="1"/>
  <c r="F155" i="4" a="1"/>
  <c r="F155" i="4" s="1"/>
  <c r="G155" i="4" a="1"/>
  <c r="G155" i="4" s="1"/>
  <c r="H155" i="4" a="1"/>
  <c r="H155" i="4" s="1"/>
  <c r="F156" i="4" a="1"/>
  <c r="F156" i="4" s="1"/>
  <c r="G156" i="4" a="1"/>
  <c r="G156" i="4" s="1"/>
  <c r="H156" i="4" a="1"/>
  <c r="H156" i="4" s="1"/>
  <c r="F157" i="4" a="1"/>
  <c r="F157" i="4" s="1"/>
  <c r="G157" i="4" a="1"/>
  <c r="G157" i="4" s="1"/>
  <c r="H157" i="4" a="1"/>
  <c r="H157" i="4" s="1"/>
  <c r="F158" i="4" a="1"/>
  <c r="F158" i="4" s="1"/>
  <c r="G158" i="4" a="1"/>
  <c r="G158" i="4" s="1"/>
  <c r="H158" i="4" a="1"/>
  <c r="H158" i="4" s="1"/>
  <c r="F159" i="4" a="1"/>
  <c r="F159" i="4" s="1"/>
  <c r="G159" i="4" a="1"/>
  <c r="G159" i="4" s="1"/>
  <c r="H159" i="4" a="1"/>
  <c r="H159" i="4" s="1"/>
  <c r="F160" i="4" a="1"/>
  <c r="F160" i="4" s="1"/>
  <c r="G160" i="4" a="1"/>
  <c r="G160" i="4" s="1"/>
  <c r="H160" i="4" a="1"/>
  <c r="H160" i="4" s="1"/>
  <c r="F161" i="4" a="1"/>
  <c r="F161" i="4" s="1"/>
  <c r="G161" i="4" a="1"/>
  <c r="G161" i="4" s="1"/>
  <c r="H161" i="4" a="1"/>
  <c r="H161" i="4" s="1"/>
  <c r="F162" i="4" a="1"/>
  <c r="F162" i="4" s="1"/>
  <c r="G162" i="4" a="1"/>
  <c r="G162" i="4" s="1"/>
  <c r="H162" i="4" a="1"/>
  <c r="H162" i="4" s="1"/>
  <c r="F163" i="4" a="1"/>
  <c r="F163" i="4" s="1"/>
  <c r="G163" i="4" a="1"/>
  <c r="G163" i="4" s="1"/>
  <c r="H163" i="4" a="1"/>
  <c r="H163" i="4" s="1"/>
  <c r="F164" i="4" a="1"/>
  <c r="F164" i="4" s="1"/>
  <c r="G164" i="4" a="1"/>
  <c r="G164" i="4" s="1"/>
  <c r="H164" i="4" a="1"/>
  <c r="H164" i="4" s="1"/>
  <c r="F165" i="4" a="1"/>
  <c r="F165" i="4" s="1"/>
  <c r="G165" i="4" a="1"/>
  <c r="G165" i="4" s="1"/>
  <c r="H165" i="4" a="1"/>
  <c r="H165" i="4" s="1"/>
  <c r="F166" i="4" a="1"/>
  <c r="F166" i="4" s="1"/>
  <c r="G166" i="4" a="1"/>
  <c r="G166" i="4" s="1"/>
  <c r="H166" i="4" a="1"/>
  <c r="H166" i="4" s="1"/>
  <c r="F167" i="4" a="1"/>
  <c r="F167" i="4" s="1"/>
  <c r="G167" i="4" a="1"/>
  <c r="G167" i="4" s="1"/>
  <c r="H167" i="4" a="1"/>
  <c r="H167" i="4" s="1"/>
  <c r="F168" i="4" a="1"/>
  <c r="F168" i="4" s="1"/>
  <c r="G168" i="4" a="1"/>
  <c r="G168" i="4" s="1"/>
  <c r="H168" i="4" a="1"/>
  <c r="H168" i="4" s="1"/>
  <c r="F169" i="4" a="1"/>
  <c r="F169" i="4" s="1"/>
  <c r="G169" i="4" a="1"/>
  <c r="G169" i="4" s="1"/>
  <c r="H169" i="4" a="1"/>
  <c r="H169" i="4" s="1"/>
  <c r="F170" i="4" a="1"/>
  <c r="F170" i="4" s="1"/>
  <c r="G170" i="4" a="1"/>
  <c r="G170" i="4" s="1"/>
  <c r="H170" i="4" a="1"/>
  <c r="H170" i="4" s="1"/>
  <c r="F171" i="4" a="1"/>
  <c r="F171" i="4" s="1"/>
  <c r="G171" i="4" a="1"/>
  <c r="G171" i="4" s="1"/>
  <c r="H171" i="4" a="1"/>
  <c r="H171" i="4" s="1"/>
  <c r="H2" i="4" a="1"/>
  <c r="H2" i="4" s="1"/>
  <c r="G2" i="4" a="1"/>
  <c r="G2" i="4" s="1"/>
  <c r="F2" i="4" a="1"/>
  <c r="F2" i="4" s="1"/>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2" i="4"/>
  <c r="A2" i="4" a="1"/>
  <c r="A2" i="4" s="1"/>
  <c r="A3" i="4" a="1"/>
  <c r="A3" i="4" s="1"/>
  <c r="D3" i="4" s="1"/>
  <c r="A4" i="4" a="1"/>
  <c r="A4" i="4" s="1"/>
  <c r="D4" i="4" s="1"/>
  <c r="A5" i="4" a="1"/>
  <c r="A5" i="4" s="1"/>
  <c r="D5" i="4" s="1"/>
  <c r="A6" i="4" a="1"/>
  <c r="A6" i="4" s="1"/>
  <c r="D6" i="4" s="1"/>
  <c r="A7" i="4" a="1"/>
  <c r="A7" i="4" s="1"/>
  <c r="D7" i="4" s="1"/>
  <c r="A8" i="4" a="1"/>
  <c r="A8" i="4" s="1"/>
  <c r="D8" i="4" s="1"/>
  <c r="A9" i="4" a="1"/>
  <c r="A9" i="4" s="1"/>
  <c r="D9" i="4" s="1"/>
  <c r="A10" i="4" a="1"/>
  <c r="A10" i="4" s="1"/>
  <c r="D10" i="4" s="1"/>
  <c r="A11" i="4" a="1"/>
  <c r="A11" i="4" s="1"/>
  <c r="D11" i="4" s="1"/>
  <c r="A12" i="4" a="1"/>
  <c r="A12" i="4" s="1"/>
  <c r="D12" i="4" s="1"/>
  <c r="A13" i="4" a="1"/>
  <c r="A13" i="4" s="1"/>
  <c r="D13" i="4" s="1"/>
  <c r="A14" i="4" a="1"/>
  <c r="A14" i="4" s="1"/>
  <c r="D14" i="4" s="1"/>
  <c r="A15" i="4" a="1"/>
  <c r="A15" i="4" s="1"/>
  <c r="D15" i="4" s="1"/>
  <c r="A16" i="4" a="1"/>
  <c r="A16" i="4" s="1"/>
  <c r="D16" i="4" s="1"/>
  <c r="A17" i="4" a="1"/>
  <c r="A17" i="4" s="1"/>
  <c r="D17" i="4" s="1"/>
  <c r="A18" i="4" a="1"/>
  <c r="A18" i="4" s="1"/>
  <c r="D18" i="4" s="1"/>
  <c r="A19" i="4" a="1"/>
  <c r="A19" i="4" s="1"/>
  <c r="D19" i="4" s="1"/>
  <c r="A20" i="4" a="1"/>
  <c r="A20" i="4" s="1"/>
  <c r="D20" i="4" s="1"/>
  <c r="A21" i="4" a="1"/>
  <c r="A21" i="4" s="1"/>
  <c r="D21" i="4" s="1"/>
  <c r="A22" i="4" a="1"/>
  <c r="A22" i="4" s="1"/>
  <c r="D22" i="4" s="1"/>
  <c r="A23" i="4" a="1"/>
  <c r="A23" i="4" s="1"/>
  <c r="D23" i="4" s="1"/>
  <c r="A24" i="4" a="1"/>
  <c r="A24" i="4" s="1"/>
  <c r="D24" i="4" s="1"/>
  <c r="A25" i="4" a="1"/>
  <c r="A25" i="4" s="1"/>
  <c r="D25" i="4" s="1"/>
  <c r="A26" i="4" a="1"/>
  <c r="A26" i="4" s="1"/>
  <c r="D26" i="4" s="1"/>
  <c r="A27" i="4" a="1"/>
  <c r="A27" i="4" s="1"/>
  <c r="D27" i="4" s="1"/>
  <c r="A28" i="4" a="1"/>
  <c r="A28" i="4" s="1"/>
  <c r="D28" i="4" s="1"/>
  <c r="A29" i="4" a="1"/>
  <c r="A29" i="4" s="1"/>
  <c r="D29" i="4" s="1"/>
  <c r="A30" i="4" a="1"/>
  <c r="A30" i="4" s="1"/>
  <c r="D30" i="4" s="1"/>
  <c r="A31" i="4" a="1"/>
  <c r="A31" i="4" s="1"/>
  <c r="D31" i="4" s="1"/>
  <c r="A32" i="4" a="1"/>
  <c r="A32" i="4" s="1"/>
  <c r="D32" i="4" s="1"/>
  <c r="A33" i="4" a="1"/>
  <c r="A33" i="4" s="1"/>
  <c r="D33" i="4" s="1"/>
  <c r="A34" i="4" a="1"/>
  <c r="A34" i="4" s="1"/>
  <c r="D34" i="4" s="1"/>
  <c r="A35" i="4" a="1"/>
  <c r="A35" i="4" s="1"/>
  <c r="D35" i="4" s="1"/>
  <c r="A36" i="4" a="1"/>
  <c r="A36" i="4" s="1"/>
  <c r="D36" i="4" s="1"/>
  <c r="A37" i="4" a="1"/>
  <c r="A37" i="4" s="1"/>
  <c r="D37" i="4" s="1"/>
  <c r="A38" i="4" a="1"/>
  <c r="A38" i="4" s="1"/>
  <c r="D38" i="4" s="1"/>
  <c r="A39" i="4" a="1"/>
  <c r="A39" i="4" s="1"/>
  <c r="D39" i="4" s="1"/>
  <c r="A40" i="4" a="1"/>
  <c r="A40" i="4" s="1"/>
  <c r="D40" i="4" s="1"/>
  <c r="A41" i="4" a="1"/>
  <c r="A41" i="4" s="1"/>
  <c r="D41" i="4" s="1"/>
  <c r="A42" i="4" a="1"/>
  <c r="A42" i="4" s="1"/>
  <c r="D42" i="4" s="1"/>
  <c r="A43" i="4" a="1"/>
  <c r="A43" i="4" s="1"/>
  <c r="D43" i="4" s="1"/>
  <c r="A44" i="4" a="1"/>
  <c r="A44" i="4" s="1"/>
  <c r="D44" i="4" s="1"/>
  <c r="A45" i="4" a="1"/>
  <c r="A45" i="4" s="1"/>
  <c r="D45" i="4" s="1"/>
  <c r="A46" i="4" a="1"/>
  <c r="A46" i="4" s="1"/>
  <c r="D46" i="4" s="1"/>
  <c r="A47" i="4" a="1"/>
  <c r="A47" i="4" s="1"/>
  <c r="D47" i="4" s="1"/>
  <c r="A48" i="4" a="1"/>
  <c r="A48" i="4" s="1"/>
  <c r="D48" i="4" s="1"/>
  <c r="A49" i="4" a="1"/>
  <c r="A49" i="4" s="1"/>
  <c r="D49" i="4" s="1"/>
  <c r="A50" i="4" a="1"/>
  <c r="A50" i="4" s="1"/>
  <c r="D50" i="4" s="1"/>
  <c r="A51" i="4" a="1"/>
  <c r="A51" i="4" s="1"/>
  <c r="D51" i="4" s="1"/>
  <c r="A52" i="4" a="1"/>
  <c r="A52" i="4" s="1"/>
  <c r="D52" i="4" s="1"/>
  <c r="A53" i="4" a="1"/>
  <c r="A53" i="4" s="1"/>
  <c r="D53" i="4" s="1"/>
  <c r="A54" i="4" a="1"/>
  <c r="A54" i="4" s="1"/>
  <c r="D54" i="4" s="1"/>
  <c r="A55" i="4" a="1"/>
  <c r="A55" i="4" s="1"/>
  <c r="D55" i="4" s="1"/>
  <c r="A56" i="4" a="1"/>
  <c r="A56" i="4" s="1"/>
  <c r="D56" i="4" s="1"/>
  <c r="A57" i="4" a="1"/>
  <c r="A57" i="4" s="1"/>
  <c r="D57" i="4" s="1"/>
  <c r="A58" i="4" a="1"/>
  <c r="A58" i="4" s="1"/>
  <c r="D58" i="4" s="1"/>
  <c r="A59" i="4" a="1"/>
  <c r="A59" i="4" s="1"/>
  <c r="D59" i="4" s="1"/>
  <c r="A60" i="4" a="1"/>
  <c r="A60" i="4" s="1"/>
  <c r="D60" i="4" s="1"/>
  <c r="A61" i="4" a="1"/>
  <c r="A61" i="4" s="1"/>
  <c r="D61" i="4" s="1"/>
  <c r="A62" i="4" a="1"/>
  <c r="A62" i="4" s="1"/>
  <c r="D62" i="4" s="1"/>
  <c r="A63" i="4" a="1"/>
  <c r="A63" i="4" s="1"/>
  <c r="D63" i="4" s="1"/>
  <c r="A64" i="4" a="1"/>
  <c r="A64" i="4" s="1"/>
  <c r="D64" i="4" s="1"/>
  <c r="A65" i="4" a="1"/>
  <c r="A65" i="4" s="1"/>
  <c r="D65" i="4" s="1"/>
  <c r="A66" i="4" a="1"/>
  <c r="A66" i="4" s="1"/>
  <c r="D66" i="4" s="1"/>
  <c r="A67" i="4" a="1"/>
  <c r="A67" i="4" s="1"/>
  <c r="D67" i="4" s="1"/>
  <c r="A68" i="4" a="1"/>
  <c r="A68" i="4" s="1"/>
  <c r="D68" i="4" s="1"/>
  <c r="A69" i="4" a="1"/>
  <c r="A69" i="4" s="1"/>
  <c r="D69" i="4" s="1"/>
  <c r="A70" i="4" a="1"/>
  <c r="A70" i="4" s="1"/>
  <c r="D70" i="4" s="1"/>
  <c r="A71" i="4" a="1"/>
  <c r="A71" i="4" s="1"/>
  <c r="D71" i="4" s="1"/>
  <c r="A72" i="4" a="1"/>
  <c r="A72" i="4" s="1"/>
  <c r="D72" i="4" s="1"/>
  <c r="A73" i="4" a="1"/>
  <c r="A73" i="4" s="1"/>
  <c r="D73" i="4" s="1"/>
  <c r="A74" i="4" a="1"/>
  <c r="A74" i="4" s="1"/>
  <c r="D74" i="4" s="1"/>
  <c r="A75" i="4" a="1"/>
  <c r="A75" i="4" s="1"/>
  <c r="D75" i="4" s="1"/>
  <c r="A76" i="4" a="1"/>
  <c r="A76" i="4" s="1"/>
  <c r="D76" i="4" s="1"/>
  <c r="A77" i="4" a="1"/>
  <c r="A77" i="4" s="1"/>
  <c r="D77" i="4" s="1"/>
  <c r="A78" i="4" a="1"/>
  <c r="A78" i="4" s="1"/>
  <c r="D78" i="4" s="1"/>
  <c r="A79" i="4" a="1"/>
  <c r="A79" i="4" s="1"/>
  <c r="D79" i="4" s="1"/>
  <c r="A80" i="4" a="1"/>
  <c r="A80" i="4" s="1"/>
  <c r="D80" i="4" s="1"/>
  <c r="A81" i="4" a="1"/>
  <c r="A81" i="4" s="1"/>
  <c r="D81" i="4" s="1"/>
  <c r="A82" i="4" a="1"/>
  <c r="A82" i="4" s="1"/>
  <c r="D82" i="4" s="1"/>
  <c r="A83" i="4" a="1"/>
  <c r="A83" i="4" s="1"/>
  <c r="D83" i="4" s="1"/>
  <c r="A84" i="4" a="1"/>
  <c r="A84" i="4" s="1"/>
  <c r="D84" i="4" s="1"/>
  <c r="A85" i="4" a="1"/>
  <c r="A85" i="4" s="1"/>
  <c r="D85" i="4" s="1"/>
  <c r="A86" i="4" a="1"/>
  <c r="A86" i="4" s="1"/>
  <c r="D86" i="4" s="1"/>
  <c r="A87" i="4" a="1"/>
  <c r="A87" i="4" s="1"/>
  <c r="D87" i="4" s="1"/>
  <c r="A88" i="4" a="1"/>
  <c r="A88" i="4" s="1"/>
  <c r="D88" i="4" s="1"/>
  <c r="A89" i="4" a="1"/>
  <c r="A89" i="4" s="1"/>
  <c r="D89" i="4" s="1"/>
  <c r="A90" i="4" a="1"/>
  <c r="A90" i="4" s="1"/>
  <c r="D90" i="4" s="1"/>
  <c r="A91" i="4" a="1"/>
  <c r="A91" i="4"/>
  <c r="D91" i="4" s="1"/>
  <c r="A92" i="4" a="1"/>
  <c r="A92" i="4" s="1"/>
  <c r="D92" i="4" s="1"/>
  <c r="A93" i="4" a="1"/>
  <c r="A93" i="4" s="1"/>
  <c r="D93" i="4" s="1"/>
  <c r="A94" i="4" a="1"/>
  <c r="A94" i="4" s="1"/>
  <c r="D94" i="4" s="1"/>
  <c r="A95" i="4" a="1"/>
  <c r="A95" i="4" s="1"/>
  <c r="D95" i="4" s="1"/>
  <c r="A96" i="4" a="1"/>
  <c r="A96" i="4" s="1"/>
  <c r="D96" i="4" s="1"/>
  <c r="A97" i="4" a="1"/>
  <c r="A97" i="4" s="1"/>
  <c r="D97" i="4" s="1"/>
  <c r="A98" i="4" a="1"/>
  <c r="A98" i="4" s="1"/>
  <c r="D98" i="4" s="1"/>
  <c r="A99" i="4" a="1"/>
  <c r="A99" i="4" s="1"/>
  <c r="D99" i="4" s="1"/>
  <c r="A100" i="4" a="1"/>
  <c r="A100" i="4" s="1"/>
  <c r="D100" i="4" s="1"/>
  <c r="A101" i="4" a="1"/>
  <c r="A101" i="4" s="1"/>
  <c r="D101" i="4" s="1"/>
  <c r="A102" i="4" a="1"/>
  <c r="A102" i="4" s="1"/>
  <c r="D102" i="4" s="1"/>
  <c r="A103" i="4" a="1"/>
  <c r="A103" i="4" s="1"/>
  <c r="D103" i="4" s="1"/>
  <c r="A104" i="4" a="1"/>
  <c r="A104" i="4" s="1"/>
  <c r="D104" i="4" s="1"/>
  <c r="A105" i="4" a="1"/>
  <c r="A105" i="4" s="1"/>
  <c r="D105" i="4" s="1"/>
  <c r="A106" i="4" a="1"/>
  <c r="A106" i="4" s="1"/>
  <c r="D106" i="4" s="1"/>
  <c r="A107" i="4" a="1"/>
  <c r="A107" i="4" s="1"/>
  <c r="D107" i="4" s="1"/>
  <c r="A108" i="4" a="1"/>
  <c r="A108" i="4" s="1"/>
  <c r="D108" i="4" s="1"/>
  <c r="A109" i="4" a="1"/>
  <c r="A109" i="4" s="1"/>
  <c r="D109" i="4" s="1"/>
  <c r="A110" i="4" a="1"/>
  <c r="A110" i="4" s="1"/>
  <c r="D110" i="4" s="1"/>
  <c r="A111" i="4" a="1"/>
  <c r="A111" i="4" s="1"/>
  <c r="D111" i="4" s="1"/>
  <c r="A112" i="4" a="1"/>
  <c r="A112" i="4" s="1"/>
  <c r="D112" i="4" s="1"/>
  <c r="A113" i="4" a="1"/>
  <c r="A113" i="4" s="1"/>
  <c r="D113" i="4" s="1"/>
  <c r="A114" i="4" a="1"/>
  <c r="A114" i="4" s="1"/>
  <c r="D114" i="4" s="1"/>
  <c r="A115" i="4" a="1"/>
  <c r="A115" i="4" s="1"/>
  <c r="D115" i="4" s="1"/>
  <c r="A116" i="4" a="1"/>
  <c r="A116" i="4" s="1"/>
  <c r="D116" i="4" s="1"/>
  <c r="A117" i="4" a="1"/>
  <c r="A117" i="4" s="1"/>
  <c r="D117" i="4" s="1"/>
  <c r="A118" i="4" a="1"/>
  <c r="A118" i="4" s="1"/>
  <c r="D118" i="4" s="1"/>
  <c r="A119" i="4" a="1"/>
  <c r="A119" i="4" s="1"/>
  <c r="D119" i="4" s="1"/>
  <c r="A120" i="4" a="1"/>
  <c r="A120" i="4" s="1"/>
  <c r="D120" i="4" s="1"/>
  <c r="A121" i="4" a="1"/>
  <c r="A121" i="4" s="1"/>
  <c r="D121" i="4" s="1"/>
  <c r="A122" i="4" a="1"/>
  <c r="A122" i="4" s="1"/>
  <c r="D122" i="4" s="1"/>
  <c r="A123" i="4" a="1"/>
  <c r="A123" i="4" s="1"/>
  <c r="D123" i="4" s="1"/>
  <c r="A124" i="4" a="1"/>
  <c r="A124" i="4" s="1"/>
  <c r="D124" i="4" s="1"/>
  <c r="A125" i="4" a="1"/>
  <c r="A125" i="4" s="1"/>
  <c r="D125" i="4" s="1"/>
  <c r="A126" i="4" a="1"/>
  <c r="A126" i="4" s="1"/>
  <c r="D126" i="4" s="1"/>
  <c r="A127" i="4" a="1"/>
  <c r="A127" i="4" s="1"/>
  <c r="D127" i="4" s="1"/>
  <c r="A128" i="4" a="1"/>
  <c r="A128" i="4" s="1"/>
  <c r="D128" i="4" s="1"/>
  <c r="A129" i="4" a="1"/>
  <c r="A129" i="4" s="1"/>
  <c r="D129" i="4" s="1"/>
  <c r="A130" i="4" a="1"/>
  <c r="A130" i="4" s="1"/>
  <c r="D130" i="4" s="1"/>
  <c r="A131" i="4" a="1"/>
  <c r="A131" i="4" s="1"/>
  <c r="D131" i="4" s="1"/>
  <c r="A132" i="4" a="1"/>
  <c r="A132" i="4" s="1"/>
  <c r="D132" i="4" s="1"/>
  <c r="A133" i="4" a="1"/>
  <c r="A133" i="4" s="1"/>
  <c r="D133" i="4" s="1"/>
  <c r="A134" i="4" a="1"/>
  <c r="A134" i="4" s="1"/>
  <c r="D134" i="4" s="1"/>
  <c r="A135" i="4" a="1"/>
  <c r="A135" i="4" s="1"/>
  <c r="D135" i="4" s="1"/>
  <c r="A136" i="4" a="1"/>
  <c r="A136" i="4" s="1"/>
  <c r="D136" i="4" s="1"/>
  <c r="A137" i="4" a="1"/>
  <c r="A137" i="4" s="1"/>
  <c r="D137" i="4" s="1"/>
  <c r="A138" i="4" a="1"/>
  <c r="A138" i="4" s="1"/>
  <c r="D138" i="4" s="1"/>
  <c r="A139" i="4" a="1"/>
  <c r="A139" i="4" s="1"/>
  <c r="D139" i="4" s="1"/>
  <c r="A140" i="4" a="1"/>
  <c r="A140" i="4" s="1"/>
  <c r="D140" i="4" s="1"/>
  <c r="A141" i="4" a="1"/>
  <c r="A141" i="4" s="1"/>
  <c r="D141" i="4" s="1"/>
  <c r="A142" i="4" a="1"/>
  <c r="A142" i="4" s="1"/>
  <c r="D142" i="4" s="1"/>
  <c r="A143" i="4" a="1"/>
  <c r="A143" i="4" s="1"/>
  <c r="D143" i="4" s="1"/>
  <c r="A144" i="4" a="1"/>
  <c r="A144" i="4" s="1"/>
  <c r="D144" i="4" s="1"/>
  <c r="A145" i="4" a="1"/>
  <c r="A145" i="4" s="1"/>
  <c r="D145" i="4" s="1"/>
  <c r="A146" i="4" a="1"/>
  <c r="A146" i="4" s="1"/>
  <c r="D146" i="4" s="1"/>
  <c r="A147" i="4" a="1"/>
  <c r="A147" i="4" s="1"/>
  <c r="D147" i="4" s="1"/>
  <c r="A148" i="4" a="1"/>
  <c r="A148" i="4" s="1"/>
  <c r="D148" i="4" s="1"/>
  <c r="A149" i="4" a="1"/>
  <c r="A149" i="4" s="1"/>
  <c r="D149" i="4" s="1"/>
  <c r="A150" i="4" a="1"/>
  <c r="A150" i="4" s="1"/>
  <c r="D150" i="4" s="1"/>
  <c r="A151" i="4" a="1"/>
  <c r="A151" i="4" s="1"/>
  <c r="D151" i="4" s="1"/>
  <c r="A152" i="4" a="1"/>
  <c r="A152" i="4" s="1"/>
  <c r="D152" i="4" s="1"/>
  <c r="A153" i="4" a="1"/>
  <c r="A153" i="4" s="1"/>
  <c r="D153" i="4" s="1"/>
  <c r="A154" i="4" a="1"/>
  <c r="A154" i="4" s="1"/>
  <c r="D154" i="4" s="1"/>
  <c r="A155" i="4" a="1"/>
  <c r="A155" i="4" s="1"/>
  <c r="D155" i="4" s="1"/>
  <c r="A156" i="4" a="1"/>
  <c r="A156" i="4" s="1"/>
  <c r="D156" i="4" s="1"/>
  <c r="A157" i="4" a="1"/>
  <c r="A157" i="4" s="1"/>
  <c r="D157" i="4" s="1"/>
  <c r="A158" i="4" a="1"/>
  <c r="A158" i="4" s="1"/>
  <c r="D158" i="4" s="1"/>
  <c r="A159" i="4" a="1"/>
  <c r="A159" i="4" s="1"/>
  <c r="D159" i="4" s="1"/>
  <c r="A160" i="4" a="1"/>
  <c r="A160" i="4" s="1"/>
  <c r="D160" i="4" s="1"/>
  <c r="A161" i="4" a="1"/>
  <c r="A161" i="4" s="1"/>
  <c r="D161" i="4" s="1"/>
  <c r="A162" i="4" a="1"/>
  <c r="A162" i="4" s="1"/>
  <c r="D162" i="4" s="1"/>
  <c r="A163" i="4" a="1"/>
  <c r="A163" i="4" s="1"/>
  <c r="D163" i="4" s="1"/>
  <c r="A164" i="4" a="1"/>
  <c r="A164" i="4" s="1"/>
  <c r="D164" i="4" s="1"/>
  <c r="A165" i="4" a="1"/>
  <c r="A165" i="4" s="1"/>
  <c r="D165" i="4" s="1"/>
  <c r="A166" i="4" a="1"/>
  <c r="A166" i="4" s="1"/>
  <c r="D166" i="4" s="1"/>
  <c r="A167" i="4" a="1"/>
  <c r="A167" i="4" s="1"/>
  <c r="D167" i="4" s="1"/>
  <c r="A168" i="4" a="1"/>
  <c r="A168" i="4" s="1"/>
  <c r="D168" i="4" s="1"/>
  <c r="A169" i="4" a="1"/>
  <c r="A169" i="4" s="1"/>
  <c r="D169" i="4" s="1"/>
  <c r="A170" i="4" a="1"/>
  <c r="A170" i="4" s="1"/>
  <c r="D170" i="4" s="1"/>
  <c r="A171" i="4" a="1"/>
  <c r="A171" i="4" s="1"/>
  <c r="D171" i="4" s="1"/>
  <c r="Q8" i="2"/>
  <c r="Q9" i="2"/>
  <c r="Q10" i="2"/>
  <c r="Q11" i="2"/>
  <c r="Q12" i="2"/>
  <c r="Q13" i="2"/>
  <c r="Q14" i="2"/>
  <c r="Q15" i="2"/>
  <c r="Q16" i="2"/>
  <c r="Q17" i="2"/>
  <c r="Q18" i="2"/>
  <c r="Q19" i="2"/>
  <c r="Q20" i="2"/>
  <c r="Q21" i="2"/>
  <c r="Q22" i="2"/>
  <c r="Q23" i="2"/>
  <c r="Q24" i="2"/>
  <c r="Q25" i="2"/>
  <c r="Q26" i="2"/>
  <c r="Q27" i="2"/>
  <c r="Q28" i="2"/>
  <c r="Q29" i="2"/>
  <c r="Q30" i="2"/>
  <c r="Q31" i="2"/>
  <c r="L8" i="2"/>
  <c r="L9" i="2"/>
  <c r="L10" i="2"/>
  <c r="L11" i="2"/>
  <c r="L12" i="2"/>
  <c r="L13" i="2"/>
  <c r="L14" i="2"/>
  <c r="L15" i="2"/>
  <c r="L16" i="2"/>
  <c r="L17" i="2"/>
  <c r="L18" i="2"/>
  <c r="L19" i="2"/>
  <c r="L20" i="2"/>
  <c r="L21" i="2"/>
  <c r="L22" i="2"/>
  <c r="L23" i="2"/>
  <c r="L24" i="2"/>
  <c r="L25" i="2"/>
  <c r="L26" i="2"/>
  <c r="L27"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7" i="2"/>
  <c r="M3" i="2"/>
  <c r="T3" i="2"/>
  <c r="S3" i="2"/>
  <c r="R3" i="2"/>
  <c r="N3" i="2"/>
  <c r="O3" i="2"/>
  <c r="P3" i="2"/>
  <c r="Q3" i="2"/>
  <c r="O5366" i="1"/>
  <c r="O5365" i="1"/>
  <c r="E2" i="3" l="1" a="1"/>
  <c r="E2" i="3" s="1"/>
  <c r="A2" i="3" a="1"/>
  <c r="A2" i="3" s="1"/>
  <c r="D2" i="4"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<sst xmlns="http://schemas.openxmlformats.org/spreadsheetml/2006/main" count="23676" uniqueCount="14305">
  <si>
    <t>Transcription factor TFIIB, a general transcription factor required for transcription initiation and start site selection by RNA polymerase II</t>
  </si>
  <si>
    <t>YPR085C</t>
  </si>
  <si>
    <t>Protein required for cell viability</t>
  </si>
  <si>
    <t>YPR084W</t>
  </si>
  <si>
    <t>YPR083W</t>
  </si>
  <si>
    <t>MDM36</t>
  </si>
  <si>
    <t>Protein required for normal mitochondrial morphology and inheritance</t>
  </si>
  <si>
    <t>YPR082C</t>
  </si>
  <si>
    <t>DIB1</t>
  </si>
  <si>
    <t>17-kDa component of the U4U6aU5 tri-snRNP, plays an essential role in pre-mRNA splicing, orthologue of the human U5-specific 15-kDa protein</t>
  </si>
  <si>
    <t>YPR081C</t>
  </si>
  <si>
    <t>GRS2</t>
  </si>
  <si>
    <t>Protein with sequence similarity to Grs1p, which is a glycyl-tRNA synthetase, cannot substitute for Grs1p, possible pseudogene that is expressed at very low levels</t>
  </si>
  <si>
    <t>YPR079W</t>
  </si>
  <si>
    <t>MRL1</t>
  </si>
  <si>
    <t>Membrane protein with similarity to mammalian mannose-6-phosphate receptors, possibly functions as a sorting receptor in the delivery of vacuolar hydrolases</t>
  </si>
  <si>
    <t>YPR078C</t>
  </si>
  <si>
    <t>YPR075C</t>
  </si>
  <si>
    <t>OPY2</t>
  </si>
  <si>
    <t>Protein of unknown function, overproduction blocks cell cycle arrest in the presence of mating pheromone</t>
  </si>
  <si>
    <t>YPR074C</t>
  </si>
  <si>
    <t>TKL1</t>
  </si>
  <si>
    <t>Transketolase, similar to Tkl2p, catalyzes conversion of xylulose-5-phosphate and ribose-5-phosphate to sedoheptulose-7-phosphate and glyceraldehyde-3-phosphate in the pentose phosphate pathway, needed for synthesis of aromatic amino acids</t>
  </si>
  <si>
    <t>YPR073C</t>
  </si>
  <si>
    <t>LTP1</t>
  </si>
  <si>
    <t>Protein phosphotyrosine phosphatase of unknown cellular role, activated by adenine</t>
  </si>
  <si>
    <t>YPR072W</t>
  </si>
  <si>
    <t>NOT5</t>
  </si>
  <si>
    <t>Subunit of the CCR4-NOT complex, which is a global transcriptional regulator with roles in transcription initiation and elongation and in mRNA degradation</t>
  </si>
  <si>
    <t>YPR071W</t>
  </si>
  <si>
    <t>YPR070W</t>
  </si>
  <si>
    <t>MED1</t>
  </si>
  <si>
    <t>Subunit 1 of the Mediator complex essential for transcriptional regulation</t>
  </si>
  <si>
    <t>YPR069C</t>
  </si>
  <si>
    <t>SPE3</t>
  </si>
  <si>
    <t>Spermidine synthase, involved in biosynthesis of spermidine and also in biosynthesis of pantothenic acid, spermidine is required for growth of wild-type cells</t>
  </si>
  <si>
    <t>YPR068C</t>
  </si>
  <si>
    <t>HOS1</t>
  </si>
  <si>
    <t>Putative class I histone deacetylase (HDAC) with sequence similarity to Hda1p, Rpd3p, Hos2p, and Hos3p, deletion results in increased histone acetylation at rDNA repeats, interacts with the Tup1p-Ssn6p corepressor complex</t>
  </si>
  <si>
    <t>YPR067W</t>
  </si>
  <si>
    <t>ISA2</t>
  </si>
  <si>
    <t>Protein required for maturation of mitochondrial and cytosolic FeS proteins, localizes to the mitochondrial intermembrane space, overexpression of ISA2 suppresses grx5 mutations</t>
  </si>
  <si>
    <t>YPR066W</t>
  </si>
  <si>
    <t>UBA3</t>
  </si>
  <si>
    <t>Protein that acts together with Ula1p to activate Rub1p before its conjugation to proteins (neddylation), which may play a role in protein degradation, GFP-fusion protein localizes to the cytoplasm in a punctate pattern</t>
  </si>
  <si>
    <t>YPR065W</t>
  </si>
  <si>
    <t>ROX1</t>
  </si>
  <si>
    <t>Heme-dependent repressor of hypoxic genes, contains an HMG domain that is responsible for DNA bending activity</t>
  </si>
  <si>
    <t>YPR063C</t>
  </si>
  <si>
    <t>YPR062W</t>
  </si>
  <si>
    <t>FCY1</t>
  </si>
  <si>
    <t>Cytosine deaminase, involved in salvage pathways of pyrimidine metabolism</t>
  </si>
  <si>
    <t>YPR061C</t>
  </si>
  <si>
    <t>JID1</t>
  </si>
  <si>
    <t>Probable Hsp40p co-chaperone, has a DnaJ-like domain and appears to be involved in ER-associated degradation of misfolded proteins containing a tightly folded cytoplasmic domain, inhibits replication of Brome mosaic virus in S. cerevisiae</t>
  </si>
  <si>
    <t>YPR060C</t>
  </si>
  <si>
    <t>ARO7</t>
  </si>
  <si>
    <t>Chorismate mutase, catalyzes the conversion of chorismate to prephenate to initiate the tyrosinephenylalanine-specific branch of aromatic amino acid biosynthesis</t>
  </si>
  <si>
    <t>YPR058W</t>
  </si>
  <si>
    <t>YMC1</t>
  </si>
  <si>
    <t>Protein of unknown function, deletion heterozygote is sensitive to compounds that target ergosterol biosynthesis, may be involved in compound availability</t>
  </si>
  <si>
    <t>YPL164C</t>
  </si>
  <si>
    <t>MLH3</t>
  </si>
  <si>
    <t>Protein involved in DNA mismatch repair, forms a complex with Mlh1p to promote meiotic crossing-over, mammalian homolog is implicated mammalian microsatellite instability</t>
  </si>
  <si>
    <t>YPL163C</t>
  </si>
  <si>
    <t>SVS1</t>
  </si>
  <si>
    <t>Cell wall and vacuolar protein, required for wild-type resistance to vanadate</t>
  </si>
  <si>
    <t>YPL162C</t>
  </si>
  <si>
    <t>YPL161C</t>
  </si>
  <si>
    <t>BEM4</t>
  </si>
  <si>
    <t>Protein involved in establishment of cell polarity and bud emergence, interacts with the Rho1p small GTP-binding protein and with the Rho-type GTPase Cdc42p</t>
  </si>
  <si>
    <t>YPL160W</t>
  </si>
  <si>
    <t>CDC60</t>
  </si>
  <si>
    <t>Cytosolic leucyl tRNA synthetase, ligates leucine to the appropriate tRNA</t>
  </si>
  <si>
    <t>YPL159C</t>
  </si>
  <si>
    <t>PET20</t>
  </si>
  <si>
    <t>Protein required for respiratory growth and stability of the mitochondrial genome</t>
  </si>
  <si>
    <t>YPL158C</t>
  </si>
  <si>
    <t>YPL157W</t>
  </si>
  <si>
    <t>TGS1</t>
  </si>
  <si>
    <t>Trimethyl guanosine synthase, conserved nucleolar methyl transferase responsible for conversion of the m(7)G cap structure of snRNAs and snoRNAs to m(2,2,7)G, also required for ribosome synthesis and nucleolar morphology</t>
  </si>
  <si>
    <t>YPL156C</t>
  </si>
  <si>
    <t>PRM4</t>
  </si>
  <si>
    <t>Pheromone-regulated protein, predicted to have 1 transmembrane segment, transcriptionally regulated by Ste12p during mating and by Cat8p during the diauxic shift</t>
  </si>
  <si>
    <t>YPL155C</t>
  </si>
  <si>
    <t>KIP2</t>
  </si>
  <si>
    <t xml:space="preserve">Kinesin-related motor protein involved in mitotic spindle positioning </t>
  </si>
  <si>
    <t>YPL154C</t>
  </si>
  <si>
    <t>PEP4</t>
  </si>
  <si>
    <t>Vacuolar aspartyl protease (proteinase A), required for the posttranslational precursor maturation of vacuolar proteinases, synthesized as a zymogen, self-activates</t>
  </si>
  <si>
    <t>YPL153C</t>
  </si>
  <si>
    <t>RAD53</t>
  </si>
  <si>
    <t>Protein kinase, required for cell-cycle arrest in response to DNA damage, activated by trans autophosphorylation when interacting with hyperphosphorylated Rad9p</t>
  </si>
  <si>
    <t>YPL152W-A</t>
  </si>
  <si>
    <t>YPL152W</t>
  </si>
  <si>
    <t>RRD2</t>
  </si>
  <si>
    <t>Activator of the phosphotyrosyl phosphatase activity of PP2A, regulates G1 phase progression, the osmoresponse and microtubule dynamics, implicated in the spindle assembly check, subunit of the Tap42p-Pph21p-Rrd2p complex</t>
  </si>
  <si>
    <t>YPL151C</t>
  </si>
  <si>
    <t>PRP46</t>
  </si>
  <si>
    <t>Splicing factor that is found in the Cef1p subcomplex of the spliceosome</t>
  </si>
  <si>
    <t>YPL150W</t>
  </si>
  <si>
    <t>YPL149W</t>
  </si>
  <si>
    <t>ATG5</t>
  </si>
  <si>
    <t>Conserved autophagy-related protein that undergoes conjugation with Atg12p and then associates with Atg16p to form a cytosolic complex essential for autophagosome formation</t>
  </si>
  <si>
    <t>YPL148C</t>
  </si>
  <si>
    <t>PPT2</t>
  </si>
  <si>
    <t>Phosphopantetheine:protein transferase (PPTase), activates mitochondrial acyl carrier protein (Acp1p) by phosphopantetheinylation</t>
  </si>
  <si>
    <t>YPL147W</t>
  </si>
  <si>
    <t>PXA1</t>
  </si>
  <si>
    <t>Ribosomal protein 28 (rp28) of the small (40S) ribosomal subunit, required for translational accuracy, nearly identical to Rps23Ap and similar to E. coli S12 and rat S23 ribosomal proteins, deletion of both RPS23A and RPS23B is lethal  Ribosomal protein 28 (rp28) of the small (40S) ribosomal subunit, required for translational accuracy, nearly identical to Rps23Bp and similar to E. coli S12 and rat S23 ribosomal proteins, deletion of both RPS23A and RPS23B is lethal</t>
  </si>
  <si>
    <t>YPR131C</t>
  </si>
  <si>
    <t>NAT3</t>
  </si>
  <si>
    <t>Catalytic subunit of the NatB N-terminal acetyltransferase, which catalyzes acetylation of the amino-terminal methionine residues of all proteins beginning with Met-Asp or Met-Glu and of some proteins beginning with Met-Asn or Met-Met</t>
  </si>
  <si>
    <t>YPR129W</t>
  </si>
  <si>
    <t>SCD6</t>
  </si>
  <si>
    <t>Protein containing an Lsm domain, may bind RNA and have a role in RNA processing, overproduction suppresses a null mutation in CHC1, which encodes the heavy chain of clathrin</t>
  </si>
  <si>
    <t>YPR128C</t>
  </si>
  <si>
    <t>ANT1</t>
  </si>
  <si>
    <t>Peroxisomal adenine nucleotide transporter, involved in beta-oxidation of medium-chain fatty acid, required for peroxisome proliferation</t>
  </si>
  <si>
    <t>YPR127W</t>
  </si>
  <si>
    <t>YPR125W</t>
  </si>
  <si>
    <t>YPR124W</t>
  </si>
  <si>
    <t>CTR1</t>
  </si>
  <si>
    <t>High-affinity copper transporter of the plasma membrane, mediates nearly all copper uptake under low copper conditions, transcriptionally induced at low copper levels and degraded at high copper levels</t>
  </si>
  <si>
    <t>YPR122W</t>
  </si>
  <si>
    <t>AXL1</t>
  </si>
  <si>
    <t>Haploid specific endoprotease that performs one of two N-terminal cleavages during maturation of a-factor mating pheromone, required for axial budding pattern of haploid cells</t>
  </si>
  <si>
    <t>YPR121W</t>
  </si>
  <si>
    <t>THI22</t>
  </si>
  <si>
    <t>Protein with similarity to hydroxymethylpyrimidine phosphate kinases, member of a gene family with THI20 and THI21, not required for thiamine biosynthesis</t>
  </si>
  <si>
    <t>YPR120C</t>
  </si>
  <si>
    <t>CLB5</t>
  </si>
  <si>
    <t>B-type cyclin involved in DNA replication during S phase, activates Cdc28p to promote initiation of DNA synthesis, functions in formation of mitotic spindles along with Clb3p and Clb4p, most abundant during late G1 phase</t>
  </si>
  <si>
    <t>YPR119W</t>
  </si>
  <si>
    <t>CLB2</t>
  </si>
  <si>
    <t>B-type cyclin involved in cell cycle progression, activates Cdc28p to promote the transition from G2 to M phase, accumulates during G2 and M, then targeted via a destruction box motif for ubiquitin-mediated degradation by the proteasome</t>
  </si>
  <si>
    <t>YPR118W</t>
  </si>
  <si>
    <t>Methylthioribose-1-phosphate isomerase, catalyzes the isomerization of 5-methylthioribose-1-phosphate to 5-methylthioribulose-1-phosphate in the methionine salvage pathway</t>
  </si>
  <si>
    <t>YPR117W</t>
  </si>
  <si>
    <t>YPR116W</t>
  </si>
  <si>
    <t>YPR115W</t>
  </si>
  <si>
    <t>YPR114W</t>
  </si>
  <si>
    <t>YPR113W</t>
  </si>
  <si>
    <t>PIS1</t>
  </si>
  <si>
    <t>Phosphatidylinositol synthase, required for biosynthesis of phosphatidylinositol, which is a precursor for polyphosphoinositides, sphingolipids, and glycolipid anchors for some of the plasma membrane proteins</t>
  </si>
  <si>
    <t>YPR112C</t>
  </si>
  <si>
    <t>MRD1</t>
  </si>
  <si>
    <t>Essential conserved protein that associates with 35S precursor rRNA and is required for its initial processing at the A(0)-A(2) cleavage sites, shows partial nucleolar localization, contains five consensus RNA-binding domains</t>
  </si>
  <si>
    <t>YPR111W</t>
  </si>
  <si>
    <t>DBF20</t>
  </si>
  <si>
    <t>SerThr kinase involved in late nuclear division, one of the mitotic exit network (MEN) proteins, necessary for the execution of cytokinesis</t>
  </si>
  <si>
    <t>YPR110C</t>
  </si>
  <si>
    <t>RPC40</t>
  </si>
  <si>
    <t>RNA polymerase subunit, common to RNA polymerase I and III</t>
  </si>
  <si>
    <t>YPR109W</t>
  </si>
  <si>
    <t>YPR108W-A</t>
  </si>
  <si>
    <t>Identified by fungal homology and RT-PCR</t>
  </si>
  <si>
    <t>YPR108W</t>
  </si>
  <si>
    <t>RPN7</t>
  </si>
  <si>
    <t>Essential, non-ATPase regulatory subunit of the 26S proteasome, similar to another S. cerevisiae regulatory subunit, Rpn5p, as well as to mammalian proteasome subunits</t>
  </si>
  <si>
    <t>YPR107C</t>
  </si>
  <si>
    <t>YTH1</t>
  </si>
  <si>
    <t>Essential RNA-binding component of cleavage and polyadenylation factor, contains five zinc fingers, required for pre-mRNA 3-end processing and polyadenylation</t>
  </si>
  <si>
    <t>YPR106W</t>
  </si>
  <si>
    <t>ISR1</t>
  </si>
  <si>
    <t>Subunit of the core complex of translation initiation factor 3(eIF3), essential for translation, part of a subcomplex (Prt1p-Rpg1p-Nip1p) that stimulates binding of mRNA and tRNA(i)Met to ribosomes</t>
  </si>
  <si>
    <t>YOR360C</t>
  </si>
  <si>
    <t>PDE2</t>
  </si>
  <si>
    <t>High-affinity cyclic AMP phosphodiesterase, component of the cAMP-dependent protein kinase signaling system, protects the cell from extracellular cAMP, contains readthrough motif surrounding termination codon</t>
  </si>
  <si>
    <t>YOR359W</t>
  </si>
  <si>
    <t>VTS1</t>
  </si>
  <si>
    <t>Protein of unknown function, shows genetic interactions with Vti1p, which is a v-SNARE involved in cis-Golgi membrane traffic</t>
  </si>
  <si>
    <t>YOR358W</t>
  </si>
  <si>
    <t>HAP5</t>
  </si>
  <si>
    <t>Subunit of the heme-activated, glucose-repressed Hap2345 CCAAT-binding complex, a transcriptional activator and global regulator of respiratory gene expression, required for assembly and DNA binding activity of the complex</t>
  </si>
  <si>
    <t>YOR357C</t>
  </si>
  <si>
    <t>GRD19</t>
  </si>
  <si>
    <t>Sorting nexin required to maintain late-Golgi resident enzymes in their proper location by recycling molecules from the prevacuolar compartment, contains a PX domain and sequence similarity to human Snx3p</t>
  </si>
  <si>
    <t>YOR356W</t>
  </si>
  <si>
    <t>YOR355W</t>
  </si>
  <si>
    <t>GDS1</t>
  </si>
  <si>
    <t>Protein of unknown function, required for growth on glycerol as a carbon source</t>
  </si>
  <si>
    <t>YOR354C</t>
  </si>
  <si>
    <t>MSC6</t>
  </si>
  <si>
    <t>Protein of unknown function, green fluorescent protein (GFP)-fusion protein localizes to mitochondria, msc6 mutants are defective in directing meiotic recombination events to homologous chromatids</t>
  </si>
  <si>
    <t>YOR353C</t>
  </si>
  <si>
    <t>SOG2</t>
  </si>
  <si>
    <t>Protein required for cell morphogenesis and cell separation after mitosis</t>
  </si>
  <si>
    <t>YOR352W</t>
  </si>
  <si>
    <t>YOR351C</t>
  </si>
  <si>
    <t>MEK1</t>
  </si>
  <si>
    <t>Meiosis-specific serinethreonine protein kinase, functions in meiotic checkpoint, phosphorylates Red1p, interacts with Hop1p, required for meiotic recombination and normal spore viability</t>
  </si>
  <si>
    <t>YOR350C</t>
  </si>
  <si>
    <t>MNE1</t>
  </si>
  <si>
    <t>Mitochondrial protein similar to Lucilia illustris mitochondrial cytochrome oxidase</t>
  </si>
  <si>
    <t>YOR349W</t>
  </si>
  <si>
    <t>CIN1</t>
  </si>
  <si>
    <t>Tubulin folding factor D involved in beta-tubulin (Tub2p) folding, isolated as mutant with increased chromosome loss and sensitivity to benomyl</t>
  </si>
  <si>
    <t>YOR348C</t>
  </si>
  <si>
    <t>PUT4</t>
  </si>
  <si>
    <t>Proline permease, required for high-affinity transport of proline, also transports the toxic proline analog azetidine-2-carboxylate (AzC), PUT4 transcription is repressed in ammonia-grown cells</t>
  </si>
  <si>
    <t>YOR347C</t>
  </si>
  <si>
    <t>PYK2</t>
  </si>
  <si>
    <t>Citrate synthase, catalyzes the condensation of acetyl coenzyme A and oxaloacetate to form citrate, mitochondrial isozyme involved in the TCA cycle</t>
  </si>
  <si>
    <t>YPL279C</t>
  </si>
  <si>
    <t>Hypothetical protein  Hypothetical protein</t>
  </si>
  <si>
    <t>YPL278C</t>
  </si>
  <si>
    <t>YPL277C</t>
  </si>
  <si>
    <t>YPL274W</t>
  </si>
  <si>
    <t>SAM3</t>
  </si>
  <si>
    <t>High-affinity S-adenosylmethionine permease, required for utilization of S-adenosylmethionine as a sulfur source, has similarity to S-methylmethionine permease Mmp1p</t>
  </si>
  <si>
    <t>YPL273W</t>
  </si>
  <si>
    <t>SAM4</t>
  </si>
  <si>
    <t>Hypothetical protein  S-adenosylmethionine-homocysteine methyltransferase, functions along with Mht1p in the conversion of S-adenosylmethionine (AdoMet) to methionine to control the methionineAdoMet ratio</t>
  </si>
  <si>
    <t>YPL272C</t>
  </si>
  <si>
    <t>YPL271W</t>
  </si>
  <si>
    <t>ATP15</t>
  </si>
  <si>
    <t>Epsilon subunit of the F1 sector of mitochondrial F1F0 ATP synthase, which is a large, evolutionarily conserved enzyme complex required for ATP synthesis</t>
  </si>
  <si>
    <t>YPL270W</t>
  </si>
  <si>
    <t>MDL2</t>
  </si>
  <si>
    <t>Half-type ATP-binding cassette (ABC) transporter of the inner mitochondrial membrane</t>
  </si>
  <si>
    <t>YPL269W</t>
  </si>
  <si>
    <t>KAR9</t>
  </si>
  <si>
    <t>Karyogamy protein required for correct positioning of the mitotic spindle and for orienting cytoplasmic microtubules, localizes at the shmoo tip in mating cells and at the tip of the growing bud in small-budded cells through anaphase</t>
  </si>
  <si>
    <t>YPL268W</t>
  </si>
  <si>
    <t>PLC1</t>
  </si>
  <si>
    <t>Phosphoinositide-specific phospholipase C, hydrolyzes phosphatidylinositol 4,5-biphosphate (PIP2) to generate inositol 1,4,5-triphosphate (IP3) and 1,2-diacylglycerol (DAG), involved in kinetochore function and pseudohyphal differentiation</t>
  </si>
  <si>
    <t>YPL267W</t>
  </si>
  <si>
    <t>Protein of unknown function, potential Cdc28p substrate</t>
  </si>
  <si>
    <t>YPL266W</t>
  </si>
  <si>
    <t>DIM1</t>
  </si>
  <si>
    <t>Essential 18S rRNA dimethylase, responsible for conserved m6(2)Am6(2)A dimethylation in 3-terminal loop of 18 S rRNA, part of 90S and 40S pre-particles in nucleolus, involved in pre-ribosomal RNA processing</t>
  </si>
  <si>
    <t>YPL265W</t>
  </si>
  <si>
    <t>DIP5</t>
  </si>
  <si>
    <t>Dicarboxylic amino acid permease, mediates high-affinity and high-capacity transport of L-glutamate and L-aspartate, also a transporter for Gln, Asn, Ser, Ala, and Gly</t>
  </si>
  <si>
    <t>YPL264C</t>
  </si>
  <si>
    <t>YPL263C</t>
  </si>
  <si>
    <t>KEL3</t>
  </si>
  <si>
    <t>Cytoplasmic protein of unknown function</t>
  </si>
  <si>
    <t>YPL262W</t>
  </si>
  <si>
    <t>FUM1</t>
  </si>
  <si>
    <t>Fumarase, converts fumaric acid to L-malic acid in the TCA cycle, cytosolic and mitochondrial localization determined by the N-terminal mitochondrial targeting sequence and protein conformation</t>
  </si>
  <si>
    <t>YPL260W</t>
  </si>
  <si>
    <t>YPL259C</t>
  </si>
  <si>
    <t>APM1</t>
  </si>
  <si>
    <t>Mu1-like medium subunit of the clathrin-associated protein complex (AP-1), binds clathrin, involved in clathrin-dependent Golgi protein sorting</t>
  </si>
  <si>
    <t>YPL258C</t>
  </si>
  <si>
    <t>THI21</t>
  </si>
  <si>
    <t>Hydroxymethylpyrimidine phosphate kinase, involved in the last steps in thiamine biosynthesis, member of a gene family with THI20 and THI22, functionally redundant with Thi20p</t>
  </si>
  <si>
    <t>YPL257W</t>
  </si>
  <si>
    <t>YPL256C</t>
  </si>
  <si>
    <t>CLN2</t>
  </si>
  <si>
    <t>G1 cyclin involved in regulation of the cell cycle, activates Cdc28p kinase to promote the G1 to S phase transition, late G1 specific expression depends on transcription factor complexes, MBF (Swi6p-Mbp1p) and SBF (Swi6p-Swi4p)</t>
  </si>
  <si>
    <t>YPL255W</t>
  </si>
  <si>
    <t>BBP1</t>
  </si>
  <si>
    <t>Plasma membrane sulfite pump involved in sulfite metabolism and required for efficient sulfite efflux, major facilitator superfamily protein</t>
  </si>
  <si>
    <t>YPL091W</t>
  </si>
  <si>
    <t>GLR1</t>
  </si>
  <si>
    <t>Cytosolic and mitochondrial glutathione oxidoreductase, converts oxidized glutathione to reduced glutathione</t>
  </si>
  <si>
    <t>YPL089C</t>
  </si>
  <si>
    <t>RLM1</t>
  </si>
  <si>
    <t>MADS-box transcription factor, component of the protein kinase C-mediated MAP kinase pathway involved in the maintenance of cell integrity, phosphorylated and activated by the MAP-kinase Slt2p</t>
  </si>
  <si>
    <t>YPL088W</t>
  </si>
  <si>
    <t>Putative aryl alcohol dehydrogenase, transcription is activated by paralogous transcription factors Yrm1p and Yrr1p along with genes involved in multidrug resistance</t>
  </si>
  <si>
    <t>YPL087W</t>
  </si>
  <si>
    <t>YDC1</t>
  </si>
  <si>
    <t>Alkaline dihydroceramidase, involved in sphingolipid metabolism, preferentially hydrolyzes dihydroceramide to a free fatty acid and dihydrosphingosine, has a minor reverse activity</t>
  </si>
  <si>
    <t>YPL086C</t>
  </si>
  <si>
    <t>ELP3</t>
  </si>
  <si>
    <t>Histone acetyltransferase subunit of the Elongator complex, which is a component of the RNA polymerase II holoenzyme, activity is directed specifically towards histones H3 and H4, disruption confers resistance to K. lactis zymotoxin</t>
  </si>
  <si>
    <t>YPL085W</t>
  </si>
  <si>
    <t>SEC16</t>
  </si>
  <si>
    <t>COPII vesicle coat protein required for ER transport vesicle budding and autophagosome formation, Sec16p is bound to the periphery of ER membranes and may act to stabilize initial COPII complexes, interacts with Sec23p, Sec24p and Sec31p</t>
  </si>
  <si>
    <t>YPL084W</t>
  </si>
  <si>
    <t>BRO1</t>
  </si>
  <si>
    <t>Cytoplasmic class E vacuolar protein sorting (VPS) factor that coordinates deubiquitination in the multivesicular body (MVB) pathway by recruiting Doa4p to endosomes</t>
  </si>
  <si>
    <t>YPL083C</t>
  </si>
  <si>
    <t>SEN54</t>
  </si>
  <si>
    <t>Subunit of the tRNA splicing endonuclease, which is composed of Sen2p, Sen15p, Sen34p, and Sen54p</t>
  </si>
  <si>
    <t>YPL082C</t>
  </si>
  <si>
    <t>MOT1</t>
  </si>
  <si>
    <t>Essential abundant protein involved in regulation of transcription, removes Spt15p (TBP) from DNA via its C-terminal ATPase activity, forms a complex with TBP that binds TATA DNA with high affinity but with altered specificity</t>
  </si>
  <si>
    <t>YPL081W</t>
  </si>
  <si>
    <t>RPS9A</t>
  </si>
  <si>
    <t>Protein component of the small (40S) ribosomal subunit, nearly identical to Rps9Ap and has similarity to E. coli S4 and rat S9 ribosomal proteins</t>
  </si>
  <si>
    <t>YPL079W</t>
  </si>
  <si>
    <t>Protein component of the large (60S) ribosomal subunit, nearly identical to Rpl21Ap and has similarity to rat L21 ribosomal protein  Protein component of the large (60S) ribosomal subunit, nearly identical to Rpl21Bp and has similarity to rat L21 ribosomal protein</t>
  </si>
  <si>
    <t>YPL078C</t>
  </si>
  <si>
    <t>ATP4</t>
  </si>
  <si>
    <t>Subunit b of the stator stalk of mitochondrial F1F0 ATP synthase, which is a large, evolutionarily conserved enzyme complex required for ATP synthesis</t>
  </si>
  <si>
    <t>YPL077C</t>
  </si>
  <si>
    <t>YPL076W</t>
  </si>
  <si>
    <t>GPI2</t>
  </si>
  <si>
    <t>Protein involved in the synthesis of N-acetylglucosaminyl phosphatidylinositol (GlcNAc-PI), the first intermediate in the synthesis of glycosylphosphatidylinositol (GPI) anchors, homologous to the human PIG-C protein</t>
  </si>
  <si>
    <t>YPL075W</t>
  </si>
  <si>
    <t>GCR1</t>
  </si>
  <si>
    <t>Member of the PUF protein family, which is defined by the presence of Pumilio homology domains that confer RNA binding activity, preferentially binds mRNAs encoding membrane-associated proteins</t>
  </si>
  <si>
    <t>YPR041W</t>
  </si>
  <si>
    <t>TIF5</t>
  </si>
  <si>
    <t>Translation initiation factor eIF-5, N-terminal domain functions as a GTPase-activating protein to mediate hydrolysis of ribosome-bound GTP, C-terminal domain is the core of ribosomal preinitiation complex formation</t>
  </si>
  <si>
    <t>YPR040W</t>
  </si>
  <si>
    <t>TIP41</t>
  </si>
  <si>
    <t>Protein involved in regulation of the TOR pathway</t>
  </si>
  <si>
    <t>YPR037C</t>
  </si>
  <si>
    <t>ERV2</t>
  </si>
  <si>
    <t>Flavin-linked sulfhydryl oxidase localized to the endoplasmic reticulum lumen, involved in disulfide bond formation within the ER</t>
  </si>
  <si>
    <t>YPR036W-A</t>
  </si>
  <si>
    <t>YPR036W</t>
  </si>
  <si>
    <t>VMA13</t>
  </si>
  <si>
    <t>Subunit H of the eight-subunit V1 peripheral membrane domain of the vacuolar H+-ATPase (V-ATPase), an electrogenic proton pump found throughout the endomembrane system, serves as an activator or a structural stabilizer of the V-ATPase</t>
  </si>
  <si>
    <t>YPR035W</t>
  </si>
  <si>
    <t>GLN1</t>
  </si>
  <si>
    <t>Glutamine synthetase (GS), synthesizes glutamine from glutamate and ammonia, with Glt1p, forms the secondary pathway for glutamate biosynthesis from ammonia, expression regulated by nitrogen source and by amino acid limitation</t>
  </si>
  <si>
    <t>YPR034W</t>
  </si>
  <si>
    <t>ARP7</t>
  </si>
  <si>
    <t>Actin-related protein involved in transcriptional regulation, subunit of the chromatin remodeling SnfSwi complex</t>
  </si>
  <si>
    <t>YPR033C</t>
  </si>
  <si>
    <t>HTS1</t>
  </si>
  <si>
    <t xml:space="preserve">Cytoplasmic and mitochondrial histidine tRNA synthetase, encoded by a single nuclear gene that specifies two messages, efficient mitochondrial localization requires both a presequence and an amino-terminal sequence </t>
  </si>
  <si>
    <t>YPR032W</t>
  </si>
  <si>
    <t>SRO7</t>
  </si>
  <si>
    <t>Protein with roles in exocytosis and cation homeostasis, functions in docking and fusion of post-Golgi vesicles with plasma membrane, homolog of Sro77p and Drosophila lethal giant larvae tumor suppressor, interacts with SNARE protein Sec9p</t>
  </si>
  <si>
    <t>YPR031W</t>
  </si>
  <si>
    <t>Component of the histone acetyltransferase complex</t>
  </si>
  <si>
    <t>YPR030W</t>
  </si>
  <si>
    <t>CSR2</t>
  </si>
  <si>
    <t>Nuclear protein with a potential regulatory role in utilization of galactose and nonfermentable carbon sources, overproduction suppresses the lethality at high temperature of a chs5 spa2 double null mutation, potential Cdc28p substrate</t>
  </si>
  <si>
    <t>YPR029C</t>
  </si>
  <si>
    <t>APL4</t>
  </si>
  <si>
    <t>Gamma-adaptin, large subunit of the clathrin-associated protein (AP-1) complex, binds clathrin, involved in vesicle mediated transport</t>
  </si>
  <si>
    <t>YPR028W</t>
  </si>
  <si>
    <t>YOP1</t>
  </si>
  <si>
    <t>Membrane protein that interacts with Yip1p to mediate membrane traffic, overexpression results in cell death and accumulation of internal cell membranes, regulates vesicular traffic in stressed cells</t>
  </si>
  <si>
    <t>YPR027C</t>
  </si>
  <si>
    <t>YPR026W</t>
  </si>
  <si>
    <t>ATH1</t>
  </si>
  <si>
    <t>Vacuolar acid trehalase, required for trehalose utilization</t>
  </si>
  <si>
    <t>YPR025C</t>
  </si>
  <si>
    <t>CCL1</t>
  </si>
  <si>
    <t>Cyclin associated with protein kinase Kin28p, which is the TFIIH-associated carboxy-terminal domain (CTD) kinase involved in transcription initiation at RNA polymerase II promoters</t>
  </si>
  <si>
    <t>YPR024W</t>
  </si>
  <si>
    <t>YME1</t>
  </si>
  <si>
    <t>Mitochondrial inner membrane protease of the AAA family, responsible for degradation of unfolded or misfolded mitochondrial gene products, mutation causes an elevated rate of mitochondrial turnover</t>
  </si>
  <si>
    <t>YPR023C</t>
  </si>
  <si>
    <t>EAF3</t>
  </si>
  <si>
    <t>Esa1p-associated factor, nonessential component of the NuA4 acetyltransferase complex, homologous to Drosophila dosage compensation protein MSL3</t>
  </si>
  <si>
    <t>YPR022C</t>
  </si>
  <si>
    <t>YPR021C</t>
  </si>
  <si>
    <t>AGC1</t>
  </si>
  <si>
    <t>Mitochondrial transporter, acts both as a glutamate uniporter and as an aspartate-glutamate exchanger, involved in nitrogen metabolism, ornithine synthesis, and the malate-aspartate NADH shuttle</t>
  </si>
  <si>
    <t>YPR020W</t>
  </si>
  <si>
    <t>ATP20</t>
  </si>
  <si>
    <t>Protein involved in proteolytic activation of Rim101p in response to alkaline pH, member of the PalAAIP1Alix family, interacts with the ESCRT-III subunits Snf7p, suggesting a relationship between the response to pH and multivesicular body formation</t>
  </si>
  <si>
    <t>YOR274W</t>
  </si>
  <si>
    <t>MOD5</t>
  </si>
  <si>
    <t>Delta 2-isopentenyl pyrophosphate:tRNA isopentenyl transferase, required for biosynthesis of the modified base isopentenyladenosine in mitochondrial and cytoplasmic tRNAs, gene is nuclear and encodes two isozymic forms</t>
  </si>
  <si>
    <t>YOR273C</t>
  </si>
  <si>
    <t>TPO4</t>
  </si>
  <si>
    <t>Polyamine transport protein, recognizes spermine, putrescine, and spermidine, localizes to the plasma membrane, member of the major facilitator superfamily</t>
  </si>
  <si>
    <t>YOR272W</t>
  </si>
  <si>
    <t>YTM1</t>
  </si>
  <si>
    <t>Constituent of 66S pre-ribosomal particles, required for maturation of the large ribosomal subunit</t>
  </si>
  <si>
    <t>YOR271C</t>
  </si>
  <si>
    <t>YOR270C</t>
  </si>
  <si>
    <t>VPH1</t>
  </si>
  <si>
    <t>Subunit of vacuolar-ATPase V0 domain, one of two isoforms (Vph1p and Stv1p), Vph1p is located in V-ATPase complexes of the vacuole while Stv1p is located in V-ATPase complexes of the Golgi and endosomes</t>
  </si>
  <si>
    <t>YOR269W</t>
  </si>
  <si>
    <t>PAC1</t>
  </si>
  <si>
    <t>Protein involved in nuclear migration, part of the dyneindynactin pathway, targets dynein to microtubule tips, which is necessary for sliding of microtubules along bud cortex, synthetic lethal with bni1, homolog of human LIS1</t>
  </si>
  <si>
    <t>YOR268C</t>
  </si>
  <si>
    <t>YOR267C</t>
  </si>
  <si>
    <t>HRK1</t>
  </si>
  <si>
    <t>Protein kinase implicated in activation of the plasma membrane H(+)-ATPase Pma1p in response to glucose metabolism, plays a role in ion homeostasis</t>
  </si>
  <si>
    <t>YOR266W</t>
  </si>
  <si>
    <t>PNT1</t>
  </si>
  <si>
    <t>Mitochondrial inner membrane protein involved in export of proteins from the mitochondrial matrix, overexpression of PNT1 confers resistance to the anti-Pneumocystis carinii drug pentamidine, and deletion confers increased sensitivity</t>
  </si>
  <si>
    <t>YOR265W</t>
  </si>
  <si>
    <t>RBL2</t>
  </si>
  <si>
    <t>Protein involved in microtubule morphogenesis, required for protection from excess free beta-tubulin, proposed to be involved the folding of beta-tubulin</t>
  </si>
  <si>
    <t>YOR264W</t>
  </si>
  <si>
    <t>DSE3</t>
  </si>
  <si>
    <t>Daughter cell-specific protein, may help establish daughter fate</t>
  </si>
  <si>
    <t>YOR262W</t>
  </si>
  <si>
    <t>YOR261C</t>
  </si>
  <si>
    <t>RPN8</t>
  </si>
  <si>
    <t>Essential, non-ATPase regulatory subunit of the 26S proteasome, has similarity to the human p40 proteasomal subunit and to another S. cerevisiae regulatory subunit, Rpn11p</t>
  </si>
  <si>
    <t>YOR260W</t>
  </si>
  <si>
    <t>GCD1</t>
  </si>
  <si>
    <t>Dolichol phosphate mannose (Dol-P-Man) synthase of the ER membrane, catalyzes the formation of Dol-P-Man from Dol-P and GDP-Man, required for glycosyl phosphatidylinositol membrane anchoring, O mannosylation, and protein glycosylation</t>
  </si>
  <si>
    <t>YPR182W</t>
  </si>
  <si>
    <t>SMX3</t>
  </si>
  <si>
    <t>Sm or Sm-like snRNP protein</t>
  </si>
  <si>
    <t>YPR181C</t>
  </si>
  <si>
    <t>SEC23</t>
  </si>
  <si>
    <t>GTPase-activating protein, component of the Sec23p-Sec24p heterodimeric complex of the COPII vesicle coat, involved in ER to Golgi transport and autophagy, stimulates the GDP-bound form of Sar1p</t>
  </si>
  <si>
    <t>YPR180W</t>
  </si>
  <si>
    <t>AOS1</t>
  </si>
  <si>
    <t>Nuclear protein that acts as a heterodimer with Uba2p to activate Smt3p (SUMO) before its conjugation to proteins (sumoylation), which may play a role in protein targeting, essential for viability</t>
  </si>
  <si>
    <t>YPR179C</t>
  </si>
  <si>
    <t>HDA3</t>
  </si>
  <si>
    <t>Subunit of a possibly tetrameric trichostatin A-sensitive class II histone deacetylase complex that contains an Hda1p homodimer and an Hda2p-Hda3p heterodimer, required for the activity of the complex, has similarity to Hda2p</t>
  </si>
  <si>
    <t>YPR178W</t>
  </si>
  <si>
    <t>PRP4</t>
  </si>
  <si>
    <t>Splicing factor, component of the U4U6-U5 snRNP complex</t>
  </si>
  <si>
    <t>YPR176C</t>
  </si>
  <si>
    <t>BET2</t>
  </si>
  <si>
    <t>Beta subunit of Type II geranylgeranyltransferase required for vesicular transport between the endoplasmic reticulum and the Golgi, provides a membrane attachment moiety to Rab-like proteins Ypt1p and Sec4p</t>
  </si>
  <si>
    <t>YPR175W</t>
  </si>
  <si>
    <t>DPB2</t>
  </si>
  <si>
    <t>Second largest subunit of DNA polymerase II (DNA polymerase epsilon), required for normal yeast chromosomal replication, expression peaks at the G1S phase boundary, potential Cdc28p substrate</t>
  </si>
  <si>
    <t>YPR174C</t>
  </si>
  <si>
    <t>Protein of unknown function, green fluorescent protein (GFP)-fusion protein localizes to the nuclear periphery, potential Cdc28p substrate</t>
  </si>
  <si>
    <t>YPR173C</t>
  </si>
  <si>
    <t>VPS4</t>
  </si>
  <si>
    <t>AAA-type ATPase required for efficient late endosome to vacuole transport, catalyzes the release of an endosomal membrane-associated class E VPS protein complex, cytoplasmic protein that is also associated with an endosomal compartment</t>
  </si>
  <si>
    <t>YPR172W</t>
  </si>
  <si>
    <t>Protein of unknown function, transcriptionally activated by Yrm1p along with genes involved in multidrug resistance</t>
  </si>
  <si>
    <t>YPR171W</t>
  </si>
  <si>
    <t>BSP1</t>
  </si>
  <si>
    <t>Adapter that links synaptojanins Inp2p and Inp53p to the cortical actin cytoskeleton</t>
  </si>
  <si>
    <t>YPR169W</t>
  </si>
  <si>
    <t>Nucleolar protein of unknown function, exhibits a physical interaction with Bre1p</t>
  </si>
  <si>
    <t>YPR168W</t>
  </si>
  <si>
    <t>NUT2</t>
  </si>
  <si>
    <t>Component of the RNA polymerase II mediator complex, which is required for transcriptional activation and also has a role in basal transcription</t>
  </si>
  <si>
    <t>YPR167C</t>
  </si>
  <si>
    <t>MET16</t>
  </si>
  <si>
    <t>3-phosphoadenylsulfate reductase, reduces 3-phosphoadenylyl sulfate to adenosine-3,5-bisphosphate and free sulfite using reduced thioredoxin as cosubstrate, involved in sulfate assimilation and methionine metabolism</t>
  </si>
  <si>
    <t>YPR166C</t>
  </si>
  <si>
    <t>MRP2</t>
  </si>
  <si>
    <t>Mitochondrial ribosomal protein of the small subunit</t>
  </si>
  <si>
    <t>YPR165W</t>
  </si>
  <si>
    <t>RHO1</t>
  </si>
  <si>
    <t>GTP-binding protein of the rho subfamily of Ras-like proteins, involved in establishment of cell polarity, regulates protein kinase C (Pkc1p) and the cell wall synthesizing enzyme 1,3-beta-glucan synthase (Fks1p and Gsc2p)</t>
  </si>
  <si>
    <t>YPR164W</t>
  </si>
  <si>
    <t>MMS1</t>
  </si>
  <si>
    <t>Protein likely involved in protection against replication-dependent DNA damage, mutants are sensitive to methyl methanesulfonate (MMS), implicated in regulation of Ty1 transposition</t>
  </si>
  <si>
    <t>YPR163C</t>
  </si>
  <si>
    <t>TIF3</t>
  </si>
  <si>
    <t>Translation initiation factor eIF-4B, has RNA annealing activity, contains an RNA recognition motif and binds to single-stranded RNA</t>
  </si>
  <si>
    <t>YPR162C</t>
  </si>
  <si>
    <t>ORC4</t>
  </si>
  <si>
    <t>Subunit of the origin recognition complex, which directs DNA replication by binding to replication origins and is also involved in transcriptional silencing</t>
  </si>
  <si>
    <t>YPR161C</t>
  </si>
  <si>
    <t>SGV1</t>
  </si>
  <si>
    <t>Cyclin (Bur2p)-dependent protein kinase that functions in transcriptional regulation, phosphorylates the carboxy-terminal domain of Rpo21p, which is the largest subunit of RNA polymerase II, regulated by Cak1p</t>
  </si>
  <si>
    <t>YPR160W</t>
  </si>
  <si>
    <t>GPH1</t>
  </si>
  <si>
    <t>Non-essential glycogen phosphorylase required for the mobilization of glycogen, activity is regulated by cyclic AMP-mediated phosphorylation, expression is regulated by stress-response elements and by the HOG MAP kinase pathway</t>
  </si>
  <si>
    <t>YPR159W</t>
  </si>
  <si>
    <t>KRE6</t>
  </si>
  <si>
    <t>Protein required for beta-1,6 glucan biosynthesis, putative beta-glucan synthase, appears functionally redundant with Skn1p</t>
  </si>
  <si>
    <t>YPR159C-A</t>
  </si>
  <si>
    <t>Identified by gene-trapping, microarray-based expression analysis, and genome-wide homology searching</t>
  </si>
  <si>
    <t>YPR158W</t>
  </si>
  <si>
    <t>Hypothetical protein</t>
  </si>
  <si>
    <t>YPR157W</t>
  </si>
  <si>
    <t>YPR156C</t>
  </si>
  <si>
    <t>TPO3</t>
  </si>
  <si>
    <t>Polyamine transport protein specific for spermine, localizes to the plasma membrane, member of the major facilitator superfamily</t>
  </si>
  <si>
    <t>YPR155C</t>
  </si>
  <si>
    <t>NCA2</t>
  </si>
  <si>
    <t>Protein involved in regulation of mitochondrial expression of subunits 6 (Atp6p) and 8 (Atp8p) of the Fo-F1 ATP synthase, functions with Nca3p</t>
  </si>
  <si>
    <t>YPR154W</t>
  </si>
  <si>
    <t>PIN3</t>
  </si>
  <si>
    <t>Protein that induces appearance of [PIN+] prion when overproduced</t>
  </si>
  <si>
    <t>YPR153W</t>
  </si>
  <si>
    <t>YPR152C</t>
  </si>
  <si>
    <t>YPR151C</t>
  </si>
  <si>
    <t>SUE1</t>
  </si>
  <si>
    <t>Mitochondrial protein required for degradation of unstable forms of cytochrome c</t>
  </si>
  <si>
    <t>YPR149W</t>
  </si>
  <si>
    <t>NCE102</t>
  </si>
  <si>
    <t>Protein of unknown function, contains transmembrane domains, involved in secretion of proteins that lack classical secretory signal sequences, component of the detergent-insoluble glycolipid-enriched complexes (DIGs)</t>
  </si>
  <si>
    <t>YPR148C</t>
  </si>
  <si>
    <t>Protein of unknown function, green fluorescent protein (GFP)-fusion protein localizes to the cytoplasm in a punctate pattern</t>
  </si>
  <si>
    <t>YPR147C</t>
  </si>
  <si>
    <t>YPR145W</t>
  </si>
  <si>
    <t>ASN1</t>
  </si>
  <si>
    <t>Asparagine synthetase, isozyme of Asn2p, catalyzes the synthesis of L-asparagine from L-aspartate in the asparagine biosynthetic pathway</t>
  </si>
  <si>
    <t>YPR144C</t>
  </si>
  <si>
    <t>NOC4</t>
  </si>
  <si>
    <t>Nucleolar protein, forms a complex with Nop14p that mediates maturation and nuclear export of 40S ribosomal subunits</t>
  </si>
  <si>
    <t>YPR143W</t>
  </si>
  <si>
    <t>RRP15</t>
  </si>
  <si>
    <t>Nucleolar protein, constituent of pre-60S ribosomal particles, required for processing of the 27S pre-rRNA at the A2 site to yield 5.8S and 25S rRNA</t>
  </si>
  <si>
    <t>YPR141C</t>
  </si>
  <si>
    <t>KAR3</t>
  </si>
  <si>
    <t>Essential protein required for determination of budding pattern, promotes localization of axial markers Bud4p and Cdc12p and functionally interacts with Sec3p, localizes to the contractile ring during anaphase, member of the IQGAP family</t>
  </si>
  <si>
    <t>YPL241C</t>
  </si>
  <si>
    <t>CIN2</t>
  </si>
  <si>
    <t>Tubulin folding factor C (putative) involved in beta-tubulin (Tub2p) folding, isolated as mutant with increased chromosome loss and sensitivity to benomyl</t>
  </si>
  <si>
    <t>YPL240C</t>
  </si>
  <si>
    <t>Cytoplasmic chaperone of the Hsp90 family, redundant in function and nearly identical with Hsp82p, and together they are essential, expressed constitutively at 10-fold higher basal levels that HSP82 and induced 2-3 fold by heat shock  Cytoplasmic chaperone (Hsp90 family) required for pheromone signaling and negative regulation of Hsf1p, docks with the mitochondrial import receptor Tom70p for preprotein delivery, interacts with co-chaperones Cns1p, Cpr6p, Cpr7p, and Sti1p</t>
  </si>
  <si>
    <t>YPL239W</t>
  </si>
  <si>
    <t>YAR1</t>
  </si>
  <si>
    <t>Cytoplasmic ankyrin-repeat containing protein of unknown function, proposed to link the processes of 40S ribosomal subunit biogenesis and adaptation to osmotic and oxidative stress, expression repressed by heat shock</t>
  </si>
  <si>
    <t>YPL237W</t>
  </si>
  <si>
    <t>SUI3</t>
  </si>
  <si>
    <t>Beta subunit of the translation initiation factor eIF2, involved in the identification of the start codon, proposed to be involved in mRNA binding</t>
  </si>
  <si>
    <t>YPL236C</t>
  </si>
  <si>
    <t>YPL235W</t>
  </si>
  <si>
    <t>RVB2</t>
  </si>
  <si>
    <t>Essential protein involved in transcription regulation, component of chromatin remodeling complexes, required for assembly and function of the INO80 complex, member of the RUVB-like protein family</t>
  </si>
  <si>
    <t>YPL234C</t>
  </si>
  <si>
    <t>TFP3</t>
  </si>
  <si>
    <t>Vacuolar ATPase V0 domain subunit c, involved in proton transport activity, hydrophobic integral membrane protein (proteolipid) containing four transmembrane segments, N and C termini are in the vacuolar lumen</t>
  </si>
  <si>
    <t>YPL233W</t>
  </si>
  <si>
    <t>NSL1</t>
  </si>
  <si>
    <t>Essential component of the MIND kinetochore complex (Mtw1p Including Nnf1p-Nsl1p-Dsn1p) which joins kinetochore subunits contacting DNA to those contacting microtubules, required for accurate chromosome segregation</t>
  </si>
  <si>
    <t>YPL232W</t>
  </si>
  <si>
    <t>SSO1</t>
  </si>
  <si>
    <t>Plasma membrane t-SNARE involved in fusion of secretory vesicles at the plasma membrane, forms a complex, with t-SNARE Sec9p, that binds v-SNARE Snc2p, also required for sporulation, syntaxin homolog that is functionally redundant with Sso2p</t>
  </si>
  <si>
    <t>YPL231W</t>
  </si>
  <si>
    <t>FAS2</t>
  </si>
  <si>
    <t>Alpha subunit of fatty acid synthetase, which catalyzes the synthesis of long-chain saturated fatty acids, contains beta-ketoacyl reductase and beta-ketoacyl synthase activities</t>
  </si>
  <si>
    <t>YPL230W</t>
  </si>
  <si>
    <t>Up in StarVation</t>
  </si>
  <si>
    <t>YPL229W</t>
  </si>
  <si>
    <t>YPL228W</t>
  </si>
  <si>
    <t>CET1</t>
  </si>
  <si>
    <t>Interacts with Ceg1p, the mRNA capping enzyme alpha subunit, removes gamma-phosphate from triphosphate-terminated RNA, mRNA capping enzyme beta subunit (80 kDa), RNA 5-triphosphatase</t>
  </si>
  <si>
    <t>YPL227C</t>
  </si>
  <si>
    <t>ALG5</t>
  </si>
  <si>
    <t>UDP-glucose:dolichyl-phosphate glucosyltransferase, involved in asparagine-linked glycosylation in the endoplasmic reticulum</t>
  </si>
  <si>
    <t>YPL226W</t>
  </si>
  <si>
    <t>NEW1</t>
  </si>
  <si>
    <t>ATP binding cassette family member, AsnGln-rich rich region supports [NU+] prion formation, susceptibility to [PSI+] prion induction and aggregation of a fragment of the human Machado-Joseph Disease protein</t>
  </si>
  <si>
    <t>YPL225W</t>
  </si>
  <si>
    <t>YPL224C</t>
  </si>
  <si>
    <t>MMT2</t>
  </si>
  <si>
    <t>Putative metal transporter involved in mitochondrial iron accumulation, closely related to Mmt1p</t>
  </si>
  <si>
    <t>YPL223C</t>
  </si>
  <si>
    <t>GRE1</t>
  </si>
  <si>
    <t>Hydrophilin of unknown function, stress induced (osmotic, ionic, oxidative, heat shock and heavy metals), regulated by the HOG pathway</t>
  </si>
  <si>
    <t>YPL222W</t>
  </si>
  <si>
    <t>The authentic, non-tagged protein was localized to the mitochondria.</t>
  </si>
  <si>
    <t>YPL221W</t>
  </si>
  <si>
    <t>Protein of unknown function, overproduction suppresses a pam1 slv3 double null mutation</t>
  </si>
  <si>
    <t>YPL219W</t>
  </si>
  <si>
    <t>PCL8</t>
  </si>
  <si>
    <t>Cyclin, interacts with Pho85p cyclin-dependent kinase (Cdk) to phosphorylate and regulate glycogen synthase, also activates Pho85p for Glc8p phosphorylation</t>
  </si>
  <si>
    <t>YPL218W</t>
  </si>
  <si>
    <t>SAR1</t>
  </si>
  <si>
    <t>GTPase, GTP-binding protein of the ARF family, component of COPII coat of vesicles, required for transport vesicle formation during ER to Golgi protein transport</t>
  </si>
  <si>
    <t>YPL217C</t>
  </si>
  <si>
    <t>BMS1</t>
  </si>
  <si>
    <t>Essential conserved nucleolar GTP-binding protein required for synthesis of 40S ribosomal subunits and for processing of the 35S pre-rRNA at sites A0, A1, and A2, interacts with Rcl1p, has similarity to Tsr1p</t>
  </si>
  <si>
    <t>YPL216W</t>
  </si>
  <si>
    <t>YPL215W</t>
  </si>
  <si>
    <t>CBP3</t>
  </si>
  <si>
    <t>Protein required for assembly of ubiquinol cytochrome-c reductase complex (cytochrome bc1 complex), involved in cytochrome-c reductase assembly</t>
  </si>
  <si>
    <t>YPL214C</t>
  </si>
  <si>
    <t>THI6</t>
  </si>
  <si>
    <t>Bifunctional enzyme with thiamine-phosphate pyrophosphorylase and 4-methyl-5-beta-hydroxyethylthiazole kinase activities, required for thiamine biosynthesis, GFP-fusion protein localizes to the cytoplasm in a punctate pattern</t>
  </si>
  <si>
    <t>YPL213W</t>
  </si>
  <si>
    <t>LEA1</t>
  </si>
  <si>
    <t>Component of U2 snRNP, disruption causes reduced U2 snRNP levels, physically interacts with Msl1p, putative homolog of human U2A snRNP protein</t>
  </si>
  <si>
    <t>YPL212C</t>
  </si>
  <si>
    <t>PUS1</t>
  </si>
  <si>
    <t>tRNA:pseudouridine synthase, introduces pseudouridines at positions 26-28, 34-36, 65, and 67 of tRNA, nuclear protein that appears to be involved in tRNA export, also acts on U2 snRNA</t>
  </si>
  <si>
    <t>YPL211W</t>
  </si>
  <si>
    <t>NIP7</t>
  </si>
  <si>
    <t>Nucleolar protein required for 60S ribosome subunit biogenesis, constituent of 66S pre-ribosomal particles, physically interacts with Nop8p and the exosome subunit Rrp43p</t>
  </si>
  <si>
    <t>YPL210C</t>
  </si>
  <si>
    <t>SRP72</t>
  </si>
  <si>
    <t>YPL209C</t>
  </si>
  <si>
    <t>IPL1</t>
  </si>
  <si>
    <t>Aurora kinase involved in regulating kinetochore-microtubule attachments, associates with Sli5p, which stimulates Ipl1p kinase activity and promotes its association with the mitotic spindle, potential Cdc28p substrate</t>
  </si>
  <si>
    <t>YPL208W</t>
  </si>
  <si>
    <t>YPL207W</t>
  </si>
  <si>
    <t>Hypothetical protein  Identified by expression profiling and mass spectrometry</t>
  </si>
  <si>
    <t>YPL206C</t>
  </si>
  <si>
    <t>Endoplasmic reticulum protein of unknown function</t>
  </si>
  <si>
    <t>YPL204W</t>
  </si>
  <si>
    <t>HRR25</t>
  </si>
  <si>
    <t>Predicted protein kinase, overexpression causes sensitivity to staurosporine, which is a potent inhibitor of protein kinase C</t>
  </si>
  <si>
    <t>YPR105C</t>
  </si>
  <si>
    <t>COG4</t>
  </si>
  <si>
    <t>Essential component of the conserved oligomeric Golgi complex (Cog1p through Cog8p), a cytosolic tethering complex that functions in protein trafficking to mediate fusion of transport vesicles to Golgi compartments</t>
  </si>
  <si>
    <t>YPR104C</t>
  </si>
  <si>
    <t>FHL1</t>
  </si>
  <si>
    <t>Putative transcriptional regulator with similarity to DNA-binding domain of Drosophila forkhead, required for rRNA processing</t>
  </si>
  <si>
    <t>YPR103W</t>
  </si>
  <si>
    <t>PRE2</t>
  </si>
  <si>
    <t>20S proteasome beta-type subunit, responsible for the chymotryptic activity of the proteasome</t>
  </si>
  <si>
    <t>YPR102C</t>
  </si>
  <si>
    <t>Protein component of the large (60S) ribosomal subunit, nearly identical to Rpl11Bp, involved in ribosomal assembly, depletion causes degradation of proteins and RNA of the 60S subunit, has similarity to E. coli L5 and rat L11  Protein component of the large (60S) ribosomal subunit, nearly identical to Rpl11Ap, involved in ribosomal assembly, depletion causes degradation of proteins and RNA of the 60S subunit, has similarity to E. coli L5 and rat L11</t>
  </si>
  <si>
    <t>YPR101W</t>
  </si>
  <si>
    <t>SNT309</t>
  </si>
  <si>
    <t>Component of a protein complex associated with the splicing factor Prp19p, essential for mRNA splicing</t>
  </si>
  <si>
    <t>YPR100W</t>
  </si>
  <si>
    <t>MRPL51</t>
  </si>
  <si>
    <t>Mitochondrial ribosomal protein of the large subunit</t>
  </si>
  <si>
    <t>YPR098C</t>
  </si>
  <si>
    <t>YPR097W</t>
  </si>
  <si>
    <t>YPR095C</t>
  </si>
  <si>
    <t>SYT1</t>
  </si>
  <si>
    <t>Guanine nucleotide exchange factor (GEF) for Arf proteins, involved in vesicular transport, suppressor of ypt3 mutations, member of the Sec7-domain family</t>
  </si>
  <si>
    <t>YPR094W</t>
  </si>
  <si>
    <t>RDS3</t>
  </si>
  <si>
    <t>Zinc cluster protein involved in pre-mRNA splicing and cycloheximide resistance</t>
  </si>
  <si>
    <t>YPR093C</t>
  </si>
  <si>
    <t>ASR1</t>
  </si>
  <si>
    <t>Protein involved in a putative alcohol-responsive signaling pathway, accumulates in the nucleus under alcohol stress, contains a RingPHD finger domain</t>
  </si>
  <si>
    <t>YPR091C</t>
  </si>
  <si>
    <t>YPR089W</t>
  </si>
  <si>
    <t>YPR088C</t>
  </si>
  <si>
    <t>SRP54</t>
  </si>
  <si>
    <t>Signal recognition particle (SRP) subunit (homolog of mammalian SRP54), contains the signal sequence-binding activity of SRP, interacts with the SRP RNA, and mediates binding of SRP to signal receptor, contains GTPase domain</t>
  </si>
  <si>
    <t>YPR086W</t>
  </si>
  <si>
    <t>SUA7</t>
  </si>
  <si>
    <t>Probable membrane protein with a possible role in proton symport of glycerol, member of the MBOAT family of putative membrane-bound O-acyltransferases, Gup1p homolog</t>
  </si>
  <si>
    <t>YPL189C-A</t>
  </si>
  <si>
    <t>Identified by homology to &lt;i&gt;Ashbya gossypii&lt;i&gt;</t>
  </si>
  <si>
    <t>YPL188W</t>
  </si>
  <si>
    <t>POS5</t>
  </si>
  <si>
    <t>Mitochondrial NADH kinase, phosphorylates NADH, also phosphorylates NAD(+) with lower specificity, required for the response to oxidative stress</t>
  </si>
  <si>
    <t>YPL187W</t>
  </si>
  <si>
    <t>MF(ALPHA)1</t>
  </si>
  <si>
    <t>Mating pheromone alpha-factor, made by alpha cells, interacts with mating type a cells to induce cell cycle arrest and other responses leading to mating, also encoded by MF(ALPHA)2, although MF(ALPHA)1 produces most alpha-factor</t>
  </si>
  <si>
    <t>YPL186C</t>
  </si>
  <si>
    <t>UIP4</t>
  </si>
  <si>
    <t>Protein of unknown function that interacts with Ulp1p, a Ubl (ubiquitin-like protein)-specific protease for Smt3p protein conjugates</t>
  </si>
  <si>
    <t>YPL184C</t>
  </si>
  <si>
    <t>YPL183W-A</t>
  </si>
  <si>
    <t>Homolog of the prokaryotic ribosomal protein L36, likely to be a mitochondrial ribosomal protein coded in the nuclear genome</t>
  </si>
  <si>
    <t>YPL183C</t>
  </si>
  <si>
    <t>YPL181W</t>
  </si>
  <si>
    <t>CTI6</t>
  </si>
  <si>
    <t>Protein that relieves transcriptional repression by binding to the Cyc8p-Tup1p corepressor and recruiting the SAGA complex to the repressed promoter, contains a PHD finger domain</t>
  </si>
  <si>
    <t>YPL180W</t>
  </si>
  <si>
    <t>TCO89</t>
  </si>
  <si>
    <t>Subunit of TORC1 (Tor1p or Tor2p-Kog1p-Lst8p-Tco89p), a complex that regulates growth in response to nutrient availability, cooperates with Ssd1p in the maintenance of cellular integrity, deletion strains are hypersensitive to rapamycin</t>
  </si>
  <si>
    <t>YPL179W</t>
  </si>
  <si>
    <t>PPQ1</t>
  </si>
  <si>
    <t>Putative protein serinethreonine phosphatase, null mutation enhances efficiency of translational suppressors</t>
  </si>
  <si>
    <t>YPL178W</t>
  </si>
  <si>
    <t>CBC2</t>
  </si>
  <si>
    <t>Small subunit of the heterodimeric cap binding complex that also contains Sto1p, component of the spliceosomal commitment complex, interacts with Npl3p, possibly to package mRNA for export from the nucleus, contains an RNA-binding motif</t>
  </si>
  <si>
    <t>YPL177C</t>
  </si>
  <si>
    <t>CUP9</t>
  </si>
  <si>
    <t>Homeodomain-containing transcriptional repressor of PTR2, which encodes a major peptide transporter, imported peptides activate ubiquitin-dependent proteolysis, resulting in degradation of Cup9p and de-repression of PTR2 transcription</t>
  </si>
  <si>
    <t>YPL176C</t>
  </si>
  <si>
    <t>Plasma membrane localized protein of unknown function, contains sequence similarity to the transferrin receptor</t>
  </si>
  <si>
    <t>YPL175W</t>
  </si>
  <si>
    <t>SPT14</t>
  </si>
  <si>
    <t>UDP-GlcNAc-binding and catalytic subunit of the enzyme that mediates the first step in glycosylphosphatidylinositol (GPI) biosynthesis, mutations cause defects in transcription and in biogenesis of cell wall proteins</t>
  </si>
  <si>
    <t>YPL174C</t>
  </si>
  <si>
    <t>NIP100</t>
  </si>
  <si>
    <t>Large subunit of the dynactin complex, which is involved in partitioning the mitotic spindle between mother and daughter cells, putative ortholog of mammalian p150(glued)</t>
  </si>
  <si>
    <t>YPL173W</t>
  </si>
  <si>
    <t>MRPL40</t>
  </si>
  <si>
    <t>YPL172C</t>
  </si>
  <si>
    <t>COX10</t>
  </si>
  <si>
    <t>Heme A:farnesyltransferase, catalyzes the first step in the conversion of protoheme to the heme A prosthetic group required for cytochrome c oxidase activity, human ortholog is associated with mitochondrial disorders</t>
  </si>
  <si>
    <t>YPL171C</t>
  </si>
  <si>
    <t>OYE3</t>
  </si>
  <si>
    <t>Widely conserved NADPH oxidoreductase containing flavin mononucleotide (FMN), homologous to Oye2p with slight differences in ligand binding and catalytic properties, may be involved in sterol metabolism</t>
  </si>
  <si>
    <t>YPL170W</t>
  </si>
  <si>
    <t>DAP1</t>
  </si>
  <si>
    <t>Heme-binding protein involved in regulation of cytochrome P450 protein Erg11p, damage response protein, related to mammalian membrane progesterone receptors, mutations lead to defects in telomeres, mitochondria, and sterol synthesis</t>
  </si>
  <si>
    <t>YPL169C</t>
  </si>
  <si>
    <t>MEX67</t>
  </si>
  <si>
    <t>Poly(A)RNA binding protein involved in nuclear mRNA export, component of the nuclear pore, ortholog of human TAP</t>
  </si>
  <si>
    <t>YPL168W</t>
  </si>
  <si>
    <t>YPL167C</t>
  </si>
  <si>
    <t>REV3</t>
  </si>
  <si>
    <t>Subunit of DNA polymerase zeta, which is involved in DNA repair, required for mutagenesis induced by DNA damage</t>
  </si>
  <si>
    <t>YPL166W</t>
  </si>
  <si>
    <t>YPL165C</t>
  </si>
  <si>
    <t>SET6</t>
  </si>
  <si>
    <t>U2-snRNP associated splicing factor with similarity to the mammalian splicing factor SAP49, proposed to function as a U2-snRNP assembly factor along with Hsh155p and binding partner Cus1p, contains two RNA recognition motifs (RRM)</t>
  </si>
  <si>
    <t>YOR317W</t>
  </si>
  <si>
    <t>FAA1</t>
  </si>
  <si>
    <t>Long chain fatty acyl-CoA synthetase with a preference for C12:0-C16:0 fatty acids, involved in the activation of imported fatty acids, not required for growth on nonfermentable carbon sources, essential for stationary phase</t>
  </si>
  <si>
    <t>YOR316C-A</t>
  </si>
  <si>
    <t>YOR316C</t>
  </si>
  <si>
    <t>COT1</t>
  </si>
  <si>
    <t>Vacuolar transporter that mediates zinc transport into the vacuole, overexpression confers resistance to cobalt and rhodium</t>
  </si>
  <si>
    <t>YOR315W</t>
  </si>
  <si>
    <t>Protein of unknown function, found in the cytoplasm and the nucleus, potential Cdc28p substrate</t>
  </si>
  <si>
    <t>YOR313C</t>
  </si>
  <si>
    <t>SPS4</t>
  </si>
  <si>
    <t>Protein whose expression is induced during sporulation, not required for sporulation, heterologous expression in E. coli induces the SOS response that senses DNA damage</t>
  </si>
  <si>
    <t>YOR312C</t>
  </si>
  <si>
    <t>RPL20B</t>
  </si>
  <si>
    <t>Protein component of the large (60S) ribosomal subunit, nearly identical to Rpl20Ap and has similarity to rat L18a ribosomal protein</t>
  </si>
  <si>
    <t>YOR311C</t>
  </si>
  <si>
    <t>HSD1</t>
  </si>
  <si>
    <t>Endoplasmic reticulum (ER)-resident membrane protein, overproduction induces enlargement of ER-like membrane structures and suppresses a temperature-sensitive sly1 mutation</t>
  </si>
  <si>
    <t>YOR310C</t>
  </si>
  <si>
    <t>NOP58</t>
  </si>
  <si>
    <t>Protein involved in pre-rRNA processing, 18S rRNA synthesis, and snoRNA synthesis, component of the small subunit processome complex, which is required for processing of pre-18S rRNA</t>
  </si>
  <si>
    <t>YOR308C</t>
  </si>
  <si>
    <t>SNU66</t>
  </si>
  <si>
    <t>66kD U4U6.U5 snRNP associated protein</t>
  </si>
  <si>
    <t>YOR307C</t>
  </si>
  <si>
    <t>SLY41</t>
  </si>
  <si>
    <t>Protein involved in ER-to-Golgi transport</t>
  </si>
  <si>
    <t>YOR306C</t>
  </si>
  <si>
    <t>MCH5</t>
  </si>
  <si>
    <t>Protein with similarity to mammalian monocarboxylate permeases, which are involved in transport of monocarboxylic acids across the plasma membrane, mutant is not deficient in monocarboxylate transport</t>
  </si>
  <si>
    <t>YOR305W</t>
  </si>
  <si>
    <t>YOR304W</t>
  </si>
  <si>
    <t>ISW2</t>
  </si>
  <si>
    <t>Subunit of a heterodimeric peroxisomal ATP-binding cassette transporter complex (Pxa1p-Pxa2p), required for import of long-chain fatty acids into peroxisomes, similarity to human adrenoleukodystrophy transporter and ALD-related proteins</t>
  </si>
  <si>
    <t>YPL146C</t>
  </si>
  <si>
    <t>NOP53</t>
  </si>
  <si>
    <t>Nucleolar protein, involved in biogenesis of the 60S subunit of the ribosome, interacts with rRNA processing factors Cbf5p and Nop2p, null mutant is viable but growth is severely impaired</t>
  </si>
  <si>
    <t>YPL145C</t>
  </si>
  <si>
    <t>KES1</t>
  </si>
  <si>
    <t>Member of the oxysterol binding protein family, which includes seven yeast homologs, involved in negative regulation of Sec14p-dependent Golgi complex secretory functions, peripheral membrane protein that localizes to the Golgi complex</t>
  </si>
  <si>
    <t>YPL144W</t>
  </si>
  <si>
    <t>YPL143W</t>
  </si>
  <si>
    <t>RPL33A</t>
  </si>
  <si>
    <t>N-terminally acetylated ribosomal protein L37 of the large (60S) ribosomal subunit, nearly identical to Rpl33Bp and has similarity to rat L35a, rpl33a null mutant exhibits slow growth while rpl33a rpl33b double null mutant is inviable</t>
  </si>
  <si>
    <t>YPL141C</t>
  </si>
  <si>
    <t>YPL140C</t>
  </si>
  <si>
    <t>MKK2</t>
  </si>
  <si>
    <t>Mitogen-activated kinase kinase involved in protein kinase C signaling pathway that controls cell integrity, upon activation by Bck1p phosphorylates downstream target, Slt2p, functionally redundant with Mkk1p</t>
  </si>
  <si>
    <t>YPL139C</t>
  </si>
  <si>
    <t>UME1</t>
  </si>
  <si>
    <t>Negative regulator of meiosis, required for repression of a subset of meiotic genes during vegetative growth, binding of histone deacetylase Rpd3p required for activity, contains a NEE box and a WD repeat motif, homologous with Wtm1p, Wtm2p</t>
  </si>
  <si>
    <t>YPL138C</t>
  </si>
  <si>
    <t>SPP1</t>
  </si>
  <si>
    <t>Subunit of COMPASS (Set1C), a complex which methylates Rad6p ubiquitinated histone H3 on lysine 4 and is required in telomeric transcriptional silencing, PHD finger domain protein similar to human CGBP, an unmethylated CpG binding protein</t>
  </si>
  <si>
    <t>YPL137C</t>
  </si>
  <si>
    <t>Glc7-interacting protein whose overexpression relocalizes Glc7p from the nucleus</t>
  </si>
  <si>
    <t>YPL135W</t>
  </si>
  <si>
    <t>ISU1</t>
  </si>
  <si>
    <t>Conserved protein of the mitochondrial matrix, performs a scaffolding function during assembly of iron-sulfur clusters, interacts physically and functionally with yeast frataxin (Yfh1p), isu1 isu2 double mutant is inviable</t>
  </si>
  <si>
    <t>YPL134C</t>
  </si>
  <si>
    <t>ODC1</t>
  </si>
  <si>
    <t>Mitochondrial inner membrane transporter, exports 2-oxoadipate and 2-oxoglutarate from the mitochondrial matrix to the cytosol for use in lysine and glutamate biosynthesis and in lysine catabolism</t>
  </si>
  <si>
    <t>YPL133C</t>
  </si>
  <si>
    <t>RDS2</t>
  </si>
  <si>
    <t>Zinc cluster protein involved in conferring resistance to ketoconazole</t>
  </si>
  <si>
    <t>YPL132W</t>
  </si>
  <si>
    <t>COX11</t>
  </si>
  <si>
    <t>Mitochondrial inner membrane protein required for delivery of copper to the Cox1p subunit of cytochrome c oxidase, association with mitochondrial ribosomes suggests that copper delivery may occur during translation of Cox1p</t>
  </si>
  <si>
    <t>YPL131W</t>
  </si>
  <si>
    <t>RPL5</t>
  </si>
  <si>
    <t>Protein component of the large (60S) ribosomal subunit with similarity to E. coli L18 and rat L5 ribosomal proteins, binds 5S rRNA and is required for 60S subunit assembly</t>
  </si>
  <si>
    <t>YPL130W</t>
  </si>
  <si>
    <t>SPO19</t>
  </si>
  <si>
    <t>Meiosis-specific protein of unknown function, involved in completion of nuclear divisions, identified as a weak high-copy suppressor of the spo1-1 ts mutation, putative GPI-dependent cell-wall protein</t>
  </si>
  <si>
    <t>YPL129W</t>
  </si>
  <si>
    <t>TAF14</t>
  </si>
  <si>
    <t>Subunit g of the mitochondrial F1F0 ATP synthase, which is a large enzyme complex required for ATP synthesis, associated only with the dimeric form of ATP synthase</t>
  </si>
  <si>
    <t>YPR019W</t>
  </si>
  <si>
    <t>CDC54</t>
  </si>
  <si>
    <t>Essential helicase component of heterohexameric MCM2-7 complexes which bind pre-replication complexes on DNA and melt the DNA prior to replication, accumulates in the nucleus in G1, homolog of S. pombe Cdc21p</t>
  </si>
  <si>
    <t>YPR018W</t>
  </si>
  <si>
    <t>RLF2</t>
  </si>
  <si>
    <t>Largest subunit (p90) of the Chromatin Assembly Complex (CAF-I) with Cac2p and Msi1p that assembles newly synthesized histones onto recently replicated DNA, involved in the maintenance of transcriptionally silent chromatin</t>
  </si>
  <si>
    <t>YPR017C</t>
  </si>
  <si>
    <t>DSS4</t>
  </si>
  <si>
    <t>Nucleotide release factor functioning in the post-Golgi secretory pathway, required for ER-to-Golgi transport, binds zinc, found both on membranes and in the cytosol, guanine nucleotide dissociation stimulator</t>
  </si>
  <si>
    <t>YPR016C</t>
  </si>
  <si>
    <t>TIF6</t>
  </si>
  <si>
    <t>Constituent of 66S pre-ribosomal particles, has similarity to human translation initiation factor 6 (eIF6), may be involved in the biogenesis and or stability of 60S ribosomal subunits</t>
  </si>
  <si>
    <t>YPR015C</t>
  </si>
  <si>
    <t>YPR013C</t>
  </si>
  <si>
    <t>YPR011C</t>
  </si>
  <si>
    <t>YPR010C</t>
  </si>
  <si>
    <t>RPA135</t>
  </si>
  <si>
    <t>RNA polymerase I subunit A135</t>
  </si>
  <si>
    <t>YPR009W</t>
  </si>
  <si>
    <t>SUT2</t>
  </si>
  <si>
    <t>Putative transcription factor, multicopy suppressor of mutations that cause low activity of the cAMPprotein kinase A pathway, highly similar to Sut1p</t>
  </si>
  <si>
    <t>YPR008W</t>
  </si>
  <si>
    <t>HAA1</t>
  </si>
  <si>
    <t>Transcriptional activator involved in the transcription of TPO2, HSP30 and other genes encoding membrane stress proteins, despite sequence similarity with the transcription factor Ace1p, it is not subject to metalloregulation</t>
  </si>
  <si>
    <t>YPR007C</t>
  </si>
  <si>
    <t>REC8</t>
  </si>
  <si>
    <t>Meiosis-specific component of sister chromatid cohesion complex, maintains cohesion between sister chromatids during meiosis I, maintains cohesion between centromeres of sister chromatids until meiosis II, homolog of S. pombe Rec8p</t>
  </si>
  <si>
    <t>YPR006C</t>
  </si>
  <si>
    <t>ICL2</t>
  </si>
  <si>
    <t>2-methylisocitrate lyase of the mitochondrial matrix, functions in the methylcitrate cycle to catalyze the conversion of 2-methylisocitrate to succinate and pyruvate, ICL2 transcription is repressed by glucose and induced by ethanol</t>
  </si>
  <si>
    <t>YPR005C</t>
  </si>
  <si>
    <t>HAL1</t>
  </si>
  <si>
    <t>Cytoplasmic protein involved in halotolerance, decreases intracellular Na+ (via Ena1p) and increases intracellular K+ by decreasing efflux, expression repressed by Ssn6p-Tup1p and Sko1p and induced by NaCl, KCl, and sorbitol through Gcn4p</t>
  </si>
  <si>
    <t>YPR004C</t>
  </si>
  <si>
    <t>YPR003C</t>
  </si>
  <si>
    <t>YPR002W</t>
  </si>
  <si>
    <t>PDH1</t>
  </si>
  <si>
    <t>Mitochondrial protein that participates in respiration, induced by diauxic shift, homologous to E. coli PrpD, may take part in the conversion of 2-methylcitrate to 2-methylisocitrate</t>
  </si>
  <si>
    <t>YPR001W</t>
  </si>
  <si>
    <t>CIT3</t>
  </si>
  <si>
    <t>Putative ATP-dependent RNA helicase of the DEAD-box protein family, mutants show reduced stability of the 40S ribosomal subunit scanning through 5 untranslated regions of mRNAs</t>
  </si>
  <si>
    <t>YPL118W</t>
  </si>
  <si>
    <t>MRP51</t>
  </si>
  <si>
    <t>Mitochondrial ribosomal protein of the large subunit, MRP51 exhibits genetic interactions with mutations in the COX2 and COX3 mRNA 5-untranslated leader sequences</t>
  </si>
  <si>
    <t>YPL117C</t>
  </si>
  <si>
    <t>IDI1</t>
  </si>
  <si>
    <t>Isopentenyl diphosphate:dimethylallyl diphosphate isomerase (IPP isomerase), catalyzes an essential activation step in the isoprenoid biosynthetic pathway, required for viability</t>
  </si>
  <si>
    <t>YPL116W</t>
  </si>
  <si>
    <t>HOS3</t>
  </si>
  <si>
    <t>Trichostatin A-insensitive homodimeric histone deacetylase (HDAC) with specificity in vitro for histones H3, H4, H2A, and H2B, similar to Hda1p, Rpd3p, Hos1p, and Hos2p, deletion results in increased histone acetylation at rDNA repeats</t>
  </si>
  <si>
    <t>YPL115C</t>
  </si>
  <si>
    <t>BEM3</t>
  </si>
  <si>
    <t>Rho GTPase activating protein (RhoGAP) involved in control of the cytoskeleton organization, targets the essential Rho-GTPase Cdc42p, which controls establishment and maintenance of cell polarity, including bud-site assembly</t>
  </si>
  <si>
    <t>YPL113C</t>
  </si>
  <si>
    <t>Putative dehydrogenase</t>
  </si>
  <si>
    <t>YPL112C</t>
  </si>
  <si>
    <t>PEX25</t>
  </si>
  <si>
    <t>Peripheral peroxisomal membrane peroxin required for the regulation of peroxisome size and maintenance, recruits GTPase Rho1p to peroxisomes, induced by oleate, interacts with homologous protein Pex27p</t>
  </si>
  <si>
    <t>YPL111W</t>
  </si>
  <si>
    <t>CAR1</t>
  </si>
  <si>
    <t>Arginase, responsible for arginine degradation, expression responds to both induction by arginine and nitrogen catabolite repression, disruption enhances freeze tolerance</t>
  </si>
  <si>
    <t>YPL110C</t>
  </si>
  <si>
    <t>YPL109C</t>
  </si>
  <si>
    <t>YPL108W</t>
  </si>
  <si>
    <t>YPL107W</t>
  </si>
  <si>
    <t>YPL106C</t>
  </si>
  <si>
    <t>SSE1</t>
  </si>
  <si>
    <t>ATPase that is a component of the heat shock protein Hsp90 chaperone complex, binds unfolded proteins, member of the heat shock protein 70 (HSP70) family, localized to the cytoplasm</t>
  </si>
  <si>
    <t>YPL105C</t>
  </si>
  <si>
    <t>YPL104W</t>
  </si>
  <si>
    <t>MSD1</t>
  </si>
  <si>
    <t>Mitochondrial aspartyl-tRNA synthetase, required for acylation of aspartyl-tRNA, yeast and bacterial aspartyl-, asparaginyl-, and lysyl-tRNA synthetases contain regions with high sequence similarity, suggesting a common ancestral gene</t>
  </si>
  <si>
    <t>YPL103C</t>
  </si>
  <si>
    <t>The authentic, non-tagged protein was localized to the mitochondria</t>
  </si>
  <si>
    <t>YPL101W</t>
  </si>
  <si>
    <t>ELP4</t>
  </si>
  <si>
    <t>Elongator protein, part of the HAP subcomplex of Elongator, which is a six-subunit component of the RNA polymerase II holoenzyme, required for Elongator structural integrity and histone acetyltransferase activity</t>
  </si>
  <si>
    <t>YPL100W</t>
  </si>
  <si>
    <t>ATG21</t>
  </si>
  <si>
    <t>Phosphatidylinositol 3,5-bisphosphate-binding protein required for maturation of pro-aminopeptidase I, predicted to fold as a seven-bladed beta-propeller, displays punctate cytoplasmic localization</t>
  </si>
  <si>
    <t>YPL099C</t>
  </si>
  <si>
    <t>YPL098C</t>
  </si>
  <si>
    <t>YPL097W</t>
  </si>
  <si>
    <t>MSY1</t>
  </si>
  <si>
    <t>Mitochondrial tyrosyl-tRNA synthetase</t>
  </si>
  <si>
    <t>YPL096W</t>
  </si>
  <si>
    <t>PNG1</t>
  </si>
  <si>
    <t>Conserved peptide N-glycanase required for deglycosylation of misfolded glycoproteins during proteasome-dependent degradation, localizes to the cytoplasm and nucleus, interacts with the DNA repair protein Rad23p</t>
  </si>
  <si>
    <t>YPL096C-A</t>
  </si>
  <si>
    <t>ERI1</t>
  </si>
  <si>
    <t>Endoplasmic reticulum membrane protein that binds to and inhibits GTP-bound Ras2p at the ER, component of the GPI-GnT complex which catalyzes the first step in GPI-anchor biosynthesis</t>
  </si>
  <si>
    <t>YPL095C</t>
  </si>
  <si>
    <t>Acyl-coenzymeA:ethanol O-acyltransferase responsible for the major part of short-chain fatty acid ethyl ester production during fermentation</t>
  </si>
  <si>
    <t>YPL094C</t>
  </si>
  <si>
    <t>SEC62</t>
  </si>
  <si>
    <t>Essential subunit of Sec63 complex (Sec63p, Sec62p, Sec66p and Sec72p), with Sec61 complex, Kar2pBiP and Lhs1p forms a channel competent for SRP-dependent and post-translational SRP-independent protein targeting and import into the ER</t>
  </si>
  <si>
    <t>YPL093W</t>
  </si>
  <si>
    <t>NOG1</t>
  </si>
  <si>
    <t>Putative GTPase that associates with free 60S ribosomal subunits in the nucleolus and is required for 60S ribosomal subunit biogenesis, constituent of 66S pre-ribosomal particles, member of the ODN family of nucleolar G-proteins</t>
  </si>
  <si>
    <t>YPL092W</t>
  </si>
  <si>
    <t>SSU1</t>
  </si>
  <si>
    <t>Nonessential protein that binds actin filaments and localizes to actin patches and cables, has similarity to S-adenosylmethionine (AdoMet)-dependent methyltransferases</t>
  </si>
  <si>
    <t>YOR238W</t>
  </si>
  <si>
    <t>YOR237W</t>
  </si>
  <si>
    <t>HES1</t>
  </si>
  <si>
    <t>Protein implicated in the regulation of ergosterol biosynthesis, one of a seven member gene family with a common essential function and non-essential unique functions, similar to human oxysterol binding protein (OSBP)</t>
  </si>
  <si>
    <t>YOR236W</t>
  </si>
  <si>
    <t>DFR1</t>
  </si>
  <si>
    <t>Dihydrofolate reductase, part of the dTTP biosynthetic pathway, involved in folate metabolism, possibly required for mitochondrial function</t>
  </si>
  <si>
    <t>YOR234C</t>
  </si>
  <si>
    <t>RPL33B</t>
  </si>
  <si>
    <t>Ribosomal protein L37 of the large (60S) ribosomal subunit, nearly identical to Rpl33Ap and has similarity to rat L35a, rpl33b null mutant exhibits normal growth while rpl33a rpl33b double null mutant is inviable</t>
  </si>
  <si>
    <t>YOR233W</t>
  </si>
  <si>
    <t>KIN4</t>
  </si>
  <si>
    <t>Nonessential protein kinase with unknown cellular role</t>
  </si>
  <si>
    <t>YOR232W</t>
  </si>
  <si>
    <t>MGE1</t>
  </si>
  <si>
    <t>Protein of the mitochondrial matrix involved in protein import into mitochondria, acts as a cochaperone and a nucleotide release factor for Ssc1p, homolog of E. coli GrpE</t>
  </si>
  <si>
    <t>YOR231W</t>
  </si>
  <si>
    <t>MKK1</t>
  </si>
  <si>
    <t>Mitogen-activated kinase kinase involved in protein kinase C signaling pathway that controls cell integrity, upon activation by Bck1p phosphorylates downstream target, Slt2p, functionally redundant with Mkk2p</t>
  </si>
  <si>
    <t>YOR230W</t>
  </si>
  <si>
    <t>WTM1</t>
  </si>
  <si>
    <t>Transcriptional repressor involved in regulation of meiosis and silencing, contains WD repeats</t>
  </si>
  <si>
    <t>YOR229W</t>
  </si>
  <si>
    <t>WTM2</t>
  </si>
  <si>
    <t>YOR228C</t>
  </si>
  <si>
    <t>YOR227W</t>
  </si>
  <si>
    <t>YOR226C</t>
  </si>
  <si>
    <t>ISU2</t>
  </si>
  <si>
    <t>Conserved protein of the mitochondrial matrix, required for synthesis of mitochondrial and cytosolic iron-sulfur proteins, performs a scaffolding function in mitochondria during FeS cluster assembly, isu1 isu2 double mutant is inviable</t>
  </si>
  <si>
    <t>YOR224C</t>
  </si>
  <si>
    <t>RPB8</t>
  </si>
  <si>
    <t>RNA polymerase subunit ABC14.5, common to RNA polymerases I, II, and III</t>
  </si>
  <si>
    <t>YOR223W</t>
  </si>
  <si>
    <t>YOR222W</t>
  </si>
  <si>
    <t>ODC2</t>
  </si>
  <si>
    <t>YOR221C</t>
  </si>
  <si>
    <t>MCT1</t>
  </si>
  <si>
    <t>Transcriptional activator of genes involved in glycolysis, DNA-binding protein that interacts and functions with the transcriptional activator Gcr2p</t>
  </si>
  <si>
    <t>YPL074W</t>
  </si>
  <si>
    <t>YTA6</t>
  </si>
  <si>
    <t>Putative ATPase of the CDC48PAS1SEC18 (AAA) family, localized to the cortex of mother cells but not to daughter cells</t>
  </si>
  <si>
    <t>YPL072W</t>
  </si>
  <si>
    <t>UBP16</t>
  </si>
  <si>
    <t>Putative ubiquitin-specific protease</t>
  </si>
  <si>
    <t>YPL071C</t>
  </si>
  <si>
    <t>YPL070W</t>
  </si>
  <si>
    <t>MUK1</t>
  </si>
  <si>
    <t>Protein of unknown function, localized to the cytoplasm, computational analysis of large-scale protein-protein interaction data suggests a possible role in transcriptional regulation</t>
  </si>
  <si>
    <t>YPL069C</t>
  </si>
  <si>
    <t>BTS1</t>
  </si>
  <si>
    <t>Geranylgeranyl diphosphate synthase, increases the intracellular pool of geranylgeranyl diphosphate, suppressor of bet2 mutation that causes defective geranylgeranylation of small GTP-binding proteins that mediate vesicular traffic</t>
  </si>
  <si>
    <t>YPL068C</t>
  </si>
  <si>
    <t>YPL067C</t>
  </si>
  <si>
    <t>YPL066W</t>
  </si>
  <si>
    <t>YPL065W</t>
  </si>
  <si>
    <t>VPS28</t>
  </si>
  <si>
    <t>Component of the ESCRT-I complex, which is involved in ubiquitin-dependent sorting of proteins into the endosome, involved in transport of precursors for soluble vacuolar hydrolases from the late endosome to the vacuole</t>
  </si>
  <si>
    <t>YPL064C</t>
  </si>
  <si>
    <t>CWC27</t>
  </si>
  <si>
    <t>Component of a complex containing Cef1p, putatively involved in pre-mRNA splicing, has similarity to S. pombe Cwf27p</t>
  </si>
  <si>
    <t>YPL063W</t>
  </si>
  <si>
    <t>TIM50</t>
  </si>
  <si>
    <t>Constituent of the mitochondrial inner membrane presequence translocase (TIM23 complex), may promote binding of incoming precursor proteins to the intermembrane space domain of Tom22p during translocation</t>
  </si>
  <si>
    <t>YPL061W</t>
  </si>
  <si>
    <t>ALD6</t>
  </si>
  <si>
    <t>Cytosolic aldehyde dehydrogenase that is activated by Mg2+ and utilizes NADP+ as the preferred coenzyme, required for the conversion of acetaldehyde to acetate, constitutively expressed</t>
  </si>
  <si>
    <t>YPL060W</t>
  </si>
  <si>
    <t>LPE10</t>
  </si>
  <si>
    <t>Mitochondrial inner membrane magnesium transporter, involved in maintenance of magnesium concentrations inside mitochondria, indirectly affects splicing of group II introns, functionally and structurally related to Mrs2p</t>
  </si>
  <si>
    <t>YPL059W</t>
  </si>
  <si>
    <t>GRX5</t>
  </si>
  <si>
    <t>Hydroperoxide and superoxide-radical responsive glutathione-dependent oxidoreductase, mitochondrial matrix protein involved in the synthesisassembly of iron-sulfur centers, monothiol glutaredoxin subfamily member along with Grx3p and Grx4p</t>
  </si>
  <si>
    <t>YPL058C</t>
  </si>
  <si>
    <t>PDR12</t>
  </si>
  <si>
    <t>Plasma membrane weak-acid-inducible ATP-binding cassette (ABC) transporter, required for weak organic acid resistance, strongly induced by sorbate and benzoate, regulated by War1p, mutants exhibit sorbate hypersensitivity</t>
  </si>
  <si>
    <t>YPL057C</t>
  </si>
  <si>
    <t>SUR1</t>
  </si>
  <si>
    <t>Probable catalytic subunit of a mannosylinositol phosphorylceramide (MIPC) synthase, forms a complex with probable regulatory subunit Csg2p, function in sphingolipid biosynthesis is overlapping with that of Csh1p</t>
  </si>
  <si>
    <t>YPL056C</t>
  </si>
  <si>
    <t>YPL055C</t>
  </si>
  <si>
    <t>LGE1</t>
  </si>
  <si>
    <t>Protein of unknown function, null mutant forms abnormally large cells</t>
  </si>
  <si>
    <t>YPL054W</t>
  </si>
  <si>
    <t>LEE1</t>
  </si>
  <si>
    <t>Zinc-finger protein of unknown function</t>
  </si>
  <si>
    <t>YPL053C</t>
  </si>
  <si>
    <t>KTR6</t>
  </si>
  <si>
    <t>Probable mannosylphosphate transferase involved in the synthesis of core oligosaccharides in protein glycosylation pathway, member of the KRE2MNT1 mannosyltransferase family</t>
  </si>
  <si>
    <t>YPL052W</t>
  </si>
  <si>
    <t>OAZ1</t>
  </si>
  <si>
    <t>Public ID</t>
  </si>
  <si>
    <t>Gene</t>
  </si>
  <si>
    <t>YPR201W</t>
  </si>
  <si>
    <t>ARR3</t>
  </si>
  <si>
    <t>Arsenite transporter of the plasma membrane, required for resistance to arsenic compounds, transcription is activated by Arr1p in the presence of arsenite</t>
  </si>
  <si>
    <t>YPR200C</t>
  </si>
  <si>
    <t>ARR2</t>
  </si>
  <si>
    <t>Arsenate reductase required for arsenate resistance, converts arsenate to arsenite which can then be exported from cells by Arr3p</t>
  </si>
  <si>
    <t>YPR199C</t>
  </si>
  <si>
    <t>ARR1</t>
  </si>
  <si>
    <t>Transcriptional activator of the bZIP family, required for transcription of genes involved in resistance to arsenic compounds</t>
  </si>
  <si>
    <t>YPR198W</t>
  </si>
  <si>
    <t>SGE1</t>
  </si>
  <si>
    <t>Membrane-associated multidrug transporter, acts as an extrusion permease, member of the drug-resistance protein family within the major facilitator superfamily (MFS), partial multicopy suppressor of gal11 mutations</t>
  </si>
  <si>
    <t>YPR196W</t>
  </si>
  <si>
    <t>---</t>
  </si>
  <si>
    <t>nuclear protein (putative)</t>
  </si>
  <si>
    <t>YPR194C</t>
  </si>
  <si>
    <t>OPT2</t>
  </si>
  <si>
    <t>Oligopeptide transporter, member of the OPT family, with potential orthologs in S. pombe and C. albicans</t>
  </si>
  <si>
    <t>YPR193C</t>
  </si>
  <si>
    <t>HPA2</t>
  </si>
  <si>
    <t>Tetrameric histone acetyltransferase with similarity to Gcn5p, Hat1p, Elp3p, and Hpa3p, acetylates histones H3 and H4 in vitro and exhibits autoacetylation activity</t>
  </si>
  <si>
    <t>YPR192W</t>
  </si>
  <si>
    <t>AQY1</t>
  </si>
  <si>
    <t>Water channel that mediates the transport of water across cell membranes and may be involved in freeze tolerance</t>
  </si>
  <si>
    <t>YPR191W</t>
  </si>
  <si>
    <t>QCR2</t>
  </si>
  <si>
    <t>Subunit 2 of the ubiquinol cytochrome-c reductase complex, which is a component of the mitochondrial inner membrane electron transport chain, transcription is regulated by Hap1p, Hap2pHap3p, and heme</t>
  </si>
  <si>
    <t>YPR190C</t>
  </si>
  <si>
    <t>RPC82</t>
  </si>
  <si>
    <t>RNA polymerase III subunit C82</t>
  </si>
  <si>
    <t>YPR189W</t>
  </si>
  <si>
    <t>SKI3</t>
  </si>
  <si>
    <t>Protein involved in exosome mediated 3 to 5 mRNA degradation and translation inhibition of non-poly(A) mRNAs, forms complex with Ski2p and Ski8p, required for repressing propagation of dsRNA viruses</t>
  </si>
  <si>
    <t>YPR188C</t>
  </si>
  <si>
    <t>MLC2</t>
  </si>
  <si>
    <t>Regulatory light chain for the type II myosin, Myo1p, binds to an IQ motif of Myo1p, localization to the bud neck depends on Myo1p, involved in the disassembly of the Myo1p ring</t>
  </si>
  <si>
    <t>YPR187W</t>
  </si>
  <si>
    <t>RPO26</t>
  </si>
  <si>
    <t>RNA polymerase subunit ABC23, common to RNA polymerases I, II, and III, part of central core, similar to bacterial omega subunit</t>
  </si>
  <si>
    <t>YPR186C</t>
  </si>
  <si>
    <t>PZF1</t>
  </si>
  <si>
    <t>Transcription factor IIIA (TFIIIA), essential protein with nine C2H2 Zn-fingers, binds the 5S rRNA gene through the zinc finger domain and directs assembly of a multiprotein initiation complex for RNA polymerase III, also binds DNA</t>
  </si>
  <si>
    <t>YPR185W</t>
  </si>
  <si>
    <t>ATG13</t>
  </si>
  <si>
    <t>Phosphorylated protein that interacts with Vac8p, required for the cytoplasm-to-vacuole targeting (Cvt) pathway and autophagy</t>
  </si>
  <si>
    <t>YPR184W</t>
  </si>
  <si>
    <t>GDB1</t>
  </si>
  <si>
    <t>Glycogen debranching enzyme containing glucanotranferase and alpha-1,6-amyloglucosidase activities, required for glycogen degradation</t>
  </si>
  <si>
    <t>YPR183W</t>
  </si>
  <si>
    <t>DPM1</t>
  </si>
  <si>
    <t>Subunit of the homotypic vacuole fusion and vacuole protein sorting (HOPS) complex, part of the Class C Vps complex essential for membrane docking and fusion at both the Golgi-to-endosome and endosome-to-vacuole stages of protein transport</t>
  </si>
  <si>
    <t>YPL043W</t>
  </si>
  <si>
    <t>NOP4</t>
  </si>
  <si>
    <t>Nucleolar protein, essential for processing and maturation of 27S pre-rRNA and large ribosomal subunit biogenesis, constituent of 66S pre-ribosomal particles, contains four RNA recognition motifs (RRMs)</t>
  </si>
  <si>
    <t>YPL042C</t>
  </si>
  <si>
    <t>SSN3</t>
  </si>
  <si>
    <t>Component of RNA polymerase II holoenzyme, involved in RNA pol II carboxy-terminal domain phosphorylation</t>
  </si>
  <si>
    <t>YPL041C</t>
  </si>
  <si>
    <t>YPL040C</t>
  </si>
  <si>
    <t>ISM1</t>
  </si>
  <si>
    <t>Mitochondrial isoleucyl-tRNA synthetase, null mutant is deficient in respiratory growth</t>
  </si>
  <si>
    <t>YPL039W</t>
  </si>
  <si>
    <t>YPL038W-A</t>
  </si>
  <si>
    <t>YPL038W</t>
  </si>
  <si>
    <t>MET31</t>
  </si>
  <si>
    <t>Zinc-finger DNA-binding protein, involved in regulating expression of the methionine biosynthetic genes, similar to Met32p</t>
  </si>
  <si>
    <t>YPL037C</t>
  </si>
  <si>
    <t>EGD1</t>
  </si>
  <si>
    <t>Subunit beta1 of the nascent polypeptide-associated complex (NAC) involved in protein targeting, associated with cytoplasmic ribosomes, enhances DNA binding of the Gal4p activator, homolog of human BTF3b</t>
  </si>
  <si>
    <t>YPL036W</t>
  </si>
  <si>
    <t>PMA2</t>
  </si>
  <si>
    <t>Plasma membrane H+-ATPase, isoform of Pma1p, involved in pumping protons out of the cell, regulator of cytoplasmic pH and plasma membrane potential</t>
  </si>
  <si>
    <t>YPL034W</t>
  </si>
  <si>
    <t>YPL033C</t>
  </si>
  <si>
    <t>YPL032C</t>
  </si>
  <si>
    <t>SVL3</t>
  </si>
  <si>
    <t>Protein of unknown function, mutant phenotype suggests a potential role in vacuolar function, green fluorescent protein (GFP)-fusion protein localizes to the cell periphery, cytoplasm, bud, and bud neck  Similar to probable membrane protein YLR334C and ORF YOL106W</t>
  </si>
  <si>
    <t>YPL031C</t>
  </si>
  <si>
    <t>PHO85</t>
  </si>
  <si>
    <t>Cyclin-dependent kinase, with ten cyclin partners, involved in environmental stress response, in phosphate-rich conditions, Pho85p-Pho80p complex phosphorylates Pho4p which in turn represses PHO5</t>
  </si>
  <si>
    <t>YPL030W</t>
  </si>
  <si>
    <t>YPL029W</t>
  </si>
  <si>
    <t>SUV3</t>
  </si>
  <si>
    <t>ATP-dependent RNA helicase, component of the mitochondrial degradosome along with the RNase Msu1p, the degradosome associates with the ribosome and mediates turnover of aberrant or unprocessed RNAs</t>
  </si>
  <si>
    <t>YPL028W</t>
  </si>
  <si>
    <t>ERG10</t>
  </si>
  <si>
    <t>Acetyl-CoA C-acetyltransferase (acetoacetyl-CoA thiolase), cytosolic enzyme that transfers an acetyl group from one acetyl-CoA molecule to another, forming acetoacetyl-CoA, involved in the first step in mevalonate biosynthesis</t>
  </si>
  <si>
    <t>YPL027W</t>
  </si>
  <si>
    <t>SMA1</t>
  </si>
  <si>
    <t>Protein of unknown function involved in the assembly of the prospore membrane during sporulation</t>
  </si>
  <si>
    <t>YPL026C</t>
  </si>
  <si>
    <t>SKS1</t>
  </si>
  <si>
    <t>Putative serinethreonine protein kinase, involved in the adaptation to low concentrations of glucose independent of the SNF3 regulated pathway</t>
  </si>
  <si>
    <t>YPL024W</t>
  </si>
  <si>
    <t>RMI1</t>
  </si>
  <si>
    <t>Involved in response to DNA damage, null mutants have increased rates of recombination and delayed S phase, interacts physically and genetically with Sgs1p (RecQ family member) and Top3p (topoisomerase III)</t>
  </si>
  <si>
    <t>YPL023C</t>
  </si>
  <si>
    <t>MET12</t>
  </si>
  <si>
    <t>Isozyme of methylenetetrahydrofolate reductase, catalyzes the reduction of 5,10-methylenetetrahydrofolate to 5-methyltetrahydrofolate in the methionine biosynthesis pathway</t>
  </si>
  <si>
    <t>YPL022W</t>
  </si>
  <si>
    <t>RAD1</t>
  </si>
  <si>
    <t>Single-stranded DNA endonuclease (with Rad10p), cleaves single-stranded DNA during nucleotide excision repair and double-strand break repair, subunit of Nucleotide Excision Repair Factor 1 (NEF1), homolog of human ERCC1 protein</t>
  </si>
  <si>
    <t>YPL021W</t>
  </si>
  <si>
    <t>ECM23</t>
  </si>
  <si>
    <t>Non-essential protein of unconfirmed function, affects pre-rRNA processing, may act as a negative regulator of the transcription of genes involved in pseudohyphal growth, homologous to Srd1p</t>
  </si>
  <si>
    <t>YPL020C</t>
  </si>
  <si>
    <t>ULP1</t>
  </si>
  <si>
    <t>Ubl (ubiquitin-like protein)-specific protease that cleaves Smt3p protein conjugates,  specifically required for cell cycle progression, associates with nucleoporins and may interact with septin rings during telophase</t>
  </si>
  <si>
    <t>YPL019C</t>
  </si>
  <si>
    <t>VTC3</t>
  </si>
  <si>
    <t>Vacuolar membrane protein involved in vacuolar polyphosphate accumulation, functions as a regulator of vacuolar H+-ATPase activity and vacuolar transporter chaperones, involved in non-autophagic vacuolar fusion</t>
  </si>
  <si>
    <t>YPL018W</t>
  </si>
  <si>
    <t>CTF19</t>
  </si>
  <si>
    <t>Outer kinetochore protein, required for accurate mitotic chromosome segregation, forms a complex with Mcm21p and Okp1p that binds to centromeres via the CBF3 complex</t>
  </si>
  <si>
    <t>YPL017C</t>
  </si>
  <si>
    <t>Putative S-adenosylmethionine-dependent methyltransferase of the seven beta-strand family</t>
  </si>
  <si>
    <t>YPL016W</t>
  </si>
  <si>
    <t>SWI1</t>
  </si>
  <si>
    <t>One of 11 subunits of the SWISNF chromatin remodeling complex that regulates transcription by remodeling chromosomes, required for transcription of many genes, including ADH1, ADH2, GAL1, HO, INO1 and SUC2</t>
  </si>
  <si>
    <t>YPL015C</t>
  </si>
  <si>
    <t>HST2</t>
  </si>
  <si>
    <t>Cytoplasmic member of the silencing information regulator 2 (Sir2) family of NAD(+)-dependent protein deacetylases, modulates nucleolar (rDNA) and telomeric silencing, possesses NAD(+)-dependent histone deacetylase activity in vitro</t>
  </si>
  <si>
    <t>YPL014W</t>
  </si>
  <si>
    <t>YPL013C</t>
  </si>
  <si>
    <t>MRPS16</t>
  </si>
  <si>
    <t>YPL012W</t>
  </si>
  <si>
    <t>RRP12</t>
  </si>
  <si>
    <t>Protein required for export of the ribosomal subunits, associates with the RNA components of the pre-ribosomes, contains HEAT-repeats</t>
  </si>
  <si>
    <t>YPL011C</t>
  </si>
  <si>
    <t>TAF3</t>
  </si>
  <si>
    <t>TFIID subunit (47 kDa), involved in promoter binding and RNA polymerase II transcription initiation</t>
  </si>
  <si>
    <t>YPL010W</t>
  </si>
  <si>
    <t>RET3</t>
  </si>
  <si>
    <t>Zeta subunit of the coatomer complex (COPI), which coats Golgi-derived transport vesicles, involved in retrograde transport between Golgi and ER</t>
  </si>
  <si>
    <t>YPL009C</t>
  </si>
  <si>
    <t>YPL008W</t>
  </si>
  <si>
    <t>CHL1</t>
  </si>
  <si>
    <t>Conserved nuclear protein required to establish sister-chromatid pairing during S-phase, probable DNA helicase with similarity to human BACH1, which associates with tumor suppressor BRCA1, associates with acetyltransferase Ctf7p</t>
  </si>
  <si>
    <t>YPL007C</t>
  </si>
  <si>
    <t>TFC8</t>
  </si>
  <si>
    <t>One of six subunits of RNA polymerase III transcription initiation factor complex (TFIIIC), part of TFIIIC TauB domain that binds BoxB promoter sites of tRNA and other genes, linker between TauB and TauA domains, human homolog is TFIIIC-90</t>
  </si>
  <si>
    <t>YPL006W</t>
  </si>
  <si>
    <t>Minus-end-directed microtubule motor that functions in mitosis and meiosis, localizes to the spindle pole body and localization is dependent on functional Cik1p, required for nuclear fusion during mating, potential Cdc28p substrate</t>
  </si>
  <si>
    <t>YPR140W</t>
  </si>
  <si>
    <t>TAZ1</t>
  </si>
  <si>
    <t>Lyso-phosphatidylcholine acyltransferase, required for normal phospholipid content of mitochondrial membranes, may remodel acyl groups of cardiolipin in the inner membrane, similar to human tafazzin, which is implicated in Barth syndrome</t>
  </si>
  <si>
    <t>YPR139C</t>
  </si>
  <si>
    <t>VPS66</t>
  </si>
  <si>
    <t>Cytoplasmic protein of unknown function involved in vacuolar protein sorting.</t>
  </si>
  <si>
    <t>YPR138C</t>
  </si>
  <si>
    <t>MEP3</t>
  </si>
  <si>
    <t>Ammonium permease of high capacity and low affinity, belongs to a ubiquitous family of cytoplasmic membrane proteins that transport only ammonium (NH4+), expression is under the nitrogen catabolite repression regulation ammonia permease</t>
  </si>
  <si>
    <t>YPR137W</t>
  </si>
  <si>
    <t>RRP9</t>
  </si>
  <si>
    <t>Protein involved in pre-rRNA processing, associated with U3 snRNP, component of small ribosomal subunit (SSU) processosome, ortholog of the human U3-55k protein</t>
  </si>
  <si>
    <t>YPR135W</t>
  </si>
  <si>
    <t>CTF4</t>
  </si>
  <si>
    <t>Chromatin-associated protein, required for sister chromatid cohesion, interacts with DNA polymerase alpha (Pol1p) and may link DNA synthesis to sister chromatid cohesion</t>
  </si>
  <si>
    <t>YPR134W</t>
  </si>
  <si>
    <t>MSS18</t>
  </si>
  <si>
    <t>Nuclear encoded protein needed for efficient splicing of mitochondrial COX1 aI5beta intron, mss18 mutations block cleavage of 5 exon - intron junction, phenotype of intronless strain suggests additional functions</t>
  </si>
  <si>
    <t>YPR133W-A</t>
  </si>
  <si>
    <t>TOM5</t>
  </si>
  <si>
    <t>Small mitochondrial outer membrane protein crucial to a binding relay for the import of proteins into mitochondria, subunit on the outer mouth of the TOM channel that accepts precursors from the receptors Tom20p and Tom22p</t>
  </si>
  <si>
    <t>YPR133C</t>
  </si>
  <si>
    <t>IWS1</t>
  </si>
  <si>
    <t>Protein that interacts with Spt6p and copurifies with Spt5p and RNA polymerase II, probable transcriptional elongation factor, metazoan homologs contain an acidic N terminus, mutations in the gene confer an Spt- phenotype</t>
  </si>
  <si>
    <t>YPR132W</t>
  </si>
  <si>
    <t>Member of the imitation-switch (ISWI) class of ATP-dependent chromatin remodeling complexes, ATPase component that, with Itc1p, forms a complex required for repression of a-specific genes, INO1, and early meiotic genes during mitotic growth</t>
  </si>
  <si>
    <t>YOR304C-A</t>
  </si>
  <si>
    <t>Protein of unknown function, green fluorescent protein (GFP)-fusion protein localizes to the cell periphery, cytoplasm, bud, and bud neck</t>
  </si>
  <si>
    <t>YOR303W</t>
  </si>
  <si>
    <t>CPA1</t>
  </si>
  <si>
    <t>Small subunit of carbamoyl phosphate synthetase, which catalyzes a step in the synthesis of citrulline, an arginine precursor, translationally regulated by an attenuator peptide encoded by YOR302W within the CPA1 mRNA 5-leader</t>
  </si>
  <si>
    <t>YOR302W</t>
  </si>
  <si>
    <t>CPA1 uORF , Arginine attenuator peptide, regulates translation of the CPA1 mRNA</t>
  </si>
  <si>
    <t>YOR301W</t>
  </si>
  <si>
    <t>RAX1</t>
  </si>
  <si>
    <t>Protein involved in bud site selection during bipolar budding, localization requires Rax2p, has similarity to members of the insulin-related peptide superfamily</t>
  </si>
  <si>
    <t>YOR299W</t>
  </si>
  <si>
    <t>BUD7</t>
  </si>
  <si>
    <t>Protein involved in bud-site selection, diploid mutants display an axial-like budding pattern</t>
  </si>
  <si>
    <t>YOR298W</t>
  </si>
  <si>
    <t>MUM3</t>
  </si>
  <si>
    <t>Protein of unknown function involved in the organization of the outer spore wall layers, has similarity to the tafazzins superfamily of acetyltransferases</t>
  </si>
  <si>
    <t>YOR298C-A</t>
  </si>
  <si>
    <t>MBF1</t>
  </si>
  <si>
    <t>Transcriptional coactivator that bridges the DNA-binding region of Gcn4p and TATA-binding protein Spt15p, suppressor of frameshift mutations</t>
  </si>
  <si>
    <t>YOR297C</t>
  </si>
  <si>
    <t>TIM18</t>
  </si>
  <si>
    <t>mitochondrial inner membrane translocase</t>
  </si>
  <si>
    <t>YOR296W</t>
  </si>
  <si>
    <t>YOR295W</t>
  </si>
  <si>
    <t>UAF30</t>
  </si>
  <si>
    <t>Subunit of UAF (upstream activation factor), which is an RNA polymerase I specific transcription stimulatory factor composed of Uaf30p, Rrn5p, Rrn9p, Rrn10p, histones H3 and H4, deletion decreases cellular growth rate</t>
  </si>
  <si>
    <t>YOR294W</t>
  </si>
  <si>
    <t>RRS1</t>
  </si>
  <si>
    <t>Essential protein that binds ribosomal protein L11 and is required for nuclear export of the 60S pre-ribosomal subunit during ribosome biogenesis, mouse homolog shows altered expression in Huntingtons disease model mice</t>
  </si>
  <si>
    <t>YOR293W</t>
  </si>
  <si>
    <t>Protein component of the small (40S) ribosomal subunit, nearly identical to Rps10Ap and has similarity to rat ribosomal protein S10  Protein component of the small (40S) ribosomal subunit, nearly identical to Rps10Bp and has similarity to rat ribosomal protein S10</t>
  </si>
  <si>
    <t>YOR293C-A</t>
  </si>
  <si>
    <t>YOR292C</t>
  </si>
  <si>
    <t>YOR291W</t>
  </si>
  <si>
    <t>YOR290C</t>
  </si>
  <si>
    <t>SNF2</t>
  </si>
  <si>
    <t>Catalytic subunit of the 11-subunit SWISNF chromatin remodeling complex involved in transcriptional regulation, contains DNA-stimulated ATPase activity, functions interdependently in transcriptional activation with Snf5p and Snf6p</t>
  </si>
  <si>
    <t>YOR289W</t>
  </si>
  <si>
    <t>YOR288C</t>
  </si>
  <si>
    <t>MPD1</t>
  </si>
  <si>
    <t xml:space="preserve">Member of the protein disulfide isomerase (PDI) family, overexpression suppresses the defect in maturation of carboxypeptidase Y, and defects in other essential Pdi1p functions, caused by PDI1 deletion </t>
  </si>
  <si>
    <t>YOR287C</t>
  </si>
  <si>
    <t>YOR286W</t>
  </si>
  <si>
    <t>YOR285W</t>
  </si>
  <si>
    <t>YOR284W</t>
  </si>
  <si>
    <t>HUA2</t>
  </si>
  <si>
    <t>Cytoplasmic protein of unknown function, computational analysis of large-scale protein-protein interaction data suggests a possible role in actin patch assembly</t>
  </si>
  <si>
    <t>YOR283W</t>
  </si>
  <si>
    <t>YOR281C</t>
  </si>
  <si>
    <t>PLP2</t>
  </si>
  <si>
    <t>Essential protein with similarity to phosducins, which are GTPase inhibitors, lethality of null mutation is functionally complemented by expression of mouse phosducin-like protein MgcPhLP</t>
  </si>
  <si>
    <t>YOR280C</t>
  </si>
  <si>
    <t>FSH3</t>
  </si>
  <si>
    <t>Serine hydrolase that localizes to both the nucleus and cytoplasm, sequence is similar to Fsh1p and Fsh3p</t>
  </si>
  <si>
    <t>YOR279C</t>
  </si>
  <si>
    <t>RFM1</t>
  </si>
  <si>
    <t>DNA-binding protein required for repression of middle sporulation genes, specificity factor that directs the Hst1p histone deacetylase to some of the promoters regulated by Sum1p</t>
  </si>
  <si>
    <t>YOR278W</t>
  </si>
  <si>
    <t>HEM4</t>
  </si>
  <si>
    <t>Uroporphyrinogen III synthase, catalyzes the conversion of hydroxymethylbilane to uroporphyrinogen III, the fourth step in the heme biosynthetic pathway</t>
  </si>
  <si>
    <t>YOR276W</t>
  </si>
  <si>
    <t>CAF20</t>
  </si>
  <si>
    <t>Phosphoprotein of the mRNA cap-binding complex involved in translational control, repressor of cap-dependent translation initiation, competes with eIF4G for binding to eIF4E</t>
  </si>
  <si>
    <t>YOR275C</t>
  </si>
  <si>
    <t>RIM20</t>
  </si>
  <si>
    <t>Subunit (30 kDa) of TFIID, TFIIF, and SWISNF complexes, involved in RNA polymerase II transcription initiation and in chromatin modification, contains a YEATS domain</t>
  </si>
  <si>
    <t>YPL128C</t>
  </si>
  <si>
    <t>TBF1</t>
  </si>
  <si>
    <t>Telobox-containing general regulatory factor, binds to TTAGGG repeats within subtelomeric anti-silencing regions (STARs) and possibly throughout the genome and mediates their insulating capacity by blocking silent chromatin propagation</t>
  </si>
  <si>
    <t>YPL127C</t>
  </si>
  <si>
    <t>HHO1</t>
  </si>
  <si>
    <t>Histone H1, a linker histone required for nucleosome packaging at restricted sites, suppresses DNA repair involving homologous recombination, not required for telomeric silencing, basal transcriptional repression, or efficient sporulation</t>
  </si>
  <si>
    <t>YPL126W</t>
  </si>
  <si>
    <t>NAN1</t>
  </si>
  <si>
    <t>U3 snoRNP protein, component of the small (ribosomal) subunit (SSU) processosome containing U3 snoRNA, required for the biogenesis of18S rRNA</t>
  </si>
  <si>
    <t>YPL125W</t>
  </si>
  <si>
    <t>KAP120</t>
  </si>
  <si>
    <t>Karyopherin with a role in the assembly or export of 60S ribosomal subunits</t>
  </si>
  <si>
    <t>YPL124W</t>
  </si>
  <si>
    <t>SPC29</t>
  </si>
  <si>
    <t>Inner plaque spindle pole body (SPB) component, links the central plaque component Spc42p to the inner plaque component Spc110p, required for SPB duplication</t>
  </si>
  <si>
    <t>YPL123C</t>
  </si>
  <si>
    <t>RNY1</t>
  </si>
  <si>
    <t>RNAse, member of the T(2) family of endoribonucleases</t>
  </si>
  <si>
    <t>YPL122C</t>
  </si>
  <si>
    <t>TFB2</t>
  </si>
  <si>
    <t>Subunit of TFIIH and nucleotide excision repair factor 3 complexes, involved in transcription initiation, required for nucleotide excision repair, similar to 52 kDa subunit of human TFIIH</t>
  </si>
  <si>
    <t>YPL121C</t>
  </si>
  <si>
    <t>MEI5</t>
  </si>
  <si>
    <t>Meiosis specific protein involved in DMC1-dependent meiotic recombination, forms heterodimer with Sae3p, proposed to be an assembly factor for Dmc1p</t>
  </si>
  <si>
    <t>YPL120W</t>
  </si>
  <si>
    <t>VPS30</t>
  </si>
  <si>
    <t>Protein that forms a membrane-associated complex with Apg14p that is essential for autophagy, involved in a retrieval step of the carboxypeptidase Y receptor, Vps10p, to the late Golgi from the endosome, involved in vacuolar protein sorting</t>
  </si>
  <si>
    <t>YPL119C-A</t>
  </si>
  <si>
    <t>Identified by expression profiling and mass spectrometry</t>
  </si>
  <si>
    <t>YPL119C</t>
  </si>
  <si>
    <t>DBP1</t>
  </si>
  <si>
    <t>Pyruvate kinase that appears to be modulated by phosphorylation, PYK2 transcription is repressed by glucose, and Pyk2p may be active under low glycolytic flux</t>
  </si>
  <si>
    <t>YOR346W</t>
  </si>
  <si>
    <t>REV1</t>
  </si>
  <si>
    <t>Deoxycytidyl transferase, forms a complex with the subunits of DNA polymerase zeta, Rev3p and Rev7p, involved in repair of abasic sites in damaged DNA</t>
  </si>
  <si>
    <t>YOR344C</t>
  </si>
  <si>
    <t>TYE7</t>
  </si>
  <si>
    <t>Serine-rich protein that contains a basic-helix-loop-helix (bHLH) DNA binding motif, binds E-boxes of glycolytic genes and contributes to their activation, may function as a transcriptional activator in Ty1-mediated gene expression</t>
  </si>
  <si>
    <t>YOR342C</t>
  </si>
  <si>
    <t>YOR341W</t>
  </si>
  <si>
    <t>RPA190</t>
  </si>
  <si>
    <t>RNA polymerase I subunit, largest subunit of RNA polymerase I</t>
  </si>
  <si>
    <t>YOR340C</t>
  </si>
  <si>
    <t>RPA43</t>
  </si>
  <si>
    <t>RNA polymerase I subunit A43</t>
  </si>
  <si>
    <t>YOR339C</t>
  </si>
  <si>
    <t>UBC11</t>
  </si>
  <si>
    <t>Ubiquitin-conjugating enzyme most similar in sequence to Xenopus ubiquitin-conjugating enzyme E2-C, but not a true functional homolog of this E2, unlike E2-C, not required for the degradation of mitotic cyclin Clb2</t>
  </si>
  <si>
    <t>YOR338W</t>
  </si>
  <si>
    <t>YOR337W</t>
  </si>
  <si>
    <t>TEA1</t>
  </si>
  <si>
    <t>Ty1 enhancer activator required for full levels of Ty enhancer-mediated transcription, C6 zinc cluster DNA-binding protein</t>
  </si>
  <si>
    <t>YOR336W</t>
  </si>
  <si>
    <t>KRE5</t>
  </si>
  <si>
    <t>Protein required for beta-1,6 glucan biosynthesis, mutations result in aberrant morphology and severe growth defects</t>
  </si>
  <si>
    <t>YOR335C</t>
  </si>
  <si>
    <t>ALA1</t>
  </si>
  <si>
    <t>Cytoplasmic alanyl-tRNA synthetase, required for protein synthesis, point mutation (cdc64-1 allele) causes cell cycle arrest at G1, lethality of null mutation is functionally complemented by human homolog</t>
  </si>
  <si>
    <t>YOR334W</t>
  </si>
  <si>
    <t>MRS2</t>
  </si>
  <si>
    <t>Mitochondrial inner membrane Mg(2+) channel, required for maintenance of intramitochondrial Mg(2+) concentrations at the correct level to support splicing of group II introns</t>
  </si>
  <si>
    <t>YOR332W</t>
  </si>
  <si>
    <t>VMA4</t>
  </si>
  <si>
    <t>Subunit E of the eight-subunit V1 peripheral membrane domain of the vacuolar H+-ATPase (V-ATPase), an electrogenic proton pump found throughout the endomembrane system, required for the V1 domain to assemble onto the vacuolar membrane</t>
  </si>
  <si>
    <t>YOR330C</t>
  </si>
  <si>
    <t>MIP1</t>
  </si>
  <si>
    <t>Catalytic subunit of the mitochondrial DNA polymerase</t>
  </si>
  <si>
    <t>YOR329C</t>
  </si>
  <si>
    <t>SCD5</t>
  </si>
  <si>
    <t>Protein required for normal cortical actin organization and endocytosis, multicopy suppressor of clathrin deficiency, acts as a targeting subunit for protein phosphatase type 1</t>
  </si>
  <si>
    <t>YOR328W</t>
  </si>
  <si>
    <t>PDR10</t>
  </si>
  <si>
    <t>ABC (ATP-binding cassette) membrane pump involved in the pleiotropic drug resistance network, regulated by Pdr1p and Pdr3p, similar to Pdr5p</t>
  </si>
  <si>
    <t>YOR327C</t>
  </si>
  <si>
    <t>SNC2</t>
  </si>
  <si>
    <t>Vesicle membrane receptor protein (v-SNARE) involved in the fusion between Golgi-derived secretory vesicles with the plasma membrane, member of the synaptobrevinVAMP family of R-type v-SNARE proteins</t>
  </si>
  <si>
    <t>YOR326W</t>
  </si>
  <si>
    <t>MYO2</t>
  </si>
  <si>
    <t>One of two type V myosins, involved in polarized distribution of mitochondria, required for mitochondrion and vacuole inheritance and nuclear spindle orientation, moves multiple cargo</t>
  </si>
  <si>
    <t>YOR324C</t>
  </si>
  <si>
    <t>FRT1</t>
  </si>
  <si>
    <t>Tail-anchored endoplasmic reticulum membrane protein that is a substrate of the phosphatase calcineurin, interacts with homolog Frt2p, promotes cell growth in conditions of high Na+, alkaline pH, and cell wall stress</t>
  </si>
  <si>
    <t>YOR323C</t>
  </si>
  <si>
    <t>PRO2</t>
  </si>
  <si>
    <t>Gamma-glutamyl phosphate reductase, catalyzes the second step in proline biosynthesis</t>
  </si>
  <si>
    <t>YOR322C</t>
  </si>
  <si>
    <t>YOR321W</t>
  </si>
  <si>
    <t>PMT3</t>
  </si>
  <si>
    <t>Protein O-mannosyltransferase, transfers mannose residues from dolichyl phosphate-D-mannose to protein serinethreonine residues, acts in a complex with Pmt5p, can instead interact with Pmt1p in some conditions, target for new antifungals</t>
  </si>
  <si>
    <t>YOR320C</t>
  </si>
  <si>
    <t>GNT1</t>
  </si>
  <si>
    <t>N-acetylglucosaminyltransferase capable of modification of N-linked glycans in the Golgi apparatus</t>
  </si>
  <si>
    <t>YOR319W</t>
  </si>
  <si>
    <t>HSH49</t>
  </si>
  <si>
    <t>Putative mitochondrial inner membrane transporter, member of the mitochondrial carrier (MCF) family</t>
  </si>
  <si>
    <t>YPR057W</t>
  </si>
  <si>
    <t>BRR1</t>
  </si>
  <si>
    <t>snRNP protein component of spliceosomal snRNPs, required for pre-mRNA splicing and snRNP biogenesis, in null mutant newly-synthesized snRNAs are destabilized and 3-end processing is slowed</t>
  </si>
  <si>
    <t>YPR056W</t>
  </si>
  <si>
    <t>TFB4</t>
  </si>
  <si>
    <t>Subunit of TFIIH complex, involved in transcription initiation, similar to 34 kDa subunit of human TFIIH, interacts with Ssl1p</t>
  </si>
  <si>
    <t>YPR055W</t>
  </si>
  <si>
    <t>SEC8</t>
  </si>
  <si>
    <t>Essential 121kDa subunit of the exocyst complex (Sec3p, Sec5p, Sec6p, Sec8p, Sec10p, Sec15p, Exo70p, and Exo84p), which has the essential function of mediating polarized targeting of secretory vesicles to active sites of exocytosis</t>
  </si>
  <si>
    <t>YPR054W</t>
  </si>
  <si>
    <t>SMK1</t>
  </si>
  <si>
    <t>Middle sporulation-specific mitogen-activated protein kinase (MAPK) required for spore morphogenesis</t>
  </si>
  <si>
    <t>YPR052C</t>
  </si>
  <si>
    <t>NHP6A</t>
  </si>
  <si>
    <t>High-mobility group non-histone chromatin protein, functionally redundant with Nhp6Bp, homologous to mammalian high mobility group proteins 1 and 2, acts to recruit transcription factor Rcs1p to certain promoters</t>
  </si>
  <si>
    <t>YPR051W</t>
  </si>
  <si>
    <t>MAK3</t>
  </si>
  <si>
    <t>Catalytic subunit of N-terminal acetyltransferase of the NatC type, required for replication of dsRNA virus</t>
  </si>
  <si>
    <t>YPR049C</t>
  </si>
  <si>
    <t>ATG11</t>
  </si>
  <si>
    <t>Peripheral membrane protein required for delivery of aminopeptidase I (Lap4p) to the vacuole in the cytoplasm-to-vacuole targeting pathway, also required for peroxisomal degradation (pexophagy)</t>
  </si>
  <si>
    <t>YPR048W</t>
  </si>
  <si>
    <t>TAH18</t>
  </si>
  <si>
    <t>Protein with a potential role in DNA replication, displays synthetic lethal genetic interaction with the pol3-13 allele of POL3, which encodes DNA polymerase delta</t>
  </si>
  <si>
    <t>YPR047W</t>
  </si>
  <si>
    <t>MSF1</t>
  </si>
  <si>
    <t>Mitochondrial phenylalanyl-tRNA synthetase alpha subunit, active as a monomer, unlike the cytoplasmic subunit which is active as a dimer complexed to a beta subunit dimer, similar to the alpha subunit of E. coli phenylalanyl-tRNA synthetase</t>
  </si>
  <si>
    <t>YPR046W</t>
  </si>
  <si>
    <t>MCM16</t>
  </si>
  <si>
    <t>Protein involved in kinetochore-microtubule mediated chromosome segregation, binds to centromere DNA</t>
  </si>
  <si>
    <t>YPR045C</t>
  </si>
  <si>
    <t>YPR043W</t>
  </si>
  <si>
    <t>RPL43A</t>
  </si>
  <si>
    <t>Protein component of the large (60S) ribosomal subunit, identical to Rpl43Bp and has similarity to rat L37a ribosomal protein, null mutation confers a dominant lethal phenotype</t>
  </si>
  <si>
    <t>YPR042C</t>
  </si>
  <si>
    <t>PUF2</t>
  </si>
  <si>
    <t>Predicted malonyl-CoA:ACP transferase, putative component of a type-II mitochondrial fatty acid synthase that produces intermediates for phospholipid remodeling</t>
  </si>
  <si>
    <t>YOR220W</t>
  </si>
  <si>
    <t>YOR219C</t>
  </si>
  <si>
    <t>STE13</t>
  </si>
  <si>
    <t>Dipeptidyl aminopeptidase, Golgi integral membrane protein that cleaves on the carboxyl side of repeating -X-Ala- sequences, required for maturation of alpha factor, transcription is induced by a-factor</t>
  </si>
  <si>
    <t>YOR217W</t>
  </si>
  <si>
    <t>RFC1</t>
  </si>
  <si>
    <t>Subunit of heteropentameric Replication factor C (RF-C), which is a DNA binding protein and ATPase that acts as a clamp loader of the proliferating cell nuclear antigen (PCNA) processivity factor for DNA polymerases delta and epsilon</t>
  </si>
  <si>
    <t>YOR216C</t>
  </si>
  <si>
    <t>RUD3</t>
  </si>
  <si>
    <t>Golgi matrix protein involved in the structural organization of the cis-Golgi, interacts genetically with COG3 and USO1</t>
  </si>
  <si>
    <t>YOR215C</t>
  </si>
  <si>
    <t>YOR214C</t>
  </si>
  <si>
    <t>YOR213C</t>
  </si>
  <si>
    <t>SAS5</t>
  </si>
  <si>
    <t>Subunit of the SAS complex (Sas2p, Sas4p, Sas5p), which  acetylates free histones and nucleosomes and regulates transcriptional silencing, stimulates Sas2p HAT activity</t>
  </si>
  <si>
    <t>YOR212W</t>
  </si>
  <si>
    <t>STE4</t>
  </si>
  <si>
    <t>G protein beta subunit, forms a dimer with Ste18p to activate the mating signaling pathway, forms a heterotrimer with Gpa1p and Ste18p to dampen signaling, may recruit Rho1p to the polarized growth site during mating, contains WD40 repeats</t>
  </si>
  <si>
    <t>YOR211C</t>
  </si>
  <si>
    <t>MGM1</t>
  </si>
  <si>
    <t>Mitochondrial GTPase related to dynamin, present in a complex containing Ugo1p and Fzo1p, required for normal morphology of cristae and for stability of Tim11p, homolog of human OPA1 involved in autosomal dominant optic atrophy</t>
  </si>
  <si>
    <t>YOR210W</t>
  </si>
  <si>
    <t>RPB10</t>
  </si>
  <si>
    <t>RNA polymerase subunit ABC10-beta, common to RNA polymerases I, II, and III</t>
  </si>
  <si>
    <t>YOR209C</t>
  </si>
  <si>
    <t>NPT1</t>
  </si>
  <si>
    <t>Nicotinate phosphoribosyltransferase, acts in the salvage pathway of NAD+ biosynthesis, required for silencing at rDNA and telomeres and has a role in silencing at mating-type loci, localized to the nucleus</t>
  </si>
  <si>
    <t>YOR208W</t>
  </si>
  <si>
    <t>PTP2</t>
  </si>
  <si>
    <t>Phosphotyrosine-specific protein phosphatase involved in the inactivation of mitogen-activated protein kinase (MAPK) during osmolarity sensing, dephosporylates Hog1p MAPK and regulates its localization, localized to the nucleus</t>
  </si>
  <si>
    <t>YOR207C</t>
  </si>
  <si>
    <t>RET1</t>
  </si>
  <si>
    <t>Second-largest subunit of RNA polymerase III, which is responsible for the transcription of tRNA and 5S RNA genes, and other low molecular weight RNAs</t>
  </si>
  <si>
    <t>YOR206W</t>
  </si>
  <si>
    <t>NOC2</t>
  </si>
  <si>
    <t>Protein that forms a nucleolar complex with Mak21p that binds to 90S and 66S pre-ribosomes, as well as a nuclear complex with Noc3p that binds to 66S pre-ribosomes, both complexes mediate intranuclear transport of ribosomal precursors</t>
  </si>
  <si>
    <t>YOR205C</t>
  </si>
  <si>
    <t>YOR204W</t>
  </si>
  <si>
    <t>DED1</t>
  </si>
  <si>
    <t>ATP-dependent DEAD (Asp-Glu-Ala-Asp)-box RNA helicase, required for translation initiation of all yeast mRNAs, mutations in human DEAD-box DBY are a frequent cause of male infertility</t>
  </si>
  <si>
    <t>YOR202W</t>
  </si>
  <si>
    <t>HIS3</t>
  </si>
  <si>
    <t>Imidazoleglycerol-phosphate dehydratase, catalyzes the sixth step in histidine biosynthesis, mutations cause histidine auxotrophy and sensitivity to Cu, Co, and Ni salts, transcription is regulated by general amino acid control via Gcn4p</t>
  </si>
  <si>
    <t>YOR201C</t>
  </si>
  <si>
    <t>Ribose methyltransferase that modifies a functionally critical, conserved nucleotide in mitochondrial 21S rRNA</t>
  </si>
  <si>
    <t>YOR198C</t>
  </si>
  <si>
    <t>BFR1</t>
  </si>
  <si>
    <t>Component of mRNP complexes associated with polyribosomes, implicated in secretion and nuclear segregation, multicopy suppressor of BFA (Brefeldin A) sensitivity</t>
  </si>
  <si>
    <t>YOR197W</t>
  </si>
  <si>
    <t>MCA1</t>
  </si>
  <si>
    <t>Putative cysteine protease similar to mammalian caspases, involved in regulation of apoptosis upon hydrogen peroxide treatment</t>
  </si>
  <si>
    <t>YOR196C</t>
  </si>
  <si>
    <t>LIP5</t>
  </si>
  <si>
    <t>Protein involved in biosynthesis of the coenzyme lipoic acid, has similarity to E. coli lipoic acid synthase</t>
  </si>
  <si>
    <t>YOR195W</t>
  </si>
  <si>
    <t>SLK19</t>
  </si>
  <si>
    <t>Kinetochore-associated protein required for normal segregation of chromosomes in meiosis and mitosis, component of the FEAR regulatory network, which promotes Cdc14p release from the nucleolus during anaphase, potential Cdc28p substrate</t>
  </si>
  <si>
    <t>YOR194C</t>
  </si>
  <si>
    <t>TOA1</t>
  </si>
  <si>
    <t>Transcription factor IIA, large chain</t>
  </si>
  <si>
    <t>YOR193W</t>
  </si>
  <si>
    <t>PEX27</t>
  </si>
  <si>
    <t>Peripheral peroxisomal membrane protein involved in controlling peroxisome size and number, interacts with homologous protein Pex25p</t>
  </si>
  <si>
    <t>YOR192C-C</t>
  </si>
  <si>
    <t>GPI10</t>
  </si>
  <si>
    <t>Regulator of ornithine decarboxylase (Spe1p), antizyme that binds to Spe1p to regulate ubiquitin-independent degradation, ribosomal frameshifting during synthesis of Oaz1p and its ubiquitin-mediated degradation are both polyamine-regulated</t>
  </si>
  <si>
    <t>YPL051W</t>
  </si>
  <si>
    <t>ARL3</t>
  </si>
  <si>
    <t>GTPase of the Ras superfamily required to recruit Arl1p to the Golgi, similar to ADP-ribosylation factor</t>
  </si>
  <si>
    <t>YPL050C</t>
  </si>
  <si>
    <t>MNN9</t>
  </si>
  <si>
    <t>Subunit of Golgi mannosyltransferase complex also containing Anp1p, Mnn10p, Mnn11p, and Hoc1p that mediates elongation of the polysaccharide mannan backbone, forms a separate complex with Van1p that is also involved in backbone elongation</t>
  </si>
  <si>
    <t>YPL049C</t>
  </si>
  <si>
    <t>DIG1</t>
  </si>
  <si>
    <t>Regulatory protein of unknown function, constitutively-expressed, involved in the regulation of mating-specific genes and the invasive growth pathway, required for MAP-kinase imposed repression, inhibits pheromone-responsive transcription</t>
  </si>
  <si>
    <t>YPL048W</t>
  </si>
  <si>
    <t>CAM1</t>
  </si>
  <si>
    <t>Translational cofactor elongation factor-1 gamma, participates in the regulation of GTP-binding protein EF-1 alpha, may play a redundant role in the regulation of protein synthesis or another GTP-dependent process</t>
  </si>
  <si>
    <t>YPL047W</t>
  </si>
  <si>
    <t>SGF11</t>
  </si>
  <si>
    <t>Integral subunit of SAGA histone acetyltransferase complex, regulates transcription of a subset of SAGA-regulated genes, required for the Ubp8p association with SAGA and for H2B deubiquitylation</t>
  </si>
  <si>
    <t>YPL046C</t>
  </si>
  <si>
    <t>ELC1</t>
  </si>
  <si>
    <t>Elongin C, forms heterodimer with Ela1p that participates in transcription elongation, expression dramatically upregulated during sporulation, widely conserved among eukaryotes</t>
  </si>
  <si>
    <t>YPL045W</t>
  </si>
  <si>
    <t>VPS16</t>
  </si>
  <si>
    <t>Gamma subunit of the translation initiation factor eIF2B, the guanine-nucleotide exchange factor for eIF2, activity subsequently regulated by phosphorylated eIF2, first identified as a negative regulator of GCN4 expression</t>
  </si>
  <si>
    <t>YOR259C</t>
  </si>
  <si>
    <t>RPT4</t>
  </si>
  <si>
    <t>One of six ATPases of the 19S regulatory particle of the 26S proteasome involved in the degradation of ubiquitinated substrates, required for spindle pole body duplication, localized mainly to the nucleus throughout the cell cycle</t>
  </si>
  <si>
    <t>YOR258W</t>
  </si>
  <si>
    <t>HNT3</t>
  </si>
  <si>
    <t>Member of the third branch of the histidine triad (HIT) superfamily of nucleotide-binding proteins, similar to Aprataxin, a Hint related protein that is mutated in individuals with ataxia with oculomotor apraxia</t>
  </si>
  <si>
    <t>YOR257W</t>
  </si>
  <si>
    <t>CDC31</t>
  </si>
  <si>
    <t>Component of the spindle pole body (SPB) half-bridge, required for SPB duplication in mitosis and meiosis II, homolog of mammalian centrin, interacts with Kar1p</t>
  </si>
  <si>
    <t>YOR256C</t>
  </si>
  <si>
    <t>Protein of unknown function with similarity to TRE1YPL176C, required for cell viability</t>
  </si>
  <si>
    <t>YOR255W</t>
  </si>
  <si>
    <t>OSW1</t>
  </si>
  <si>
    <t>Protein of unknown function required for the construction of the outer spore wall layers</t>
  </si>
  <si>
    <t>YOR254C</t>
  </si>
  <si>
    <t>SEC63</t>
  </si>
  <si>
    <t>YOR253W</t>
  </si>
  <si>
    <t>NAT5</t>
  </si>
  <si>
    <t>Subunit of the N-terminal acetyltransferase NatA (Nat1p, Ard1p, Nat5p), N-terminally acetylates many proteins, which influences multiple processes such as the cell cycle, heat-shock resistance, mating, sporulation, and telomeric silencing</t>
  </si>
  <si>
    <t>YOR252W</t>
  </si>
  <si>
    <t>YOR251C</t>
  </si>
  <si>
    <t>catalyzes transfer of the sulfane atom of thiosulfate to cyanide to form sulfite and thiocyanate</t>
  </si>
  <si>
    <t>YOR250C</t>
  </si>
  <si>
    <t>CLP1</t>
  </si>
  <si>
    <t>Subunit of cleavage factor I (CFI), involved in both the endonucleolyitc cleavage and polyadenylation steps of mRNA 3? end maturation</t>
  </si>
  <si>
    <t>YOR249C</t>
  </si>
  <si>
    <t>APC5</t>
  </si>
  <si>
    <t>Subunit of the Anaphase-Promoting ComplexCyclosome (APCC), which is a ubiquitin-protein ligase required for degradation of anaphase inhibitors, including mitotic cyclins, during the metaphaseanaphase transition</t>
  </si>
  <si>
    <t>YOR247W</t>
  </si>
  <si>
    <t>SRL1</t>
  </si>
  <si>
    <t>Mannoprotein that exhibits a tight association with the cell wall, required for cell wall stability in the absence of GPI-anchored mannoproteins, has a high serine-threonine content, expression is induced in cell wall mutants</t>
  </si>
  <si>
    <t>YOR246C</t>
  </si>
  <si>
    <t>Protein with similarity to oxidoreductases, found in lipid particles, required for replication of Brome mosaic virus in S. cerevisiae, which is a model system for studying replication of positive-strand RNA viruses in their natural hosts</t>
  </si>
  <si>
    <t>YOR245C</t>
  </si>
  <si>
    <t>DGA1</t>
  </si>
  <si>
    <t>Diacylglycerol acyltransferase, catalyzes the terminal step of triacylglycerol (TAG) formation, acylates diacylglycerol using acyl-CoA as an acyl donor, localized to lipid particles</t>
  </si>
  <si>
    <t>YOR244W</t>
  </si>
  <si>
    <t>ESA1</t>
  </si>
  <si>
    <t>Histone acetyltransferase catalytic subunit of the native multisubunit complex (NuA4) that acetylates four conserved internal lysines of histone H4 N-terminal tail, required for cell cycle progression</t>
  </si>
  <si>
    <t>YOR243C</t>
  </si>
  <si>
    <t>PUS7</t>
  </si>
  <si>
    <t>Pseudouridine synthase, catalyzes pseudouridylation at position 35 in U2 snRNA, position 13 in cytoplasmic tRNAs, and position 35 in pre-tRNA(Tyr), Asp(256) mutation abolishes activity, conserved in archaea, some bacteria, and vertebrates</t>
  </si>
  <si>
    <t>YOR242C</t>
  </si>
  <si>
    <t>SSP2</t>
  </si>
  <si>
    <t>Sporulation specific protein that localizes to the spore wall, required for sporulation at a point after meiosis II and during spore wall formation, SSP2 expression is induced midway in meiosis</t>
  </si>
  <si>
    <t>YOR241W</t>
  </si>
  <si>
    <t>MET7</t>
  </si>
  <si>
    <t>Folylpolyglutamate synthetase, catalyzes extension of the glutamate chains of the folate coenzymes, required for methionine synthesis and for maintenance of mitochondrial DNA, present in both the cytoplasm and mitochondria</t>
  </si>
  <si>
    <t>YOR239W</t>
  </si>
  <si>
    <t>ABP140</t>
  </si>
  <si>
    <t>Protein required for the spindle pole body (SPB) duplication, localized at the central plaque periphery, forms a complex with a nuclear envelope protein Mps2p and SPB components Spc29p and Kar1p, required for mitotic functions of Cdc5p</t>
  </si>
  <si>
    <t>YPL254W</t>
  </si>
  <si>
    <t>HFI1</t>
  </si>
  <si>
    <t>Adaptor protein required for structural integrity of the SAGA complex, a histone acetyltransferase-coactivator complex that is involved in global regulation of gene expression through acetylation and transcription functions</t>
  </si>
  <si>
    <t>YPL253C</t>
  </si>
  <si>
    <t>VIK1</t>
  </si>
  <si>
    <t>Protein that forms a complex with Kar3p at the spindle pole body, possible regulator of Kar3p function in microtubule-mediated processes, required for sister chromatid cohesion, has similarity to Cik1p</t>
  </si>
  <si>
    <t>YPL252C</t>
  </si>
  <si>
    <t>YAH1</t>
  </si>
  <si>
    <t>Ferredoxin of the mitochondrial matrix required for formation of cellular iron-sulfur proteins, involved in heme A biosynthesis, homologous to human adrenodoxin</t>
  </si>
  <si>
    <t>YPL250C</t>
  </si>
  <si>
    <t>ICY2</t>
  </si>
  <si>
    <t>Protein that interacts with the cytoskeleton and is involved in chromatin organization and nuclear transport, interacts genetically with TCP1 and ICY1, potential Cdc28p substrate</t>
  </si>
  <si>
    <t>YPL249C-A</t>
  </si>
  <si>
    <t>RPL36B</t>
  </si>
  <si>
    <t>Protein component of the large (60S) ribosomal subunit, nearly identical to Rpl36Ap and has similarity to rat L36 ribosomal protein, binds to 5.8 S rRNA</t>
  </si>
  <si>
    <t>YPL249C</t>
  </si>
  <si>
    <t>GYP5</t>
  </si>
  <si>
    <t>GTPase-activating protein (GAP) for yeast Rab family members, involved in ER to Golgi trafficking, exhibits GAP activity toward Ypt1p that is stimulated by Gyl1p, also acts on Sec4p, interacts with Gyl1p, Rvs161p and Rvs167p</t>
  </si>
  <si>
    <t>YPL247C</t>
  </si>
  <si>
    <t>YPL246C</t>
  </si>
  <si>
    <t>RBD2</t>
  </si>
  <si>
    <t>Possible rhomboid protease, has similarity to eukaryotic rhomboid proteases including Pcp1p</t>
  </si>
  <si>
    <t>YPL245W</t>
  </si>
  <si>
    <t>YPL244C</t>
  </si>
  <si>
    <t>HUT1</t>
  </si>
  <si>
    <t>Protein with a role in UDP-galactose transport to the Golgi lumen, has similarity to human UDP-galactose transporter UGTrel1, exhibits a genetic interaction with S. cerevisiae ERO1</t>
  </si>
  <si>
    <t>YPL243W</t>
  </si>
  <si>
    <t>SRP68</t>
  </si>
  <si>
    <t>Core component of the signal recognition particle (SRP) ribonucleoprotein (RNP) complex that functions in targeting nascent secretory proteins to the endoplasmic reticulum (ER) membrane</t>
  </si>
  <si>
    <t>YPL242C</t>
  </si>
  <si>
    <t>IQG1</t>
  </si>
  <si>
    <t>NCR1</t>
  </si>
  <si>
    <t>Vacuolar membrane protein that transits through the biosynthetic vacuolar protein sorting pathway, involved in sphingolipid metabolism, glycoprotein homologous to human Niemann Pick C1 (NPC) protein</t>
  </si>
  <si>
    <t>YPL005W</t>
  </si>
  <si>
    <t>AEP3</t>
  </si>
  <si>
    <t>Peripheral mitochondrial inner membrane protein, located on the matrix face of the membrane, stabilizes the bicistronic AAP1-ATP6 mRNA encoding subunits 6 and 8 of the ATP synthase complex</t>
  </si>
  <si>
    <t>YPL004C</t>
  </si>
  <si>
    <t>LSP1</t>
  </si>
  <si>
    <t>Long chain base-responsive inhibitor of protein kinases Phk1p and Phk2p, acts along with Pil1p to down-regulate heat stress resistance via regulation of the Pkc1p and Ypk1p pathways, phosphorylated by Phk1p and Phk2p</t>
  </si>
  <si>
    <t>YPL003W</t>
  </si>
  <si>
    <t>ULA1</t>
  </si>
  <si>
    <t>Protein that acts together with Uba3p to activate Rub1p before its conjugation to proteins (neddylation), which may play a role in protein degradation</t>
  </si>
  <si>
    <t>YPL002C</t>
  </si>
  <si>
    <t>SNF8</t>
  </si>
  <si>
    <t>Component of the ESCRT-II complex, which is involved in ubiquitin-dependent sorting of proteins into the endosome, appears to be functionally related to SNF7, involved in glucose derepression</t>
  </si>
  <si>
    <t>YPL001W</t>
  </si>
  <si>
    <t>HAT1</t>
  </si>
  <si>
    <t>Catalytic subunit of the Hat1p-Hat2p histone acetyltransferase complex that uses the cofactor acetyl coenzyme A, to acetylate free nuclear and cytoplasmic histone H4, involved in telomeric silencing and DNA double-strand break repair</t>
  </si>
  <si>
    <t>YOR394W</t>
  </si>
  <si>
    <t>PAU3</t>
  </si>
  <si>
    <t>Hypothetical protein  Hypothetical protein  Hypothetical protein  Hypothetical protein  Hypothetical protein  Part of 23-member seripauperin multigene family encoded mainly in subtelomeric regions, active during alcoholic fermentation, regulated by anaerobiosis, negatively regulated by oxygen, repressed by heme</t>
  </si>
  <si>
    <t>YOR394C-A</t>
  </si>
  <si>
    <t>Identified by gene-trapping, microarray-based expression analysis, and genome-wide homology searching    Identified by fungal homology and RT-PCR</t>
  </si>
  <si>
    <t>YOR390W</t>
  </si>
  <si>
    <t>YOR389W</t>
  </si>
  <si>
    <t>Hypothetical protein  Hypothetical protein  Hypothetical protein</t>
  </si>
  <si>
    <t>YOR388C</t>
  </si>
  <si>
    <t>NAD(+)-dependent formate dehydrogenase, may protect cells from exogenous formate, YPL275W and YPL276W comprise a continuous open reading frame in some S. cerevisiae strains but not in the genomic reference strain S288C  NAD(+)-dependent formate dehydrogenase, may protect cells from exogenous formate, YPL275W and YPL276W comprise a continuous open reading frame in some S. cerevisiae strains but not in the genomic reference strain S288C  NAD(+)-dependent formate dehydrogenase, may protect cells from exogenous formate</t>
  </si>
  <si>
    <t>YOR387C</t>
  </si>
  <si>
    <t>YOR386W</t>
  </si>
  <si>
    <t>PHR1</t>
  </si>
  <si>
    <t>DNA photolyase involved in photoreactivation, repairs pyrimidine dimers in the presence of visible light, induced by DNA damage, regulated by transcriptional repressor Rph1p</t>
  </si>
  <si>
    <t>YOR385W</t>
  </si>
  <si>
    <t>YOR384W</t>
  </si>
  <si>
    <t>FRE5</t>
  </si>
  <si>
    <t>Putative ferric reductase with similarity to Fre2p, expression induced by low iron levels</t>
  </si>
  <si>
    <t>YOR383C</t>
  </si>
  <si>
    <t>FIT3</t>
  </si>
  <si>
    <t>Mannoprotein that is incorporated into the cell wall via a glycosylphosphatidylinositol (GPI) anchor, involved in the retention of siderophore-iron in the cell wall</t>
  </si>
  <si>
    <t>YOR382W</t>
  </si>
  <si>
    <t>FIT2</t>
  </si>
  <si>
    <t>YOR381W-A</t>
  </si>
  <si>
    <t>YOR381W</t>
  </si>
  <si>
    <t>FRE3</t>
  </si>
  <si>
    <t>Ferric reductase, reduces siderophore-bound iron prior to uptake by transporters, expression induced by low iron levels</t>
  </si>
  <si>
    <t>YOR380W</t>
  </si>
  <si>
    <t>RDR1</t>
  </si>
  <si>
    <t>Transcriptional repressor involved in the control of multidrug resistance, negatively regulates expression of the PDR5 gene, member of the Gal4p family of zinc cluster proteins</t>
  </si>
  <si>
    <t>YOR378W</t>
  </si>
  <si>
    <t>YOR377W</t>
  </si>
  <si>
    <t>ATF1</t>
  </si>
  <si>
    <t>Alcohol acetyltransferase with potential roles in lipid and sterol metabolism, responsible for the major part of volatile acetate ester production during fermentation</t>
  </si>
  <si>
    <t>YOR376W-A</t>
  </si>
  <si>
    <t>YOR375C</t>
  </si>
  <si>
    <t>GDH1</t>
  </si>
  <si>
    <t>NADP(+)-dependent glutamate dehydrogenase, synthesizes glutamate from ammonia and alpha-ketoglutarate, rate of alpha-ketoglutarate utilization differs from Gdh3p, expression regulated by nitrogen and carbon sources</t>
  </si>
  <si>
    <t>YOR374W</t>
  </si>
  <si>
    <t>ALD4</t>
  </si>
  <si>
    <t>Mitochondrial aldehyde dehydrogenase, required for growth on ethanol and conversion of acetaldehyde to acetate, activity is K+ dependent, utilizes NADP+ or NAD+ equally as coenzymes, expression is glucose repressed</t>
  </si>
  <si>
    <t>YOR373W</t>
  </si>
  <si>
    <t>NUD1</t>
  </si>
  <si>
    <t>Component of the spindle pole body outer plaque, required for exit from mitosis</t>
  </si>
  <si>
    <t>YOR372C</t>
  </si>
  <si>
    <t>NDD1</t>
  </si>
  <si>
    <t>Transcriptional activator essential for nuclear division, localized to the nucleus, essential component of the mechanism that activates the expression of a set of late-S-phase-specific genes</t>
  </si>
  <si>
    <t>YOR371C</t>
  </si>
  <si>
    <t>GPB1</t>
  </si>
  <si>
    <t>Proposed beta subunit of the heterotrimeric G protein that interacts with the receptor Grp1p, has signaling role in response to nutrients, involved in regulation of pseudohyphal growth through cAMP levels, homolog of Gpb2p</t>
  </si>
  <si>
    <t>YOR370C</t>
  </si>
  <si>
    <t>MRS6</t>
  </si>
  <si>
    <t>Rab escort protein, forms a complex with the Ras-like small GTPase Ypt1p that is required for the prenylation of Ypt1p by protein geranylgeranyltransferase type II (Bet2p-Bet4p)</t>
  </si>
  <si>
    <t>YOR369C</t>
  </si>
  <si>
    <t>RPS12</t>
  </si>
  <si>
    <t>Protein component of the small (40S) ribosomal subunit, has similarity to rat ribosomal protein S12</t>
  </si>
  <si>
    <t>YOR368W</t>
  </si>
  <si>
    <t>RAD17</t>
  </si>
  <si>
    <t>Checkpoint protein, involved in the activation of the DNA damage and meiotic pachytene checkpoints, with Mec3p and Ddc1p, forms a clamp that is loaded onto partial duplex DNA, homolog of human and S. pombe Rad1 and U. maydis Rec1 proteins</t>
  </si>
  <si>
    <t>YOR367W</t>
  </si>
  <si>
    <t>SCP1</t>
  </si>
  <si>
    <t>Component of yeast cortical actin cytoskeleton, binds and cross links actin filaments, originally identified by its homology to calponin (contains a calponin-like repeat) but the Scp1p domain structure is more similar to transgelin</t>
  </si>
  <si>
    <t>YOR365C</t>
  </si>
  <si>
    <t>YOR363C</t>
  </si>
  <si>
    <t>PIP2</t>
  </si>
  <si>
    <t>Autoregulatory oleate-specific transcriptional activator of peroxisome proliferation, contains Zn(2)-Cys(6) cluster domain, forms heterodimer with Oaf1p, binds oleate response elements (OREs), activates beta-oxidation genes</t>
  </si>
  <si>
    <t>YOR362C</t>
  </si>
  <si>
    <t>PRE10</t>
  </si>
  <si>
    <t>20S proteasome alpha-type subunit</t>
  </si>
  <si>
    <t>YOR361C</t>
  </si>
  <si>
    <t>PRT1</t>
  </si>
  <si>
    <t>Protein kinase involved in regulating diverse events including vesicular trafficking, gene expression, DNA repair, and chromosome segregation, binds the CTD of RNA pol II, homolog of mammalian casein kinase 1delta (CK1delta)</t>
  </si>
  <si>
    <t>YPL203W</t>
  </si>
  <si>
    <t>TPK2</t>
  </si>
  <si>
    <t>Subunit of cytoplasmic cAMP-dependent protein kinase, which contains redundant catalytic subunits Tpk1p, Tpk2p, and Tpk3p and regulatory subunit Bcy1p, promotes vegetative growth in response to nutrients, activates filamentous growth</t>
  </si>
  <si>
    <t>YPL202C</t>
  </si>
  <si>
    <t>AFT2</t>
  </si>
  <si>
    <t>Iron-regulated transcriptional activator, required for iron homeostasis and resistance to oxidative stress, similar to Aft1p</t>
  </si>
  <si>
    <t>YPL201C</t>
  </si>
  <si>
    <t>YPL200W</t>
  </si>
  <si>
    <t>CSM4</t>
  </si>
  <si>
    <t>Protein required for accurate chromosome segregation during meiosis</t>
  </si>
  <si>
    <t>YPL199C</t>
  </si>
  <si>
    <t>YPL196W</t>
  </si>
  <si>
    <t>OXR1</t>
  </si>
  <si>
    <t>Protein of unknown function required for normal levels of resistance to oxidative damage, null mutants are sensitive to hydrogen peroxide, member of a conserved family of proteins found in eukaryotes but not in prokaryotes</t>
  </si>
  <si>
    <t>YPL195W</t>
  </si>
  <si>
    <t>APL5</t>
  </si>
  <si>
    <t>Delta adaptin-like subunit of the clathrin associated protein complex (AP-3), functions in transport of alkaline phosphatase to the vacuole via the alternate pathway, suppressor of loss of casein kinase 1 function</t>
  </si>
  <si>
    <t>YPL194W</t>
  </si>
  <si>
    <t>DDC1</t>
  </si>
  <si>
    <t>DNA damage checkpoint protein, part of a PCNA-like complex required for DNA damage response, required for pachytene checkpoint to inhibit cell cycle in response to unrepaired recombination intermediates, potential Cdc28p substrate</t>
  </si>
  <si>
    <t>YPL193W</t>
  </si>
  <si>
    <t>RSA1</t>
  </si>
  <si>
    <t>Protein involved in the assembly of 60S ribosomal subunits, functionally interacts with Dbp6p, functions in a late nucleoplasmic step of the assembly</t>
  </si>
  <si>
    <t>YPL192C</t>
  </si>
  <si>
    <t>PRM3</t>
  </si>
  <si>
    <t>Pheromone-regulated protein required for karyogamy, localizes to the inner membrane of the nuclear envelope</t>
  </si>
  <si>
    <t>YPL191C</t>
  </si>
  <si>
    <t>YPL190C</t>
  </si>
  <si>
    <t>NAB3</t>
  </si>
  <si>
    <t>Single stranded DNA binding protein, acidic ribonucleoprotein, required for termination of non-poly(A) transcripts and efficient splicing, interacts with Nrd1p</t>
  </si>
  <si>
    <t>YPL189W</t>
  </si>
  <si>
    <t>GUP2</t>
  </si>
  <si>
    <t>TyA Gag protein, the main structural constituent of virus-like particles (VLPs)  TyB Gag-Pol protein, proteolytically processed to make the Gag, RT, PR, and IN proteins that are required for retrotransposition  TyA Gag protein, the main structural constituent of virus-like particles (VLPs)  TyA Gag protein, the main structural constituent of virus-like particles (VLPs)  TyB Gag-Pol protein, proteolytically processed to make the Gag, RT, PR, and IN proteins that are required for retrotransposition  TyA Gag protein, the main structural constituent of virus-like particles (VLPs)  TyA Gag protein, the main structural constituent of virus-like particles (VLPs)  TyB Gag-Pol protein, proteolytically processed to make the Gag, RT, PR, and IN proteins that are required for retrotransposition  TyB Gag-Pol protein, proteolytically processed to make the Gag, RT, PR, and IN proteins that are required for retrotransposition  TyA Gag protein, the main structural constituent of virus-like particles (VLPs)  TyA Gag protein, the main structural constituent of virus-like particles (VLPs)  TyA Gag protein, the main structural constituent of virus-like particles (VLPs)  TyB Gag-Pol protein, proteolytically processed to make the Gag, RT, PR, and IN proteins that are required for retrotransposition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TyA Gag protein, the main structural constituent of virus-like particles (VLPs)  Hypothetical protein  TyA Gag protein, the main structural constituent of virus-like particles (VLPs)  TyB Gag-Pol protein, proteolytically processed to make the Gag, RT, PR, and IN proteins that are required for retrotransposition  Identified by expression profiling and mass spectrometry  TyA Gag protein, the main structural constituent of virus-like particles (VLPs)  TyB Gag-Pol protein, proteolytically processed to make the Gag, RT, PR, and IN proteins that are required for retrotransposition  TyB Gag-Pol protein, proteolytically processed to make the Gag, RT, PR, and IN proteins that are required for retrotransposition  TyA Gag protein, the main structural constituent of virus-like particles (VLPs)  TyA Gag protein, the main structural constituent of virus-like particles (VLPs)  TyA Gag protein, the main structural constituent of virus-like particles (VLPs)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 ORF  TyB Gag-Pol protein, proteolytically processed to make the Gag, RT, PR, and IN proteins that are required for retrotransposition  TyA Gag protein, the main structural constituent of virus-like particles (VLPs)  TyA Gag protein, the main structural constituent of virus-like particles (VLPs)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TyA Gag protein, the main structural constituent of virus-like particles (VLPs)  Integral membrane protein involved in glycosylphosphatidylinositol (GPI) anchor synthesis, putative alpha 1,2 mannosyltransferase required for addition of the third mannose onto the GPI core structure, human PIG-Bp is a functional homolog  TyA Gag protein, the main structural constituent of virus-like particles (VLPs)  TyB Gag-Pol protein, proteolytically processed to make the Gag, RT, PR, and IN proteins that are required for retrotransposition  TyB Gag-Pol protein, proteolytically processed to make the Gag, RT, PR, and IN proteins that are required for retrotransposition  TyA Gag protein, the main structural constituent of virus-like particles (VLPs)  Similar to TyB and TyA  TyA Gag protein, the main structural constituent of virus-like particles (VLPs)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TyB Gag-Pol protein, proteolytically processed to make the Gag, RT, PR, and IN proteins that are required for retrotransposition  TyA Gag protein, the main structural constituent of virus-like particles (VLPs)  TyA Gag protein, the main structural constituent of virus-like particles (VLPs)  TyA Gag protein, the main structural constituent of virus-like particles (VLPs)  TyB Gag-Pol protein, proteolytically processed to make the Gag, RT, PR, and IN proteins that are required for retrotransposition  TyA Gag protein, the main structural constituent of virus-like particles (VLPs)  TyA Gag protein, the main structural constituent of virus-like particles (VLPs)  TyA Gag protein, the main structural constituent of virus-like particles (VLPs)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TyA Gag protein, the main structural constituent of virus-like particles (VLPs)  TyA Gag protein, the main structural constituent of virus-like particles (VLPs)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t>
  </si>
  <si>
    <t>Non-essential protein containing a HIT (histidine triad) motif, regulated by Msn2p, Msn4p, and the Ras-cAMP-cAPK signaling pathway, transcript accumulates under glucose limitation, similar to Dcs1p</t>
  </si>
  <si>
    <t>YOR172W</t>
  </si>
  <si>
    <t>YRM1</t>
  </si>
  <si>
    <t>Zn2-Cys6 zinc-finger transcription factor that activates genes involved in multidrug resistance, paralog of Yrr1p, acting on an overlapping set of target genes</t>
  </si>
  <si>
    <t>YOR171C</t>
  </si>
  <si>
    <t>LCB4</t>
  </si>
  <si>
    <t>Sphingoid long-chain base kinase, responsible for synthesis of long-chain base phosphates, which function as signaling molecules, regulates synthesis of ceramide from exogenous long-chain bases, localizes to the Golgi and late endosomes</t>
  </si>
  <si>
    <t>YOR168W</t>
  </si>
  <si>
    <t>GLN4</t>
  </si>
  <si>
    <t>Glutamine tRNA synthetase, monomeric class I tRNA synthetase that catalyzes the specific glutaminylation of tRNA(Glu), N-terminal domain proposed to be involved in enzyme-tRNA interactions</t>
  </si>
  <si>
    <t>YOR167C</t>
  </si>
  <si>
    <t>RPS28A</t>
  </si>
  <si>
    <t>Endoplasmic reticulum (ER)-localized peripheral membrane protein required for Golgi-to-ER retrograde traffic, component of the ER target site that interacts with coatomer, the major component of the COPI vesicle protein coat</t>
  </si>
  <si>
    <t>YNL257C</t>
  </si>
  <si>
    <t>SIP3</t>
  </si>
  <si>
    <t>Protein that activates transcription through interaction with DNA-bound Snf1p, C-terminal region has a putative leucine zipper motif, potential Cdc28p substrate</t>
  </si>
  <si>
    <t>YNL256W</t>
  </si>
  <si>
    <t>FOL1</t>
  </si>
  <si>
    <t>Multifunctional enzyme of the folic acid biosynthesis pathway, has dihydropteroate synthetase, dihydro-6-hydroxymethylpterin pyrophosphokinase, and dihydroneopterin aldolase activities</t>
  </si>
  <si>
    <t>YNL255C</t>
  </si>
  <si>
    <t>GIS2</t>
  </si>
  <si>
    <t>Putative zinc finger protein with similarity to human CNBP, proposed to be involved in the RAScAMP signaling pathway</t>
  </si>
  <si>
    <t>YNL254C</t>
  </si>
  <si>
    <t>YNL253W</t>
  </si>
  <si>
    <t>TEX1</t>
  </si>
  <si>
    <t>transcription export complex component</t>
  </si>
  <si>
    <t>YNL252C</t>
  </si>
  <si>
    <t>MRPL17</t>
  </si>
  <si>
    <t>YNL251C</t>
  </si>
  <si>
    <t>NRD1</t>
  </si>
  <si>
    <t>RNA-binding protein that interacts with the C-terminal domain of the RNA polymerase II large subunit (Rpo21p), required for transcription termination and 3 end maturation of nonpolyadenylated RNAs</t>
  </si>
  <si>
    <t>YNL250W</t>
  </si>
  <si>
    <t>RAD50</t>
  </si>
  <si>
    <t>Subunit of MRX complex, with Mre11p and Xrs2p, involved in processing double-strand DNA breaks in vegetative cells, initiation of meiotic DSBs, telomere maintenance, and nonhomologous end joining</t>
  </si>
  <si>
    <t>YNL249C</t>
  </si>
  <si>
    <t>MPA43</t>
  </si>
  <si>
    <t>Mitochondrial protein of unknown function</t>
  </si>
  <si>
    <t>YNL248C</t>
  </si>
  <si>
    <t>RPA49</t>
  </si>
  <si>
    <t>RNA polymerase I subunit A49</t>
  </si>
  <si>
    <t>YNL247W</t>
  </si>
  <si>
    <t>YNL246W</t>
  </si>
  <si>
    <t>VPS75</t>
  </si>
  <si>
    <t>Protein of unknown function involved in vacuolar protein sorting, detected in the nucleus</t>
  </si>
  <si>
    <t>YNL245C</t>
  </si>
  <si>
    <t>CWC25</t>
  </si>
  <si>
    <t>Component of a complex containing Cef1p, involved in pre-mRNA splicing, has similarity to S. pombe Cwf25p</t>
  </si>
  <si>
    <t>YNL244C</t>
  </si>
  <si>
    <t>SUI1</t>
  </si>
  <si>
    <t>Translation initiation factor eIF1, component of a complex involved in recognition of the initiator codon, modulates translation accuracy at the initiation and elongation phases</t>
  </si>
  <si>
    <t>YNL243W</t>
  </si>
  <si>
    <t>SLA2</t>
  </si>
  <si>
    <t>Alpha subunit of succinyl-CoA ligase, which is a mitochondrial enzyme of the TCA cycle that catalyzes the nucleotide-dependent conversion of succinyl-CoA to succinate</t>
  </si>
  <si>
    <t>YOR141C</t>
  </si>
  <si>
    <t>ARP8</t>
  </si>
  <si>
    <t>Nuclear actin-related protein involved in chromatin remodeling, component of chromatin-remodeling enzyme complexes</t>
  </si>
  <si>
    <t>YOR140W</t>
  </si>
  <si>
    <t>SFL1</t>
  </si>
  <si>
    <t>Transcription repressor involved in regulation of flocculation-related genes, inhibits transcription by recruiting general corepressor Cyc8p-Tup1p to different promoters, negatively regulated by cAMP-dependent protein kinase A subunit Tpk2p</t>
  </si>
  <si>
    <t>YOR138C</t>
  </si>
  <si>
    <t>YOR137C</t>
  </si>
  <si>
    <t>SIA1</t>
  </si>
  <si>
    <t>Protein of unassigned function involved in activation of the Pma1p plasma membrane H+-ATPase by glucose</t>
  </si>
  <si>
    <t>YOR136W</t>
  </si>
  <si>
    <t>IDH2</t>
  </si>
  <si>
    <t>Subunit of mitochondrial NAD(+)-dependent isocitrate dehydrogenase, which catalyzes the oxidation of isocitrate to alpha-ketoglutarate in the TCA cycle</t>
  </si>
  <si>
    <t>YOR134W</t>
  </si>
  <si>
    <t>BAG7</t>
  </si>
  <si>
    <t>Rho GTPase activating protein (RhoGAP), stimulates the intrinsic GTPase activity of Rho1p, which plays a role in actin cytoskeleton organization and control of cell wall synthesis, structurally and functionally related to Sac7p</t>
  </si>
  <si>
    <t>YOR132W</t>
  </si>
  <si>
    <t>VPS17</t>
  </si>
  <si>
    <t>Subunit of the membrane-associated retromer complex essential for endosome-to-Golgi retrograde protein transport, peripheral membrane protein that assembles onto the membrane with Vps5p to promote vesicle formation</t>
  </si>
  <si>
    <t>YOR131C</t>
  </si>
  <si>
    <t>YOR130C</t>
  </si>
  <si>
    <t>ORT1</t>
  </si>
  <si>
    <t>Ornithine transporter of the mitochondrial inner membrane, exports ornithine from mitochondria as part of arginine biosynthesis, human ortholog is associated with hyperammonaemia-hyperornithinaemia-homocitrullinuria (HHH) syndrome</t>
  </si>
  <si>
    <t>YOR129C</t>
  </si>
  <si>
    <t>Putative component of the outer plaque of the spindle pole body, may be involved in cation homeostasis or multidrug resistance</t>
  </si>
  <si>
    <t>YOR128C</t>
  </si>
  <si>
    <t>ADE2</t>
  </si>
  <si>
    <t>Phosphoribosylaminoimidazole carboxylase, catalyzes a step in the de novo purine nucleotide biosynthetic pathway, red pigment accumulates in mutant cells deprived of adenine</t>
  </si>
  <si>
    <t>YOR127W</t>
  </si>
  <si>
    <t>RGA1</t>
  </si>
  <si>
    <t>GTPase-activating protein for the polarity-establishment protein Cdc42p, implicated in control of septin organization, pheromone response, and haploid invasive growth</t>
  </si>
  <si>
    <t>YOR126C</t>
  </si>
  <si>
    <t>IAH1</t>
  </si>
  <si>
    <t>Isoamyl acetate-hydrolyzing esterase, required in balance with alcohol acetyltransferase to maintain optimal amounts of isoamyl acetate, which is particularly important in sake brewing</t>
  </si>
  <si>
    <t>YOR125C</t>
  </si>
  <si>
    <t>CAT5</t>
  </si>
  <si>
    <t>Mitochondrial inner membrane protein directly involved in ubiquinone biosynthesis, essential for several other metabolic pathways including respiration and gluconeogenic gene activation</t>
  </si>
  <si>
    <t>YOR124C</t>
  </si>
  <si>
    <t>UBP2</t>
  </si>
  <si>
    <t>Ubiquitin-specific protease that removes ubiquitin from ubiquitinated proteins, cleaves at the C terminus of ubiquitin fusions, capable of cleaving polyubiquitin and possesses isopeptidase activity</t>
  </si>
  <si>
    <t>YOR123C</t>
  </si>
  <si>
    <t>LEO1</t>
  </si>
  <si>
    <t>Component of the Paf1 complex, which associates with RNA polymerase II and is involved in histone methylation</t>
  </si>
  <si>
    <t>YOR122C</t>
  </si>
  <si>
    <t>PFY1</t>
  </si>
  <si>
    <t>Profilin, actin- and phosphatidylinositol 4,5-bisphosphate-binding protein, plays a role in cytoskeleton organization, required for normal timing of actin polymerization in response to thermal stress, localizes to plasma membrane and cytosol</t>
  </si>
  <si>
    <t>YOR120W</t>
  </si>
  <si>
    <t>GCY1</t>
  </si>
  <si>
    <t>Putative NADP(+) coupled glycerol dehydrogenase, proposed to be involved in an alternative pathway for glycerol catabolism</t>
  </si>
  <si>
    <t>YOR119C</t>
  </si>
  <si>
    <t>RIO1</t>
  </si>
  <si>
    <t>Essential serine kinase involved in cell cycle progression and processing of the 20S pre-rRNA into mature 18S rRNA</t>
  </si>
  <si>
    <t>YOR118W</t>
  </si>
  <si>
    <t>YOR117W</t>
  </si>
  <si>
    <t>RPT5</t>
  </si>
  <si>
    <t>One of six ATPases of the 19S regulatory particle of the 26S proteasome involved in the degradation of ubiquitinated substrates, recruited to the GAL1-10 promoter region upon induction of transcription</t>
  </si>
  <si>
    <t>YOR116C</t>
  </si>
  <si>
    <t>RPO31</t>
  </si>
  <si>
    <t>RNA polymerase III subunit C160, part of core enzyme, similar to bacterial beta-prime subunit</t>
  </si>
  <si>
    <t>YOR115C</t>
  </si>
  <si>
    <t>TRS33</t>
  </si>
  <si>
    <t>One of 10 subunits of the transport protein particle (TRAPP) complex of the cis-Golgi which mediates vesicle docking and fusion, involved in endoplasmic reticulum (ER) to Golgi membrane traffic</t>
  </si>
  <si>
    <t>YOR114W</t>
  </si>
  <si>
    <t>YOR113W</t>
  </si>
  <si>
    <t>AZF1</t>
  </si>
  <si>
    <t>Zinc-finger transcription factor, involved in induction of CLN3 transcription in response to glucose, genetic and physical interactions indicate a possible role in mitochondrial transcription or genome maintenance</t>
  </si>
  <si>
    <t>YOR112W</t>
  </si>
  <si>
    <t>YOR111W</t>
  </si>
  <si>
    <t>YOR110W</t>
  </si>
  <si>
    <t>TFC7</t>
  </si>
  <si>
    <t>One of six subunits of the RNA polymerase III transcription initiation factor complex (TFIIIC), part of the TauA globular domain of TFIIIC that binds DNA at the BoxA promoter sites of tRNA and similar genes</t>
  </si>
  <si>
    <t>YOR109W</t>
  </si>
  <si>
    <t>INP53</t>
  </si>
  <si>
    <t>Phosphatidylinositol 4,5-bisphosphate 5-phosphatase, synaptojanin-like protein with an N-terminal Sac1 domain, plays a role in a TGN (trans Golgi network)-to-early endosome pathway, hyperosmotic stress causes translocation to actin patches</t>
  </si>
  <si>
    <t>YOR108W</t>
  </si>
  <si>
    <t>LEU9</t>
  </si>
  <si>
    <t>Alpha-isopropylmalate synthase II (2-isopropylmalate synthase), catalyzes the first step in the leucine biosynthesis pathway, the minor isozyme, responsible for the residual alpha-IPMS activity detected in a leu4 null mutant</t>
  </si>
  <si>
    <t>YOR107W</t>
  </si>
  <si>
    <t>RGS2</t>
  </si>
  <si>
    <t>Negative regulator of glucose-induced cAMP signaling, directly activates the GTPase activity of the heterotrimeric G protein alpha subunit Gpa2p</t>
  </si>
  <si>
    <t>YOR106W</t>
  </si>
  <si>
    <t>VAM3</t>
  </si>
  <si>
    <t>Syntaxin-related protein required for vacuolar assembly, functions with Vam7p in vacuolar protein trafficking, member of the syntaxin family of proteins</t>
  </si>
  <si>
    <t>YOR104W</t>
  </si>
  <si>
    <t>PIN2</t>
  </si>
  <si>
    <t>YOR103C</t>
  </si>
  <si>
    <t>OST2</t>
  </si>
  <si>
    <t>Epsilon subunit of the oligosaccharyltransferase complex of the ER lumen, which catalyzes asparagine-linked glycosylation of newly synthesized proteins</t>
  </si>
  <si>
    <t>YOR101W</t>
  </si>
  <si>
    <t>RAS1</t>
  </si>
  <si>
    <t>GTPase involved in G-protein signaling in the adenylate cyclase activating pathway, plays a role in cell proliferation, localized to the plasma membrane, homolog of mammalian RAS proto-oncogenes</t>
  </si>
  <si>
    <t>YOR100C</t>
  </si>
  <si>
    <t>CRC1</t>
  </si>
  <si>
    <t>Mitochondrial inner membrane carnitine transporter, required for carnitine-dependent transport of acetyl-CoA from peroxisomes to mitochondria during fatty acid beta-oxidation</t>
  </si>
  <si>
    <t>YOR099W</t>
  </si>
  <si>
    <t>KTR1</t>
  </si>
  <si>
    <t>Alpha-1,2-mannosyltransferase involved in O- and N-linked protein glycosylation, member of the KRE2MNT1 mannosyltransferase family</t>
  </si>
  <si>
    <t>YOR098C</t>
  </si>
  <si>
    <t>NUP1</t>
  </si>
  <si>
    <t>Nuclear pore complex (NPC) subunit, involved in protein importexport and in export of RNAs, possible karyopherin release factor that accelerates release of karyopherin-cargo complexes after transport across NPC, potential Cdc28p substrate</t>
  </si>
  <si>
    <t>YOR097C</t>
  </si>
  <si>
    <t>YOR096W</t>
  </si>
  <si>
    <t>RPS7A</t>
  </si>
  <si>
    <t>Protein component of the small (40S) ribosomal subunit, nearly identical to Rps7Bp, interacts with Kti11p, deletion causes hypersensitivity to zymocin, has similarity to rat S7 and Xenopus S8 ribosomal proteins</t>
  </si>
  <si>
    <t>YOR095C</t>
  </si>
  <si>
    <t>RKI1</t>
  </si>
  <si>
    <t>Ribose-5-phosphate ketol-isomerase, catalyzes the interconversion of ribose 5-phosphate and ribulose 5-phosphate in the pentose phosphate pathway</t>
  </si>
  <si>
    <t>YOR094W</t>
  </si>
  <si>
    <t>ARF3</t>
  </si>
  <si>
    <t>Glucose-repressible ADP-ribosylation factor, GTPase of the Ras superfamily involved in development of polarity</t>
  </si>
  <si>
    <t>YOR093C</t>
  </si>
  <si>
    <t>YOR092W</t>
  </si>
  <si>
    <t>ECM3</t>
  </si>
  <si>
    <t>Non-essential protein of unknown function</t>
  </si>
  <si>
    <t>YOR091W</t>
  </si>
  <si>
    <t>YOR090C</t>
  </si>
  <si>
    <t>PTC5</t>
  </si>
  <si>
    <t>Mitochondrially localized type 2C protein phosphatase, contains Mg2+Mn2+-dependent casein phosphatase activity in vitro but in vivo substrates are unknown</t>
  </si>
  <si>
    <t>YOR089C</t>
  </si>
  <si>
    <t>VPS21</t>
  </si>
  <si>
    <t>GTPase required for transport during endocytosis and for correct sorting of vacuolar hydrolases, localized in endocytic intermediates, detected in mitochondria, geranylgeranylation required for membrane association, mammalian Rab5 homolog</t>
  </si>
  <si>
    <t>YOR087W</t>
  </si>
  <si>
    <t>YVC1</t>
  </si>
  <si>
    <t>Vacuolar cation channel, mediates release of Ca(2+) from the vacuole in response to hyperosmotic shock</t>
  </si>
  <si>
    <t>YOR086C</t>
  </si>
  <si>
    <t>TCB1</t>
  </si>
  <si>
    <t>Contains three calcium and lipid binding domains, green fluorescent protein (GFP)-fusion protein localizes to the cell periphery, C-terminal portion of Tcb1p, Tcb2p and Tcb3p interact</t>
  </si>
  <si>
    <t>Primary rRNA-binding ribosomal protein component of the large (60S) ribosomal subunit, has similarity to E. coli L23 and rat L23a ribosomal proteins, binds to 26S rRNA via a conserved C-terminal motif</t>
  </si>
  <si>
    <t>YOL126C</t>
  </si>
  <si>
    <t>MDH2</t>
  </si>
  <si>
    <t>Cytoplasmic malate dehydrogenase, one of the three isozymes that catalyze interconversion of malate and oxaloacetate, involved in gluconeogenesis during growth on ethanol or acetate as carbon source, interacts with Pck1p and Fbp1p</t>
  </si>
  <si>
    <t>YOL125W</t>
  </si>
  <si>
    <t>YOL124C</t>
  </si>
  <si>
    <t>TRM11</t>
  </si>
  <si>
    <t>Catalytic subunit of an adoMet-dependent tRNA methyltransferase complex (Trm11p-Trm112p), required for the methylation of the guanosine nucleotide at position 10 (m2G10) in tRNAs, contains a THUMP domain and a methyltransferase domain</t>
  </si>
  <si>
    <t>YOL123W</t>
  </si>
  <si>
    <t>HRP1</t>
  </si>
  <si>
    <t>Subunit of cleavage factor I, a five-subunit complex required for the cleavage and polyadenylation of pre-mRNA 3 ends, RRM-containing heteronuclear RNA binding protein and hnRNPAB family member that binds to poly (A) signal sequences</t>
  </si>
  <si>
    <t>YOL122C</t>
  </si>
  <si>
    <t>SMF1</t>
  </si>
  <si>
    <t>Divalent metal ion transporter with a broad specificity for di-valent and tri-valent metals, post-translationally regulated by levels of metal ions, member of the Nramp family of metal transport proteins</t>
  </si>
  <si>
    <t>YOL121C</t>
  </si>
  <si>
    <t>YOR073W</t>
  </si>
  <si>
    <t>SGO1</t>
  </si>
  <si>
    <t>Component of the spindle checkpoint, involved in sensing lack of tension on mitotic chromosomes, protects centromeric Rec8p at meiosis I, required for accurate chromosomal segregation at meiosis II and for mitotic chromosome stability</t>
  </si>
  <si>
    <t>YOR072W-B</t>
  </si>
  <si>
    <t>Identified by expression profiling and mass spectrometry  Identified by expression profiling and mass spectrometry  Identified by SAGE</t>
  </si>
  <si>
    <t>YOR071C</t>
  </si>
  <si>
    <t>YOR070C</t>
  </si>
  <si>
    <t>GYP1</t>
  </si>
  <si>
    <t>Cis-golgi GTPase-activating protein (GAP) for the Rab family members Ypt1p (in vivo) and for Ypt1p, Sec4p, Ypt7p, and Ypt51p (in vitro), involved in vesicle docking and fusion</t>
  </si>
  <si>
    <t>YOR069W</t>
  </si>
  <si>
    <t>VPS5</t>
  </si>
  <si>
    <t>Nexin-1 homolog required for localizing membrane proteins from a prevacuolarlate endosomal compartment back to the late Golgi apparatus, structural component of the retromer membrane coat complex, forms a retromer subcomplex with Vps17p</t>
  </si>
  <si>
    <t>YOR068C</t>
  </si>
  <si>
    <t>VAM10</t>
  </si>
  <si>
    <t>Protein involved in vacuole morphogenesis, acts at an early step of homotypic vacuole fusion that is required for vacuole tethering</t>
  </si>
  <si>
    <t>YOR067C</t>
  </si>
  <si>
    <t>ALG8</t>
  </si>
  <si>
    <t>Glucosyl transferase, involved in N-linked glycosylation, adds glucose to the dolichol-linked oligosaccharide precursor prior to transfer to protein during lipid-linked oligosaccharide biosynthesis, similar to Alg6p</t>
  </si>
  <si>
    <t>YOR066W</t>
  </si>
  <si>
    <t>YOR065W</t>
  </si>
  <si>
    <t>CYT1</t>
  </si>
  <si>
    <t>Cytochrome c1, component of the mitochondrial respiratory chain, expression is regulated by the heme-activated, glucose-repressed Hap2p3p4p5p CCAAT-binding complex</t>
  </si>
  <si>
    <t>YOR064C</t>
  </si>
  <si>
    <t>YNG1</t>
  </si>
  <si>
    <t>Subunit of the NuA3 histone acetyltransferase complex that acetylates histone H3, has similarity to the human tumor suppressor ING1</t>
  </si>
  <si>
    <t>YOR063W</t>
  </si>
  <si>
    <t>RPL3</t>
  </si>
  <si>
    <t>Protein component of the large (60S) ribosomal subunit, has similarity to E. coli L3 and rat L3 ribosomal proteins, involved in the replication and maintenance of killer double stranded RNA virus</t>
  </si>
  <si>
    <t>YOR062C</t>
  </si>
  <si>
    <t>Protein of unknown function, similar to YKR075Cp and Reg1p, expression regulated by glucose and Rgt1p</t>
  </si>
  <si>
    <t>YOR061W</t>
  </si>
  <si>
    <t>CKA2</t>
  </si>
  <si>
    <t>may have a role in regulation andor execution of the eukaryotic cell cycle, alpha subunit of casein kinase II</t>
  </si>
  <si>
    <t>YOR060C</t>
  </si>
  <si>
    <t>YOR059C</t>
  </si>
  <si>
    <t>YOR058C</t>
  </si>
  <si>
    <t>ASE1</t>
  </si>
  <si>
    <t>Member of a family of microtubule-associated proteins (MAPs) that function at the mitotic spindle midzone, required for spindle elongation, undergoes cell cycle-regulated degradation by anaphase promoting complex, potential Cdc28p substrate</t>
  </si>
  <si>
    <t>YOR057W</t>
  </si>
  <si>
    <t>SGT1</t>
  </si>
  <si>
    <t>Probable cochaperone, regulates activity of Cyr1p (adenylyl cyclase), involved in assembly of the kinetochore complex, associates with the SCF (Skp1pCdc53pF box protein) ubiquitin ligase complex</t>
  </si>
  <si>
    <t>YOR056C</t>
  </si>
  <si>
    <t>NOB1</t>
  </si>
  <si>
    <t>Essential nuclear protein involved in proteasome maturation and synthesis of 40S ribosomal subunits, required for cleavage of the 20S pre-rRNA to generate the mature 18S rRNA</t>
  </si>
  <si>
    <t>YOR054C</t>
  </si>
  <si>
    <t>VHS3</t>
  </si>
  <si>
    <t>Functionally redundant (see also SIS2) inhibitory subunit of Ppz1p, a PP1c-related serthr protein phosphatase Z isoform, synthetically lethal with sis2, putative phosphopantothenoylcysteine decarboxylase involved in coenzyme A biosynthesis</t>
  </si>
  <si>
    <t>YOR052C</t>
  </si>
  <si>
    <t>YOR051C</t>
  </si>
  <si>
    <t>Nuclear protein that inhibits replication of Brome mosaic virus in S. cerevisiae, which is a model system for studying replication of positive-strand RNA viruses in their natural hosts</t>
  </si>
  <si>
    <t>YOR049C</t>
  </si>
  <si>
    <t>RSB1</t>
  </si>
  <si>
    <t>Suppressor of sphingoid long chain base (LCB) sensitivity of an LCB-lyase mutation, putative integral membrane transporter or flippase that may transport LCBs from the cytoplasmic side toward the extracytoplasmic side of the membrane</t>
  </si>
  <si>
    <t>YOR048C</t>
  </si>
  <si>
    <t>RAT1</t>
  </si>
  <si>
    <t>Nuclear 5 to 3 single-stranded RNA exonuclease, involved in RNA metabolism, including rRNA and snRNA processing as well as mRNA transcription termination</t>
  </si>
  <si>
    <t>YOR047C</t>
  </si>
  <si>
    <t>STD1</t>
  </si>
  <si>
    <t>Protein involved in control of glucose-regulated gene expression, interacts with protein kinase Snf1p, glucose sensors Snf3p and Rgt2p, and TATA-binding protein Spt15p, acts as a regulator of the transcription factor Rgt1p</t>
  </si>
  <si>
    <t>YOR046C</t>
  </si>
  <si>
    <t>DBP5</t>
  </si>
  <si>
    <t>Cytoplasmic ATP-dependent RNA helicase of the DEAD-box family involved in mRNA export from the nucleus</t>
  </si>
  <si>
    <t>YOR045W</t>
  </si>
  <si>
    <t>TOM6</t>
  </si>
  <si>
    <t>involved in supporting the cooperativity between receptors and the general insertion pore and facilitating the release of preproteins from import components, outer mitochondrial membrane protein, component of the mitochondiral protein translocation complex, associates with TOM40</t>
  </si>
  <si>
    <t>YOR044W</t>
  </si>
  <si>
    <t>YOR043W</t>
  </si>
  <si>
    <t>WHI2</t>
  </si>
  <si>
    <t>Protein required, with binding partner Psr1p, for full activation of the general stress response, possibly through Msn2p dephosphorylation, regulates growth during the diauxic shift, negative regulator of G1 cyclin expression</t>
  </si>
  <si>
    <t>YOR042W</t>
  </si>
  <si>
    <t>CUE5</t>
  </si>
  <si>
    <t>Protein containing a CUE domain that binds ubiquitin, which may facilitate intramolecular monoubiquitination, green fluorescent protein (GFP)-fusion protein localizes to the cytoplasm in a punctate pattern</t>
  </si>
  <si>
    <t>YOR040W</t>
  </si>
  <si>
    <t>GLO4</t>
  </si>
  <si>
    <t>Mitochondrial glyoxalase II, catalyzes the hydrolysis of S-D-lactoylglutathione into glutathione and D-lactate</t>
  </si>
  <si>
    <t>YOR039W</t>
  </si>
  <si>
    <t>CKB2</t>
  </si>
  <si>
    <t>protein kinase CK2, beta subunit</t>
  </si>
  <si>
    <t>YOR038C</t>
  </si>
  <si>
    <t>HIR2</t>
  </si>
  <si>
    <t>Non-essential transcriptional corepressor involved in the cell cycle-regulated transcription of histone H2A, H2B, H3, and H4 genes, recruits Swi-Snf complexes to histone gene promoters, promotes heterochromatic gene silencing with Asf1p</t>
  </si>
  <si>
    <t>YOR037W</t>
  </si>
  <si>
    <t>CYC2</t>
  </si>
  <si>
    <t>Mitochondrial protein required for normal abundance of mitochondrial cytochrome c (Cyc1p) and for mitochondrial osmotic stability, may be involved in regulating the activity of cytochrome c heme lyase (Cyc3p), potential Cdc28p substrate</t>
  </si>
  <si>
    <t>YOR036W</t>
  </si>
  <si>
    <t>PEP12</t>
  </si>
  <si>
    <t>Target membrane receptor (t-SNARE) for vesicular intermediates traveling between the Golgi apparatus and the vacuole, controls entry of biosynthetic, endocytic, and retrograde traffic into the prevacuolar compartment, syntaxin</t>
  </si>
  <si>
    <t>YOR035C</t>
  </si>
  <si>
    <t>SHE4</t>
  </si>
  <si>
    <t>Protein containing a UCS (UNC-45CRO1SHE4) domain, binds to myosin motor domains to regulate myosin function, involved in endocytosis, polarization of the actin cytoskeleton, and asymmetric mRNA localization</t>
  </si>
  <si>
    <t>YOR034C-A</t>
  </si>
  <si>
    <t>YOR034C</t>
  </si>
  <si>
    <t>AKR2</t>
  </si>
  <si>
    <t>Ankyrin repeat-containing protein of unknown function, similar to Akr1p, possibly involved in constitutive endocytosis of Ste3p</t>
  </si>
  <si>
    <t>YOR033C</t>
  </si>
  <si>
    <t>EXO1</t>
  </si>
  <si>
    <t>5-3 exonuclease and flap-endonuclease involved in recombination, double-strand break repair and DNA mismatch repair, member of the Rad2p nuclease family, with conserved N and I nuclease domains</t>
  </si>
  <si>
    <t>YOR032W-A</t>
  </si>
  <si>
    <t>YOR032C</t>
  </si>
  <si>
    <t>HMS1</t>
  </si>
  <si>
    <t>C2H2 zinc-finger protein with similarity to myc-family transcription factors, overexpression confers hyperfilamentous growth and suppresses the pseudohyphal filamentation defect of a diploid mep1 mep2 homozygous null mutant</t>
  </si>
  <si>
    <t>YOR031W</t>
  </si>
  <si>
    <t>CRS5</t>
  </si>
  <si>
    <t>Copper-binding metallothionein, required for wild-type copper resistance</t>
  </si>
  <si>
    <t>YOR030W</t>
  </si>
  <si>
    <t>DFG16</t>
  </si>
  <si>
    <t>Probable multiple transmembrane protein, involved in invasive growth upon nitrogen starvation, required for accumulation of processed Rim101p</t>
  </si>
  <si>
    <t>YOR028C</t>
  </si>
  <si>
    <t>CIN5</t>
  </si>
  <si>
    <t>Basic leucine zipper transcriptional factor of the yAP-1 family that mediates pleiotropic drug resistance and salt tolerance, localizes constitutively to the nucleus</t>
  </si>
  <si>
    <t>YOR027W</t>
  </si>
  <si>
    <t>STI1</t>
  </si>
  <si>
    <t>Hsp90 cochaperone, interacts with the Ssa group of the cytosolic Hsp70 chaperones, activates the ATPase activity of Ssa1p, homolog of mammalian Hop protein</t>
  </si>
  <si>
    <t>YOR026W</t>
  </si>
  <si>
    <t>BUB3</t>
  </si>
  <si>
    <t>Kinetochore checkpoint WD40 repeat protein that localizes to kinetochores during prophase and metaphase, delays anaphase in the presence of unattached kinetochores, forms complexes with Mad1p-Bub1p and with Cdc20p, binds Mad2p and Mad3p</t>
  </si>
  <si>
    <t>YOR025W</t>
  </si>
  <si>
    <t>HST3</t>
  </si>
  <si>
    <t>Member of the Sir2 family of NAD(+)-dependent protein deacetylases, involved along with Hst4p in telomeric silencing, cell cycle progression, radiation resistance, genomic stability and short-chain fatty acid metabolism</t>
  </si>
  <si>
    <t>YOR023C</t>
  </si>
  <si>
    <t>AHC1</t>
  </si>
  <si>
    <t>Subunit of the Ada histone acetyltransferase complex, required for structural integrity of the complex</t>
  </si>
  <si>
    <t>YOR022C</t>
  </si>
  <si>
    <t>YOR021C</t>
  </si>
  <si>
    <t>YOR020W-A</t>
  </si>
  <si>
    <t>YOR020C</t>
  </si>
  <si>
    <t>HSP10</t>
  </si>
  <si>
    <t>Mitochondrial matrix co-chaperonin that inhibits the ATPase activity of Hsp60p, a mitochondrial chaperonin, involved in protein folding and sorting in the mitochondria, 10 kD heat shock protein with similarity to E. coli groES</t>
  </si>
  <si>
    <t>YOR019W</t>
  </si>
  <si>
    <t>YOR018W</t>
  </si>
  <si>
    <t>ROD1</t>
  </si>
  <si>
    <t>Membrane protein, overexpression confers resistance to the GST substrate o-dinitrobenzene as well as to zinc and calcium, contains 2 PY motifs, which are required for Rod1p interaction with Rsp5p, a hect-type ubiquitin ligase</t>
  </si>
  <si>
    <t>YOR017W</t>
  </si>
  <si>
    <t>PET127</t>
  </si>
  <si>
    <t>Protein with a role in mitochondrial RNA stability andor processing, located in the mitochondrial membrane</t>
  </si>
  <si>
    <t>YOR016C</t>
  </si>
  <si>
    <t>ERP4</t>
  </si>
  <si>
    <t>Protein with similarity to Emp24p and Erv25p, member of the p24 family involved in ER to Golgi transport</t>
  </si>
  <si>
    <t>YOR014W</t>
  </si>
  <si>
    <t>RTS1</t>
  </si>
  <si>
    <t>B-type regulatory subunit of protein phosphatase 2A (PP2A), homolog of the mammalian B subunit of PP2A</t>
  </si>
  <si>
    <t>YOR012W</t>
  </si>
  <si>
    <t>YOR011W-A</t>
  </si>
  <si>
    <t>YOR011W</t>
  </si>
  <si>
    <t>AUS1</t>
  </si>
  <si>
    <t>Transporter of the ATP-binding cassette family, involved in uptake of sterols and anaerobic growth</t>
  </si>
  <si>
    <t>YOR010C</t>
  </si>
  <si>
    <t>TIR2</t>
  </si>
  <si>
    <t>Putative cell wall mannoprotein of the Srp1pTip1p family of serine-alanine-rich proteins, transcription is induced by cold shock and anaerobiosis</t>
  </si>
  <si>
    <t>YOR009W</t>
  </si>
  <si>
    <t>TIR4</t>
  </si>
  <si>
    <t>Mitochondrial cell death effector that translocates to the nucleus in response to apoptotic stimuli, homolog of mammalian Apoptosis-Inducing Factor, putative reductase</t>
  </si>
  <si>
    <t>YNR072W</t>
  </si>
  <si>
    <t>Glutamine-rich cytoplasmic protein of unknown function, contains tetratricopeptide (TPR) repeats, which often mediate protein-protein interactions, conserved in human and C. elegans</t>
  </si>
  <si>
    <t>YOR006C</t>
  </si>
  <si>
    <t>YOR005C</t>
  </si>
  <si>
    <t>DNL4</t>
  </si>
  <si>
    <t>DNA ligase required for nonhomologous end-joining (NHEJ), forms stable heterodimer with required cofactor Lif1p, catalyzes DNA ligation as part of a complex with Lif1p and Nej1p, involved in meiosis, not essential for vegetative growth</t>
  </si>
  <si>
    <t>YOR004W</t>
  </si>
  <si>
    <t>YOR003W</t>
  </si>
  <si>
    <t>YSP3</t>
  </si>
  <si>
    <t>Putative precursor to the subtilisin-like protease III</t>
  </si>
  <si>
    <t>YOR002W</t>
  </si>
  <si>
    <t>ALG6</t>
  </si>
  <si>
    <t>Glucosyltransferase, involved in transfer of oligosaccharides from dolichyl pyrophosphate to asparagine residues of proteins during N-linked protein glycosylation, mutations in human ortholog are associated with disease</t>
  </si>
  <si>
    <t>YOR001W</t>
  </si>
  <si>
    <t>RRP6</t>
  </si>
  <si>
    <t>Exonuclease component of the nuclear exosome, contributes to the quality-control system that retains and degrades aberrant mRNAs in the nucleus</t>
  </si>
  <si>
    <t>YOL166W-A</t>
  </si>
  <si>
    <t>YOL164W-A</t>
  </si>
  <si>
    <t>YOL164W</t>
  </si>
  <si>
    <t>Bacterially-derived sulfatase required for use of alkyl- and aryl-sulfates as sulfur sources</t>
  </si>
  <si>
    <t>YOL163W</t>
  </si>
  <si>
    <t>Hypothetical protein, member of the Dal5p subfamily of the major facilitator family</t>
  </si>
  <si>
    <t>YOL162W</t>
  </si>
  <si>
    <t>YOL159C-A</t>
  </si>
  <si>
    <t>Hypothetical protein identified by homology. See FEBS Letters [2000] 487:31-36.</t>
  </si>
  <si>
    <t>YOL159C</t>
  </si>
  <si>
    <t>YOL158C</t>
  </si>
  <si>
    <t>ENB1</t>
  </si>
  <si>
    <t>Endosomal ferric enterobactin transporter, expressed under conditions of iron deprivation, member of the major facilitator superfamily, expression is regulated by Rcs1p and affected by chloroquine treatment</t>
  </si>
  <si>
    <t>YOL156W</t>
  </si>
  <si>
    <t>Putative hexose transporter that is nearly identical to Hxt9p, has similarity to major facilitator superfamily (MFS) transporters and is involved in pleiotropic drug resistance  Putative hexose transporter that is nearly identical to Hxt11p, has similarity to major facilitator superfamily (MFS) transporters, expression of HXT9 is regulated by transcription factors Pdr1p and Pdr3p  Protein of unknown function with similarity to hexose transporter family members, possible pseudogene  Protein of unknown function with similarity to hexose transporter family members, possible pseudogene</t>
  </si>
  <si>
    <t>YOL155W-A</t>
  </si>
  <si>
    <t>YOL155C</t>
  </si>
  <si>
    <t>ORF</t>
  </si>
  <si>
    <t>YOL154W</t>
  </si>
  <si>
    <t>ZPS1</t>
  </si>
  <si>
    <t>Putative GPI-anchored protein, transcription is induced under low-zinc conditions, as mediated by the Zap1p transcription factor, and at alkaline pH</t>
  </si>
  <si>
    <t>YOL152W</t>
  </si>
  <si>
    <t>FRE7</t>
  </si>
  <si>
    <t>Putative ferric reductase with similarity to Fre2p, expression induced by low copper levels but not by low iron levels</t>
  </si>
  <si>
    <t>YOL151W</t>
  </si>
  <si>
    <t>GRE2</t>
  </si>
  <si>
    <t>NADPH-dependent methylglyoxal reductase (D-lactaldehyde dehydrogenase), stress induced (osmotic, ionic, oxidative, heat shock and heavy metals), regulated by the HOG pathway</t>
  </si>
  <si>
    <t>YOL149W</t>
  </si>
  <si>
    <t>DCP1</t>
  </si>
  <si>
    <t>Decapping enzyme, essential phosphoprotein component of mRNA decapping complex, plays key role in mRNA decay by cleaving off the 5 cap to leave the end susceptible to exonucleolytic degradation, regulated by DEAD box protein Dhh1p</t>
  </si>
  <si>
    <t>YOL148C</t>
  </si>
  <si>
    <t>SPT20</t>
  </si>
  <si>
    <t>Subunit of the SAGA transcriptional regulatory complex, involved in maintaining the integrity of the complex</t>
  </si>
  <si>
    <t>YOL147C</t>
  </si>
  <si>
    <t>PEX11</t>
  </si>
  <si>
    <t>Peroxisomal membrane protein required for peroxisome proliferation and medium-chain fatty acid oxidation, most abundant protein in the peroxisomal membrane, regulated by Adr1p and Pip2p-Oaf1p, promoter contains ORE and UAS1-like elements</t>
  </si>
  <si>
    <t>YOL146W</t>
  </si>
  <si>
    <t>PSF3</t>
  </si>
  <si>
    <t>Subunit of the GINS complex (Sld5p, Psf1p, Psf2p, Psf3p), which binds to DNA replication origins and facilitates assembly of the DNA replication machinery</t>
  </si>
  <si>
    <t>YOL145C</t>
  </si>
  <si>
    <t>CTR9</t>
  </si>
  <si>
    <t>Serinethreonine protein kinase involved in sphingolipid-mediated signaling pathway that controls endocytosis, activates Ypk1p and Ykr2p, components of signaling cascade required for maintenance of cell wall integrity, redundant with Pkh1p</t>
  </si>
  <si>
    <t>YOL098C</t>
  </si>
  <si>
    <t>Putative metalloprotease</t>
  </si>
  <si>
    <t>YOL097W-A</t>
  </si>
  <si>
    <t>YOL097C</t>
  </si>
  <si>
    <t>WRS1</t>
  </si>
  <si>
    <t>Cytoplasmic tryptophanyl-tRNA synthetase, aminoacylates tryptophanyl-tRNA</t>
  </si>
  <si>
    <t>YOL096C</t>
  </si>
  <si>
    <t>COQ3</t>
  </si>
  <si>
    <t>O-methyltransferase, catalyzes two different O-methylation steps in ubiquinone (Coenzyme Q) biosynthesis, component of a mitochondrial ubiquinone-synthesizing complex</t>
  </si>
  <si>
    <t>YOL095C</t>
  </si>
  <si>
    <t>HMI1</t>
  </si>
  <si>
    <t>Mitochondrial inner membrane localized ATP-dependent DNA helicase, required for the maintenance of the mitochondrial genome, not required for mitochondrial transcription</t>
  </si>
  <si>
    <t>YOL094C</t>
  </si>
  <si>
    <t>RFC4</t>
  </si>
  <si>
    <t>YOL093W</t>
  </si>
  <si>
    <t>TRM10</t>
  </si>
  <si>
    <t>tRNA methyltransferase, methylates the N-1 position of guanosine in tRNAs</t>
  </si>
  <si>
    <t>YOL092W</t>
  </si>
  <si>
    <t>YOL091W</t>
  </si>
  <si>
    <t>SPO21</t>
  </si>
  <si>
    <t>Component of the meiotic outer plaque of the spindle pole body, involved in modifying the meiotic outer plaque that is required prior to prospore membrane formation</t>
  </si>
  <si>
    <t>YOL090W</t>
  </si>
  <si>
    <t>MSH2</t>
  </si>
  <si>
    <t>Protein that forms heterodimers, with Msh3p and Msh6p, that bind to DNA mismatches to initiate the mismatch repair process, contains a Walker ATP-binding motif required for repair activity, Msh2p-Msh6p binds to and hydrolyzes ATP</t>
  </si>
  <si>
    <t>YOL089C</t>
  </si>
  <si>
    <t>HAL9</t>
  </si>
  <si>
    <t>Putative transcription factor containing a zinc finger, overexpression increases salt tolerance through increased expression of the ENA1 (Na+Li+ extrusion pump) gene while gene disruption decreases both salt tolerance and ENA1 expression</t>
  </si>
  <si>
    <t>YOL088C</t>
  </si>
  <si>
    <t>MPD2</t>
  </si>
  <si>
    <t>Member of the protein disulfide isomerase (PDI) family, exhibits chaperone activity, overexpression suppresses the lethality of a pdi1 deletion but does not complement all Pdi1p functions, undergoes oxidation by Ero1p</t>
  </si>
  <si>
    <t>YOL087C</t>
  </si>
  <si>
    <t>YOL086W-A</t>
  </si>
  <si>
    <t>YOL086C</t>
  </si>
  <si>
    <t>ADH1</t>
  </si>
  <si>
    <t>Alcohol dehydrogenase, fermentative isozyme active as homo- or heterotetramers, required for the reduction of acetaldehyde to ethanol, the last step in the glycolytic pathway</t>
  </si>
  <si>
    <t>YOL084W</t>
  </si>
  <si>
    <t>PHM7</t>
  </si>
  <si>
    <t>Protein of unknown function, expression is regulated by phosphate levels, green fluorescent protein (GFP)-fusion protein localizes to the cell periphery and vacuole</t>
  </si>
  <si>
    <t>YOL083W</t>
  </si>
  <si>
    <t>YOL082W</t>
  </si>
  <si>
    <t>ATG19</t>
  </si>
  <si>
    <t>Protein involved in the cytoplasm-to-vacuole targeting pathway and in autophagy, recognizes cargo proteins and delivers them to the preautophagosomal structure for eventual engulfment by the autophagosome and degradation</t>
  </si>
  <si>
    <t>YOL081W</t>
  </si>
  <si>
    <t>IRA2</t>
  </si>
  <si>
    <t>GTPase-activating protein that negatively regulates RAS by converting it from the GTP- to the GDP-bound inactive form, required for reducing cAMP levels under nutrient limiting conditions, has similarity to Ira1p and human neurofibromin</t>
  </si>
  <si>
    <t>YOL080C</t>
  </si>
  <si>
    <t>REX4</t>
  </si>
  <si>
    <t>Putative RNA exonuclease possibly involved in pre-rRNA processing and ribosome assembly</t>
  </si>
  <si>
    <t>YOL078W</t>
  </si>
  <si>
    <t>AVO1</t>
  </si>
  <si>
    <t>Component of a membrane-bound complex containing the Tor2p kinase and other proteins, which may have a role in regulation of cell growth</t>
  </si>
  <si>
    <t>YOL077W-A</t>
  </si>
  <si>
    <t>ATP19</t>
  </si>
  <si>
    <t>Subunit k of the mitochondrial F1F0 ATP synthase, which is a large enzyme complex required for ATP synthesis, associated only with the dimeric form of ATP synthase</t>
  </si>
  <si>
    <t>YOL077C</t>
  </si>
  <si>
    <t>BRX1</t>
  </si>
  <si>
    <t>Nucleolar protein, constituent of 66S pre-ribosomal particles, depletion leads to defects in rRNA processing and a block in the assembly of large ribosomal subunits, possesses a sigma(70)-like RNA-binding motif</t>
  </si>
  <si>
    <t>YOL076W</t>
  </si>
  <si>
    <t>MDM20</t>
  </si>
  <si>
    <t>Non-catalytic subunit of the NatB N-terminal acetyltransferase, which catalyzes acetylation of the amino-terminal methionine residues of all proteins beginning with Met-Asp or Met-Glu and of some proteins beginning with Met-Asn or Met-Met, involved in mitochondrial inheritance and actin assembly</t>
  </si>
  <si>
    <t>YOL075C</t>
  </si>
  <si>
    <t>YOL073C</t>
  </si>
  <si>
    <t>YOL072W</t>
  </si>
  <si>
    <t>THP1</t>
  </si>
  <si>
    <t>Nuclear pore-associated protein, forms a complex with Sac3p that is involved in transcription and in mRNA export from the nucleus, contains a PAM domain implicated in protein-protein binding</t>
  </si>
  <si>
    <t>YOL071W</t>
  </si>
  <si>
    <t>EMI5</t>
  </si>
  <si>
    <t>Non-essential protein of unknown function required for transcriptional induction of the early meiotic-specific transcription factor IME1, also required for sporulation</t>
  </si>
  <si>
    <t>YOL070C</t>
  </si>
  <si>
    <t>Protein of unknown function, green fluorescent protein (GFP)-fusion protein localizes to the cell periphery, cytoplasm, and bud neck, potential Cdc28p substrate</t>
  </si>
  <si>
    <t>YOL069W</t>
  </si>
  <si>
    <t>NUF2</t>
  </si>
  <si>
    <t>Component of the evolutionarily conserved kinetochore-associated Ndc80 complex (Ndc80p-Nuf2p-Spc24p-Spc25p), involved in chromosome segregation, spindle checkpoint activity and kinetochore clustering</t>
  </si>
  <si>
    <t>YOL068C</t>
  </si>
  <si>
    <t>HST1</t>
  </si>
  <si>
    <t>NAD(+)-dependent histone deacetylase, essential subunit of the Sum1pRfm1pHst1p complex required for ORC-dependent silencing at HMR and for mitotic repression of mid-sporulation genes, non-essential subunit of the Set3C deacetylase complex</t>
  </si>
  <si>
    <t>YOL067C</t>
  </si>
  <si>
    <t>RTG1</t>
  </si>
  <si>
    <t>Transcription factor (bHLH) involved in interorganelle communication between mitochondria, peroxisomes, and nucleus</t>
  </si>
  <si>
    <t>YOL066C</t>
  </si>
  <si>
    <t>RIB2</t>
  </si>
  <si>
    <t>DRAP deaminase, catalyzes the third step of the riboflavin biosynthesis pathway, N-terminus has sequence similarity to RNA:pseudouridine synthases</t>
  </si>
  <si>
    <t>YOL065C</t>
  </si>
  <si>
    <t>INP54</t>
  </si>
  <si>
    <t>Phosphatidylinositol 4,5-bisphosphate 5-phosphatase with a role in secretion, localizes to the endoplasmic reticulum via the C-terminal tail, lacks the Sac1 domain and proline-rich region found in the other 3 INP proteins</t>
  </si>
  <si>
    <t>YOL064C</t>
  </si>
  <si>
    <t>MET22</t>
  </si>
  <si>
    <t>Bisphosphate-3-nucleotidase, involved in salt tolerance and methionine biogenesis, dephosphorylates 3-phosphoadenosine-5-phosphate and 3-phosphoadenosine-5-phosphosulfate, intermediates of the sulfate assimilation pathway</t>
  </si>
  <si>
    <t>YOL063C</t>
  </si>
  <si>
    <t>Protein of unknown function, not related to the HUS1 checkpoint protein identified in human and fission yeast</t>
  </si>
  <si>
    <t>YOL062C</t>
  </si>
  <si>
    <t>APM4</t>
  </si>
  <si>
    <t>Mu2-like subunit of the clathrin associated protein complex (AP-2), involved in vesicle transport</t>
  </si>
  <si>
    <t>YOL061W</t>
  </si>
  <si>
    <t>PRS5</t>
  </si>
  <si>
    <t>5-phospho-ribosyl-1(alpha)-pyrophosphate synthetase, involved in nucleotide, histidine, and tryptophan biosynthesis, one of a five related enzymes, which are active as heteromultimeric complexes</t>
  </si>
  <si>
    <t>YOL060C</t>
  </si>
  <si>
    <t>MAM3</t>
  </si>
  <si>
    <t>Protein required for normal mitochondrial morphology, has similarity to hemolysins</t>
  </si>
  <si>
    <t>YOL059W</t>
  </si>
  <si>
    <t>GPD2</t>
  </si>
  <si>
    <t>NAD-dependent glycerol 3-phosphate dehydrogenase, homolog of Gpd1p, expression is controlled by an oxygen-independent signaling pathway required to regulate metabolism under anoxic conditions, located in cytosol and mitochondria</t>
  </si>
  <si>
    <t>YOL058W</t>
  </si>
  <si>
    <t>ARG1</t>
  </si>
  <si>
    <t>Arginosuccinate synthetase, catalyzes the formation of L-argininosuccinate from citrulline and L-aspartate in the arginine biosynthesis pathway, potential Cdc28p substrate</t>
  </si>
  <si>
    <t>YOL057W</t>
  </si>
  <si>
    <t>YOL056W</t>
  </si>
  <si>
    <t>GPM3</t>
  </si>
  <si>
    <t>Homolog of Gpm1p phosphoglycerate mutase which converts 3-phosphoglycerate to 2-phosphoglycerate in glycolysis, may be non-functional derivative of a gene duplication event</t>
  </si>
  <si>
    <t>YOL055C</t>
  </si>
  <si>
    <t>THI20</t>
  </si>
  <si>
    <t>YNL330C</t>
  </si>
  <si>
    <t>RPD3</t>
  </si>
  <si>
    <t>Histone deacetylase, regulates transcription and silencing</t>
  </si>
  <si>
    <t>YNL329C</t>
  </si>
  <si>
    <t>PEX6</t>
  </si>
  <si>
    <t>Peroxisomal membrane AAA-family ATPase peroxin required for peroxisome assembly, contains two 230 amino acid ATP-binding AAA cassettes, interacts with Pex1p</t>
  </si>
  <si>
    <t>YNL328C</t>
  </si>
  <si>
    <t>MDJ2</t>
  </si>
  <si>
    <t>Protein of the mitochondrial inner membrane, function partially overlaps that of Mdj1p, which is a chaperone involved in folding of mitochondrially synthesized proteins in the mitochondrial matrix, member of the DnaJ family</t>
  </si>
  <si>
    <t>YNL327W</t>
  </si>
  <si>
    <t>EGT2</t>
  </si>
  <si>
    <t>Glycosylphosphatidylinositol (GPI)-anchored cell wall endoglucanase required for proper cell separation after cytokinesis, expression is activated by Swi5p and tightly regulated in a cell cycle-dependent manner</t>
  </si>
  <si>
    <t>YNL326C</t>
  </si>
  <si>
    <t>Protein component of the small (40S) ribosomal subunit, nearly identical to Rps28Ap and has similarity to rat S28 ribosomal protein</t>
  </si>
  <si>
    <t>YOR166C</t>
  </si>
  <si>
    <t>YOR165W</t>
  </si>
  <si>
    <t>SEY1</t>
  </si>
  <si>
    <t>Protein of unknown function, contains two predicted GTP-binding motifs GXXXXGKS and DXXG near the N-terminus, homolog of the Arabidopsis gene RHD3 (Root Hair Defective)</t>
  </si>
  <si>
    <t>YOR164C</t>
  </si>
  <si>
    <t>YOR163W</t>
  </si>
  <si>
    <t>DDP1</t>
  </si>
  <si>
    <t>Diadenosine polyphosphate hydrolase, member of the MutT family of nucleotide hydrolases with high specificity for diadenosine hexa- and pentaphosphates, required for efficient hydrolysis of diphosphorylated inositol polyphosphates</t>
  </si>
  <si>
    <t>YOR162C</t>
  </si>
  <si>
    <t>YRR1</t>
  </si>
  <si>
    <t>Zn2-Cys6 zinc-finger transcription factor that activates genes involved in multidrug resistance, paralog of Yrm1p, acting on an overlapping set of target genes</t>
  </si>
  <si>
    <t>YOR161C-C</t>
  </si>
  <si>
    <t>YOR161C</t>
  </si>
  <si>
    <t>PNS1</t>
  </si>
  <si>
    <t>Protein of unknown function, has similarity to Torpedo californica tCTL1p, which is postulated to be a choline transporter, neither null mutation nor overexpression affects choline transport</t>
  </si>
  <si>
    <t>YOR160W</t>
  </si>
  <si>
    <t>MTR10</t>
  </si>
  <si>
    <t>Nuclear import receptor, mediates the nuclear localization of proteins involved in mRNA-nucleus export</t>
  </si>
  <si>
    <t>YOR159C</t>
  </si>
  <si>
    <t>SME1</t>
  </si>
  <si>
    <t>Required for pre-mRNA splicing, cap modification and U1, U2, U4 and U5 snRNA stability, homologue of human E core protein</t>
  </si>
  <si>
    <t>YOR158W</t>
  </si>
  <si>
    <t>PET123</t>
  </si>
  <si>
    <t>Mitochondrial ribosomal protein of the small subunit, PET123 exhibits genetic interactions with PET122, which encodes a COX3 mRNA-specific translational activator</t>
  </si>
  <si>
    <t>YOR157C</t>
  </si>
  <si>
    <t>PUP1</t>
  </si>
  <si>
    <t>Endopeptidase with trypsin-like activity that cleaves after basic residues, beta-type subunit of 20S proteasome synthesized as a proprotein before being proteolytically processed for assembly into 20S particle, human homolog is subunit Z</t>
  </si>
  <si>
    <t>YOR156C</t>
  </si>
  <si>
    <t>NFI1</t>
  </si>
  <si>
    <t>SUMO ligase, catalyzes the covalent attachment of SUMO (Smt3p) to proteins</t>
  </si>
  <si>
    <t>YOR155C</t>
  </si>
  <si>
    <t>ISN1</t>
  </si>
  <si>
    <t>Inosine 5-monophosphate (IMP)-specific 5-nucleotidase, catalyzes the breakdown of IMP to inosine, does not show similarity to known 5-nucleotidases from other organisms</t>
  </si>
  <si>
    <t>YOR154W</t>
  </si>
  <si>
    <t>YOR153W</t>
  </si>
  <si>
    <t>PDR5</t>
  </si>
  <si>
    <t>Short-lived membrane ABC (ATP-binding cassette) transporter, actively exports various drugs, expression regulated by Pdr1p, also involved in steroid transport, cation resistance, and cellular detoxification during exponential growth</t>
  </si>
  <si>
    <t>YOR152C</t>
  </si>
  <si>
    <t>YOR151C</t>
  </si>
  <si>
    <t>RPB2</t>
  </si>
  <si>
    <t>RNA polymerase II second largest subunit B150, part of central core, similar to bacterial beta subunit</t>
  </si>
  <si>
    <t>YOR150W</t>
  </si>
  <si>
    <t>MRPL23</t>
  </si>
  <si>
    <t>YOR149C</t>
  </si>
  <si>
    <t>SMP3</t>
  </si>
  <si>
    <t>Alpha 1,2-mannosyltransferase involved in glycosyl phosphatidyl inositol (GPI) biosynthesis, required for addition of the fourth, side branching mannose to the GPI core structure</t>
  </si>
  <si>
    <t>YOR148C</t>
  </si>
  <si>
    <t>SPP2</t>
  </si>
  <si>
    <t>Essential protein that promotes the first step of splicing and is required for the final stages of spliceosome maturation, interacts with Prp2p, which may release Spp2p from the spliceosome following the first cleavage reaction</t>
  </si>
  <si>
    <t>YOR147W</t>
  </si>
  <si>
    <t>MDM32</t>
  </si>
  <si>
    <t>Mitochondrial inner membrane protein with similarity to Mdm31p, required for normal mitochondrial morphology and inheritance, interacts genetically with MMM1, MDM10, MDM12, and MDM34</t>
  </si>
  <si>
    <t>YOR145C</t>
  </si>
  <si>
    <t>PNO1</t>
  </si>
  <si>
    <t>Essential nucleolar protein required for pre-18S rRNA processing, interacts with Dim1p, an 18S rRNA dimethyltransferase, and also with Nob1p, which is involved in proteasome biogenesis, contains a KH domain</t>
  </si>
  <si>
    <t>YOR144C</t>
  </si>
  <si>
    <t>ELG1</t>
  </si>
  <si>
    <t>Protein required for S phase progression and telomere homeostasis, forms an alternative replication factor C complex important for DNA replication and genome integrity, mutants are sensitive to DNA damage</t>
  </si>
  <si>
    <t>YOR143C</t>
  </si>
  <si>
    <t>THI80</t>
  </si>
  <si>
    <t>Thiamine pyrophosphokinase, phosphorylates thiamine to produce the coenzyme thiamine pyrophosphate (thiamine diphosphate)</t>
  </si>
  <si>
    <t>YOR142W</t>
  </si>
  <si>
    <t>LSC1</t>
  </si>
  <si>
    <t>GTPase-activating protein for Sec4p and several other Rab GTPases, regulates exocytosis via its action on Sec4p, also required for proper actin organization, similar to Msb4p, both Msb3p and Msb4p localize to sites of polarized growth</t>
  </si>
  <si>
    <t>YNL292W</t>
  </si>
  <si>
    <t>PUS4</t>
  </si>
  <si>
    <t>Pseudouridine synthase, catalyzes only the formation of pseudouridine-55 (Psi55), a highly conserved tRNA modification, in mitochondrial and cytoplasmic tRNAs, PUS4 overexpression leads to translational derepression of GCN4 (Gcd- phenotype)</t>
  </si>
  <si>
    <t>YNL291C</t>
  </si>
  <si>
    <t>MID1</t>
  </si>
  <si>
    <t>N-glycosylated integral membrane protein of the ER membrane and plasma membrane, required for Ca2+ influx stimulated by pheromone, functions as a stretch-activated Ca2+-permeable cation channel in mammals, forms an oligomer</t>
  </si>
  <si>
    <t>YNL290W</t>
  </si>
  <si>
    <t>RFC3</t>
  </si>
  <si>
    <t>YNL289W</t>
  </si>
  <si>
    <t>PCL1</t>
  </si>
  <si>
    <t>Pho85 cyclin of the Pcl1,2-like subfamily, involved in entry into the mitotic cell cycle and regulation of morphogenesis, localizes to sites of polarized cell growth</t>
  </si>
  <si>
    <t>YNL288W</t>
  </si>
  <si>
    <t>CAF40</t>
  </si>
  <si>
    <t>Evolutionarily conserved subunit of the CCR4-NOT complex involved in controlling mRNA initiation, elongation and degradation, binds Cdc39p</t>
  </si>
  <si>
    <t>YNL287W</t>
  </si>
  <si>
    <t>SEC21</t>
  </si>
  <si>
    <t>Gamma subunit of coatomer, a heptameric protein complex that together with Arf1p forms the COPI coat, involved in  ER to Golgi transport of selective cargo</t>
  </si>
  <si>
    <t>YNL286W</t>
  </si>
  <si>
    <t>CUS2</t>
  </si>
  <si>
    <t>Protein that binds to U2 snRNA and Prp11p, may be involved in U2 snRNA folding, contains two RNA recognition motifs (RRMs)</t>
  </si>
  <si>
    <t>YNL284C</t>
  </si>
  <si>
    <t>MRPL10</t>
  </si>
  <si>
    <t>Mitochondrial ribosomal protein of the large subunit, appears as two protein spots (YmL10 and YmL18) on two-dimensional SDS gels</t>
  </si>
  <si>
    <t>YNL283C</t>
  </si>
  <si>
    <t>WSC2</t>
  </si>
  <si>
    <t>Partially redundant sensor-transducer of the stress-activated PKC1-MPK1 signaling pathway involved in maintenance of cell wall integrity and recovery from heat shock, secretory pathway Wsc2p is required for the arrest of secretion response</t>
  </si>
  <si>
    <t>YNL282W</t>
  </si>
  <si>
    <t>POP3</t>
  </si>
  <si>
    <t>Subunit of both RNase MRP, which cleaves pre-rRNA, and nuclear RNase P, which cleaves tRNA precursors to generate mature 5 ends</t>
  </si>
  <si>
    <t>YNL281W</t>
  </si>
  <si>
    <t>HCH1</t>
  </si>
  <si>
    <t>Heat shock protein regulator that binds to Hsp90p and may stimulate ATPase activity, originally identified as a high-copy number suppressor of a HSP90 loss-of-function mutation, GFP-fusion protein localizes to the cytoplasm and nucleus</t>
  </si>
  <si>
    <t>YNL280C</t>
  </si>
  <si>
    <t>ERG24</t>
  </si>
  <si>
    <t>C-14 sterol reductase, acts in ergosterol biosynthesis, mutants accumulate the abnormal sterol ignosterol (ergosta-8,14 dienol), and are viable under anaerobic growth conditions but inviable on rich medium under aerobic conditions</t>
  </si>
  <si>
    <t>YNL279W</t>
  </si>
  <si>
    <t>PRM1</t>
  </si>
  <si>
    <t>Pheromone-regulated multispanning membrane protein involved in membrane fusion during mating, predicted to have 5 transmembrane segments and a coiled coil domain, localizes to the shmoo tip, regulated by Ste12p</t>
  </si>
  <si>
    <t>YNL278W</t>
  </si>
  <si>
    <t>CAF120</t>
  </si>
  <si>
    <t>Part of the evolutionarily-conserved CCR4-NOT transcriptional regulatory complex involved in controlling mRNA initiation, elongation, and degradation</t>
  </si>
  <si>
    <t>YNL277W-A</t>
  </si>
  <si>
    <t>YNL277W</t>
  </si>
  <si>
    <t>MET2</t>
  </si>
  <si>
    <t>L-homoserine-O-acetyltransferase, catalyzes the conversion of homoserine to O-acetyl homoserine which is the first step of the methionine biosynthetic pathway</t>
  </si>
  <si>
    <t>YNL275W</t>
  </si>
  <si>
    <t>Plasma membrane protein that binds HCO3-, I-, Br-, NO3- and Cl- , putative boron efflux transporter with similarity to A. thaliana BOR1 which is a known boron efflux transporter</t>
  </si>
  <si>
    <t>YNL274C</t>
  </si>
  <si>
    <t>Putative hydroxyisocaproate dehydrogenase</t>
  </si>
  <si>
    <t>YNL273W</t>
  </si>
  <si>
    <t>TOF1</t>
  </si>
  <si>
    <t>Subunit of a replication-pausing checkpoint complex (Tof1p-Mrc1p-Csm3p) that acts at the stalled replication fork to promote sister chromatid cohesion after DNA damage, facilitating gap repair of damaged DNA, interacts with the MCM helicase</t>
  </si>
  <si>
    <t>YNL272C</t>
  </si>
  <si>
    <t>SEC2</t>
  </si>
  <si>
    <t>Guanyl-nucleotide exchange factor for the small G-protein Sec4p, located on cytoplasmic vesicles, essential for post-Golgi vesicle transport</t>
  </si>
  <si>
    <t>YNL271C</t>
  </si>
  <si>
    <t>BNI1</t>
  </si>
  <si>
    <t>Formin, nucleates the formation of linear actin filaments, involved in cell processes such as budding and mitotic spindle orientation which require the formation of polarized actin cables, functionally redundant with BNR1</t>
  </si>
  <si>
    <t>YNL270C</t>
  </si>
  <si>
    <t>ALP1</t>
  </si>
  <si>
    <t>Basic amino acid transporter, involved in uptake of cationic amino acids</t>
  </si>
  <si>
    <t>YNL269W</t>
  </si>
  <si>
    <t>BSC4</t>
  </si>
  <si>
    <t>Protein of unknown function, ORF exhibits genomic organization compatible with a translational readthrough-dependent mode of expression, readthrough is increased upon depletion of Sup35p</t>
  </si>
  <si>
    <t>YNL268W</t>
  </si>
  <si>
    <t>LYP1</t>
  </si>
  <si>
    <t>Lysine permease, one of three amino acid permeases (Alp1p, Can1p, Lyp1p) responsible for uptake of cationic amino acids</t>
  </si>
  <si>
    <t>YNL267W</t>
  </si>
  <si>
    <t>PIK1</t>
  </si>
  <si>
    <t>Phosphatidylinositol 4-kinase, catalyzes first step in the biosynthesis of phosphatidylinositol-4,5-biphosphate, may control cytokineses through the actin cytoskeleton</t>
  </si>
  <si>
    <t>YNL265C</t>
  </si>
  <si>
    <t>IST1</t>
  </si>
  <si>
    <t>Putative translation initiation factor, as suggested by computational analysis of large-scale protein-protein interaction data</t>
  </si>
  <si>
    <t>YNL264C</t>
  </si>
  <si>
    <t>PDR17</t>
  </si>
  <si>
    <t>Phosphatidylinositol transfer protein (PITP), downregulates Plb1p-mediated turnover of phosphatidylcholine, found in the cytosol and microsomes, homologous to Pdr16p, deletion affects phospholipid composition</t>
  </si>
  <si>
    <t>YNL263C</t>
  </si>
  <si>
    <t>YIF1</t>
  </si>
  <si>
    <t>Integral membrane protein required for the fusion of ER-derived COPII transport vesicles with the Golgi, interacts with Yip1p and Yos1p, localizes to the Golgi, the ER, and COPII vesicles</t>
  </si>
  <si>
    <t>YNL262W</t>
  </si>
  <si>
    <t>POL2</t>
  </si>
  <si>
    <t>Catalytic subunit of DNA polymerase epsilon, one of the major chromosomal DNA replication polymerases characterized by processivity and proofreading exonuclease activity, also involved in DNA synthesis during DNA repair</t>
  </si>
  <si>
    <t>YNL261W</t>
  </si>
  <si>
    <t>ORC5</t>
  </si>
  <si>
    <t>YNL260C</t>
  </si>
  <si>
    <t>YNL259C</t>
  </si>
  <si>
    <t>ATX1</t>
  </si>
  <si>
    <t>Cytosolic copper metallochaperone that transports copper to the secretory vesicle copper transporter Ccc2p for eventual insertion into Fet3p, which is a multicopper oxidase required for high-affinity iron uptake</t>
  </si>
  <si>
    <t>YNL258C</t>
  </si>
  <si>
    <t>DSL1</t>
  </si>
  <si>
    <t>Protein involved in early stages of meiotic recombination, possibly involved in the coordination of recombination and meiotic division, mutations lead to premature initiation of the first meiotic division</t>
  </si>
  <si>
    <t>YMR132C</t>
  </si>
  <si>
    <t>JLP2</t>
  </si>
  <si>
    <t>Protein of unknown function, contains sequence that closely resembles a J domain (typified by the E. coli DnaJ protein)</t>
  </si>
  <si>
    <t>YMR131C</t>
  </si>
  <si>
    <t>Hydroxymethylpyrimidine phosphate kinase, involved in the last steps in thiamine biosynthesis, member of a gene family with THI21 and THI22, functionally redundant with Thi21p</t>
  </si>
  <si>
    <t>YOL054W</t>
  </si>
  <si>
    <t>Nuclear protein, putative RNA polymerase II elongation factor, isolated as Pob3pSpt16p-binding protein</t>
  </si>
  <si>
    <t>YOL053W</t>
  </si>
  <si>
    <t>YOL052C-A</t>
  </si>
  <si>
    <t>DDR2</t>
  </si>
  <si>
    <t>Multistress response protein, expression is activated by a variety of xenobiotic agents and environmental or physiological stresses</t>
  </si>
  <si>
    <t>YOL052C</t>
  </si>
  <si>
    <t>SPE2</t>
  </si>
  <si>
    <t>S-adenosylmethionine decarboxylase, required for the biosynthesis of spermidine and spermine, cells lacking Spe2p require spermine or spermidine for growth in the presence of oxygen but not when grown anaerobically</t>
  </si>
  <si>
    <t>YOL051W</t>
  </si>
  <si>
    <t>GAL11</t>
  </si>
  <si>
    <t>Putative transmembrane protein involved in the biotin biosynthesis pathway, responsible for uptake of 7-keto 8-aminopelargonic acid, BIO5 is in a cluster of 3 genes (BIO3, BIO4, and BIO5) that mediate biotin synthesis</t>
  </si>
  <si>
    <t>YNR055C</t>
  </si>
  <si>
    <t>HOL1</t>
  </si>
  <si>
    <t>Putative ion transporter similar to the major facilitator superfamily of transporters, mutations in membrane-spanning domains permit nonselective cation uptake</t>
  </si>
  <si>
    <t>YNR054C</t>
  </si>
  <si>
    <t>Essential protein of unknown function, has homology to mouse mABT1, which is a basal transcription activator that associates with TBP</t>
  </si>
  <si>
    <t>YNR053C</t>
  </si>
  <si>
    <t>NOG2</t>
  </si>
  <si>
    <t>Putative GTPase that associates with pre-60S ribosomal subunits in the nucleolus and is required for their nuclear export and maturation</t>
  </si>
  <si>
    <t>YNR052C</t>
  </si>
  <si>
    <t>POP2</t>
  </si>
  <si>
    <t>RNase of the DEDD superfamily, subunit of the Ccr4-Not complex that mediates 3 to 5 mRNA deadenylation</t>
  </si>
  <si>
    <t>YNR051C</t>
  </si>
  <si>
    <t>BRE5</t>
  </si>
  <si>
    <t>Ubiquitin protease cofactor, forms deubiquitination complex with Ubp3p that coregulates anterograde and retrograde transport between the endoplasmic reticulum and Golgi compartments, null is sensitive to brefeldin A</t>
  </si>
  <si>
    <t>YNR050C</t>
  </si>
  <si>
    <t>LYS9</t>
  </si>
  <si>
    <t>Saccharopine dehydrogenase (NADP+, L-glutamate-forming), catalyzes the formation of saccharopine from alpha-aminoadipate 6-semialdehyde, which is the seventh step in lysine biosynthesis pathway</t>
  </si>
  <si>
    <t>YNR049C</t>
  </si>
  <si>
    <t>MSO1</t>
  </si>
  <si>
    <t>Probable component of the secretory vesicle docking complex, acts at a late step in secretion, shows genetic and physical interactions with Sec1p and is enriched in microsomal membrane fractions, required for sporulation</t>
  </si>
  <si>
    <t>YNR048W</t>
  </si>
  <si>
    <t>Protein with similarity to Cdc50p</t>
  </si>
  <si>
    <t>YNR047W</t>
  </si>
  <si>
    <t>Putative protein kinase that, when overexpressed, interferes with pheromone-induced growth arrest, localizes to the cytoplasm, potential Cdc28p substrate</t>
  </si>
  <si>
    <t>YNR046W</t>
  </si>
  <si>
    <t>TRM112</t>
  </si>
  <si>
    <t>Subunit of an adoMet-dependent tRNA methyltransferase (MTase) complex (Trm11p-Trm112p), required for the methylation of the guanosine nucleotide at position 10 (m2G10) in tRNAs, putative zinc binding subunit of other MTase-related proteins</t>
  </si>
  <si>
    <t>YNR045W</t>
  </si>
  <si>
    <t>PET494</t>
  </si>
  <si>
    <t>Specific translational activator for the COX3 mRNA that acts together with Pet54p and Pet122p, located in the mitochondrial inner membrane</t>
  </si>
  <si>
    <t>YNR044W</t>
  </si>
  <si>
    <t>AGA1</t>
  </si>
  <si>
    <t>Anchorage subunit of a-agglutinin of a-cells, highly O-glycosylated protein with N-terminal secretion signal and C-terminal signal for addition of GPI anchor to cell wall, linked to adhesion subunit Aga2p via two disulfide bonds</t>
  </si>
  <si>
    <t>YNR043W</t>
  </si>
  <si>
    <t>MVD1</t>
  </si>
  <si>
    <t>Mevalonate pyrophosphate decarboxylase, essential enzyme involved in the biosynthesis of isoprenoids and sterols, including ergosterol, acts as a homodimer</t>
  </si>
  <si>
    <t>YNR041C</t>
  </si>
  <si>
    <t>COQ2</t>
  </si>
  <si>
    <t>Para hydroxybenzoate: polyprenyl transferase, catalyzes the second step in ubiquinone (coenzyme Q) biosynthesis</t>
  </si>
  <si>
    <t>YNR040W</t>
  </si>
  <si>
    <t>YNR039C</t>
  </si>
  <si>
    <t>ZRG17</t>
  </si>
  <si>
    <t>Endoplasmic reticulum protein of unknown function, transcription is induced under conditions of zinc deficiency, mutant phenotype suggests a role in uptake of zinc</t>
  </si>
  <si>
    <t>YNR038W</t>
  </si>
  <si>
    <t>DBP6</t>
  </si>
  <si>
    <t>Essential protein involved in ribosome biogenesis, putative ATP-dependent RNA helicase of the DEAD-box protein family</t>
  </si>
  <si>
    <t>YNR037C</t>
  </si>
  <si>
    <t>RSM19</t>
  </si>
  <si>
    <t>Mitochondrial ribosomal protein of the small subunit, has similarity to E. coli S19 ribosomal protein</t>
  </si>
  <si>
    <t>YNR036C</t>
  </si>
  <si>
    <t>Putative mitochondrial ribosomal protein of the small subunit, has similarity to E. coli and human mitochondrial S12 ribosomal proteins</t>
  </si>
  <si>
    <t>YNR035C</t>
  </si>
  <si>
    <t>ARC35</t>
  </si>
  <si>
    <t>Subunit of the ARP23 complex, which is required for the motility and integrity of cortical actin patches, required for cortical localization of calmodulin</t>
  </si>
  <si>
    <t>YNR034W-A</t>
  </si>
  <si>
    <t>YNR034W</t>
  </si>
  <si>
    <t>SOL1</t>
  </si>
  <si>
    <t>Protein with a possible role in tRNA export, shows similarity to glucose-6-phosphate dehydrogenase non-catalytic domains but does not exhibit this enzymatic activity, homologous to Sol2p, Sol3p, and Sol4p</t>
  </si>
  <si>
    <t>YNR033W</t>
  </si>
  <si>
    <t>ABZ1</t>
  </si>
  <si>
    <t>Para-aminobenzoate (PABA) synthase, has similarity to Escherichia coli PABA synthase components PabA and PabB</t>
  </si>
  <si>
    <t>YNR032W</t>
  </si>
  <si>
    <t>PPG1</t>
  </si>
  <si>
    <t>Putative serinethreonine protein phosphatase, required for glycogen accumulation, interacts with Tap42p, which binds to and regulates other protein phosphatases</t>
  </si>
  <si>
    <t>YNR032C-A</t>
  </si>
  <si>
    <t>HUB1</t>
  </si>
  <si>
    <t>Ubiquitin-like protein modifier, may function in modification of Sph1p and Hbt1p, functionally complemented by the human or S. pombe ortholog, mechanism of Hub1p adduct formation not yet clear</t>
  </si>
  <si>
    <t>YNR031C</t>
  </si>
  <si>
    <t>SSK2</t>
  </si>
  <si>
    <t>MAP kinase kinase kinase of the HOG1 mitogen-activated signaling pathway, interacts with Ssk1p, leading to autophosphorylation and activation of Ssk2p which phosphorylates Pbs2p, also mediates actin cytoskeleton recovery from osmotic stress</t>
  </si>
  <si>
    <t>YNR030W</t>
  </si>
  <si>
    <t>ALG12</t>
  </si>
  <si>
    <t>Alpha-1,6-mannosyltransferase localized to the ER, responsible for the addition of the alpha-1,6 mannose to dolichol-linked Man7GlcNAc2, acts in the dolichol pathway for N-glycosylation</t>
  </si>
  <si>
    <t>YNR029C</t>
  </si>
  <si>
    <t>YNR028W</t>
  </si>
  <si>
    <t>CPR8</t>
  </si>
  <si>
    <t>Peptidyl-prolyl cis-trans isomerase (cyclophilin), catalyzes the cis-trans isomerization of peptide bonds N-terminal to proline residues, similarity to Cpr4p suggests a potential role in the secretory pathway</t>
  </si>
  <si>
    <t>YNR027W</t>
  </si>
  <si>
    <t>BUD17</t>
  </si>
  <si>
    <t>Protein involved in bud-site selection, diploid mutants display a random budding pattern instead of the wild-type bipolar pattern</t>
  </si>
  <si>
    <t>YNR026C</t>
  </si>
  <si>
    <t>SEC12</t>
  </si>
  <si>
    <t>Guanine nucleotide exchange factor (GEF), glycosylated integral membrane protein of the endoplasmic reticulum, important for the initiation of transport vesicle budding from the endoplasmic reticulum through activation of the GTPase Sar1p</t>
  </si>
  <si>
    <t>YNR024W</t>
  </si>
  <si>
    <t>YNR023W</t>
  </si>
  <si>
    <t>SNF12</t>
  </si>
  <si>
    <t>73 kDa subunit of the 11-subunit SWISNF chromatin remodeling complex involved in transcriptional regulation, homolog of Rsc6p subunit of the RSC chromatin remodeling complex, deletion mutants are temperature-sensitive</t>
  </si>
  <si>
    <t>YNR022C</t>
  </si>
  <si>
    <t>MRPL50</t>
  </si>
  <si>
    <t>YOR192C</t>
  </si>
  <si>
    <t>YOR191W</t>
  </si>
  <si>
    <t>RIS1</t>
  </si>
  <si>
    <t>Member of the SWISNF family of DNA-dependent ATPases, plays a role in antagonizing silencing during mating-type switching, contains an N-terminal domain that interacts with Sir4p and a C-terminal SNF2 domain</t>
  </si>
  <si>
    <t>YOR190W</t>
  </si>
  <si>
    <t>SPR1</t>
  </si>
  <si>
    <t>Sporulation regulated genes, sporulation-specific exo-1,3-beta-glucanase</t>
  </si>
  <si>
    <t>YOR189W</t>
  </si>
  <si>
    <t>IES4</t>
  </si>
  <si>
    <t>Protein that associates with the INO80 chromatin remodeling complex under low-salt conditions</t>
  </si>
  <si>
    <t>YOR188W</t>
  </si>
  <si>
    <t>MSB1</t>
  </si>
  <si>
    <t>Protein involved in positive regulation of both 1,3-beta-glucan synthesis and the Pkc1p-MAPK pathway, potential Cdc28p substrate, multicopy suppressor of temperature-sensitive mutations in CDC24 and CDC42, and of mutations in BEM4</t>
  </si>
  <si>
    <t>YOR187W</t>
  </si>
  <si>
    <t>TUF1</t>
  </si>
  <si>
    <t>Mitochondrial translation elongation factor Tu, comprises both GTPase and guanine nucleotide exchange factor activities, while these activities are found in separate proteins in S. pombe and humans</t>
  </si>
  <si>
    <t>YOR186W</t>
  </si>
  <si>
    <t>YOR185C</t>
  </si>
  <si>
    <t>GSP2</t>
  </si>
  <si>
    <t>GTP binding protein (mammalian Ranp homolog) involved in the maintenance of nuclear organization, RNA processing and transport, interacts with Kap121p, Kap123p and Pdr6p (karyophilin betas), Gsp1p homolog that is not required for viability</t>
  </si>
  <si>
    <t>YOR184W</t>
  </si>
  <si>
    <t>SER1</t>
  </si>
  <si>
    <t>3-phosphoserine aminotransferase, catalyzes the formation of phosphoserine from 3-phosphohydroxypyruvate, required for serine and glycine biosynthesis, regulated by the general control of amino acid biosynthesis mediated by Gcn4p</t>
  </si>
  <si>
    <t>YOR183W</t>
  </si>
  <si>
    <t>FYV12</t>
  </si>
  <si>
    <t>Protein of unknown function, required for survival upon exposure to K1 killer toxin</t>
  </si>
  <si>
    <t>YOR181W</t>
  </si>
  <si>
    <t>LAS17</t>
  </si>
  <si>
    <t>Actin assembly factor, activates the Arp23 protein complex that nucleates branched actin filaments, localizes with the Arp23 complex to actin patches, homolog of the human Wiskott-Aldrich syndrome protein (WASP)</t>
  </si>
  <si>
    <t>YOR180C</t>
  </si>
  <si>
    <t>DCI1</t>
  </si>
  <si>
    <t>Peroxisomal delta(3,5)-delta(2,4)-dienoyl-CoA isomerase, involved in fatty acid metabolism, contains peroxisome targeting signals at amino and carboxy termini</t>
  </si>
  <si>
    <t>YOR179C</t>
  </si>
  <si>
    <t>SYC1</t>
  </si>
  <si>
    <t>Subunit of the APT subcomplex of cleavage and polyadenylation factor, may have a role in 3 end formation of both polyadenylated and non-polyadenylated RNAs</t>
  </si>
  <si>
    <t>YOR178C</t>
  </si>
  <si>
    <t>GAC1</t>
  </si>
  <si>
    <t>Regulatory subunit for Glc7p (protein phosphatase I) for glycogen synthesis, regulatory role also predicted for glucose repression and ion homeostasis, potential Cdc28p substrate</t>
  </si>
  <si>
    <t>YOR177C</t>
  </si>
  <si>
    <t>MPC54</t>
  </si>
  <si>
    <t>Component of the meiotic outer plaque, a membrane-organizing center which is assembled on the cytoplasmic face of the spindle pole body during meiosis II and triggers the formation of the prospore membrane, potential Cdc28p substrate</t>
  </si>
  <si>
    <t>YOR176W</t>
  </si>
  <si>
    <t>HEM15</t>
  </si>
  <si>
    <t>Ferrochelatase, a mitochondrial inner membrane protein, catalyzes the insertion of ferrous iron into protoporphyrin IX, the eighth and final step in the heme biosynthetic pathway, Yfh1p mediates the use of iron by Hem15p</t>
  </si>
  <si>
    <t>YOR175C</t>
  </si>
  <si>
    <t>Member of the MBOAT family of putative membrane-bound O-acyltransferases</t>
  </si>
  <si>
    <t>YOR174W</t>
  </si>
  <si>
    <t>MED4</t>
  </si>
  <si>
    <t>Member of RNA Polymerase II transcriptional regulation mediator, Stoichiometric member of mediator complex</t>
  </si>
  <si>
    <t>YOR173W</t>
  </si>
  <si>
    <t>DCS2</t>
  </si>
  <si>
    <t>Putative lipase of the peroxisomal matrix, transcriptionally activated by Yrm1p along with genes involved in multidrug resistance</t>
  </si>
  <si>
    <t>YOR083W</t>
  </si>
  <si>
    <t>WHI5</t>
  </si>
  <si>
    <t>Protein that regulates the critical cell size required for passage through Start and commitment to cell division, may act upstream of SCB binding factor (SBF) and MCB binding factor (MBF), periodically expressed in G1</t>
  </si>
  <si>
    <t>YOR081C</t>
  </si>
  <si>
    <t>Protein of unknown function, localizes to lipid particles, potential Cdc28p substrate</t>
  </si>
  <si>
    <t>YOR080W</t>
  </si>
  <si>
    <t>DIA2</t>
  </si>
  <si>
    <t>Protein of unknown function, involved in invasive and pseudohyphal growth</t>
  </si>
  <si>
    <t>YOR079C</t>
  </si>
  <si>
    <t>ATX2</t>
  </si>
  <si>
    <t>Golgi membrane protein involved in manganese homeostasis, overproduction suppresses the sod1 (copper, zinc superoxide dismutase) null mutation</t>
  </si>
  <si>
    <t>YOR078W</t>
  </si>
  <si>
    <t>BUD21</t>
  </si>
  <si>
    <t>Component of small ribosomal subunit (SSU) processosome that contains U3 snoRNA, originally isolated as bud-site selection mutant that displays a random budding pattern</t>
  </si>
  <si>
    <t>YOR077W</t>
  </si>
  <si>
    <t>RTS2</t>
  </si>
  <si>
    <t>Basic zinc-finger protein, similar to human and mouse Kin17 proteins which are chromatin-associated proteins involved in UV response and DNA replication</t>
  </si>
  <si>
    <t>YOR076C</t>
  </si>
  <si>
    <t>SKI7</t>
  </si>
  <si>
    <t>Antiviral adaptor protein that mediates interactions via its N-terminus between the exosome and Ski complex (Ski2p, Ski3p, Ski8p) which operate in the 3-to-5 mRNA-decay pathway, cytoplasmic protein required for degrading nonstop mRNAs</t>
  </si>
  <si>
    <t>YOR075W</t>
  </si>
  <si>
    <t>UFE1</t>
  </si>
  <si>
    <t>t-SNARE required for ER membrane fusion and vesicular traffic, integral membrane protein that constitutes with Sec20p and Use1p the trimeric acceptor for Rv-SNAREs on Golgi-derived vesicles at the ER, part of Dsl1p complex</t>
  </si>
  <si>
    <t>YOR074C</t>
  </si>
  <si>
    <t>CDC21</t>
  </si>
  <si>
    <t>Thymidylate synthase, required for de novo biosynthesis of pyrimidine deoxyribonucleotides, expression is induced at G1S</t>
  </si>
  <si>
    <t>The authentic, non-tagged protein was localized to mitochondria</t>
  </si>
  <si>
    <t>YNL167C</t>
  </si>
  <si>
    <t>SKO1</t>
  </si>
  <si>
    <t>Basic leucine zipper (bZIP) transcription factor of the ATFCREB family that forms a complex with Tup1p and Ssn6p to both activate and repress transcription, cytosolic and nuclear protein involved in the osmotic and oxidative stress responses</t>
  </si>
  <si>
    <t>YNL166C</t>
  </si>
  <si>
    <t>BNI5</t>
  </si>
  <si>
    <t>Protein involved in organization of septins at the mother-bud neck, may interact directly with the Cdc11p septin, localizes to bud neck in a septin-dependent manner</t>
  </si>
  <si>
    <t>YNL165W</t>
  </si>
  <si>
    <t>YNL164C</t>
  </si>
  <si>
    <t>IBD2</t>
  </si>
  <si>
    <t>Component of the BUB2-dependent spindle checkpoint pathway, interacts with Bfa1p and functions upstream of Bub2p and Bfa1p</t>
  </si>
  <si>
    <t>YNL163C</t>
  </si>
  <si>
    <t>RIA1</t>
  </si>
  <si>
    <t>Cytoplasmic GTPase involved in biogenesis of the 60S ribosome, has similarity to translation elongation factor 2 (Eft1p and Eft2p)</t>
  </si>
  <si>
    <t>YNL162W-A</t>
  </si>
  <si>
    <t>YNL161W</t>
  </si>
  <si>
    <t>CBK1</t>
  </si>
  <si>
    <t>Protein kinase involved in cell wall biosynthesis, required for efficient apical growth, proper mating projection morphology, bipolar bud site selection in diploid cells, and cell separation</t>
  </si>
  <si>
    <t>YNL160W</t>
  </si>
  <si>
    <t>YGP1</t>
  </si>
  <si>
    <t>Cell wall-related secretory glycoprotein, induced by nutrient deprivation-associated growth arrest and upon entry into stationary phase, may be involved in adaptation prior to stationary phase entry, has similarity to Sps100p</t>
  </si>
  <si>
    <t>YNL159C</t>
  </si>
  <si>
    <t>ASI2</t>
  </si>
  <si>
    <t>Predicted membrane protein, genetic interactions suggest a role in negative regulation of amino acid uptake</t>
  </si>
  <si>
    <t>YNL158W</t>
  </si>
  <si>
    <t>Essential protein required for maturation of Gas1p and Pho8p, green fluorescent protein (GFP)-fusion protein localizes to the nuclear periphery</t>
  </si>
  <si>
    <t>YNL157W</t>
  </si>
  <si>
    <t>YNL156C</t>
  </si>
  <si>
    <t>Protein of unknown function, potential homolog of mammalian Insig 1</t>
  </si>
  <si>
    <t>YNL155W</t>
  </si>
  <si>
    <t>YNL154C</t>
  </si>
  <si>
    <t>YCK2</t>
  </si>
  <si>
    <t>Palmitoylated, plasma membrane-bound casein kinase I isoform, shares redundant functions with Yck1p in morphogenesis, proper septin assembly, endocytic trafficking, provides an essential function overlapping with that of Yck1p</t>
  </si>
  <si>
    <t>YNL153C</t>
  </si>
  <si>
    <t>GIM3</t>
  </si>
  <si>
    <t>Subunit of the heterohexameric cochaperone prefoldin complex which binds specifically to cytosolic chaperonin and transfers target proteins to it</t>
  </si>
  <si>
    <t>YNL152W</t>
  </si>
  <si>
    <t>YNL151C</t>
  </si>
  <si>
    <t>RPC31</t>
  </si>
  <si>
    <t>RNA polymerase III subunit C31, contains HMG-like C-terminal domain</t>
  </si>
  <si>
    <t>YNL149C</t>
  </si>
  <si>
    <t>YNL148C</t>
  </si>
  <si>
    <t>ALF1</t>
  </si>
  <si>
    <t>Alpha-tubulin folding protein, similar to mammalian cofactor B, Alf1p-GFP localizes to cytoplasmic microtubules, required for the folding of alpha-tubulin and may play an additional role in microtubule maintenance</t>
  </si>
  <si>
    <t>YNL147W</t>
  </si>
  <si>
    <t>LSM7</t>
  </si>
  <si>
    <t>Component of small nuclear ribonucleoprotein complexes involved in RNA processing, splicing, and decay</t>
  </si>
  <si>
    <t>YNL146W</t>
  </si>
  <si>
    <t>YNL146C-A</t>
  </si>
  <si>
    <t>YNL145W</t>
  </si>
  <si>
    <t>MFA2</t>
  </si>
  <si>
    <t>Mating pheromone a-factor, made by a cells, interacts with alpha cells to induce cell cycle arrest and other responses leading to mating, biogenesis involves C-terminal modification, N-terminal proteolysis, and export, also encoded by MFA1</t>
  </si>
  <si>
    <t>YNL144C</t>
  </si>
  <si>
    <t>YNL142W</t>
  </si>
  <si>
    <t>MEP2</t>
  </si>
  <si>
    <t>Ammonium permease involved in regulation of pseudohyphal growth, belongs to a ubiquitous family of cytoplasmic membrane proteins that transport only ammonium (NH4+), expression is under the nitrogen catabolite repression regulation</t>
  </si>
  <si>
    <t>YNL141W</t>
  </si>
  <si>
    <t>AAH1</t>
  </si>
  <si>
    <t>Adenine deaminase (adenine aminohydrolase), involved in purine salvage and nitrogen catabolism</t>
  </si>
  <si>
    <t>YNL139C</t>
  </si>
  <si>
    <t>RLR1</t>
  </si>
  <si>
    <t>Subunit of the THO complex, which is required for efficient transcription elongation and involved in transcriptional elongation-associated recombination, required for LacZ RNA expression from certain plasmids</t>
  </si>
  <si>
    <t>YNL138W-A</t>
  </si>
  <si>
    <t>Component of the U2 snRNP, associated with the SF3b complex, conserved in Ashbya gossypii</t>
  </si>
  <si>
    <t>YNL138W</t>
  </si>
  <si>
    <t>SRV2</t>
  </si>
  <si>
    <t>CAP (cyclase-associated protein) subunit of adenylyl cyclase complex, N-terminus binds adenylyl cyclase and facilitates activation by RAS, C-terminus binds ADP-actin monomers, facilitating regulation of actin dynamics and cell morphogenesis</t>
  </si>
  <si>
    <t>YNL137C</t>
  </si>
  <si>
    <t>NAM9</t>
  </si>
  <si>
    <t xml:space="preserve">Mitochondrial ribosomal component of the small subunit </t>
  </si>
  <si>
    <t>YNL136W</t>
  </si>
  <si>
    <t>EAF7</t>
  </si>
  <si>
    <t>Subunit of the NuA4 histone acetyltransferase complex, which acetylates the N-terminal tails of histones H4 and H2A</t>
  </si>
  <si>
    <t>YNL135C</t>
  </si>
  <si>
    <t>FPR1</t>
  </si>
  <si>
    <t>Peptidyl-prolyl cis-trans isomerase (PPIase), binds to the drugs FK506 and rapamycin, also binds to the nonhistone chromatin binding protein Hmo1p and may regulate its assembly or function</t>
  </si>
  <si>
    <t>YNL134C</t>
  </si>
  <si>
    <t>YNL133C</t>
  </si>
  <si>
    <t>FYV6</t>
  </si>
  <si>
    <t>Protein of unknown function, required for survival upon exposure to K1 killer toxin, proposed to regulate double-strand break repair via non-homologous end-joining</t>
  </si>
  <si>
    <t>YNL132W</t>
  </si>
  <si>
    <t>KRE33</t>
  </si>
  <si>
    <t>Essential protein of unknown function, heterozygous mutant shows haploinsufficiency in K1 killer toxin resistance</t>
  </si>
  <si>
    <t>YNL131W</t>
  </si>
  <si>
    <t>TOM22</t>
  </si>
  <si>
    <t>Constituent of the mitochondrial outer membrane translocase complex involved in protein import into mitochondria</t>
  </si>
  <si>
    <t>YNL130C-A</t>
  </si>
  <si>
    <t>YNL130C</t>
  </si>
  <si>
    <t>CPT1</t>
  </si>
  <si>
    <t>Cholinephosphotransferase, required for phosphatidylcholine biosynthesis and for inositol-dependent regulation of EPT1 transcription</t>
  </si>
  <si>
    <t>YNL129W</t>
  </si>
  <si>
    <t>NRK1</t>
  </si>
  <si>
    <t>Nicotinamide riboside kinase, catalyzes the synthesis of nicotinamide nucleotide (NMN) from nicotinamide riboside, involved in a salvage pathway for NAD+ biosynthesis</t>
  </si>
  <si>
    <t>YNL128W</t>
  </si>
  <si>
    <t>TEP1</t>
  </si>
  <si>
    <t>Homolog of human tumor suppressor gene PTENMMAC1TEP1 that has lipid phosphatase activity and is linked to the phosphatidylinositol signaling pathway, plays a role in normal sporulation</t>
  </si>
  <si>
    <t>YNL127W</t>
  </si>
  <si>
    <t>FAR11</t>
  </si>
  <si>
    <t>Protein involved in G1 cell cycle arrest in response to pheromone, in a pathway different from the Far1p-dependent pathway, interacts with Far3p, Far7p, Far8p, Far9p, and Far10p</t>
  </si>
  <si>
    <t>YNL126W</t>
  </si>
  <si>
    <t>SPC98</t>
  </si>
  <si>
    <t>Component of the microtubule-nucleating Tub4p (gamma-tubulin) complex, interacts with Spc110p at the spindle pole body (SPB) inner plaque and with Spc72p at the SPB outer plaque</t>
  </si>
  <si>
    <t>YNL125C</t>
  </si>
  <si>
    <t>ESBP6</t>
  </si>
  <si>
    <t>Protein with similarity to monocarboxylate permeases, appears not to be involved in transport of monocarboxylates such as lactate, pyruvate or acetate across the plasma membrane</t>
  </si>
  <si>
    <t>YNL124W</t>
  </si>
  <si>
    <t>NAF1</t>
  </si>
  <si>
    <t>Component of the Paf1p complex, which is a large complex that binds to and modulates the activity of RNA polymerase II and is required for expression of a subset of genes, including cyclin genes, contains TPR repeats</t>
  </si>
  <si>
    <t>YOL144W</t>
  </si>
  <si>
    <t>NOP8</t>
  </si>
  <si>
    <t>Nucleolar protein required for 60S ribosomal subunit biogenesis</t>
  </si>
  <si>
    <t>YOL143C</t>
  </si>
  <si>
    <t>RIB4</t>
  </si>
  <si>
    <t>Lumazine synthase (6,7-dimethyl-8-ribityllumazine synthase, also known as DMRL synthase), catalyzes synthesis of immediate precursor to riboflavin</t>
  </si>
  <si>
    <t>YOL142W</t>
  </si>
  <si>
    <t>RRP40</t>
  </si>
  <si>
    <t>Protein involved in rRNA processing, component of the exosome 3-&gt;5 exonuclease complex</t>
  </si>
  <si>
    <t>YOL141W</t>
  </si>
  <si>
    <t>PPM2</t>
  </si>
  <si>
    <t>Putative carboxyl methyl transferase, has similarity to Ppm1p but biochemical activity not yet demonstrated</t>
  </si>
  <si>
    <t>YOL140W</t>
  </si>
  <si>
    <t>ARG8</t>
  </si>
  <si>
    <t>Acetylornithine aminotransferase, catalyzes the fourth step in the biosynthesis of the arginine precursor ornithine</t>
  </si>
  <si>
    <t>YOL139C</t>
  </si>
  <si>
    <t>CDC33</t>
  </si>
  <si>
    <t>Cytoplasmic mRNA cap binding protein, the eIF4E-cap complex is responsible for mediating cap-dependent mRNA translation via interactions with the translation initiation factor eIF4G (Tif4631p or Tif4632p)</t>
  </si>
  <si>
    <t>YOL138C</t>
  </si>
  <si>
    <t>YOL137W</t>
  </si>
  <si>
    <t>BSC6</t>
  </si>
  <si>
    <t>Protein of unknown function containing 8 putative transmembrane seqments, ORF exhibits genomic organization compatible with a translational readthrough-dependent mode of expression</t>
  </si>
  <si>
    <t>YOL136C</t>
  </si>
  <si>
    <t>PFK27</t>
  </si>
  <si>
    <t>6-phosphofructo-2-kinase, has negligible fructose-2,6-bisphosphatase activity, inhibited by phosphoenolpyruvate and sn-glycerol 3-phosphate, expression induced by glucose and sucrose, transcriptional regulation involves protein kinase A</t>
  </si>
  <si>
    <t>YOL135C</t>
  </si>
  <si>
    <t>MED7</t>
  </si>
  <si>
    <t>YOL133W</t>
  </si>
  <si>
    <t>HRT1</t>
  </si>
  <si>
    <t>RING finger containing subunit of Skp1-Cullin-F-box ubiquitin protein ligases (SCF), required for Gic2p, Far1p, Sic1p and Cln2p degradation, may tether Cdc34p (a ubiquitin conjugating enzyme or E2) and Cdc53p (a cullin) subunits of SCF</t>
  </si>
  <si>
    <t>YOL132W</t>
  </si>
  <si>
    <t>GAS4</t>
  </si>
  <si>
    <t>Putative 1,3-beta-glucanosyltransferase, has similarity to Gas1p, localizes to the cell wall</t>
  </si>
  <si>
    <t>YOL131W</t>
  </si>
  <si>
    <t>YOL130W</t>
  </si>
  <si>
    <t>ALR1</t>
  </si>
  <si>
    <t>Plasma membrane Mg(2+) transporter, expression and turnover are regulated by Mg(2+) concentration, overexpression confers increased tolerance to Al(3+) and Ga(3+) ions</t>
  </si>
  <si>
    <t>YOL129W</t>
  </si>
  <si>
    <t>VPS68</t>
  </si>
  <si>
    <t>Vacuolar membrane protein of unknown function involved in vacuolar protein sorting, also detected in the mitochondria</t>
  </si>
  <si>
    <t>YOL128C</t>
  </si>
  <si>
    <t>YGK3</t>
  </si>
  <si>
    <t>Protein kinase related to mammalian glycogen synthase kinases of the GSK-3 family, GSK-3 homologs (Mck1p, Rim11p, Mrk1p, Ygk3p) are involved in control of Msn2p-dependent transcription of stress responsive genes and in protein degradation</t>
  </si>
  <si>
    <t>YOL127W</t>
  </si>
  <si>
    <t>RPL25</t>
  </si>
  <si>
    <t>Putative protein tyrosine phosphatase, required for cell cycle arrest in response to oxidative damage of DNA</t>
  </si>
  <si>
    <t>YNL098C</t>
  </si>
  <si>
    <t>RAS2</t>
  </si>
  <si>
    <t>GTP-binding protein that regulates the nitrogen starvation response, sporulation, and filamentous growth, farnesylation and palmitoylation required for activity and localization to plasma membrane, homolog of mammalian Ras proto-oncogenes</t>
  </si>
  <si>
    <t>YNL097C-A</t>
  </si>
  <si>
    <t>YNL097C</t>
  </si>
  <si>
    <t>PHO23</t>
  </si>
  <si>
    <t>Probable component of the Rpd3 histone deacetylase complex, involved in transcriptional regulation of PHO5, C-terminus has similarity to human candidate tumor suppressor p33(ING1)</t>
  </si>
  <si>
    <t>YNL096C</t>
  </si>
  <si>
    <t>RPS7B</t>
  </si>
  <si>
    <t>Protein component of the small (40S) ribosomal subunit, nearly identical to Rps7Ap, interacts with Kti11p, deletion causes hypersensitivity to zymocin, has similarity to rat S7 and Xenopus S8 ribosomal proteins</t>
  </si>
  <si>
    <t>YNL095C</t>
  </si>
  <si>
    <t>YNL094W</t>
  </si>
  <si>
    <t>APP1</t>
  </si>
  <si>
    <t>Protein component of the small (40S) ribosomal subunit, nearly identical to Rps19Ap and has similarity to rat S19 ribosomal protein  Protein component of the small (40S) ribosomal subunit, nearly identical to Rps19Bp and has similarity to rat S19 ribosomal protein</t>
  </si>
  <si>
    <t>YOL120C</t>
  </si>
  <si>
    <t>Protein component of the large (60S) ribosomal subunit, identical to Rpl18Ap and has similarity to rat L18 ribosomal protein  Protein component of the large (60S) ribosomal subunit, identical to Rpl18Bp and has similarity to rat L18 ribosomal protein, intron of RPL18A pre-mRNA forms stem-loop structures that are a target for Rnt1p cleavage leading to degradation</t>
  </si>
  <si>
    <t>YOL119C</t>
  </si>
  <si>
    <t>MCH4</t>
  </si>
  <si>
    <t>YOL117W</t>
  </si>
  <si>
    <t>RRI2</t>
  </si>
  <si>
    <t>Subunit of the COP9 signalosome (CSN) complex that cleaves the ubiquitin-like protein Nedd8 from SCF ubiquitin ligases, plays a role in the mating pheromone response</t>
  </si>
  <si>
    <t>YOL116W</t>
  </si>
  <si>
    <t>MSN1</t>
  </si>
  <si>
    <t>Transcriptional activator involved in regulation of invertase and glucoamylase expression, invasive growth and pseudohyphal differentiation, iron uptake, chromium accumulation, and response to osmotic stress, localizes to the nucleus</t>
  </si>
  <si>
    <t>YOL115W</t>
  </si>
  <si>
    <t>PAP2</t>
  </si>
  <si>
    <t>Catalytic subunit of TRAMP (Trf4Pap2p-Mtr4p-Air1p2p), a nuclear poly (A) polymerase complex involved in RNA quality control, catalyzes polyadenylation of unmodified tRNAs, and snoRNA and rRNA precursors, disputed role as a DNA polymerase</t>
  </si>
  <si>
    <t>YOL114C</t>
  </si>
  <si>
    <t>YOL113W</t>
  </si>
  <si>
    <t>SKM1</t>
  </si>
  <si>
    <t>Member of the PAK family of serinethreonine protein kinases with similarity to Ste20p and Cla4p, proposed to be a downstream effector of Cdc42p during polarized growth</t>
  </si>
  <si>
    <t>YOL112W</t>
  </si>
  <si>
    <t>MSB4</t>
  </si>
  <si>
    <t>GTPase-activating protein of the Ras superfamily that acts primarily on Sec4p, localizes to the bud site and bud tip, has similarity to Msb3p, msb3 msb4 double mutation causes defects in secretion and actin organization</t>
  </si>
  <si>
    <t>YOL111C</t>
  </si>
  <si>
    <t>YOL110W</t>
  </si>
  <si>
    <t>SHR5</t>
  </si>
  <si>
    <t>Subunit of a palmitoyltransferase, composed of Shr5p and Erf2p, that adds a palmitoyl lipid moiety to Ras2p through a thioester linkage, palmitoylation is required for Ras2p localization to the plasma membrane</t>
  </si>
  <si>
    <t>YOL109W</t>
  </si>
  <si>
    <t>ZEO1</t>
  </si>
  <si>
    <t>Peripheral membrane protein of the plasma membrane that interacts with Mid2p, regulates the cell integrity pathway mediated by Pkc1p and Slt2p</t>
  </si>
  <si>
    <t>YOL108C</t>
  </si>
  <si>
    <t>INO4</t>
  </si>
  <si>
    <t>Transcription factor required for derepression of inositol-choline-regulated genes involved in phospholipid synthesis, forms a complex, with Ino2p, that binds the inositol-choline-responsive element through a basic helix-loop-helix domain</t>
  </si>
  <si>
    <t>YOL107W</t>
  </si>
  <si>
    <t>YOL105C</t>
  </si>
  <si>
    <t>WSC3</t>
  </si>
  <si>
    <t>Partially redundant sensor-transducer of the stress-activated PKC1-MPK1 signaling pathway involved in maintenance of cell wall integrity, involved in the response to heat shock and other stressors, regulates 1,3-beta-glucan synthesis</t>
  </si>
  <si>
    <t>YOL104C</t>
  </si>
  <si>
    <t>NDJ1</t>
  </si>
  <si>
    <t>Meiosis-specific telomere protein, required for bouquet formation, effective homolog pairing, ordered cross-over distribution (interference), sister chromatid cohesion at meiotic telomeres, and segregation of small chromosomes</t>
  </si>
  <si>
    <t>YOL103W</t>
  </si>
  <si>
    <t>ITR2</t>
  </si>
  <si>
    <t>Myo-inositol transporter with strong similarity to the major myo-inositol transporter Itr1p, member of the sugar transporter superfamily, expressed constitutively</t>
  </si>
  <si>
    <t>YOL102C</t>
  </si>
  <si>
    <t>TPT1</t>
  </si>
  <si>
    <t>tRNA 2-phosphotransferase, catalyzes the final step in yeast tRNA splicing: the transfer of the 2-PO(4) from the splice junction to NAD(+) to form ADP-ribose 1-2cyclic phosphate and nicotinamide</t>
  </si>
  <si>
    <t>YOL101C</t>
  </si>
  <si>
    <t>IZH4</t>
  </si>
  <si>
    <t>Membrane protein involved in zinc metabolism, member of the four-protein IZH family, expression induced by fatty acids and altered zinc levels, deletion reduces sensitivity to excess zinc, possible role in sterol metabolism</t>
  </si>
  <si>
    <t>YOL100W</t>
  </si>
  <si>
    <t>PKH2</t>
  </si>
  <si>
    <t>Ribonuclease H2 catalytic subunit, removes RNA primers during Okazaki fragment synthesis, cooperates with Rad27p nuclease</t>
  </si>
  <si>
    <t>YNL071W</t>
  </si>
  <si>
    <t>LAT1</t>
  </si>
  <si>
    <t>Dihydrolipoamide acetyltransferase component (E2) of pyruvate dehydrogenase complex, which catalyzes the oxidative decarboxylation of pyruvate to acetyl-CoA</t>
  </si>
  <si>
    <t>YNL070W</t>
  </si>
  <si>
    <t>TOM7</t>
  </si>
  <si>
    <t>Involved in mitochondrial protein import, translocase of the outer mito. membrane</t>
  </si>
  <si>
    <t>YNL069C</t>
  </si>
  <si>
    <t>RPL16B</t>
  </si>
  <si>
    <t>N-terminally acetylated protein component of the large (60S) ribosomal subunit, binds to 5.8 S rRNA, has similarity to Rpl16Ap, E. coli L13 and rat L13a ribosomal proteins, transcriptionally regulated by Rap1p</t>
  </si>
  <si>
    <t>YNL068C</t>
  </si>
  <si>
    <t>FKH2</t>
  </si>
  <si>
    <t>Transcription factor of the forkhead family that regulates the cell cycle and pseudohyphal growth, also involved in chromatin silencing at HML and HMR, potential Cdc28p substrate</t>
  </si>
  <si>
    <t>YNL067W-B</t>
  </si>
  <si>
    <t>YNL067W</t>
  </si>
  <si>
    <t>Protein component of the large (60S) ribosomal subunit, nearly identical to Rpl9Ap and has similarity to E. coli L6 and rat L9 ribosomal proteins  Protein component of the large (60S) ribosomal subunit, nearly identical to Rpl9Bp and has similarity to E. coli L6 and rat L9 ribosomal proteins</t>
  </si>
  <si>
    <t>YNL066W</t>
  </si>
  <si>
    <t>SUN4</t>
  </si>
  <si>
    <t>Cell wall protein related to glucanases, possibly involved in cell wall septation, member of the SUN family</t>
  </si>
  <si>
    <t>YNL065W</t>
  </si>
  <si>
    <t>AQR1</t>
  </si>
  <si>
    <t>Plasma membrane transporter of the major facilitator superfamily that confers resistance to short-chain monocarboxylic acids and quinidine</t>
  </si>
  <si>
    <t>YNL064C</t>
  </si>
  <si>
    <t>YDJ1</t>
  </si>
  <si>
    <t>Protein chaperone involved in regulation of the HSP90 and HSP70 functions, involved in protein translocation across membranes, member of the DnaJ family</t>
  </si>
  <si>
    <t>YNL063W</t>
  </si>
  <si>
    <t>YNL062C</t>
  </si>
  <si>
    <t>GCD10</t>
  </si>
  <si>
    <t>Subunit of tRNA (1-methyladenosine) methyltransferase with Gcd14p, required for the modification of the adenine at position 58 in tRNAs, especially tRNAi-Met, first identified as a negative regulator of GCN4 expression</t>
  </si>
  <si>
    <t>YNL061W</t>
  </si>
  <si>
    <t>NOP2</t>
  </si>
  <si>
    <t>Probable RNA m(5)C methyltransferase, essential for processing and maturation of 27S pre-rRNA and large ribosomal subunit biogenesis, localized to the nucleolus, constituent of 66S pre-ribosomal particles</t>
  </si>
  <si>
    <t>YNL059C</t>
  </si>
  <si>
    <t>ARP5</t>
  </si>
  <si>
    <t>YNL058C</t>
  </si>
  <si>
    <t>Protein of unknown function, localizes to the vacuole, potential Cdc28p substrate</t>
  </si>
  <si>
    <t>YNL056W</t>
  </si>
  <si>
    <t>Cytoplasmic protein required for replication of Brome mosaic virus in S. cerevisiae, which is a model system for studying replication of positive-strand RNA viruses in their natural hosts</t>
  </si>
  <si>
    <t>YNL055C</t>
  </si>
  <si>
    <t>Putative mitochondrial porin (voltage-dependent anion channel), related to Por1p but not required for mitochondrial membrane permeability or mitochondrial osmotic stability  Mitochondrial porin (voltage-dependent anion channel), outer membrane protein required for the maintenance of mitochondrial osmotic stability and mitochondrial membrane permeability</t>
  </si>
  <si>
    <t>YNL054W</t>
  </si>
  <si>
    <t>VAC7</t>
  </si>
  <si>
    <t>Integral vacuolar membrane protein involved in vacuole inheritance and morphology, may function to regulate Fab1p kinase activity</t>
  </si>
  <si>
    <t>YNL053W</t>
  </si>
  <si>
    <t>MSG5</t>
  </si>
  <si>
    <t>Dual-specificity protein phosphatase required for maintenance of a low level of signaling through the cell integrity pathway, regulates and is regulated by Slt2p, also required for adaptive response to pheromone</t>
  </si>
  <si>
    <t>YNL052W</t>
  </si>
  <si>
    <t>COX5A</t>
  </si>
  <si>
    <t>Subunit Va of cytochrome c oxidase, which is the terminal member of the mitochondrial inner membrane electron transport chain, predominantly expressed during aerobic growth while its isoform Vb (Cox5Bp) is expressed during anaerobic growth</t>
  </si>
  <si>
    <t>YNL051W</t>
  </si>
  <si>
    <t>COG5</t>
  </si>
  <si>
    <t>Component of the conserved oligomeric Golgi complex (Cog1p through Cog8p), a cytosolic tethering complex that functions in protein trafficking to mediate fusion of transport vesicles to Golgi compartments</t>
  </si>
  <si>
    <t>YNL050C</t>
  </si>
  <si>
    <t>YNL049C</t>
  </si>
  <si>
    <t>SFB2</t>
  </si>
  <si>
    <t>Probable component of COPII coated vesicles that binds to Sec23p, similar to and functionally redundant with Sec24p, but expressed at low levels, involved in ER to Golgi transport and in autophagy</t>
  </si>
  <si>
    <t>YNL048W</t>
  </si>
  <si>
    <t>ALG11</t>
  </si>
  <si>
    <t>Alpha-1,2-mannosyltransferase, catalyzes addition of the terminal alpha 1,2-Man to the Man5GlcNAc2-PP-dolichol intermediate during asparagine-linked glycosylation in the ER</t>
  </si>
  <si>
    <t>YNL047C</t>
  </si>
  <si>
    <t>SLM2</t>
  </si>
  <si>
    <t>Phosphoinositide PI4,5P(2) binding protein, forms a complex with Slm1p, acts downstream of Mss4p in a pathway regulating actin cytoskeleton organization in response to stress, phosphorylated by the Tor2p-containing complex TORC2</t>
  </si>
  <si>
    <t>YNL046W</t>
  </si>
  <si>
    <t>YNL045W</t>
  </si>
  <si>
    <t>Leucyl aminopeptidase with epoxide hydrolase activity, metalloenzyme containing one zinc atom, role in vivo is not defined</t>
  </si>
  <si>
    <t>YNL044W</t>
  </si>
  <si>
    <t>YIP3</t>
  </si>
  <si>
    <t>Protein localized to COPII vesicles, proposed to be involved in ER to Golgi transport, interacts with members of the Rab GTPase family and Yip1p</t>
  </si>
  <si>
    <t>YNL042W-B</t>
  </si>
  <si>
    <t>YNL042W</t>
  </si>
  <si>
    <t>BOP3</t>
  </si>
  <si>
    <t>Protein of unknown function, potential Cdc28p substrate, overproduction suppresses a pam1 slv3 double null mutation and confers resistance to methylmercury</t>
  </si>
  <si>
    <t>YNL041C</t>
  </si>
  <si>
    <t>COG6</t>
  </si>
  <si>
    <t>YNL040W</t>
  </si>
  <si>
    <t>YNL039W</t>
  </si>
  <si>
    <t>BDP1</t>
  </si>
  <si>
    <t>Essential subunit of RNA polymerase III transcription factor (TFIIIB), which is involved in transcription of genes encoding tRNAs, 5S rRNA, U6 snRNA, and other small RNAs</t>
  </si>
  <si>
    <t>YNL038W</t>
  </si>
  <si>
    <t>GPI15</t>
  </si>
  <si>
    <t>Protein involved in the synthesis of N-acetylglucosaminyl phosphatidylinositol (GlcNAc-PI), the first intermediate in the synthesis of glycosylphosphatidylinositol (GPI) anchors, homologous to the human PIG-H protein</t>
  </si>
  <si>
    <t>YNL037C</t>
  </si>
  <si>
    <t>IDH1</t>
  </si>
  <si>
    <t>YNL036W</t>
  </si>
  <si>
    <t>NCE103</t>
  </si>
  <si>
    <t>Carbonic anhydrase, poorly transcribed under aerobic conditions and at an undetectable level under anaerobic conditions, involved in non-classical protein export pathway</t>
  </si>
  <si>
    <t>YNL035C</t>
  </si>
  <si>
    <t>YNL034W</t>
  </si>
  <si>
    <t>YNL033W</t>
  </si>
  <si>
    <t>YNL032W</t>
  </si>
  <si>
    <t>SIW14</t>
  </si>
  <si>
    <t>Tyrosine phosphatase that plays a role in actin filament organization and endocytosis, localized to the cytoplasm</t>
  </si>
  <si>
    <t>YNL031C</t>
  </si>
  <si>
    <t>Cytochrome b2 (L-lactate cytochrome-c oxidoreductase), component of the mitochondrial intermembrane space, required for lactate utilization, expression is repressed by glucose and anaerobic conditions</t>
  </si>
  <si>
    <t>YML053C</t>
  </si>
  <si>
    <t>YML052W</t>
  </si>
  <si>
    <t>SUR7</t>
  </si>
  <si>
    <t>Cell wall mannoprotein of the Srp1pTip1p family of serine-alanine-rich proteins, expressed under anaerobic conditions and required for anaerobic growth, transcription is also induced by cold shock</t>
  </si>
  <si>
    <t>YOR008C-A</t>
  </si>
  <si>
    <t>diepoxybutane and mitomycin C resistance</t>
  </si>
  <si>
    <t>YOR008C</t>
  </si>
  <si>
    <t>SLG1</t>
  </si>
  <si>
    <t>Sensor-transducer of the stress-activated PKC1-MPK1 kinase pathway involved in maintenance of cell wall integrity, involved in organization of the actin cytoskeleton, secretory pathway Wsc1p is required for the arrest of secretion response</t>
  </si>
  <si>
    <t>YOR007C</t>
  </si>
  <si>
    <t>SGT2</t>
  </si>
  <si>
    <t>One of two identical histone H3 proteins (see also HHT1), core histone required for chromatin assembly, involved in heterochromatin-mediated telomeric and HM silencing, regulated by acetylation, methylation, and mitotic phosphorylation  One of two identical histone H3 proteins (see also HHT2), core histone required for chromatin assembly, involved in heterochromatin-mediated telomeric and HM silencing, regulated by acetylation, methylation, and mitotic phosphorylation</t>
  </si>
  <si>
    <t>YNL029C</t>
  </si>
  <si>
    <t>KTR5</t>
  </si>
  <si>
    <t>Putative mannosyltransferase involved in protein glycosylation, member of the KRE2MNT1 mannosyltransferase family</t>
  </si>
  <si>
    <t>YNL027W</t>
  </si>
  <si>
    <t>CRZ1</t>
  </si>
  <si>
    <t>Transcription factor that activates transcription of genes involved in stress response, nuclear localization is positively regulated by calcineurin-mediated dephosphorylation</t>
  </si>
  <si>
    <t>YNL026W</t>
  </si>
  <si>
    <t>SAM50</t>
  </si>
  <si>
    <t>Essential component of the Sorting and Assembly Machinery (SAM complex) of the mitochondrial outer membrane, the authentic, non-tagged protein was localized to the mitochondria</t>
  </si>
  <si>
    <t>YNL025C</t>
  </si>
  <si>
    <t>SSN8</t>
  </si>
  <si>
    <t>YNL024C-A</t>
  </si>
  <si>
    <t>YNL024C</t>
  </si>
  <si>
    <t>YNL023C</t>
  </si>
  <si>
    <t>FAP1</t>
  </si>
  <si>
    <t>Protein that binds to Fpr1p (FKBP12), conferring rapamycin resistance by competing with rapamycin for Fpr1p binding, has similarity to putative transcription factors, including D. melanogaster shuttle craft and human NFX1</t>
  </si>
  <si>
    <t>YNL022C</t>
  </si>
  <si>
    <t>Non-essential protein with similarity to S. pombe hypothetical protein E349594</t>
  </si>
  <si>
    <t>YNL021W</t>
  </si>
  <si>
    <t>HDA1</t>
  </si>
  <si>
    <t>Putative catalytic subunit of a class II histone deacetylase complex that also contains Hda2p and Hda3p, Hda1p interacts with the Hda2p-Hda3p subcomplex to form an active tetramer, deletion increases histone H2B, H3 and H4 acetylation</t>
  </si>
  <si>
    <t>YNL020C</t>
  </si>
  <si>
    <t>ARK1</t>
  </si>
  <si>
    <t>Serinethreonine protein kinase involved in regulation of the cortical actin cytoskeleton, involved in control of endocytosis</t>
  </si>
  <si>
    <t>YNL018C</t>
  </si>
  <si>
    <t>YNL016W</t>
  </si>
  <si>
    <t>PUB1</t>
  </si>
  <si>
    <t>Poly(A)+ RNA-binding protein, abundant mRNP-component protein hypothesized to bind a pool of non-translatable mRNAs, not reported to associate with polyribosomes</t>
  </si>
  <si>
    <t>YNL015W</t>
  </si>
  <si>
    <t>Component of the Mediator complex, interacts with RNA polymerase II and the general transcription factors to form the RNA polymerase II holoenzyme, affects transcription by acting as target of activators and repressors</t>
  </si>
  <si>
    <t>YOL049W</t>
  </si>
  <si>
    <t>GSH2</t>
  </si>
  <si>
    <t>Glutathione synthetase, catalyzes the ATP-dependent synthesis of glutathione (GSH) from gamma-glutamylcysteine and glycine, induced by oxidative stress and heat shock</t>
  </si>
  <si>
    <t>YOL048C</t>
  </si>
  <si>
    <t>YOL047C</t>
  </si>
  <si>
    <t>YOL045W</t>
  </si>
  <si>
    <t>PSK2</t>
  </si>
  <si>
    <t>One of two (see also PSK1) PAS domain containing ST protein kinases, regulates sugar flux and translation in response to an unknown metabolite by phosphorylating Ugp1p and Gsy2p (sugar flux) and Caf20p, Tif11p and Sro9p (translation)</t>
  </si>
  <si>
    <t>YOL044W</t>
  </si>
  <si>
    <t>PEX15</t>
  </si>
  <si>
    <t>Phosphorylated tail-anchored type II integral peroxisomal membrane protein required for peroxisome biogenesis, cells lacking Pex15p mislocalize peroxisomal matrix proteins to cytosol, overexpression results in impaired peroxisome assembly</t>
  </si>
  <si>
    <t>YOL043C</t>
  </si>
  <si>
    <t>NTG2</t>
  </si>
  <si>
    <t>DNA N-glycosylase and apurinicapyrimidinic (AP) lyase involved in base excision repair, localizes to the nucleus</t>
  </si>
  <si>
    <t>YOL042W</t>
  </si>
  <si>
    <t>NGL1</t>
  </si>
  <si>
    <t>Putative endonuclease, has a domain similar to a magnesium-dependent endonuclease motif in mRNA deadenylase Ccr4p</t>
  </si>
  <si>
    <t>YOL041C</t>
  </si>
  <si>
    <t>NOP12</t>
  </si>
  <si>
    <t>Nucleolar protein, required for pre-25S rRNA processing, contains an RNA recognition motif (RRM) and has similarity to Nop13p, Nsr1p, and putative orthologs in Drosophila and S. pombe</t>
  </si>
  <si>
    <t>YOL040C</t>
  </si>
  <si>
    <t>RPS15</t>
  </si>
  <si>
    <t>Protein component of the small (40S) ribosomal subunit, has similarity to E. coli S19 and rat S15 ribosomal proteins</t>
  </si>
  <si>
    <t>YOL039W</t>
  </si>
  <si>
    <t>RPP2A</t>
  </si>
  <si>
    <t>Ribosomal protein P2 alpha, a component of the ribosomal stalk, which is involved in the interaction between translational elongation factors and the ribosome, regulates the accumulation of P1 (Rpp1Ap and Rpp1Bp) in the cytoplasm</t>
  </si>
  <si>
    <t>YOL038W</t>
  </si>
  <si>
    <t>PRE6</t>
  </si>
  <si>
    <t>YOL038C-A</t>
  </si>
  <si>
    <t>Identified by SAGE</t>
  </si>
  <si>
    <t>YOL036W</t>
  </si>
  <si>
    <t>YOL034W</t>
  </si>
  <si>
    <t>SMC5</t>
  </si>
  <si>
    <t>Structural maintenance of chromosomes (SMC) protein, interacts with Smc6p and Nse1p to form a large complex, S. pombe homolog forms a heterodimer with S. pombe Rad18p that is involved in DNA repair</t>
  </si>
  <si>
    <t>YOL033W</t>
  </si>
  <si>
    <t>MSE1</t>
  </si>
  <si>
    <t>Mitochondrial glutamyl-tRNA synthetase, encoded by a nuclear gene</t>
  </si>
  <si>
    <t>YOL032W</t>
  </si>
  <si>
    <t>YOL031C</t>
  </si>
  <si>
    <t>SIL1</t>
  </si>
  <si>
    <t>Nucleotide exchange factor for the endoplasmic reticulum (ER) lumenal Hsp70 chaperone Kar2p, required for protein translocation into the ER, homolog of Yarrowia lipolytica SLS1, GrpE-like protein</t>
  </si>
  <si>
    <t>YOL030W</t>
  </si>
  <si>
    <t>GAS5</t>
  </si>
  <si>
    <t>YOL029C</t>
  </si>
  <si>
    <t>YOL028C</t>
  </si>
  <si>
    <t>YAP7</t>
  </si>
  <si>
    <t>Putative basic leucine zipper (bZIP) transcription factor</t>
  </si>
  <si>
    <t>YOL027C</t>
  </si>
  <si>
    <t>MDM38</t>
  </si>
  <si>
    <t>Mitochondrial inner membrane protein, required for mitochondrial potassium homeostasis and for normal mitochondrial morphology and inheritance, human ortholog is implicated in Wolf-Hirschhorn syndrome</t>
  </si>
  <si>
    <t>YOL026C</t>
  </si>
  <si>
    <t>MIM1</t>
  </si>
  <si>
    <t>Mitochondrial outer membrane protein, required for assembly of the translocase of the outer membrane (TOM) complex and thereby for mitochondrial protein import, N terminus is exposed to the cytosol: transmembrane segment is highly conserved</t>
  </si>
  <si>
    <t>YOL025W</t>
  </si>
  <si>
    <t>LAG2</t>
  </si>
  <si>
    <t>Protein involved in determination of longevity, LAG2 gene is preferentially expressed in young cells, overexpression extends the mean and maximum life span of cells</t>
  </si>
  <si>
    <t>YOL024W</t>
  </si>
  <si>
    <t>YOL023W</t>
  </si>
  <si>
    <t>IFM1</t>
  </si>
  <si>
    <t>Mitochondrial translation initiation factor 2</t>
  </si>
  <si>
    <t>YOL022C</t>
  </si>
  <si>
    <t>YOL021C</t>
  </si>
  <si>
    <t>DIS3</t>
  </si>
  <si>
    <t>Nucleolar exosome component, involved in rRNA processing and RNA degradation, binds Gsp1pRan and enhances the GEF activity of Srm1p, implicated in mitotic control, homologous to the E. coli RNase R of the RNase II family</t>
  </si>
  <si>
    <t>YOL020W</t>
  </si>
  <si>
    <t>TAT2</t>
  </si>
  <si>
    <t>High affinity tryptophan and tyrosine permease, overexpression confers FK506 resistance</t>
  </si>
  <si>
    <t>YOL019W-A</t>
  </si>
  <si>
    <t>YOL019W</t>
  </si>
  <si>
    <t>Protein of unknown function, green fluorescent protein (GFP)-fusion protein localizes to the cell periphery and vacuole</t>
  </si>
  <si>
    <t>YOL018C</t>
  </si>
  <si>
    <t>TLG2</t>
  </si>
  <si>
    <t>Syntaxin-like t-SNARE that forms a complex with Tlg1p and Vti1p and mediates fusion of endosome-derived vesicles with the late Golgi, binds Vps45p, which prevents Tlg2p degradation and also facilitates t-SNARE complex formation</t>
  </si>
  <si>
    <t>YOL017W</t>
  </si>
  <si>
    <t>ESC8</t>
  </si>
  <si>
    <t>Protein involved in telomeric and mating-type locus silencing, interacts with Sir2p and also interacts with the Gal11p, which is a component of the RNA pol II mediator complex</t>
  </si>
  <si>
    <t>YOL016C</t>
  </si>
  <si>
    <t>CMK2</t>
  </si>
  <si>
    <t>Calmodulin-dependent protein kinase, may play a role in stress response, many CA++calmodulan dependent phosphorylation substrates demonstrated in vitro, amino acid sequence similar to Cmk1p and mammalian Cam Kinase II</t>
  </si>
  <si>
    <t>YOL015W</t>
  </si>
  <si>
    <t>YOL014W</t>
  </si>
  <si>
    <t>YOL013W-B</t>
  </si>
  <si>
    <t>YOL013C</t>
  </si>
  <si>
    <t>HRD1</t>
  </si>
  <si>
    <t>Ubiquitin-protein ligase required for endoplasmic reticulum-associated degradation (ERAD) of misfolded proteins, genetically linked to the unfolded protein response (UPR), regulated through association with Hrd3p, contains an H2 ring finger</t>
  </si>
  <si>
    <t>YOL012C</t>
  </si>
  <si>
    <t>HTZ1</t>
  </si>
  <si>
    <t>Histone variant H2AZ, exchanged for histone H2A in nucleosomes by the SWR1 complex, involved in transcriptional regulation through prevention of the spread of silent heterochromatin</t>
  </si>
  <si>
    <t>YOL011W</t>
  </si>
  <si>
    <t>PLB3</t>
  </si>
  <si>
    <t>Phospholipase B (lysophospholipase) involved in phospholipid metabolism, hydrolyzes phosphatidylinositol and phosphatidylserine and displays transacylase activity in vitro</t>
  </si>
  <si>
    <t>YOL010W</t>
  </si>
  <si>
    <t>RCL1</t>
  </si>
  <si>
    <t>RNA terminal phosphate cyclase-like protein involved in rRNA processing at sites A0, A1, and A2, does not possess detectable RNA cyclase activity</t>
  </si>
  <si>
    <t>YOL009C</t>
  </si>
  <si>
    <t>MDM12</t>
  </si>
  <si>
    <t>Mitochondrial outer membrane protein, required for transmission of mitochondria to daughter cells, exists in a complex with Mmm1p and Mdm10p</t>
  </si>
  <si>
    <t>YOL008W</t>
  </si>
  <si>
    <t>YOL007C</t>
  </si>
  <si>
    <t>Appears to be a structural component of the chitin synthase 3 complex</t>
  </si>
  <si>
    <t>YOL006C</t>
  </si>
  <si>
    <t>TOP1</t>
  </si>
  <si>
    <t>Topoisomerase I, nuclear enzyme that relieves torsional strain in DNA by cleaving and re-sealing the phosphodiester backbone, relaxes both positively and negatively supercoiled DNA, functions in replication, transcription, and recombination</t>
  </si>
  <si>
    <t>YOL005C</t>
  </si>
  <si>
    <t>RPB11</t>
  </si>
  <si>
    <t>RNA polymerase II subunit B12.5, part of central core, similar to Rpc19p and bacterial alpha subunit</t>
  </si>
  <si>
    <t>YOL004W</t>
  </si>
  <si>
    <t>SIN3</t>
  </si>
  <si>
    <t>DNA binding subunit of Sin3p-Rpd3p histone deacetylase complex, involved in transcriptional repression of meiosis-specific genes during vegetative growth and silencing</t>
  </si>
  <si>
    <t>YOL003C</t>
  </si>
  <si>
    <t>DHHC-CRD protein</t>
  </si>
  <si>
    <t>YOL002C</t>
  </si>
  <si>
    <t>IZH2</t>
  </si>
  <si>
    <t>Membrane protein involved in zinc metabolism, member of the four-protein IZH family, direct target of the Zap1p transcription factor, expression induced by zinc deficiency and fatty acids, deletion increases sensitivity to elevated zinc</t>
  </si>
  <si>
    <t>YOL001W</t>
  </si>
  <si>
    <t>PHO80</t>
  </si>
  <si>
    <t>Cyclin, negatively regulates phosphate metabolism, Pho80p-Pho85p (cyclin-CDK complex) phosphorylates Pho4p and Swi5p, deletion of PHO80 leads to aminoglycoside supersensitivity, truncated form of PHO80 affects vacuole inheritance</t>
  </si>
  <si>
    <t>YNR075W</t>
  </si>
  <si>
    <t>COS10</t>
  </si>
  <si>
    <t>Protein of unknown function, member of a family of conserved, often subtelomerically-encoded proteins</t>
  </si>
  <si>
    <t>YNR075C-A</t>
  </si>
  <si>
    <t>Identified by gene-trapping, microarray-based expression analysis, and genome-wide homology searching  Hypothetical protein  Hypothetical protein  Identified by gene-trapping, microarray-based expression analysis, and genome-wide homology searching</t>
  </si>
  <si>
    <t>YNR074C</t>
  </si>
  <si>
    <t>AIF1</t>
  </si>
  <si>
    <t>Protein of unknown function with similarity to hexose transporter family members, expression is repressed by high levels of glucose  Protein of unknown function with similarity to hexose transporter family members, expression is induced by low levels of glucose and repressed by high levels of glucose</t>
  </si>
  <si>
    <t>YNR071C</t>
  </si>
  <si>
    <t>YNR070W</t>
  </si>
  <si>
    <t>Putative transporter of the ATP-binding cassette (ABC) family, implicated in pleiotropic drug resistance</t>
  </si>
  <si>
    <t>YNR069C</t>
  </si>
  <si>
    <t>BSC5</t>
  </si>
  <si>
    <t>Protein of unknown function, ORF exhibits genomic organization compatible with a translational readthrough-dependent mode of expression</t>
  </si>
  <si>
    <t>YNR068C</t>
  </si>
  <si>
    <t>YNR067C</t>
  </si>
  <si>
    <t>DSE4</t>
  </si>
  <si>
    <t>Daughter cell-specific secreted protein with similarity to glucanases, degrades cell wall from the daughter side causing daughter to separate from mother</t>
  </si>
  <si>
    <t>YNR066C</t>
  </si>
  <si>
    <t>YNR065C</t>
  </si>
  <si>
    <t>Sortilin homolog, interacts with proteins of the endocytic machinery</t>
  </si>
  <si>
    <t>YNR064C</t>
  </si>
  <si>
    <t>Epoxide hydrolase, member of the alphabeta hydrolase fold family, may have a role in detoxification of epoxides</t>
  </si>
  <si>
    <t>YNR063W</t>
  </si>
  <si>
    <t>YNR062C</t>
  </si>
  <si>
    <t>YNR061C</t>
  </si>
  <si>
    <t>YNR060W</t>
  </si>
  <si>
    <t>FRE4</t>
  </si>
  <si>
    <t>Ferric reductase, reduces a specific subset of siderophore-bound iron prior to uptake by transporters, expression induced by low iron levels</t>
  </si>
  <si>
    <t>YNR059W</t>
  </si>
  <si>
    <t>MNT4</t>
  </si>
  <si>
    <t>Putative alpha-1,3-mannosyltransferase, not required for protein O-glycosylation</t>
  </si>
  <si>
    <t>YNR058W</t>
  </si>
  <si>
    <t>BIO3</t>
  </si>
  <si>
    <t>7,8-diamino-pelargonic acid aminotransferase (DAPA), catalyzes the second step in the biotin biosynthesis pathway, BIO3 is in a cluster of 3 genes (BIO3, BIO4, and BIO5) that mediate biotin synthesis</t>
  </si>
  <si>
    <t>YNR057C</t>
  </si>
  <si>
    <t>BIO4</t>
  </si>
  <si>
    <t>Dethiobiotin synthetase, catalyzes the third step in the biotin biosynthesis pathway, BIO4 is in a cluster of 3 genes (BIO3, BIO4, and BIO5) that mediate biotin synthesis, expression appears to be repressed at low iron levels</t>
  </si>
  <si>
    <t>YNR056C</t>
  </si>
  <si>
    <t>BIO5</t>
  </si>
  <si>
    <t>Ubiquitin-binding component of the Rsp5p E3-ubiquitin ligase complex, functional homolog of Bul2p, disruption causes temperature-sensitive growth, overexpression causes missorting of amino acid permeases</t>
  </si>
  <si>
    <t>YMR274C</t>
  </si>
  <si>
    <t>RCE1</t>
  </si>
  <si>
    <t>Type II CAAX prenyl protease involved in the proteolysis and maturation of Ras and the a-factor mating pheromone</t>
  </si>
  <si>
    <t>YMR273C</t>
  </si>
  <si>
    <t>ZDS1</t>
  </si>
  <si>
    <t>Protein that interacts with silencing proteins at the telomere, involved in transcriptional silencing, has a role in localization of Bcy1p, a regulatory subunit of protein kinase A, implicated in mRNA nuclear export</t>
  </si>
  <si>
    <t>YMR272W-B</t>
  </si>
  <si>
    <t>YMR272C</t>
  </si>
  <si>
    <t>SCS7</t>
  </si>
  <si>
    <t>Sphingolipid alpha-hydroxylase, functions in the alpha-hydroxylation of sphingolipid-associated very long chain fatty acids, has both cytochrome b5-like and hydroxylasedesaturase domains, not essential for growth</t>
  </si>
  <si>
    <t>YMR271C</t>
  </si>
  <si>
    <t>URA10</t>
  </si>
  <si>
    <t>One of two orotate phosphoribosyltransferase isozymes (see also URA5) that catalyze the fifth enzymatic step in the de novo biosynthesis of pyrimidines, converting orotate into orotidine-5-phosphate</t>
  </si>
  <si>
    <t>YMR270C</t>
  </si>
  <si>
    <t>RRN9</t>
  </si>
  <si>
    <t>Upstream activation factor subunit</t>
  </si>
  <si>
    <t>YMR269W</t>
  </si>
  <si>
    <t>Nucleolar protein of unknown function</t>
  </si>
  <si>
    <t>YMR268C</t>
  </si>
  <si>
    <t>PRP24</t>
  </si>
  <si>
    <t>Splicing factor that reanneals U4 and U6 snRNPs during spliceosome recycling</t>
  </si>
  <si>
    <t>YMR267W</t>
  </si>
  <si>
    <t>PPA2</t>
  </si>
  <si>
    <t>Mitochondrial inorganic pyrophosphatase, required for mitochondrial function and possibly involved in energy generation from inorganic pyrophosphate</t>
  </si>
  <si>
    <t>YMR266W</t>
  </si>
  <si>
    <t>Membrane protein of unknown function, overexpression suppresses NaCl sensitivity of sro7 mutant</t>
  </si>
  <si>
    <t>YMR265C</t>
  </si>
  <si>
    <t>YMR264W</t>
  </si>
  <si>
    <t>CUE1</t>
  </si>
  <si>
    <t>Endoplasmic reticulum membrane protein that recruits the ubiquitin-conjugating enzyme Ubc7p to the ER where it functions in protein degradation, contains a CUE domain that binds ubiquitin to facilitate intramolecular monoubiquitination</t>
  </si>
  <si>
    <t>YMR263W</t>
  </si>
  <si>
    <t>SAP30</t>
  </si>
  <si>
    <t>Subunit of a histone deacetylase complex, along with Rpd3p and Sin3p, that is involved in silencing at telomeres, rDNA, and silent mating-type loci</t>
  </si>
  <si>
    <t>YMR262W</t>
  </si>
  <si>
    <t>YMR261C</t>
  </si>
  <si>
    <t>TPS3</t>
  </si>
  <si>
    <t>Regulatory subunit of trehalose-6-phosphate synthasephosphatase complex, which synthesizes the storage carbohydrate trehalose, expression is induced by stress conditions and repressed by the Ras-cAMP pathway</t>
  </si>
  <si>
    <t>YMR260C</t>
  </si>
  <si>
    <t>TIF11</t>
  </si>
  <si>
    <t>Translation initiation factor eIF1A, essential protein that forms a complex with Sui1p (eIF1) and the 40S ribosomal subunit and scans for the start codon, C-terminus associates with Fun12p (eIF5B), N terminus interacts with eIF2 and eIF3</t>
  </si>
  <si>
    <t>YMR259C</t>
  </si>
  <si>
    <t>YMR258C</t>
  </si>
  <si>
    <t>YMR257C</t>
  </si>
  <si>
    <t>PET111</t>
  </si>
  <si>
    <t>Specific translational activator for the COX2 mRNA, located in the mitochondrial inner membrane</t>
  </si>
  <si>
    <t>YMR256C</t>
  </si>
  <si>
    <t>COX7</t>
  </si>
  <si>
    <t>Subunit VII of cytochrome c oxidase, which is the terminal member of the mitochondrial inner membrane electron transport chain</t>
  </si>
  <si>
    <t>YMR255W</t>
  </si>
  <si>
    <t>GFD1</t>
  </si>
  <si>
    <t>Coiled-coiled protein of unknown function, identified as a high-copy suppressor of a dbp5 mutation</t>
  </si>
  <si>
    <t>YMR253C</t>
  </si>
  <si>
    <t>YMR252C</t>
  </si>
  <si>
    <t>YMR251W-A</t>
  </si>
  <si>
    <t>HOR7</t>
  </si>
  <si>
    <t>Protein of unknown function, overexpression suppresses Ca2+ sensitivity of mutants lacking inositol phosphorylceramide mannosyltransferases Csg1p and Csh1p, transcription is induced under hyperosmotic stress and repressed by alpha factor</t>
  </si>
  <si>
    <t>YMR251W</t>
  </si>
  <si>
    <t>Omega class glutathione transferase</t>
  </si>
  <si>
    <t>YMR250W</t>
  </si>
  <si>
    <t>GAD1</t>
  </si>
  <si>
    <t>Glutamate decarboxylase, converts glutamate into gamma-aminobutyric acid (GABA) during glutamate catabolism, involved in response to oxidative stress</t>
  </si>
  <si>
    <t>YMR247W-A</t>
  </si>
  <si>
    <t>YMR247C</t>
  </si>
  <si>
    <t>YMR246W</t>
  </si>
  <si>
    <t>FAA4</t>
  </si>
  <si>
    <t>Long chain fatty acyl-CoA synthetase</t>
  </si>
  <si>
    <t>YMR244W</t>
  </si>
  <si>
    <t>YMR244C-A</t>
  </si>
  <si>
    <t>YMR243C</t>
  </si>
  <si>
    <t>ZRC1</t>
  </si>
  <si>
    <t>Vacuolar membrane zinc transporter, transports zinc from the cytosol into the vacuole for storage, also has a role in resistance to zinc shock resulting from a sudden influx of zinc into the cytoplasm</t>
  </si>
  <si>
    <t>YMR242W-A</t>
  </si>
  <si>
    <t>YMR242C</t>
  </si>
  <si>
    <t>RPL20A</t>
  </si>
  <si>
    <t>Protein component of the large (60S) ribosomal subunit, nearly identical to Rpl20Bp and has similarity to rat L18a ribosomal protein</t>
  </si>
  <si>
    <t>YMR241W</t>
  </si>
  <si>
    <t>YHM2</t>
  </si>
  <si>
    <t>Mitochondrial DNA-binding protein, component of the mitochondrial nucleoid structure, involved in mtDNA replication and segregation of mitochondrial genomes, member of the mitochondrial carrier protein family</t>
  </si>
  <si>
    <t>YMR240C</t>
  </si>
  <si>
    <t>CUS1</t>
  </si>
  <si>
    <t>Protein required for assembly of U2 snRNP into the spliceosome, forms a complex with Hsh49p and Hsh155p</t>
  </si>
  <si>
    <t>YMR239C</t>
  </si>
  <si>
    <t>RNT1</t>
  </si>
  <si>
    <t>RNAase III, cleaves a stem-loop structure at the 3 end of U2 snRNA to ensure formation of the correct U2 3 end</t>
  </si>
  <si>
    <t>YMR238W</t>
  </si>
  <si>
    <t>DFG5</t>
  </si>
  <si>
    <t>Mannosidase, essential glycosylphosphatidylinositol (GPI)-anchored membrane protein required for cell wall biogenesis, involved in filamentous growth, homologous to Dcw1p</t>
  </si>
  <si>
    <t>YMR237W</t>
  </si>
  <si>
    <t>Protein that colocalizes with clathrin-coated vesicles, involved in transport at the trans-Golgi</t>
  </si>
  <si>
    <t>YMR236W</t>
  </si>
  <si>
    <t>TAF9</t>
  </si>
  <si>
    <t>Subunit (17 kDa) of TFIID and SAGA complexes, involved in RNA polymerase II transcription initiation and in chromatin modification, similar to histone H3</t>
  </si>
  <si>
    <t>YMR235C</t>
  </si>
  <si>
    <t>RNA1</t>
  </si>
  <si>
    <t>GTPase activating protein (GAP) for Gsp1p, involved in nuclear transport</t>
  </si>
  <si>
    <t>YMR234W</t>
  </si>
  <si>
    <t>RNH1</t>
  </si>
  <si>
    <t>Ribonuclease H1, removes RNA primers during Okazaki fragment synthesis, degrades RNA attached to the 5-end of a DNA strand</t>
  </si>
  <si>
    <t>YMR233W</t>
  </si>
  <si>
    <t>Interacts with Top1p in 2-hybrid assay.</t>
  </si>
  <si>
    <t>YMR232W</t>
  </si>
  <si>
    <t>FUS2</t>
  </si>
  <si>
    <t>Cytoplasmic protein localized to the shmoo tip, required for the alignment of parental nuclei before nuclear fusion during mating</t>
  </si>
  <si>
    <t>YMR231W</t>
  </si>
  <si>
    <t>PEP5</t>
  </si>
  <si>
    <t>Peripheral vacuolar membrane protein required for protein trafficking and vacuole biogenesis, forms complex with Pep3p that promotes vesicular dockingfusion reactions in conjunction with SNARE proteins, also interacts with Pep7p</t>
  </si>
  <si>
    <t>YMR230W-A</t>
  </si>
  <si>
    <t>YMR230W</t>
  </si>
  <si>
    <t>YMR229C</t>
  </si>
  <si>
    <t>RRP5</t>
  </si>
  <si>
    <t>Protein required for the synthesis of both 18S and 5.8S rRNA, C-terminal region is crucial for the formation of 18S rRNA and N-terminal region is required for the 5.8S rRNA, component of small ribosomal subunit (SSU) processosome</t>
  </si>
  <si>
    <t>YMR228W</t>
  </si>
  <si>
    <t>MTF1</t>
  </si>
  <si>
    <t>Mitochondrial ribosomal protein of the large subunit, not essential for mitochondrial translation</t>
  </si>
  <si>
    <t>YNR021W</t>
  </si>
  <si>
    <t>YNR020C</t>
  </si>
  <si>
    <t>YNR019W</t>
  </si>
  <si>
    <t>ARE2</t>
  </si>
  <si>
    <t>Acyl-CoA:sterol acyltransferase, isozyme of Are1p, endoplasmic reticulum enzyme that contributes the major sterol esterification activity in the presence of oxygen</t>
  </si>
  <si>
    <t>YNR018W</t>
  </si>
  <si>
    <t>YNR017W</t>
  </si>
  <si>
    <t>MAS6</t>
  </si>
  <si>
    <t>Essential protein of the mitochondrial inner membrane, component of the mitochondrial import system</t>
  </si>
  <si>
    <t>YNR016C</t>
  </si>
  <si>
    <t>ACC1</t>
  </si>
  <si>
    <t>Acetyl-CoA carboxylase, biotin containing enzyme that catalyzes the carboxylation of acetyl-CoA to form malonyl-CoA, required for de novo biosynthesis of long-chain fatty acids</t>
  </si>
  <si>
    <t>YNR015W</t>
  </si>
  <si>
    <t>SMM1</t>
  </si>
  <si>
    <t>Dihydrouridine synthase, member of a family of dihydrouridine synthases including Dus1p, Smm1p, Dus3p, and Dus4p, modifies uridine residues at position 20 of cytoplasmic tRNAs</t>
  </si>
  <si>
    <t>YNR014W</t>
  </si>
  <si>
    <t>YNR013C</t>
  </si>
  <si>
    <t>PHO91</t>
  </si>
  <si>
    <t>Low-affinity phosphate transporter, deletion of pho84, pho87, pho89, pho90, and pho91 causes synthetic lethality, transcription independent of Pi and Pho4p activity, overexpression results in vigorous growth</t>
  </si>
  <si>
    <t>YNR012W</t>
  </si>
  <si>
    <t>URK1</t>
  </si>
  <si>
    <t>Uridinecytidine kinase, component of the pyrimidine ribonucleotide salvage pathway that converts uridine into UMP and cytidine into CMP, involved in the pyrimidine deoxyribonucleotide salvage pathway, converting deoxycytidine into dCMP</t>
  </si>
  <si>
    <t>YNR011C</t>
  </si>
  <si>
    <t>PRP2</t>
  </si>
  <si>
    <t>RNA-dependent ATPase in the DEAH-box family, required for activation of the spliceosome before the first transesterification step in RNA splicing</t>
  </si>
  <si>
    <t>YNR010W</t>
  </si>
  <si>
    <t>CSE2</t>
  </si>
  <si>
    <t>Component of the Med910 module, which is a subcomplex within the RNA polymerase II Mediator complex, required for regulation of RNA polymerase II activity</t>
  </si>
  <si>
    <t>YNR009W</t>
  </si>
  <si>
    <t>YNR008W</t>
  </si>
  <si>
    <t>LRO1</t>
  </si>
  <si>
    <t>Acyltransferase that catalyzes diacylglycerol esterification, one of several acyltransferases that contribute to triglyceride synthesis, putative homolog of human lecithin cholesterol acyltransferase</t>
  </si>
  <si>
    <t>YNR007C</t>
  </si>
  <si>
    <t>ATG3</t>
  </si>
  <si>
    <t>Protein involved in autophagy, E2-like enzyme that plays a role in formation of Atg8p-phosphatidylethanolamine conjugates, which are involved in membrane dynamics during autophagy</t>
  </si>
  <si>
    <t>YNR006W</t>
  </si>
  <si>
    <t>VPS27</t>
  </si>
  <si>
    <t>Endosomal protein that forms a complex with Hse1p, required for recycling Golgi proteins, forming lumenal membranes and sorting ubiquitinated proteins destined for degradation, has Ubiquitin Interaction Motifs which bind ubiquitin (Ubi4p)</t>
  </si>
  <si>
    <t>YNR004W</t>
  </si>
  <si>
    <t>YNR003C</t>
  </si>
  <si>
    <t>RPC34</t>
  </si>
  <si>
    <t>RNA polymerase III subunit C34, interacts with TFIIIB70 and is a key determinant in pol III recruitment by the preinitiation complex</t>
  </si>
  <si>
    <t>YNR002C</t>
  </si>
  <si>
    <t>FUN34</t>
  </si>
  <si>
    <t>Putative transmembrane protein, involved in ammonia production, member of the TC 9.B.33 YaaH family, homolog of Ady2p and Y. lipolytica Gpr1p</t>
  </si>
  <si>
    <t>YNR001C</t>
  </si>
  <si>
    <t>CIT1</t>
  </si>
  <si>
    <t>Citrate synthase, catalyzes the condensation of acetyl coenzyme A and oxaloacetate to form citrate, the rate-limiting enzyme of the TCA cycle, nuclear encoded mitochondrial protein</t>
  </si>
  <si>
    <t>YNL331C</t>
  </si>
  <si>
    <t>AAD14</t>
  </si>
  <si>
    <t>Putative aryl-alcohol dehydrogenase with similarity to P. chrysosporium aryl-alcohol dehydrogenase, mutational analysis has not yet revealed a physiological role</t>
  </si>
  <si>
    <t>Essential protein involved in mtDNA inheritance, may also function in the partitioning of the mitochondrial organelle or in the segregation of chromosomes, exhibits regions similar to members of a GTPase family</t>
  </si>
  <si>
    <t>YMR210W</t>
  </si>
  <si>
    <t>YMR209C</t>
  </si>
  <si>
    <t>YMR208W</t>
  </si>
  <si>
    <t>ERG12</t>
  </si>
  <si>
    <t>Mevalonate kinase, acts in the biosynthesis of isoprenoids and sterols, including ergosterol, from mevalonate</t>
  </si>
  <si>
    <t>YMR207C</t>
  </si>
  <si>
    <t>HFA1</t>
  </si>
  <si>
    <t>Mitochondrial acetyl-coenzyme A carboxylase, catalyzes the production of malonyl-CoA in mitochondrial fatty acid biosynthesis</t>
  </si>
  <si>
    <t>YMR206W</t>
  </si>
  <si>
    <t>YMR205C</t>
  </si>
  <si>
    <t>PFK2</t>
  </si>
  <si>
    <t>Beta subunit of heterooctameric phosphofructokinase involved in glycolysis, indispensable for anaerobic growth, activated by fructose-2,6-bisphosphate and AMP, mutation inhibits glucose induction of cell cycle-related genes</t>
  </si>
  <si>
    <t>YMR204C</t>
  </si>
  <si>
    <t>INP1</t>
  </si>
  <si>
    <t>Peripheral membrane protein of peroxisomes involved in peroxisomal inheritance</t>
  </si>
  <si>
    <t>YMR203W</t>
  </si>
  <si>
    <t>TOM40</t>
  </si>
  <si>
    <t>Essential component of the preprotein translocase of the mitochondrial outer membrane (TOM complex) in which it constitutes the core element of the protein conducting pore</t>
  </si>
  <si>
    <t>YMR202W</t>
  </si>
  <si>
    <t>ERG2</t>
  </si>
  <si>
    <t>C-8 sterol isomerase, catalyzes the isomerization of the delta-8 double bond to the delta-7 position at an intermediate step in ergosterol biosynthesis</t>
  </si>
  <si>
    <t>YMR201C</t>
  </si>
  <si>
    <t>RAD14</t>
  </si>
  <si>
    <t>Palmitoyltransferase for Vac8p, one of three yeast DHHC-cysteine rich domain proteins (Pfa3p, Erf2p, Akr1p) with palmitoyltransferase activity, required for vacuolar integrity under stress conditions</t>
  </si>
  <si>
    <t>YNL325C</t>
  </si>
  <si>
    <t>FIG4</t>
  </si>
  <si>
    <t>Protein required for efficient mating, member of a family of eukaryotic proteins that contain a domain homologous to Sac1p</t>
  </si>
  <si>
    <t>YNL323W</t>
  </si>
  <si>
    <t>LEM3</t>
  </si>
  <si>
    <t>Membrane protein of the plasma membrane and ER, involved in translocation of phospholipids and alkylphosphocholine drugs across the plasma membrane</t>
  </si>
  <si>
    <t>YNL322C</t>
  </si>
  <si>
    <t>KRE1</t>
  </si>
  <si>
    <t>Cell wall glycoprotein involved in beta-glucan assembly, serves as a K1 killer toxin membrane receptor</t>
  </si>
  <si>
    <t>YNL321W</t>
  </si>
  <si>
    <t>YNL320W</t>
  </si>
  <si>
    <t>YNL318C</t>
  </si>
  <si>
    <t>HXT14</t>
  </si>
  <si>
    <t>Protein of unknown function with similarity to hexose transporter family members, expression is induced by low levels of glucose and repressed by high levels of glucose</t>
  </si>
  <si>
    <t>YNL317W</t>
  </si>
  <si>
    <t>PFS2</t>
  </si>
  <si>
    <t>Integral subunit of the pre-mRNA cleavage and polyadenylation factor (CPF) complex, plays an essential role in mRNA 3-end formation by bridging different processing factors and thereby promoting the assembly of the processing complex</t>
  </si>
  <si>
    <t>YNL316C</t>
  </si>
  <si>
    <t>PHA2</t>
  </si>
  <si>
    <t>Prephenate dehydratase, catalyzes the conversion of prephanate to phenylpyruvate, which is a step in the phenylalanine biosynthesis pathway</t>
  </si>
  <si>
    <t>YNL315C</t>
  </si>
  <si>
    <t>ATP11</t>
  </si>
  <si>
    <t>Molecular chaperone, required for the assembly of alpha and beta subunits into the F1 sector of mitochondrial F1F0 ATP synthase</t>
  </si>
  <si>
    <t>YNL314W</t>
  </si>
  <si>
    <t>DAL82</t>
  </si>
  <si>
    <t>Positive regulator of allophanate inducible genes, binds a dodecanucleotide sequence upstream of all genes that are induced by allophanate, contains an UISALL DNA-binding, a transcriptional activation, and a coiled-coil domain</t>
  </si>
  <si>
    <t>YNL313C</t>
  </si>
  <si>
    <t>YNL312W</t>
  </si>
  <si>
    <t>RFA2</t>
  </si>
  <si>
    <t>Subunit of heterotrimeric Replication Factor A (RF-A), which is a highly conserved single-stranded DNA binding protein involved in DNA replication, repair, and recombination</t>
  </si>
  <si>
    <t>YNL311C</t>
  </si>
  <si>
    <t>F-box protein</t>
  </si>
  <si>
    <t>YNL310C</t>
  </si>
  <si>
    <t>ZIM17</t>
  </si>
  <si>
    <t>Essential component of the mitochondrial import system, zinc finger protein that may act with Pam18p to facilitate recognition and folding of imported proteins by Ssc1p (mtHSP70) in the mitochondrial matrix</t>
  </si>
  <si>
    <t>YNL309W</t>
  </si>
  <si>
    <t>STB1</t>
  </si>
  <si>
    <t>Protein with a role in regulation of MBF-specific transcription at Start, phosphorylated by Cln-Cdc28p kinases in vitro, unphosphorylated form binds Swi6p and binding is required for Stb1p function, expression is cell-cycle regulated</t>
  </si>
  <si>
    <t>YNL308C</t>
  </si>
  <si>
    <t>KRI1</t>
  </si>
  <si>
    <t>Essential nucleolar protein required for 40S ribosome biogenesis, physically and functionally interacts with Krr1p</t>
  </si>
  <si>
    <t>YNL307C</t>
  </si>
  <si>
    <t>MCK1</t>
  </si>
  <si>
    <t>Protein serinethreoninetyrosine (dual-specificity) kinase involved in control of chromosome segregation and in regulating entry into meiosis, related to mammalian glycogen synthase kinases of the GSK-3 family</t>
  </si>
  <si>
    <t>YNL306W</t>
  </si>
  <si>
    <t>MRPS18</t>
  </si>
  <si>
    <t>Mitochondrial ribosomal protein of the small subunit, essential for viability, unlike most other mitoribosomal proteins</t>
  </si>
  <si>
    <t>YNL305C</t>
  </si>
  <si>
    <t>YNL304W</t>
  </si>
  <si>
    <t>YPT11</t>
  </si>
  <si>
    <t>Rab-type small GTPase that interacts with the C-terminal tail domain of Myo2p to mediate distribution of mitochondria to daughter cells</t>
  </si>
  <si>
    <t>YNL302C</t>
  </si>
  <si>
    <t>YNL301C</t>
  </si>
  <si>
    <t>YNL300W</t>
  </si>
  <si>
    <t>YNL299W</t>
  </si>
  <si>
    <t>TRF5</t>
  </si>
  <si>
    <t>Putative poly (A) polymerase involved in nuclear RNA quality control based on: homology with Trf4p, genetic interactions with TRF4 mutants, and physical interaction with Mtr4p (subunit of TRAMP), disputed role as a sigma DNA polymerase</t>
  </si>
  <si>
    <t>YNL298W</t>
  </si>
  <si>
    <t>CLA4</t>
  </si>
  <si>
    <t>Involved in localizing cell growth with respect to the septin ring, protein kinase, homologous to Ste20p, interacts with CDC42</t>
  </si>
  <si>
    <t>YNL297C</t>
  </si>
  <si>
    <t>MON2</t>
  </si>
  <si>
    <t>Peripheral membrane protein with a role in endocytosis and vacuole integrity, interacts with Arl1p and localizes to the endosome, member of the Sec7p family of proteins</t>
  </si>
  <si>
    <t>YNL295W</t>
  </si>
  <si>
    <t>YNL294C</t>
  </si>
  <si>
    <t>RIM21</t>
  </si>
  <si>
    <t>Protein proposed to be involved in the response to alkaline pH, has similarity to A. nidulans PalH</t>
  </si>
  <si>
    <t>YNL293W</t>
  </si>
  <si>
    <t>MSB3</t>
  </si>
  <si>
    <t>Transcription factor required for the transient induction of glycerol biosynthetic genes GPD1 and GPP2 in response to high osmolarity, targets Hog1p to osmostress responsive promoters, has similarity to Msn1p and Gcr1p</t>
  </si>
  <si>
    <t>YMR171C</t>
  </si>
  <si>
    <t>Endosomal protein of unknown function, mRNA is targeted to the bud via the mRNA transport system involving She2p</t>
  </si>
  <si>
    <t>YMR170C</t>
  </si>
  <si>
    <t>ALD2</t>
  </si>
  <si>
    <t>Cytoplasmic aldehyde dehydrogenase, involved in ethanol oxidation and beta-alanine biosynthesis, uses NAD+ as the preferred coenzyme, expression is stress induced and glucose repressed, very similar to Ald3p</t>
  </si>
  <si>
    <t>YMR169C</t>
  </si>
  <si>
    <t>ALD3</t>
  </si>
  <si>
    <t>Cytoplasmic aldehyde dehydrogenase, involved in beta-alanine synthesis, uses NAD+ as the preferred coenzyme, very similar to Ald2p, expression is induced by stress and repressed by glucose</t>
  </si>
  <si>
    <t>YMR168C</t>
  </si>
  <si>
    <t>CEP3</t>
  </si>
  <si>
    <t>Essential kinetochore protein, component of the CBF3 complex that binds the CDEIII region of the centromere, contains an N-terminal Zn2Cys6 type zinc finger domain, a C-terminal acidic domain, and a putative coiled coil dimerization domain</t>
  </si>
  <si>
    <t>YMR167W</t>
  </si>
  <si>
    <t>MLH1</t>
  </si>
  <si>
    <t>Protein required for mismatch repair in mitosis and meiosis, postmeiotic segregation, and spore viability, forms a complex with Pms1p and Msh2p to repair mismatched DNA, human homolog is associated with hereditary non-polyposis colon cancer</t>
  </si>
  <si>
    <t>YMR166C</t>
  </si>
  <si>
    <t>YMR165C</t>
  </si>
  <si>
    <t>SMP2</t>
  </si>
  <si>
    <t>Protein of unknown function involved in respiration and plasmid maintenance, proposed to be involved in cell wall integrity</t>
  </si>
  <si>
    <t>YMR164C</t>
  </si>
  <si>
    <t>MSS11</t>
  </si>
  <si>
    <t>Transcription factor involved in regulation of invasive growth and starch degradation, controls the activation of MUC1 and STA2 in response to nutritional signals</t>
  </si>
  <si>
    <t>YMR163C</t>
  </si>
  <si>
    <t>YMR162C</t>
  </si>
  <si>
    <t>DNF3</t>
  </si>
  <si>
    <t>Non-essential P-type ATPase that is a potential aminophospholipid translocase, localizes to the trans-Golgi, likely involved in protein transport</t>
  </si>
  <si>
    <t>YMR161W</t>
  </si>
  <si>
    <t>HLJ1</t>
  </si>
  <si>
    <t>Co-chaperone for Hsp40p, anchored in the ER membrane, with its homolog Hdj1p promotes ER-associated protein degradation (ERAD) of integral membrane substrates, similar to E. coli DnaJ</t>
  </si>
  <si>
    <t>YMR160W</t>
  </si>
  <si>
    <t>YMR159C</t>
  </si>
  <si>
    <t>ATG16</t>
  </si>
  <si>
    <t>Protein that interacts with the Atg12p-Atg5p conjugate during formation of the pre-autophagosomal structure, essential for autophagy</t>
  </si>
  <si>
    <t>YMR158W</t>
  </si>
  <si>
    <t>MRPS8</t>
  </si>
  <si>
    <t>YMR158C-A</t>
  </si>
  <si>
    <t>Similar to probable membrane protein YDR340W and to yeast CYC1CYP3 transcription activator</t>
  </si>
  <si>
    <t>YMR157C</t>
  </si>
  <si>
    <t>YMR156C</t>
  </si>
  <si>
    <t>TPP1</t>
  </si>
  <si>
    <t>DNA 3-phosphatase that functions in repair of endogenous damage of double-stranded DNA, activity is specific for removal of 3 phosphates at strand breaks, has similarity to the l-2-haloacid dehalogenase superfamily</t>
  </si>
  <si>
    <t>YMR155W</t>
  </si>
  <si>
    <t>YMR154C</t>
  </si>
  <si>
    <t>RIM13</t>
  </si>
  <si>
    <t>Calpain-like protease involved in proteolytic activation of Ri0m101p in response to alkaline pH, has similarity to A. nidulans palB</t>
  </si>
  <si>
    <t>YMR153W</t>
  </si>
  <si>
    <t>NUP53</t>
  </si>
  <si>
    <t>Subunit of the nuclear pore complex (NPC), interacts with karyopherin Kap121p or with Nup170p via overlapping regions of Nup53p, involved in activation of the spindle checkpoint mediated by the Mad1p-Mad2p complex</t>
  </si>
  <si>
    <t>YMR152W</t>
  </si>
  <si>
    <t>YIM1</t>
  </si>
  <si>
    <t>Mitochondrial inner membrane protease, similar to E. coli leader peptidase</t>
  </si>
  <si>
    <t>YMR150C</t>
  </si>
  <si>
    <t>IMP1</t>
  </si>
  <si>
    <t>Catalytic subunit of the mitochondrial inner membrane peptidase complex, required for maturation of mitochondrial proteins of the intermembrane space, complex contains Imp1p and Imp2p (both catalytic subunits), and Som1p</t>
  </si>
  <si>
    <t>YMR149W</t>
  </si>
  <si>
    <t>SWP1</t>
  </si>
  <si>
    <t>Delta subunit of the oligosaccharyl transferase glycoprotein complex, which is required for N-linked glycosylation of proteins in the endoplasmic reticulum</t>
  </si>
  <si>
    <t>YMR148W</t>
  </si>
  <si>
    <t>YMR147W</t>
  </si>
  <si>
    <t>YMR146C</t>
  </si>
  <si>
    <t>TIF34</t>
  </si>
  <si>
    <t>Subunit of the core complex of translation initiation factor 3(eIF3), which is essential for translation</t>
  </si>
  <si>
    <t>YMR145C</t>
  </si>
  <si>
    <t>NDE1</t>
  </si>
  <si>
    <t>Mitochondrial external NADH dehydrogenase, catalyzes the oxidation of cytosolic NADH, Nde1p and Nde2p are involved in providing the cytosolic NADH to the mitochondrial respiratory chain</t>
  </si>
  <si>
    <t>YMR144W</t>
  </si>
  <si>
    <t>YMR143W</t>
  </si>
  <si>
    <t>RPS16A</t>
  </si>
  <si>
    <t>Protein component of the small (40S) ribosomal subunit, identical to Rps16Bp and has similarity to E. coli S9 and rat S16 ribosomal proteins</t>
  </si>
  <si>
    <t>YMR142C</t>
  </si>
  <si>
    <t>Protein component of the large (60S) ribosomal subunit, nearly identical to Rpl13Ap, not essential for viability, has similarity to rat L13 ribosomal protein  Protein component of the large (60S) ribosomal subunit, nearly identical to Rpl13Bp, not essential for viability, has similarity to rat L13 ribosomal protein</t>
  </si>
  <si>
    <t>YMR140W</t>
  </si>
  <si>
    <t>SIP5</t>
  </si>
  <si>
    <t>Protein of unknown function, interacts with both the Reg1pGlc7p phosphatase and the Snf1p kinase</t>
  </si>
  <si>
    <t>YMR139W</t>
  </si>
  <si>
    <t>RIM11</t>
  </si>
  <si>
    <t>Protein kinase required for signal transduction during entry into meiosis, promotes the formation of the Ime1p-Ume6p complex by phosphorylating Ime1p and Ume6p, shares similarity with mammalian glycogen synthase kinase 3-beta</t>
  </si>
  <si>
    <t>YMR138W</t>
  </si>
  <si>
    <t>CIN4</t>
  </si>
  <si>
    <t>GTP-binding protein involved in beta-tubulin (Tub2p) folding, isolated as mutant with increased chromosome loss and sensitivity to benomyl</t>
  </si>
  <si>
    <t>YMR137C</t>
  </si>
  <si>
    <t>PSO2</t>
  </si>
  <si>
    <t xml:space="preserve">Required for a post-incision step in the repair of DNA single and double-strand breaks that result from interstrand crosslinks produced by a variety of mono- and bi-functional psoralen derivatives, induced by UV-irradiation  </t>
  </si>
  <si>
    <t>YMR136W</t>
  </si>
  <si>
    <t>GAT2</t>
  </si>
  <si>
    <t>Protein containing GATA family zinc finger motifs, similar to Gln3p and Dal80p, expression repressed by leucine</t>
  </si>
  <si>
    <t>YMR135C</t>
  </si>
  <si>
    <t>GID8</t>
  </si>
  <si>
    <t>RRB1</t>
  </si>
  <si>
    <t>Essential nuclear protein involved in early steps of ribosome biogenesis, physically interacts with the ribosomal protein Rpl3p</t>
  </si>
  <si>
    <t>YMR130W</t>
  </si>
  <si>
    <t>YMR129W</t>
  </si>
  <si>
    <t>POM152</t>
  </si>
  <si>
    <t>Nuclear pore membrane glycoprotein, may be involved in duplication of nuclear pores and nuclear pore complexes during S-phase,</t>
  </si>
  <si>
    <t>YMR128W</t>
  </si>
  <si>
    <t>ECM16</t>
  </si>
  <si>
    <t>Essential DEAH-box ATP-dependent RNA helicase specific to the U3 snoRNP, predominantly nucleolar in distribution, required for 18S rRNA synthesis</t>
  </si>
  <si>
    <t>YMR127C</t>
  </si>
  <si>
    <t>SAS2</t>
  </si>
  <si>
    <t>Histone acetyltransferase (HAT) catalytic subunit of the SAS complex (Sas2p-Sas4p-Sas5p), which  acetylates free histones and nucleosomes and regulates transcriptional silencing, member of the MYSTacetyltransferase family</t>
  </si>
  <si>
    <t>YMR126C</t>
  </si>
  <si>
    <t>Protein of unknown function, deletion causes sensitivity to thermal stress</t>
  </si>
  <si>
    <t>YMR125W</t>
  </si>
  <si>
    <t>STO1</t>
  </si>
  <si>
    <t>Large subunit of the nuclear mRNA cap-binding protein complex, interacts with Npl3p to carry poly(A)+ mRNA from the nucleus to the cytoplasm, also involved in mRNA degradation in the nucleus, orthologous to mammalian CBP80</t>
  </si>
  <si>
    <t>YMR124W</t>
  </si>
  <si>
    <t>YMR123W</t>
  </si>
  <si>
    <t>PKR1</t>
  </si>
  <si>
    <t>Protein of unknown function, overproduction confers resistance to Pichia farinosa killer toxin</t>
  </si>
  <si>
    <t>YMR122W-A</t>
  </si>
  <si>
    <t>YMR121C</t>
  </si>
  <si>
    <t>RPL15B</t>
  </si>
  <si>
    <t>Protein component of the large (60S) ribosomal subunit, nearly identical to Rpl15Ap and has similarity to rat L15 ribosomal protein, binds to 5.8 S rRNA</t>
  </si>
  <si>
    <t>YMR120C</t>
  </si>
  <si>
    <t>ADE17</t>
  </si>
  <si>
    <t>Enzyme of de novo purine biosynthesis containing both 5-aminoimidazole-4-carboxamide ribonucleotide transformylase and inosine monophosphate cyclohydrolase activities, isozyme of Ade16p, ade16 ade17 mutants require adenine and histidine</t>
  </si>
  <si>
    <t>YMR119W</t>
  </si>
  <si>
    <t>Transmembrane actin-binding protein involved in membrane cytoskeleton assembly and cell polarization, adaptor protein that links actin to clathrin and endocytosis, present in the actin cortical patch of the emerging bud tip, dimer in vivo</t>
  </si>
  <si>
    <t>YNL242W</t>
  </si>
  <si>
    <t>ATG2</t>
  </si>
  <si>
    <t>Peripheral membrane protein required for the formation of cytosolic sequestering vesicles involved in vacuolar import through both the Cvt pathway and autophagy, interacts with Atg9p and is necessary for its trafficking</t>
  </si>
  <si>
    <t>YNL241C</t>
  </si>
  <si>
    <t>ZWF1</t>
  </si>
  <si>
    <t>Glucose-6-phosphate dehydrogenase</t>
  </si>
  <si>
    <t>YNL240C</t>
  </si>
  <si>
    <t>NAR1</t>
  </si>
  <si>
    <t>Nuclear architecture related protein, component of the cytosolic iron-sulfur (FeS) protein assembly machinery, required for maturation of cytosolic and nuclear FeS proteins, homologous to human Narf</t>
  </si>
  <si>
    <t>YNL239W</t>
  </si>
  <si>
    <t>LAP3</t>
  </si>
  <si>
    <t>Aminopeptidase of cysteine protease family, has a DNA binding activity and acts as bleomycin hydrolase in vitro, transcription is regulated by galactose via Gal4p</t>
  </si>
  <si>
    <t>YNL238W</t>
  </si>
  <si>
    <t>KEX2</t>
  </si>
  <si>
    <t>Subtilisin-like protease (proprotein convertase), a calcium-dependent serine protease involved in the activation of proproteins of the secretory pathway</t>
  </si>
  <si>
    <t>YNL237W</t>
  </si>
  <si>
    <t>YTP1</t>
  </si>
  <si>
    <t>Probable type-III integral membrane protein of unknown function, has regions of similarity to mitochondrial electron transport proteins</t>
  </si>
  <si>
    <t>YNL236W</t>
  </si>
  <si>
    <t>SIN4</t>
  </si>
  <si>
    <t>Subunit of the Mediator complex, interacts with the RNA polymerase II holoenzyme to postively or negatively regulate transcription, dispensible for basal transcription</t>
  </si>
  <si>
    <t>YNL234W</t>
  </si>
  <si>
    <t>Similar to globins and has a functional heme-binding domain, involved in glucose signaling or metabolism, regulated by Rgt1p</t>
  </si>
  <si>
    <t>YNL233W</t>
  </si>
  <si>
    <t>BNI4</t>
  </si>
  <si>
    <t>Targeting subunit for Glc7p protein phosphatase, localized to the bud neck, required for localization of chitin synthase III to the bud neck via interaction with the chitin synthase III regulatory subunit Skt5p</t>
  </si>
  <si>
    <t>YNL232W</t>
  </si>
  <si>
    <t>CSL4</t>
  </si>
  <si>
    <t>Subunit of the exosome, which is an essential complex present in both nucleus and cytoplasm that mediates RNA processing and degradation</t>
  </si>
  <si>
    <t>YNL231C</t>
  </si>
  <si>
    <t>PDR16</t>
  </si>
  <si>
    <t>Phosphatidylinositol transfer protein (PITP) controlled by the multiple drug resistance regulator Pdr1p, localizes to lipid particles and microsomes, controls levels of various lipids, may regulate lipid synthesis, homologous to Pdr17p</t>
  </si>
  <si>
    <t>YNL230C</t>
  </si>
  <si>
    <t>ELA1</t>
  </si>
  <si>
    <t>Elongin A, F-box protein that forms a heterodimer with Elc1p and participates in transcription elongation</t>
  </si>
  <si>
    <t>YNL229C</t>
  </si>
  <si>
    <t>URE2</t>
  </si>
  <si>
    <t>Nitrogen catabolite repression regulator that acts by inhibition of GLN3 transcription in good nitrogen source, altered form of Ure2p creates [URE3] prion</t>
  </si>
  <si>
    <t>YNL227C</t>
  </si>
  <si>
    <t>JJJ1</t>
  </si>
  <si>
    <t>Protein that contains a 70 amino acid J-domain, may function as a co-chaperone to recruit Hsp70-like activity to specific sites, mutation causes defects in fluid-phase endocytosis</t>
  </si>
  <si>
    <t>YNL225C</t>
  </si>
  <si>
    <t>CNM67</t>
  </si>
  <si>
    <t>Component of the spindle pole body outer plaque, required for spindle orientation and mitotic nuclear migration</t>
  </si>
  <si>
    <t>YNL224C</t>
  </si>
  <si>
    <t>YNL223W</t>
  </si>
  <si>
    <t>ATG4</t>
  </si>
  <si>
    <t>Cysteine protease required for autophagy, cleaves Atg8p to a form required for autophagosome and Cvt vesicle generation, mediates attachment of autophagosomes to microtubules through interactions with Tub1p and Tub2p</t>
  </si>
  <si>
    <t>YNL222W</t>
  </si>
  <si>
    <t>SSU72</t>
  </si>
  <si>
    <t>TranscriptionRNA-processing factor that associates with TFIIB and cleavagepolyadenylation factor Pta1p, exhibits intrinsic phosphatase activity, affects start site selection in vivo</t>
  </si>
  <si>
    <t>YNL221C</t>
  </si>
  <si>
    <t>POP1</t>
  </si>
  <si>
    <t>Subunit of both RNase MRP, which cleaves pre-rRNA, and nuclear RNase P, which cleaves tRNA precursors to generate mature 5 ends, binds to the RPR1 RNA subunit in Rnase P</t>
  </si>
  <si>
    <t>YNL220W</t>
  </si>
  <si>
    <t>ADE12</t>
  </si>
  <si>
    <t>Adenylosuccinate synthase, catalyzes the first committed step in the de novo biosynthesis of adenosine</t>
  </si>
  <si>
    <t>YNL219C</t>
  </si>
  <si>
    <t>ALG9</t>
  </si>
  <si>
    <t>Mannosyltransferase, involved in N-linked glycosylation, catalyzes the transfer of mannose from Dol-P-Man to lipid-linked oligosaccharides, mutation of the human ortholog causes type 1 congenital disorders of glycosylation</t>
  </si>
  <si>
    <t>YNL218W</t>
  </si>
  <si>
    <t>MGS1</t>
  </si>
  <si>
    <t>Protein with DNA-dependent ATPase and ssDNA annealing activities involved in maintenance of genome, interacts functionally with DNA polymerase delta, homolog of human Werner helicase interacting protein (WHIP)</t>
  </si>
  <si>
    <t>YNL217W</t>
  </si>
  <si>
    <t>YNL216W</t>
  </si>
  <si>
    <t>RAP1</t>
  </si>
  <si>
    <t>DNA-binding protein involved in either activation or repression of transcription, depending on binding site context, also binds telomere sequences and plays a role in telomeric position effect (silencing) and telomere structure</t>
  </si>
  <si>
    <t>YNL215W</t>
  </si>
  <si>
    <t>IES2</t>
  </si>
  <si>
    <t>YNL214W</t>
  </si>
  <si>
    <t>PEX17</t>
  </si>
  <si>
    <t>Peroxisomal membrane protein component of the peroxisomal translocation machinery, required for peroxisome biogenesis, binds Pex14p</t>
  </si>
  <si>
    <t>YNL213C</t>
  </si>
  <si>
    <t>YNL212W</t>
  </si>
  <si>
    <t>VID27</t>
  </si>
  <si>
    <t>Cytoplasmic protein possibly involved in vacuolar protein degradation, not essential for proteasome-dependent degradation of fructose-1,6-bisphosphatase (FBPase), null mutants exhibit normal growth</t>
  </si>
  <si>
    <t>YNL211C</t>
  </si>
  <si>
    <t>YNL210W</t>
  </si>
  <si>
    <t>MER1</t>
  </si>
  <si>
    <t>Protein with RNA-binding motifs required for meiosis-specific mRNA splicing, required for chromosome pairing and meiotic recombination</t>
  </si>
  <si>
    <t>YNL209W</t>
  </si>
  <si>
    <t>Cytoplasmic ATPase that is a ribosome-associated molecular chaperone, may be involved in the folding of newly-synthesized polypeptide chains, member of the heat shock protein 70 (HSP70) family, homolog of SSB1  Cytoplasmic ATPase that is a ribosome-associated molecular chaperone, may be involved in the folding of newly-synthesized polypeptide chains, member of the heat shock protein 70 (HSP70) family, interacts with the phosphatase subunit Reg1p</t>
  </si>
  <si>
    <t>YNL208W</t>
  </si>
  <si>
    <t>YNL207W</t>
  </si>
  <si>
    <t>RIO2</t>
  </si>
  <si>
    <t>Essential serine kinase involved in the processing of the 20S pre-rRNA into mature 18S rRNA, has similarity to Rio1p</t>
  </si>
  <si>
    <t>YNL206C</t>
  </si>
  <si>
    <t>RTT106</t>
  </si>
  <si>
    <t>Protein with a role in regulation of Ty1 transposition</t>
  </si>
  <si>
    <t>YNL204C</t>
  </si>
  <si>
    <t>SPS18</t>
  </si>
  <si>
    <t>Protein of unknown function, contains a putative zinc-binding domain, expressed during sporulation</t>
  </si>
  <si>
    <t>YNL202W</t>
  </si>
  <si>
    <t>SPS19</t>
  </si>
  <si>
    <t>Peroxisomal 2,4-dienoyl-CoA reductase, auxiliary enzyme of fatty acid beta-oxidation, homodimeric enzyme required for growth and sporulation on petroselineate medium, expression induced during late sporulation and in the presence of oleate</t>
  </si>
  <si>
    <t>YNL201C</t>
  </si>
  <si>
    <t>PSY2</t>
  </si>
  <si>
    <t>Nuclear protein of unknown function, deletion results in sensitivity to anticancer drugs oxaliplatin and cisplatin, but not mitomycin C, deletion is synthetically lethal with a chitin synthase (CHS1) null mutant</t>
  </si>
  <si>
    <t>YNL200C</t>
  </si>
  <si>
    <t>Hypothetical protein, similarity to human TGR-CL10C, thyroidal receptor for N-acetylglucosamine</t>
  </si>
  <si>
    <t>YNL199C</t>
  </si>
  <si>
    <t>GCR2</t>
  </si>
  <si>
    <t>Transcriptional activator of genes involved in glycolysis, interacts and functions with the DNA-binding protein Gcr1p</t>
  </si>
  <si>
    <t>YNL197C</t>
  </si>
  <si>
    <t>WHI3</t>
  </si>
  <si>
    <t>RNA binding protein that binds to and sequesters the G1 cyclin CLN3 mRNA, regulates cell fate and dose-dependently inhibits passage through Start by regulating the critical cell size requirement necessary for cell cycle progression</t>
  </si>
  <si>
    <t>YNL196C</t>
  </si>
  <si>
    <t>Sporulation-specific protein with a leucine zipper motif</t>
  </si>
  <si>
    <t>YNL195C</t>
  </si>
  <si>
    <t>YNL194C</t>
  </si>
  <si>
    <t>YNL193W</t>
  </si>
  <si>
    <t>YNL192W</t>
  </si>
  <si>
    <t>CHS1</t>
  </si>
  <si>
    <t>Chitin synthase I, requires activation from zymogenic form in order to catalyze the transfer of N-acetylglucosamine (GlcNAc) to chitin, required for repairing the chitin septum during cytokinesis, transcription activated by mating factor</t>
  </si>
  <si>
    <t>YNL191W</t>
  </si>
  <si>
    <t>YNL190W</t>
  </si>
  <si>
    <t>YNL189W</t>
  </si>
  <si>
    <t>SRP1</t>
  </si>
  <si>
    <t>Karyopherin alpha homolog, forms a dimer with karyopherin beta Kap95p to mediate import of nuclear proteins, binds the nuclear localization signal of the substrate during import, may also play a role in regulation of protein degradation</t>
  </si>
  <si>
    <t>YNL188W</t>
  </si>
  <si>
    <t>KAR1</t>
  </si>
  <si>
    <t>Essential protein involved in karyogamy during mating and in spindle pole body duplication during mitosis, localizes to the half-bridge of the spindle pole body, interacts with Spc72p during karyogamy, also interacts with Cdc31p</t>
  </si>
  <si>
    <t>YNL187W</t>
  </si>
  <si>
    <t>YOR085W</t>
  </si>
  <si>
    <t>OST3</t>
  </si>
  <si>
    <t>Gamma subunit of the oligosaccharyltransferase complex of the ER lumen, which catalyzes asparagine-linked glycosylation of newly synthesized proteins, Ost3p is important for N-glycosylation of a subset of proteins</t>
  </si>
  <si>
    <t>YOR084W</t>
  </si>
  <si>
    <t>Cleavage and polyadenylation factor I (CF I) component involved in cleavage and polyadenylation of mRNA 3 ends, bridges interaction between Rna15p and Hrp1p in the CF I complex</t>
  </si>
  <si>
    <t>YMR060C</t>
  </si>
  <si>
    <t>SAM37</t>
  </si>
  <si>
    <t>Component of the mitochondrial outer membrane sorting and assembly machinery (SAM) complex, required for the sorting of some proteins to the outer membrane after import by the TOM complex</t>
  </si>
  <si>
    <t>YMR059W</t>
  </si>
  <si>
    <t>SEN15</t>
  </si>
  <si>
    <t>YMR058W</t>
  </si>
  <si>
    <t>FET3</t>
  </si>
  <si>
    <t>Non-essential protein with putative leucine-rich nuclear export signal (NES) sequence that fits the consensus sequence recognized by Crm1p</t>
  </si>
  <si>
    <t>YNL186W</t>
  </si>
  <si>
    <t>UBP10</t>
  </si>
  <si>
    <t>Ubiquitin-specific protease that deubiquitinates ubiquitin-protein moieties, may regulate silencing by acting on Sir4p, involved in posttranscriptionally regulating Gap1p and possibly other transporters, primarily located in the nucleus</t>
  </si>
  <si>
    <t>YNL185C</t>
  </si>
  <si>
    <t>MRPL19</t>
  </si>
  <si>
    <t>YNL183C</t>
  </si>
  <si>
    <t>NPR1</t>
  </si>
  <si>
    <t>Protein kinase that stabilizes several plasma membrane amino acid transporters by antagonizing their ubiquitin-mediated degradation</t>
  </si>
  <si>
    <t>YNL182C</t>
  </si>
  <si>
    <t>IPI3</t>
  </si>
  <si>
    <t>Protein required for cell viability, computational analysis of large-scale protein-protein interaction data suggests a possible role in assembly of the ribosomal large subunit</t>
  </si>
  <si>
    <t>YNL181W</t>
  </si>
  <si>
    <t>YNL180C</t>
  </si>
  <si>
    <t>RHO5</t>
  </si>
  <si>
    <t>Non-essential small GTPase of the RhoRac subfamily of Ras-like proteins, likely involved in protein kinase C (Pkc1p)-dependent signal transduction pathway that controls cell integrity</t>
  </si>
  <si>
    <t>YNL178W</t>
  </si>
  <si>
    <t>RPS3</t>
  </si>
  <si>
    <t>Protein component of the small (40S) ribosomal subunit, has apurinicapyrimidinic (AP) endonuclease activity, essential for viability, has similarity to E. coli S3 and rat S3 ribosomal proteins</t>
  </si>
  <si>
    <t>YNL177C</t>
  </si>
  <si>
    <t>MRPL22</t>
  </si>
  <si>
    <t>YNL176C</t>
  </si>
  <si>
    <t>YNL175C</t>
  </si>
  <si>
    <t>NOP13</t>
  </si>
  <si>
    <t>Protein of unknown function, localizes to the nucleolus and nucleoplasm, contains an RNA recognition motif (RRM) and has similarity to Nop12p, which is required for processing of pre-18S rRNA</t>
  </si>
  <si>
    <t>YNL173C</t>
  </si>
  <si>
    <t>MDG1</t>
  </si>
  <si>
    <t>Plasma membrane protein involved in G-protein mediated pheromone signaling pathway, overproduction suppresses bem1 mutations</t>
  </si>
  <si>
    <t>YNL172W</t>
  </si>
  <si>
    <t>APC1</t>
  </si>
  <si>
    <t>Largest subunit of the Anaphase-Promoting ComplexCyclosome (APCC), which is a ubiquitin-protein ligase required for degradation of anaphase inhibitors, including mitotic cyclins, during the metaphaseanaphase transition</t>
  </si>
  <si>
    <t>YNL169C</t>
  </si>
  <si>
    <t>PSD1</t>
  </si>
  <si>
    <t>Phosphatidylserine decarboxylase of the mitochondrial inner membrane, converts phosphatidylserine to phosphatidylethanolamine</t>
  </si>
  <si>
    <t>YNL168C</t>
  </si>
  <si>
    <t>Member of a complex (Isw1b) with Isw1p and Ioc2p that exhibits nucleosome-stimulated ATPase activity and acts within coding regions to coordinate transcription elongation with termination and processing, contains a PWWP motif</t>
  </si>
  <si>
    <t>YMR043W</t>
  </si>
  <si>
    <t>MCM1</t>
  </si>
  <si>
    <t>Transcription factor involved in cell-type-specific transcription and pheromone response, plays a central role in the formation of both repressor and activator complexes</t>
  </si>
  <si>
    <t>YMR042W</t>
  </si>
  <si>
    <t>ARG80</t>
  </si>
  <si>
    <t>Transcription factor involved in regulation of arginine-responsive genes, acts with Arg81p and Arg82p</t>
  </si>
  <si>
    <t>YMR041C</t>
  </si>
  <si>
    <t>YMR040W</t>
  </si>
  <si>
    <t>Endoplasmic reticulum transmembrane protein, homolog of human BAP31 protein</t>
  </si>
  <si>
    <t>YMR039C</t>
  </si>
  <si>
    <t>SUB1</t>
  </si>
  <si>
    <t>Transcriptional coactivator, facilitates elongation by influencing enzymes that modify RNAP II, acts in a peroxide resistance pathway involving Rad2p, suppressor of TFIIB mutations</t>
  </si>
  <si>
    <t>YMR038C</t>
  </si>
  <si>
    <t>CCS1</t>
  </si>
  <si>
    <t>Copper chaperone for superoxide dismutase Sod1p, involved in oxidative stress protection, Met-X-Cys-X2-Cys motif within the N-terminal portion is involved in insertion of copper into Sod1p under conditions of copper deprivation</t>
  </si>
  <si>
    <t>YMR037C</t>
  </si>
  <si>
    <t>MSN2</t>
  </si>
  <si>
    <t>Transcriptional activator related to Msn4p, activated in stress conditions, which results in translocation from the cytoplasm to the nucleus, binds DNA at stress response elements of responsive genes, inducing gene expression</t>
  </si>
  <si>
    <t>YMR036C</t>
  </si>
  <si>
    <t>MIH1</t>
  </si>
  <si>
    <t>Protein tyrosine phosphatase involved in cell cycle control, regulates the phosphorylation state of Cdc28p, homolog of S. pombe cdc25</t>
  </si>
  <si>
    <t>YMR035W</t>
  </si>
  <si>
    <t>IMP2</t>
  </si>
  <si>
    <t>YMR034C</t>
  </si>
  <si>
    <t>YMR033W</t>
  </si>
  <si>
    <t>ARP9</t>
  </si>
  <si>
    <t>YMR032W</t>
  </si>
  <si>
    <t>HOF1</t>
  </si>
  <si>
    <t>Bud neck-localized, SH3 domain-containing protein required for cytokinesis, regulates actomyosin ring dynamics and septin localization, interacts with the formins, Bni1p and Bnr1p, and with Cyk3p, Vrp1p, and Bni5p</t>
  </si>
  <si>
    <t>YMR031C</t>
  </si>
  <si>
    <t>YMR030W-A</t>
  </si>
  <si>
    <t>YMR030W</t>
  </si>
  <si>
    <t>RSF1</t>
  </si>
  <si>
    <t>Protein required for respiratory growth, localized to both the nucleus and mitochondrion, mutant displays decreased transcription of specific nuclear and mitochondrial genes whose products are involved in respiratory growth</t>
  </si>
  <si>
    <t>YMR029C</t>
  </si>
  <si>
    <t>FAR8</t>
  </si>
  <si>
    <t>Protein involved in G1 cell cycle arrest in response to pheromone, in a pathway different from the Far1p-dependent pathway, interacts with Far3p, Far7p, Far9p, Far10p, and Far11p</t>
  </si>
  <si>
    <t>YMR028W</t>
  </si>
  <si>
    <t>TAP42</t>
  </si>
  <si>
    <t>Essential protein involved in the TOR signaling pathway, physically associates with the protein phosphatase 2A and the SIT4 protein phosphatase catalytic subunits</t>
  </si>
  <si>
    <t>YMR027W</t>
  </si>
  <si>
    <t>High level expression reduced Ty3 Transposition</t>
  </si>
  <si>
    <t>YMR026C</t>
  </si>
  <si>
    <t>PEX12</t>
  </si>
  <si>
    <t>RING-finger peroxisomal membrane peroxin that plays an essential role in peroxisome biogenesis and peroxisomal matrix protein import, forms translocation subcomplex with Pex2p and Pex10p</t>
  </si>
  <si>
    <t>YMR025W</t>
  </si>
  <si>
    <t>CSI1</t>
  </si>
  <si>
    <t>Subunit of the Cop9 signalosome, which is required for deneddylation, or removal of the ubiquitin-like protein Rub1p from Cdc53p (cullin), involved in adaptation to pheromone signaling</t>
  </si>
  <si>
    <t>YMR024W</t>
  </si>
  <si>
    <t>MRPL3</t>
  </si>
  <si>
    <t>YMR023C</t>
  </si>
  <si>
    <t>MSS1</t>
  </si>
  <si>
    <t>Mitochondrial protein, forms a heterodimer complex with Mto1p that performs the 5-carboxymethylaminomethyl modification of the wobble uridine base in mitochondrial tRNAs, similar to human GTPBP3</t>
  </si>
  <si>
    <t>YMR022W</t>
  </si>
  <si>
    <t>QRI8</t>
  </si>
  <si>
    <t>Ubiquitin conjugating enzyme, involved in the ER-associated protein degradation pathway, requires Cue1p for recruitment to the ER membrane, proposed to be involved in chromatin assembly</t>
  </si>
  <si>
    <t>YMR021C</t>
  </si>
  <si>
    <t>MAC1</t>
  </si>
  <si>
    <t>Copper-sensing transcription factor involved in regulation of genes required for high affinity copper transport</t>
  </si>
  <si>
    <t>YMR020W</t>
  </si>
  <si>
    <t>FMS1</t>
  </si>
  <si>
    <t>Polyamine oxidase, converts spermine to spermidine, which is required for the essential hypusination modification of translation factor eIF-5A, also involved in pantothenic acid biosynthesis</t>
  </si>
  <si>
    <t>YMR019W</t>
  </si>
  <si>
    <t>STB4</t>
  </si>
  <si>
    <t>Protein that binds Sin3p in a two-hybrid assay, contains a Zn(II)2Cys6 zinc finger domain characteristic of DNA-binding proteins</t>
  </si>
  <si>
    <t>YMR018W</t>
  </si>
  <si>
    <t>YMR017W</t>
  </si>
  <si>
    <t>SPO20</t>
  </si>
  <si>
    <t>Meiosis-specific subunit of the t-SNARE complex, required for prospore membrane formation during sporulation, similar to but not functionally redundant with Sec9p, SNAP-25 homolog</t>
  </si>
  <si>
    <t>YMR016C</t>
  </si>
  <si>
    <t>SOK2</t>
  </si>
  <si>
    <t>Nuclear protein that plays a regulatory role in the cyclic AMP (cAMP)-dependent protein kinase (PKA) signal transduction pathway, negatively regulates pseudohyphal differentiation, homologous to several transcription factors</t>
  </si>
  <si>
    <t>YMR015C</t>
  </si>
  <si>
    <t>ERG5</t>
  </si>
  <si>
    <t>C-22 sterol desaturase, a cytochrome P450 enzyme that catalyzes the formation of the C-22(23) double bond in the sterol side chain in ergosterol biosynthesis, may be a target of azole antifungal drugs</t>
  </si>
  <si>
    <t>YMR014W</t>
  </si>
  <si>
    <t>BUD22</t>
  </si>
  <si>
    <t>YMR013W-A</t>
  </si>
  <si>
    <t>YMR013C</t>
  </si>
  <si>
    <t>SEC59</t>
  </si>
  <si>
    <t>Dolichol kinase, catalyzes the terminal step in dolichyl monophosphate (Dol-P) biosynthesis, required for viability and for normal rates of lipid intermediate synthesis and protein N-glycosylation</t>
  </si>
  <si>
    <t>YMR012W</t>
  </si>
  <si>
    <t>CLU1</t>
  </si>
  <si>
    <t>eIF3 component of unknown function, deletion causes defects in mitochondrial organization but not in growth or translation initiation, can rescue cytokinesis and mitochondrial organization defects of the Dictyostelium cluA- mutant</t>
  </si>
  <si>
    <t>YMR011W</t>
  </si>
  <si>
    <t>HXT2</t>
  </si>
  <si>
    <t>High-affinity glucose transporter of the major facilitator superfamily, expression is induced by low levels of glucose and repressed by high levels of glucose</t>
  </si>
  <si>
    <t>YMR010W</t>
  </si>
  <si>
    <t>YMR009W</t>
  </si>
  <si>
    <t>Acireductone dioxygenease involved in the methionine salvage pathway, ortholog of human MTCBP-1</t>
  </si>
  <si>
    <t>YMR008C</t>
  </si>
  <si>
    <t>PLB1</t>
  </si>
  <si>
    <t>Protein required for the assembly of box HACA snoRNPs and for pre-rRNA processing, forms a complex with Shq1p and interacts with HACA snoRNP components Nhp2p and Cbf5p, has similarity to Gar1p and other RNA-binding proteins</t>
  </si>
  <si>
    <t>YNL123W</t>
  </si>
  <si>
    <t>shows protein sequence similarity to the mammalian OmiHtrA2 family of serine proteases</t>
  </si>
  <si>
    <t>YNL122C</t>
  </si>
  <si>
    <t>YNL121C</t>
  </si>
  <si>
    <t>TOM70</t>
  </si>
  <si>
    <t>Translocase of Outer Mitochondrial membrane, 70 kDa mitochondrial specialized import receptor of the outer membrane</t>
  </si>
  <si>
    <t>YNL119W</t>
  </si>
  <si>
    <t>NCS2</t>
  </si>
  <si>
    <t>Protein with a role in urmylation and in invasive and pseudohyphal growth, inhibits replication of Brome mosaic virus in S. cerevisiae, which is a model system for studying replication of positive-strand RNA viruses in their natural hosts</t>
  </si>
  <si>
    <t>YNL118C</t>
  </si>
  <si>
    <t>DCP2</t>
  </si>
  <si>
    <t>Protein required for the decapping of mRNAs, functions to allow the production of active Dcp1p, contains a pyrophosphatase MutT motif and several alpha-helical leucine-rich motifs</t>
  </si>
  <si>
    <t>YNL117W</t>
  </si>
  <si>
    <t>MLS1</t>
  </si>
  <si>
    <t>Malate synthase, enzyme of the glyoxylate cycle, involved in utilization of non-fermentable carbon sources, expression is subject to carbon catabolite repression, localizes in peroxisomes during growth in oleic acid medium</t>
  </si>
  <si>
    <t>YNL116W</t>
  </si>
  <si>
    <t>DMA2</t>
  </si>
  <si>
    <t>Protein involved in regulating spindle position and orientation, functionally redundant with Dma1p, homolog of S. pombe Dma1 and H. sapiens Chfr</t>
  </si>
  <si>
    <t>YNL115C</t>
  </si>
  <si>
    <t>YNL113W</t>
  </si>
  <si>
    <t>RPC19</t>
  </si>
  <si>
    <t>RNA polymerase subunit, common to RNA polymerases I and III</t>
  </si>
  <si>
    <t>YNL112W</t>
  </si>
  <si>
    <t>DBP2</t>
  </si>
  <si>
    <t>Essential ATP-dependent RNA helicase of the DEAD-box protein family, involved in nonsense-mediated mRNA decay and rRNA processing</t>
  </si>
  <si>
    <t>YNL111C</t>
  </si>
  <si>
    <t>CYB5</t>
  </si>
  <si>
    <t>Cytochrome b5, involved in the sterol and lipid biosynthesis pathways, required for sterol C5-6 and fatty acid desaturation</t>
  </si>
  <si>
    <t>YNL110C</t>
  </si>
  <si>
    <t>NOP15</t>
  </si>
  <si>
    <t>Constituent of 66S pre-ribosomal particles, involved in 60S ribosomal subunit biogenesis, localizes to both nucleolus and cytoplasm</t>
  </si>
  <si>
    <t>YNL108C</t>
  </si>
  <si>
    <t>YNL107W</t>
  </si>
  <si>
    <t>YAF9</t>
  </si>
  <si>
    <t>Subunit of both the NuA4 histone H4 acetyltransferase complex and the SWR1 complex, may function to antagonize silencing near telomeres, interacts directly with Swc4p, has homology to human leukemogenic protein AF9, contains a YEATS domain</t>
  </si>
  <si>
    <t>YNL106C</t>
  </si>
  <si>
    <t>INP52</t>
  </si>
  <si>
    <t>Phosphatidylinositol 4,5-bisphosphate 5-phosphatase, synaptojanin-like protein with an N-terminal Sac1 domain, plays a role in endocytosis, hyperosmotic stress causes translocation to actin patches</t>
  </si>
  <si>
    <t>YNL104C</t>
  </si>
  <si>
    <t>LEU4</t>
  </si>
  <si>
    <t>Alpha-isopropylmalate synthase (2-isopropylmalate synthase), the main isozyme responsible for the first step in the leucine biosynthesis pathway</t>
  </si>
  <si>
    <t>YNL103W</t>
  </si>
  <si>
    <t>MET4</t>
  </si>
  <si>
    <t>Lecine-zipper transcriptional activator, responsible for the regulation of the sulfur amino acid pathway, requires different combinations of the auxiliary factors Cbf1p, Met28p, Met31p and Met32p</t>
  </si>
  <si>
    <t>YNL102W</t>
  </si>
  <si>
    <t>POL1</t>
  </si>
  <si>
    <t>Catalytic subunit of the DNA polymerase alpha-primase complex, required for the initiation of DNA replication during mitotic DNA synthesis and premeiotic DNA synthesis</t>
  </si>
  <si>
    <t>YNL101W</t>
  </si>
  <si>
    <t>AVT4</t>
  </si>
  <si>
    <t>Vacuolar transporter, exports large neutral amino acids from the vacuole, member of a family of seven S. cerevisiae genes (AVT1-7) related to vesicular GABA-glycine transporters</t>
  </si>
  <si>
    <t>YNL100W</t>
  </si>
  <si>
    <t>YNL099C</t>
  </si>
  <si>
    <t>OCA1</t>
  </si>
  <si>
    <t>Cytoplasmic GTP binding protein and negative regulator of the RanTc4 GTPase cycle, through its homolog and binding partner, Gtr2p, involved in phosphate transport and invasive growth, human RagA and RagB proteins are functional homologs</t>
  </si>
  <si>
    <t>YML120C</t>
  </si>
  <si>
    <t>NDI1</t>
  </si>
  <si>
    <t>NADH:ubiquinone oxidoreductase, transfers electrons from NADH to ubiquinone in the respiratory chain but does not pump protons, in contrast to the higher eukaryotic multisubunit respiratory complex I which is absent in S. cerevisiae</t>
  </si>
  <si>
    <t>YML119W</t>
  </si>
  <si>
    <t>YML118W</t>
  </si>
  <si>
    <t>NGL3</t>
  </si>
  <si>
    <t>Putative endonuclease, has a domain similar to a magnesium-dependent endonuclease motif in mRNA deadenylase Ccr4p, similar to Ngl1p and Ngl2p</t>
  </si>
  <si>
    <t>YML117W</t>
  </si>
  <si>
    <t>NAB6</t>
  </si>
  <si>
    <t>Putative RNA-binding protein, based on computational analysis of large-scale protein-protein interaction data</t>
  </si>
  <si>
    <t>YML116W</t>
  </si>
  <si>
    <t>ATR1</t>
  </si>
  <si>
    <t>Multidrug efflux pump of the major facilitator superfamily, required for resistance to aminotriazole and 4-nitroquinoline-N-oxide</t>
  </si>
  <si>
    <t>YML115C</t>
  </si>
  <si>
    <t>VAN1</t>
  </si>
  <si>
    <t>Component of the mannan polymerase I, forms a complex with Mnn9p, which is involved in in mannan synthesis, mutants are vanadate-resistant</t>
  </si>
  <si>
    <t>YML114C</t>
  </si>
  <si>
    <t>TAF8</t>
  </si>
  <si>
    <t>TFIID subunit (65 kDa), involved in RNA polymerase II transcription initiation</t>
  </si>
  <si>
    <t>YML113W</t>
  </si>
  <si>
    <t>DAT1</t>
  </si>
  <si>
    <t>DNA binding protein that recognizes oligo(dA).oligo(dT) tracts, Arg side chain in its N-terminal pentad Gly-Arg-Lys-Pro-Gly repeat is required for DNA-binding, not essential for viability</t>
  </si>
  <si>
    <t>YML112W</t>
  </si>
  <si>
    <t>CTK3</t>
  </si>
  <si>
    <t>Protein of unknown function, interacts with Rvs161p and Rvs167p, computational analysis of protein-protein interactions in large-scale studies suggests a possible role in actin filament organization</t>
  </si>
  <si>
    <t>YNL093W</t>
  </si>
  <si>
    <t>YPT53</t>
  </si>
  <si>
    <t>GTPase, similar to Ypt51p and Ypt52p and to mammalian rab5, required for vacuolar protein sorting and endocytosis</t>
  </si>
  <si>
    <t>YNL092W</t>
  </si>
  <si>
    <t>YNL091W</t>
  </si>
  <si>
    <t>NST1</t>
  </si>
  <si>
    <t>Protein of unknown function, mediates sensitivity to salt stress, interacts physically with the splicing factor Msl1p and also displays genetic interaction with MSL1</t>
  </si>
  <si>
    <t>YNL090W</t>
  </si>
  <si>
    <t>RHO2</t>
  </si>
  <si>
    <t>Non-essential small GTPase of the RhoRac subfamily of Ras-like proteins, involved in the establishment of cell polarity and in microtubule assembly</t>
  </si>
  <si>
    <t>YNL088W</t>
  </si>
  <si>
    <t>TOP2</t>
  </si>
  <si>
    <t>Essential type II topoisomerase, relieves torsional strain in DNA by cleaving and re-sealing the phosphodiester backbone of both positively and negatively supercoiled DNA, cleaves complementary strands, localizes to axial cores in meiosis</t>
  </si>
  <si>
    <t>YNL087W</t>
  </si>
  <si>
    <t>TCB2</t>
  </si>
  <si>
    <t>Bud-specific protein with a potential role in membrane trafficking, GFP-fusion protein migrates from the cell surface to intracellular vesicles near vacuole, contains 3 calcium and lipid binding domains, mRNA is targeted to the bud via the mRNA transport system involving She2p</t>
  </si>
  <si>
    <t>YNL086W</t>
  </si>
  <si>
    <t>YNL085W</t>
  </si>
  <si>
    <t>MKT1</t>
  </si>
  <si>
    <t>Protein involved in propagation of M2 dsRNA satellite of L-A virus, forms a complex with Pbp1p that is involved in posttranscriptional regulation of HO endonuclease</t>
  </si>
  <si>
    <t>YNL084C</t>
  </si>
  <si>
    <t>END3</t>
  </si>
  <si>
    <t>EH domain-containing protein involved in endocytosis, actin cytoskeletal organization and cell wall morphogenesis, forms a complex with Sla1p and Pan1p</t>
  </si>
  <si>
    <t>YNL083W</t>
  </si>
  <si>
    <t>SAL1</t>
  </si>
  <si>
    <t>Probable transporter, member of the Ca2+-binding subfamily of the mitochondrial carrier family, with two EF-hand motifs, Pet9p and Sal1p have an overlapping function critical for viability, polymorphic in different S. cerevisiae strains</t>
  </si>
  <si>
    <t>YNL082W</t>
  </si>
  <si>
    <t>PMS1</t>
  </si>
  <si>
    <t>ATP-binding protein required for mismatch repair in mitosis and meiosis, functions as a heterodimer with Mlh1p, binds double- and single-stranded DNA via its N-terminal domain, similar to E. coli MutL</t>
  </si>
  <si>
    <t>YNL081C</t>
  </si>
  <si>
    <t>SWS2</t>
  </si>
  <si>
    <t>Putative mitochondrial ribosomal protein of the small subunit, has similarity to E. coli S13 ribosomal protein</t>
  </si>
  <si>
    <t>YNL080C</t>
  </si>
  <si>
    <t>Deletion causes slight growth defect, similar to U. maydis myp1 protein</t>
  </si>
  <si>
    <t>YNL079C</t>
  </si>
  <si>
    <t>TPM1</t>
  </si>
  <si>
    <t>Major isoform of tropomyosin, binds to and stabilizes actin cables and filaments, which direct polarized cell growth and the distribution of several organelles, acetylated by the NatB complex and acetylated form binds actin most efficiently</t>
  </si>
  <si>
    <t>YNL078W</t>
  </si>
  <si>
    <t>NIS1</t>
  </si>
  <si>
    <t>Protein localized in the bud neck at G2M phase, physically interacts with septins, possibly involved in a mitotic signaling network</t>
  </si>
  <si>
    <t>YNL077W</t>
  </si>
  <si>
    <t>APJ1</t>
  </si>
  <si>
    <t>Putative chaperone of the HSP40 (DNAJ) family, overexpression interferes with propagation of the [Psi+] prion</t>
  </si>
  <si>
    <t>YNL076W</t>
  </si>
  <si>
    <t>MKS1</t>
  </si>
  <si>
    <t>Pleiotropic regulatory factor involved in Ras-CAMP and lysine biosynthetic pathways and nitrogen regulation, involved in retrograde (RTG) mitochondria-to-nucleus signaling</t>
  </si>
  <si>
    <t>YNL075W</t>
  </si>
  <si>
    <t>IMP4</t>
  </si>
  <si>
    <t>Component of the SSU processome, which is required for pre-18S rRNA processing, interacts with Mpp10p, member of a superfamily of proteins that contain a sigma(70)-like motif and associate with RNAs</t>
  </si>
  <si>
    <t>YNL074C</t>
  </si>
  <si>
    <t>MLF3</t>
  </si>
  <si>
    <t>Serine-rich protein of unknown function, overproduction suppresses the growth inhibition caused by exposure to the immunosuppressant leflunomide</t>
  </si>
  <si>
    <t>YNL073W</t>
  </si>
  <si>
    <t>MSK1</t>
  </si>
  <si>
    <t>Mitochondrial lysine-tRNA synthetase, required for import of both aminoacylated and deacylated forms of tRNA(Lys) into mitochondria</t>
  </si>
  <si>
    <t>YNL072W</t>
  </si>
  <si>
    <t>RNH201</t>
  </si>
  <si>
    <t>D-Arabinono-1,4-lactone oxidase, catalyzes the final step in biosynthesis of D-erythroascorbic acid, which is protective against oxidative stress</t>
  </si>
  <si>
    <t>YML085C</t>
  </si>
  <si>
    <t>TUB1</t>
  </si>
  <si>
    <t>Alpha-tubulin, associates with beta-tubulin (Tub2p) to form tubulin dimer, which polymerizes to form microtubules</t>
  </si>
  <si>
    <t>YML083C</t>
  </si>
  <si>
    <t>YML082W</t>
  </si>
  <si>
    <t>YML081W</t>
  </si>
  <si>
    <t>YML081C-A</t>
  </si>
  <si>
    <t>ATP18</t>
  </si>
  <si>
    <t>Subunit of the mitochondrial F1F0 ATP synthase, which is a large enzyme complex required for ATP synthesis, termed subunit I or subunit j, does not correspond to known ATP synthase subunits in other organisms</t>
  </si>
  <si>
    <t>YML080W</t>
  </si>
  <si>
    <t>DUS1</t>
  </si>
  <si>
    <t>Dihydrouridine synthase, member of a widespread family of conserved proteins including Smm1p, Dus3p, and Dus4p, modifies pre-tRNA(Phe) at U17</t>
  </si>
  <si>
    <t>YML079W</t>
  </si>
  <si>
    <t>Uncharacterized protein with structural resemblance to plant storage and ligand binding proteins (canavalin, glycinin, auxin binding protein), and also to some plant and bacterial enzymes (epimerase, germin)</t>
  </si>
  <si>
    <t>YML078W</t>
  </si>
  <si>
    <t>CPR3</t>
  </si>
  <si>
    <t>Mitochondrial peptidyl-prolyl cis-trans isomerase (cyclophilin), catalyzes the cis-trans isomerization of peptide bonds N-terminal to proline residues, involved in protein refolding after import into mitochondria</t>
  </si>
  <si>
    <t>YML077W</t>
  </si>
  <si>
    <t>BET5</t>
  </si>
  <si>
    <t>Component of the TRAPP (transport protein particle) complex, which plays an essential role in the vesicular transport from endoplasmic reticulum to Golgi</t>
  </si>
  <si>
    <t>YML076C</t>
  </si>
  <si>
    <t>WAR1</t>
  </si>
  <si>
    <t>Homodimeric Zn2Cys6 zinc finger transcription factor, binds to a weak acid response element to induce transcription of PDR12 and FUN34, encoding an acid transporter and a putative ammonia transporter, respectively</t>
  </si>
  <si>
    <t>YML075C</t>
  </si>
  <si>
    <t>HMG1</t>
  </si>
  <si>
    <t>One of two isozymes of HMG-CoA reductase that catalyzes the conversion of HMG-CoA to mevalonate, which is a rate-limiting step in sterol biosynthesis, localizes to the nuclear envelope, overproduction induces the formation of karmellae</t>
  </si>
  <si>
    <t>YML074C</t>
  </si>
  <si>
    <t>FPR3</t>
  </si>
  <si>
    <t>Nucleolar peptidyl-prolyl cis-trans isomerase (PPIase), FK506 binding protein, phosphorylated by casein kinase II (Cka1p-Cka2p-Ckb1p-Ckb2p) and dephosphorylated by Ptp1p</t>
  </si>
  <si>
    <t>YML073C</t>
  </si>
  <si>
    <t>RPL6A</t>
  </si>
  <si>
    <t>N-terminally acetylated protein component of the large (60S) ribosomal subunit, has similarity to Rpl6Bp and to rat L6 ribosomal protein, binds to 5.8S rRNA</t>
  </si>
  <si>
    <t>YML072C</t>
  </si>
  <si>
    <t>TCB3</t>
  </si>
  <si>
    <t>Contains three calcium and lipid binding domains, localized to the bud, green fluorescent protein (GFP)-fusion protein localizes to the cell periphery, mRNA is targeted to the bud via the mRNA transport system involving She2p, C-terminal portion of Tcb1p, Tcb2p and Tcb3p interact</t>
  </si>
  <si>
    <t>YML071C</t>
  </si>
  <si>
    <t>COG8</t>
  </si>
  <si>
    <t>YML070W</t>
  </si>
  <si>
    <t>DAK1</t>
  </si>
  <si>
    <t>Dihydroxyacetone kinase, required for detoxification of dihydroxyacetone (DHA), involved in stress adaptation</t>
  </si>
  <si>
    <t>YML069W</t>
  </si>
  <si>
    <t>POB3</t>
  </si>
  <si>
    <t>Subunit of the heterodimeric FACT complex (Spt16p-Pob3p), which facilitates RNA Polymerase II transcription elongation through nucleosomes by destabilizing and then reassembling nucleosome structure</t>
  </si>
  <si>
    <t>YML068W</t>
  </si>
  <si>
    <t>ITT1</t>
  </si>
  <si>
    <t>Protein that modulates the efficiency of translation termination, interacts with translation release factors eRF1 (Sup45p) and eRF3 (Sup35p) in vitro, contains a zinc finger domain characteristic of the TRIAD class of proteins</t>
  </si>
  <si>
    <t>YML067C</t>
  </si>
  <si>
    <t>ERV41</t>
  </si>
  <si>
    <t>Protein localized to COPII-coated vesicles, forms a complex with Erv46p, involved in the membrane fusion stage of transport</t>
  </si>
  <si>
    <t>YML066C</t>
  </si>
  <si>
    <t>SMA2</t>
  </si>
  <si>
    <t>YML065W</t>
  </si>
  <si>
    <t>ORC1</t>
  </si>
  <si>
    <t>Largest subunit of the origin recognition complex, which directs DNA replication by binding to replication origins and is also involved in transcriptional silencing, may be phosphorylated by Cdc28p</t>
  </si>
  <si>
    <t>YML064C</t>
  </si>
  <si>
    <t>TEM1</t>
  </si>
  <si>
    <t>GTP-binding protein of the ras superfamily involved in termination of M-phase, controls actomyosin and septin dynamics during cytokinesis</t>
  </si>
  <si>
    <t>YML063W</t>
  </si>
  <si>
    <t>Ribosomal protein 10 (rp10) of the small (40S) subunit, nearly identical to Rps1Ap and has similarity to rat S3a ribosomal protein  Ribosomal protein 10 (rp10) of the small (40S) subunit, nearly identical to Rps1Bp and has similarity to rat S3a ribosomal protein</t>
  </si>
  <si>
    <t>YML062C</t>
  </si>
  <si>
    <t>MFT1</t>
  </si>
  <si>
    <t>Subunit of the THO complex, which is a nuclear complex comprised of Hpr1p, Mft1p, Rlr1p, and Thp2p, that is involved in transcription elongation and mitotic recombination</t>
  </si>
  <si>
    <t>YML061C</t>
  </si>
  <si>
    <t>PIF1</t>
  </si>
  <si>
    <t>DNA helicase involved in telomere formation and elongation, acts as a catalytic inhibitor of telomerase, also plays a role in repair and recombination of mitochondrial DNA</t>
  </si>
  <si>
    <t>YML060W</t>
  </si>
  <si>
    <t>OGG1</t>
  </si>
  <si>
    <t>Mitochondrial glycosylaselyase that specifically excises 7,8-dihydro-8-oxoguanine residues located opposite cytosine or thymine residues in DNA, repairs oxidative damage to mitochondrial DNA</t>
  </si>
  <si>
    <t>YML059C</t>
  </si>
  <si>
    <t>NTE1</t>
  </si>
  <si>
    <t>Serine esterase that deacylates exogenous lysophospholipids, homolog of human neuropathy target esterase (NTE), mammalian NTE1 deacylates phosphatidylcholine to glycerophosphocholine</t>
  </si>
  <si>
    <t>YML058W-A</t>
  </si>
  <si>
    <t>HUG1</t>
  </si>
  <si>
    <t>Integral membrane protein localized to cortical patch structures, multicopy suppressor of rvs167 mutation, mutants show defects in sporulation and altered sphingolipid content in plasma membrane</t>
  </si>
  <si>
    <t>YML051W</t>
  </si>
  <si>
    <t>GAL80</t>
  </si>
  <si>
    <t>Transcriptional regulator involved in the repression of GAL genes in the absence of galactose, inhibits transcriptional activation by Gal4p, inhibition relieved by Gal3p or Gal1p binding</t>
  </si>
  <si>
    <t>YML050W</t>
  </si>
  <si>
    <t>YML049C</t>
  </si>
  <si>
    <t>RSE1</t>
  </si>
  <si>
    <t>Protein involved in pre-mRNA splicing, component of the pre-spliceosome, associates with U2 snRNA, involved in ER to Golgi transport</t>
  </si>
  <si>
    <t>YML048W</t>
  </si>
  <si>
    <t>GSF2</t>
  </si>
  <si>
    <t>ER localized integral membrane protein that may promote secretion of certain hexose transporters, including Gal2p, involved in glucose-dependent repression</t>
  </si>
  <si>
    <t>YML047C</t>
  </si>
  <si>
    <t>PRM6</t>
  </si>
  <si>
    <t>Pheromone-regulated protein, predicted to have 2 transmembrane segments, regulated by Ste12p during mating</t>
  </si>
  <si>
    <t>YML046W</t>
  </si>
  <si>
    <t>PRP39</t>
  </si>
  <si>
    <t>U1 snRNP protein involved in splicing, contains multiple tetriatricopeptide repeats</t>
  </si>
  <si>
    <t>YML043C</t>
  </si>
  <si>
    <t>RRN11</t>
  </si>
  <si>
    <t>rDNA transcription factor CF component, which also contains Rrn6p and Rrn7p, which is required for rDNA transcription by RNA polymerase I, component of rDNA transcription factor</t>
  </si>
  <si>
    <t>YML042W</t>
  </si>
  <si>
    <t>CAT2</t>
  </si>
  <si>
    <t>Carnitine acetyl-CoA transferase present in both mitochondria and peroxisomes, transfers activated acetyl groups to carnitine to form acetylcarnitine which can be shuttled across membranes</t>
  </si>
  <si>
    <t>YML041C</t>
  </si>
  <si>
    <t>VPS71</t>
  </si>
  <si>
    <t>PBI2</t>
  </si>
  <si>
    <t>Cytosolic inhibitor of vacuolar proteinase B, required for efficient vacuole inheritance, with thioredoxin forms protein complex LMA1, which assists in priming SNARE molecules and promotes vacuole fusion</t>
  </si>
  <si>
    <t>YNL014W</t>
  </si>
  <si>
    <t>HEF3</t>
  </si>
  <si>
    <t>Translational elongation factor EF-3, paralog of YEF3 and member of the ABC superfamily, stimulates EF-1 alpha-dependent binding of aminoacyl-tRNA by the ribosome, normally expressed in zinc deficient cells</t>
  </si>
  <si>
    <t>YNL012W</t>
  </si>
  <si>
    <t>SPO1</t>
  </si>
  <si>
    <t>Meiosis-specific protein with similarity to phospholipase B, required for meiotic spindle pole body duplication and separation, required for spore formation</t>
  </si>
  <si>
    <t>YNL011C</t>
  </si>
  <si>
    <t>YNL010W</t>
  </si>
  <si>
    <t>YNL009W</t>
  </si>
  <si>
    <t>IDP3</t>
  </si>
  <si>
    <t>Peroxisomal NADP-dependent isocitrate dehydrogenase, catalyzes oxidation of isocitrate to alpha-ketoglutarate with the formation of NADP(H+), required for growth on unsaturated fatty acids</t>
  </si>
  <si>
    <t>YNL008C</t>
  </si>
  <si>
    <t>ASI3</t>
  </si>
  <si>
    <t>Putative integral membrane E3 ubiquitin ligase, genetic interactions suggest a role in negative regulation of amino acid uptake</t>
  </si>
  <si>
    <t>YNL007C</t>
  </si>
  <si>
    <t>SIS1</t>
  </si>
  <si>
    <t>Type II HSP40 co-chaperone that interacts with the HSP70 protein Ssa1p, not functionally redundant with Ydj1p due to due to substrate specificity, shares similarity with bacterial DnaJ proteins</t>
  </si>
  <si>
    <t>YNL006W</t>
  </si>
  <si>
    <t>LST8</t>
  </si>
  <si>
    <t>Protein required for the transport of amino acid permease Gap1p from the Golgi to the cell surface, component of the TOR signaling pathway, associates with both Tor1p and Tor2p, contains a WD-repeat</t>
  </si>
  <si>
    <t>YNL005C</t>
  </si>
  <si>
    <t>MRP7</t>
  </si>
  <si>
    <t>YNL004W</t>
  </si>
  <si>
    <t>HRB1</t>
  </si>
  <si>
    <t>Poly(A+) RNA-binding protein, involved in the export of mRNAs from the nucleus to the cytoplasm, similar to Gbp2p and Npl3p</t>
  </si>
  <si>
    <t>YNL003C</t>
  </si>
  <si>
    <t>PET8</t>
  </si>
  <si>
    <t>S-adenosylmethionine transporter of the mitochondrial inner membrane, member of the mitochondrial carrier family, required for biotin biosynthesis and respiratory growth</t>
  </si>
  <si>
    <t>YNL002C</t>
  </si>
  <si>
    <t>RLP7</t>
  </si>
  <si>
    <t>Nucleolar protein with similarity to large ribosomal subunit L7 proteins, constituent of 66S pre-ribosomal particles, plays an essential role in processing of precursors to the large ribosomal subunit RNAs</t>
  </si>
  <si>
    <t>YNL001W</t>
  </si>
  <si>
    <t>DOM34</t>
  </si>
  <si>
    <t>Probable RNA-binding protein, functions in protein translation to promote G1 progression and differentiation, required for meiotic cell division</t>
  </si>
  <si>
    <t>YMR323W</t>
  </si>
  <si>
    <t>Protein of unknown function, has similarity to enolases  Protein of unknown function, has similarity to enolases  Protein of unknown function, has similarity to enolases</t>
  </si>
  <si>
    <t>YMR322C</t>
  </si>
  <si>
    <t>Possible chaperone and cysteine protease with similarity to E. coli Hsp31 and S. cerevisiae Hsp31p, Hsp32p, and Hsp33p, member of the DJ-1ThiJPfpI superfamily, may have a role in pyridoxine metabolism  Possible chaperone and cysteine protease with similarity to E. coli Hsp31 and S. cerevisiae Hsp31p, Hsp33p, and Sno4p, member of the DJ-1ThiJPfpI superfamily, which includes human DJ-1 involved in Parkinsons disease  Possible chaperone and cysteine protease with similarity to E. coli Hsp31 and S. cerevisiae Hsp32p, Hsp33p, and Sno4p, member of the DJ-1ThiJPfpI superfamily, which includes human DJ-1 involved in Parkinsons disease</t>
  </si>
  <si>
    <t>YMR321C</t>
  </si>
  <si>
    <t>YMR319C</t>
  </si>
  <si>
    <t>FET4</t>
  </si>
  <si>
    <t>Low-affinity Fe(II) transporter of the plasma membrane</t>
  </si>
  <si>
    <t>YMR318C</t>
  </si>
  <si>
    <t>ADH6</t>
  </si>
  <si>
    <t>NADPH-dependent cinnamyl alcohol dehydrogenase family member with broad substrate specificity, may be involved in fusel alcohol synthesis or in aldehyde tolerance</t>
  </si>
  <si>
    <t>YMR317W</t>
  </si>
  <si>
    <t>YMR316W</t>
  </si>
  <si>
    <t>DIA1</t>
  </si>
  <si>
    <t>Protein of unknown function, involved in invasive and pseudohyphal growth, green fluorescent protein (GFP)-fusion protein localizes to the cytoplasm in a punctate pattern</t>
  </si>
  <si>
    <t>YMR315W-A</t>
  </si>
  <si>
    <t>YMR315W</t>
  </si>
  <si>
    <t>YMR314W</t>
  </si>
  <si>
    <t>PRE5</t>
  </si>
  <si>
    <t>YMR313C</t>
  </si>
  <si>
    <t>TGL3</t>
  </si>
  <si>
    <t>Triacylglycerol lipase of the lipid particle, responsible for all the TAG lipase activity of the lipid particle, contains the consensus sequence motif GXSXG, which is found in lipolytic enzymes</t>
  </si>
  <si>
    <t>YMR312W</t>
  </si>
  <si>
    <t>ELP6</t>
  </si>
  <si>
    <t>YMR311C</t>
  </si>
  <si>
    <t>GLC8</t>
  </si>
  <si>
    <t>Regulatory subunit of protein phosphatase 1 (Glc7p), involved in glycogen metabolism and chromosome segregation, proposed to regulate Glc7p activity via conformational alteration, ortholog of the mammalian protein phosphatase inhibitor 2</t>
  </si>
  <si>
    <t>YMR310C</t>
  </si>
  <si>
    <t>YMR309C</t>
  </si>
  <si>
    <t>NIP1</t>
  </si>
  <si>
    <t>Subunit of the eukaryotic translation initiation factor 3 (eIF3), involved in the assembly of preinitiation complex and start codon selection</t>
  </si>
  <si>
    <t>YMR308C</t>
  </si>
  <si>
    <t>PSE1</t>
  </si>
  <si>
    <t>Karyopherinimportin that interacts with the nuclear pore complex, acts as the nuclear import receptor for specific proteins, including Pdr1p, Yap1p, Ste12p, and Aft1p</t>
  </si>
  <si>
    <t>YMR307W</t>
  </si>
  <si>
    <t>GAS1</t>
  </si>
  <si>
    <t>Beta-1.3-glucanosyltransferase, required for cell wall assembly, localizes to the cell surface via a glycosylphosphatidylinositol (GPI) anchor</t>
  </si>
  <si>
    <t>YMR306W</t>
  </si>
  <si>
    <t>FKS3</t>
  </si>
  <si>
    <t>Protein of unknown function, has similarity to 1,3-beta-D-glucan synthase catalytic subunits Fks1p and Gsc2p</t>
  </si>
  <si>
    <t>YMR305C</t>
  </si>
  <si>
    <t>SCW10</t>
  </si>
  <si>
    <t>Cell wall protein with similarity to glucanases, may play a role in conjugation during mating based on mutant phenotype and its regulation by Ste12p</t>
  </si>
  <si>
    <t>YMR304W</t>
  </si>
  <si>
    <t>UBP15</t>
  </si>
  <si>
    <t>Ubiquitin-specific protease that may play a role in ubiquitin precursor processing</t>
  </si>
  <si>
    <t>YMR303C</t>
  </si>
  <si>
    <t>ADH2</t>
  </si>
  <si>
    <t>Glucose-repressible alcohol dehydrogenase II, catalyzes the conversion of ethanol to acetaldehyde, involved in the production of certain carboxylate esters, regulated by ADR1</t>
  </si>
  <si>
    <t>YMR302C</t>
  </si>
  <si>
    <t>PRP12</t>
  </si>
  <si>
    <t>Integral inner mitochondrial membrane protein with similarity to exonucleases, prp12 mutants exhibit an increased rate of mt DNA escape</t>
  </si>
  <si>
    <t>YMR301C</t>
  </si>
  <si>
    <t>ATM1</t>
  </si>
  <si>
    <t>Mitochondrial inner membrane transporter, exports mitochondrially synthesized precursors of iron-sulfur (FeS) clusters to the cytosol, member of the ATP-binding cassette (ABC) transporter family</t>
  </si>
  <si>
    <t>YMR300C</t>
  </si>
  <si>
    <t>ADE4</t>
  </si>
  <si>
    <t>Phosphoribosylpyrophosphate amidotransferase (PRPPAT, amidophosphoribosyltransferase), catalyzes first step of the de novo purine nucleotide biosynthetic pathway</t>
  </si>
  <si>
    <t>YMR299C</t>
  </si>
  <si>
    <t>DYN3</t>
  </si>
  <si>
    <t>Dynein light intermediate chain (LIC), localizes with dynein, null mutant is defective in nuclear migration</t>
  </si>
  <si>
    <t>YMR298W</t>
  </si>
  <si>
    <t>LIP1</t>
  </si>
  <si>
    <t>Ceramide synthase subunit, single-span ER membrane protein associated with Lag1p and Lac1p and required for ceramide synthase activity, null mutant grows extremely slowly and is defective in ceramide synthesis</t>
  </si>
  <si>
    <t>YMR297W</t>
  </si>
  <si>
    <t>PRC1</t>
  </si>
  <si>
    <t>Vacuolar carboxypeptidase Y (proteinase C), involved in protein degradation in the vacuole and required for full protein degradation during sporulation</t>
  </si>
  <si>
    <t>YMR296C</t>
  </si>
  <si>
    <t>LCB1</t>
  </si>
  <si>
    <t>Component of serine palmitoyltransferase, responsible along with Lcb2p for the first committed step in sphingolipid synthesis, which is the condensation of serine with palmitoyl-CoA to form 3-ketosphinganine</t>
  </si>
  <si>
    <t>YMR295C</t>
  </si>
  <si>
    <t>Protein of unknown function, green fluorescent protein (GFP)-fusion protein localizes to the cell periphery and bud</t>
  </si>
  <si>
    <t>YMR294W</t>
  </si>
  <si>
    <t>JNM1</t>
  </si>
  <si>
    <t>Component of the yeast dynactin complex, consisting of Nip100p, Jnm1p, and Arp1p, required for proper nuclear migration and spindle partitioning during mitotic anaphase B</t>
  </si>
  <si>
    <t>YMR293C</t>
  </si>
  <si>
    <t>protein similar to bacterial glutamyl-tRNA amidotransferases</t>
  </si>
  <si>
    <t>YMR292W</t>
  </si>
  <si>
    <t>GOT1</t>
  </si>
  <si>
    <t>Evolutionarily conserved non-essential protein present in early Golgi cisternae that may be involved in ER-Golgi transport at a step after vesicle tethering to Golgi membranes, exhibits membrane topology similar to that of Sft2p</t>
  </si>
  <si>
    <t>YMR291W</t>
  </si>
  <si>
    <t>YMR290C</t>
  </si>
  <si>
    <t>HAS1</t>
  </si>
  <si>
    <t>ATP-dependent RNA helicase, localizes to both the nuclear periphery and nucleolus, highly enriched in nuclear pore complex fractions, constituent of 66S pre-ribosomal particles</t>
  </si>
  <si>
    <t>YMR289W</t>
  </si>
  <si>
    <t>4-amino-4-deoxychorismate lyase, catalyzes the third step in para-aminobenzoic acid biosynthesis</t>
  </si>
  <si>
    <t>YMR288W</t>
  </si>
  <si>
    <t>HSH155</t>
  </si>
  <si>
    <t>U2-snRNP associated splicing factor that forms extensive associations with the branch site-3 splice site-3 exon region upon prespliceosome formation, similarity to the mammalian U2 snRNP-associated splicing factor SAP155</t>
  </si>
  <si>
    <t>YMR287C</t>
  </si>
  <si>
    <t>MSU1</t>
  </si>
  <si>
    <t>RNase, component of the mitochondrial degradosome along with the ATP-dependent RNA helicase Suv3p, the degradosome associates with the ribosome and mediates turnover of aberrant or unprocessed RNAs</t>
  </si>
  <si>
    <t>YMR286W</t>
  </si>
  <si>
    <t>MRPL33</t>
  </si>
  <si>
    <t>YMR285C</t>
  </si>
  <si>
    <t>NGL2</t>
  </si>
  <si>
    <t>Hypothetical protein  Helicase encoded by the Y element of subtelomeric regions, highly expressed in the mutants lacking the telomerase component TLC1, potentially phosphorylated by Cdc28p  Hypothetical protein  similar to other subtelomerically-encoded proteins  Hypothetical protein  Helicase encoded by the Y element of subtelomeric regions, highly expressed in the mutants lacking the telomerase component TLC1, potentially phosphorylated by Cdc28p  Helicase encoded by the Y element of subtelomeric regions, highly expressed in the mutants lacking the telomerase component TLC1, potentially phosphorylated by Cdc28p  Hypothetical protein  Hypothetical protein  Hypothetical protein  Hypothetical protein  Hypothetical protein  Hypothetical protein  Helicase encoded by the Y element of subtelomeric regions, highly expressed in the mutants lacking the telomerase component TLC1, potentially phosphorylated by Cdc28p  Hypothetical protein  Hypothetical protein  Helicase encoded by the Y element of subtelomeric regions, highly expressed in the mutants lacking the telomerase component TLC1, potentially phosphorylated by Cdc28p  Hypothetical protein  Hypothetical protein  Helicase encoded by the Y element of subtelomeric regions, highly expressed in the mutants lacking the telomerase component TLC1, potentially phosphorylated by Cdc28p  Hypothetical protein</t>
  </si>
  <si>
    <t>YLR461W</t>
  </si>
  <si>
    <t>Protein involved in 5.8S rRNA processing, Ccr4p-like RNase required for correct 3-end formation of 5.8S rRNA at site E, similar to Ngl1p and Ngl3p</t>
  </si>
  <si>
    <t>YMR284W</t>
  </si>
  <si>
    <t>YKU70</t>
  </si>
  <si>
    <t>Subunit of the telomeric Ku complex (Yku70p-Yku80p), involved in telomere length maintenance, structure and telomere position effect, relocates to sites of double-strand cleavage to promote nonhomologous end joining during DSB repair</t>
  </si>
  <si>
    <t>YMR283C</t>
  </si>
  <si>
    <t>RIT1</t>
  </si>
  <si>
    <t>2-O-ribosyl phosphate transferase, modifies the initiator methionine tRNA at position 64 to distinguish it from elongator methionine tRNA</t>
  </si>
  <si>
    <t>YMR282C</t>
  </si>
  <si>
    <t>AEP2</t>
  </si>
  <si>
    <t>Mitochondrial protein, likely involved in translation of the mitochondrial OLI1 mRNA, exhibits genetic interaction with the OLI1 mRNA 5-untranslated leader</t>
  </si>
  <si>
    <t>YMR281W</t>
  </si>
  <si>
    <t>GPI12</t>
  </si>
  <si>
    <t>ER membrane protein involved in the second step of glycosylphosphatidylinositol (GPI) anchor assembly, the de-N-acetylation of the N-acetylglucosaminylphosphatidylinositol intermediate, functional homolog of human PIG-Lp</t>
  </si>
  <si>
    <t>YMR280C</t>
  </si>
  <si>
    <t>CAT8</t>
  </si>
  <si>
    <t>Zinc cluster transcriptional activator necessary for derepression of a variety of genes under non-fermentative growth conditions, active after diauxic shift, binds carbon source responsive elements</t>
  </si>
  <si>
    <t>YMR279C</t>
  </si>
  <si>
    <t>YMR278W</t>
  </si>
  <si>
    <t>YMR277W</t>
  </si>
  <si>
    <t>FCP1</t>
  </si>
  <si>
    <t>Carboxy-terminal domain (CTD) phosphatase, essential for dephosphorylation of the repeated C-terminal domain of the RNA polymerase II large subunit (Rpo21p)</t>
  </si>
  <si>
    <t>YMR276W</t>
  </si>
  <si>
    <t>DSK2</t>
  </si>
  <si>
    <t>Nuclear-enriched ubiquitin-like polyubiquitin-binding protein, required for spindle pole body (SPB) duplication and for transit through the G2M phase of the cell cycle, involved in proteolysis, interacts with the proteasome</t>
  </si>
  <si>
    <t>YMR275C</t>
  </si>
  <si>
    <t>BUL1</t>
  </si>
  <si>
    <t>GTPase-activating protein for Gpa1p, regulates desensitization to alpha factor pheromone, also required to prevent receptor-independent signaling of the mating pathway, member of the RGS (regulator of G-protein signaling) family</t>
  </si>
  <si>
    <t>YLR451W</t>
  </si>
  <si>
    <t>LEU3</t>
  </si>
  <si>
    <t>Zinc-finger transcription factor that regulates genes involved in branched chain amino acid biosynthesis and ammonia assimilation, positively regulated by alpha-isopropylmalate, an intermediate in leucine biosynthesis</t>
  </si>
  <si>
    <t>YLR450W</t>
  </si>
  <si>
    <t>HMG2</t>
  </si>
  <si>
    <t>One of two isozymes of HMG-CoA reductase that convert HMG-CoA to mevalonate, a rate-limiting step in sterol biosynthesis, overproduction induces assembly of peripheral ER membrane arrays and short nuclear-associated membrane stacks</t>
  </si>
  <si>
    <t>YLR449W</t>
  </si>
  <si>
    <t>FPR4</t>
  </si>
  <si>
    <t>Nuclear protein, putative peptidyl-prolyl cis-trans isomerase (PPIase) with similarity to Fpr3p, overproduction suppresses the growth defect resulting from the absence of E3 ubiquitin-protein ligase Tom1p</t>
  </si>
  <si>
    <t>YLR448W</t>
  </si>
  <si>
    <t>RPL6B</t>
  </si>
  <si>
    <t>Protein component of the large (60S) ribosomal subunit, has similarity to Rpl6Bp and to rat L6 ribosomal protein, binds to 5.8S rRNA</t>
  </si>
  <si>
    <t>YLR447C</t>
  </si>
  <si>
    <t>VMA6</t>
  </si>
  <si>
    <t>Subunit D of the five-subunit V0 integral membrane domain of vacuolar H+-ATPase (V-ATPase), an electrogenic proton pump found in the endomembrane system, stabilizes VO subunits, required for V1 domain assembly on the vacuolar membrane</t>
  </si>
  <si>
    <t>YLR446W</t>
  </si>
  <si>
    <t>YLR445W</t>
  </si>
  <si>
    <t>YLR443W</t>
  </si>
  <si>
    <t>ECM7</t>
  </si>
  <si>
    <t>YLR442C</t>
  </si>
  <si>
    <t>SIR3</t>
  </si>
  <si>
    <t>Silencing protein that interacts with Sir2p and Sir4p, and histone H3 and H4 tails, to establish a transcriptionally silent chromatin state, required for spreading of silenced chromatin, recruited to chromatin through interaction with Rap1p</t>
  </si>
  <si>
    <t>YLR441C</t>
  </si>
  <si>
    <t>YLR440C</t>
  </si>
  <si>
    <t>SEC39</t>
  </si>
  <si>
    <t>Protein of unknown function proposed to be involved in protein secretion</t>
  </si>
  <si>
    <t>YLR439W</t>
  </si>
  <si>
    <t>MRPL4</t>
  </si>
  <si>
    <t>YLR438W</t>
  </si>
  <si>
    <t>CAR2</t>
  </si>
  <si>
    <t>L-ornithine transaminase (OTAse), catalyzes the second step of arginine degradation, expression is dually-regulated by allophanate induction and a specific arginine induction process, not nitrogen catabolite repression sensitive</t>
  </si>
  <si>
    <t>YLR438C-A</t>
  </si>
  <si>
    <t>LSM3</t>
  </si>
  <si>
    <t>YLR437C</t>
  </si>
  <si>
    <t>YLR436C</t>
  </si>
  <si>
    <t>ECM30</t>
  </si>
  <si>
    <t>YLR435W</t>
  </si>
  <si>
    <t>TSR2</t>
  </si>
  <si>
    <t>Protein with a potential role in pre-rRNA processing</t>
  </si>
  <si>
    <t>YLR433C</t>
  </si>
  <si>
    <t>CNA1</t>
  </si>
  <si>
    <t>Calcineurin A, one isoform (the other is CMP2) of the catalytic subunit of calcineurin, a Ca++calmodulin-regulated protein phosphatase which regulates Crz1p (a stress-response transcription factor), the other calcineurin subunit is CNB1</t>
  </si>
  <si>
    <t>YLR432W</t>
  </si>
  <si>
    <t>IMD3</t>
  </si>
  <si>
    <t>Inosine monophosphate dehydrogenase, catalyzes the first step of GMP biosynthesis, member of a four-gene family in S. cerevisiae, constitutively expressed  Hypothetical protein</t>
  </si>
  <si>
    <t>YLR431C</t>
  </si>
  <si>
    <t>ATG23</t>
  </si>
  <si>
    <t>Peripheral membrane protein, required for autophagy and for the cytoplasm-to-vacuole targeting (Cvt) pathway</t>
  </si>
  <si>
    <t>YLR430W</t>
  </si>
  <si>
    <t>SEN1</t>
  </si>
  <si>
    <t>Nuclear protein, putative helicase required for processing of tRNAs, rRNAs, and small nuclear RNAs, potential Cdc28p substrate</t>
  </si>
  <si>
    <t>YLR429W</t>
  </si>
  <si>
    <t>CRN1</t>
  </si>
  <si>
    <t>Coronin, cortical actin cytoskeletal component that associates with the Arp2pArp3p complex to regulate its activity</t>
  </si>
  <si>
    <t>YLR427W</t>
  </si>
  <si>
    <t>MAG2</t>
  </si>
  <si>
    <t>DNA-3-methyladenine glycosidase II that catalyzes of the hydrolysis of alkylated DNA</t>
  </si>
  <si>
    <t>YLR426W</t>
  </si>
  <si>
    <t>YLR425W</t>
  </si>
  <si>
    <t>TUS1</t>
  </si>
  <si>
    <t>Guanine nucleotide exchange factor (GEF) that functions to modulate Rhop1 activity as part of the cell integrity signaling pathway, multicopy suppressor of tor2 mutation and ypk1 ypk2 double mutation, potential Cdc28p substrate</t>
  </si>
  <si>
    <t>YLR424W</t>
  </si>
  <si>
    <t>Essential protein present in native splicing complexes, identified as a suppressor of prp38-1, a spliceosomal maturation mutation, cold sensitive alleles accumulate pre-mRNA</t>
  </si>
  <si>
    <t>YLR423C</t>
  </si>
  <si>
    <t>ATG17</t>
  </si>
  <si>
    <t>Protein that interacts with and is required for activation of Apg1p protein kinase, involved in autophagy but not in the Cvt (cytoplasm to vacuole targeting) pathway</t>
  </si>
  <si>
    <t>YLR422W</t>
  </si>
  <si>
    <t>YLR421C</t>
  </si>
  <si>
    <t>RPN13</t>
  </si>
  <si>
    <t>Subunit of the 19S regulatory particle of the 26S proteasome lid</t>
  </si>
  <si>
    <t>YLR420W</t>
  </si>
  <si>
    <t>URA4</t>
  </si>
  <si>
    <t>Dihydrooratase, catalyzes the third enzymatic step in the de novo biosynthesis of pyrimidines, converting carbamoyl-L-aspartate into dihydroorotate</t>
  </si>
  <si>
    <t>YLR419W</t>
  </si>
  <si>
    <t>YLR418C</t>
  </si>
  <si>
    <t>CDC73</t>
  </si>
  <si>
    <t>Substituent of the Paf1 complex together with RNA polymerase II, Paf1p, Hpr1p, Ctr9, Leo1, Rtf1 and Ccr4p, distinct from Srb-containing Pol II complexes, required for the expression of certain genes and modification of some histones</t>
  </si>
  <si>
    <t>YLR417W</t>
  </si>
  <si>
    <t>VPS36</t>
  </si>
  <si>
    <t>Component of the ESCRT-II complex, which is involved in ubiquitin-dependent sorting of proteins into the endosome</t>
  </si>
  <si>
    <t>YLR415C</t>
  </si>
  <si>
    <t>YLR414C</t>
  </si>
  <si>
    <t>Protein of unknown function, green fluorescent protein (GFP)-fusion protein localizes to the cell periphery, cytoplasm, and bud</t>
  </si>
  <si>
    <t>YLR413W</t>
  </si>
  <si>
    <t>YLR412W</t>
  </si>
  <si>
    <t>YLR412C-A</t>
  </si>
  <si>
    <t>YLR411W</t>
  </si>
  <si>
    <t>CTR3</t>
  </si>
  <si>
    <t>High-affinity copper transporter of the plasma membrane, acts as a trimer, gene is disrupted by a Ty2 transposon insertion in many laboratory strains of S. cerevisiae</t>
  </si>
  <si>
    <t>YLR410W</t>
  </si>
  <si>
    <t>VIP1</t>
  </si>
  <si>
    <t>Protein of unknown function probably involved in the function of the cortical actin cytoskeleton, putative ortholog of S. pombe asp1+</t>
  </si>
  <si>
    <t>YLR409C</t>
  </si>
  <si>
    <t>UTP21</t>
  </si>
  <si>
    <t>Possible U3 snoRNP protein involved in maturation of pre-18S rRNA, based on computational analysis of large-scale protein-protein interaction data</t>
  </si>
  <si>
    <t>YLR408C</t>
  </si>
  <si>
    <t>YLR407W</t>
  </si>
  <si>
    <t>YLR406C-A</t>
  </si>
  <si>
    <t>YLR406C</t>
  </si>
  <si>
    <t>Protein component of the large (60S) ribosomal subunit, nearly identical to Rpl31Ap and has similarity to rat L31 ribosomal protein, associates with the karyopherin Sxm1p  Protein component of the large (60S) ribosomal subunit, nearly identical to Rpl31Bp and has similarity to rat L31 ribosomal protein, associates with the karyopherin Sxm1p</t>
  </si>
  <si>
    <t>YLR405W</t>
  </si>
  <si>
    <t>DUS4</t>
  </si>
  <si>
    <t>Dihydrouridine synthase, member of a widespread family of conserved proteins including Smm1p, Dus1p, and Dus3p</t>
  </si>
  <si>
    <t>YLR404W</t>
  </si>
  <si>
    <t>YLR403W</t>
  </si>
  <si>
    <t>SFP1</t>
  </si>
  <si>
    <t>Mitochondrial RNA polymerase sigma-like specificity factor required for promoter recognition, interacts with mitochondrial core polymerase Rpo41p, imported into mitochondria via a novel process requiring most of the Mtf1p sequence</t>
  </si>
  <si>
    <t>YMR227C</t>
  </si>
  <si>
    <t>TAF7</t>
  </si>
  <si>
    <t>TFIID subunit (67 kDa), involved in RNA polymerase II transcription initiation</t>
  </si>
  <si>
    <t>YMR226C</t>
  </si>
  <si>
    <t>NADP(+)-dependent dehydrogenase, acts on serine, L-allo-threonine, and other 3-hydroxy acids</t>
  </si>
  <si>
    <t>YMR225C</t>
  </si>
  <si>
    <t>MRPL44</t>
  </si>
  <si>
    <t>YMR224C</t>
  </si>
  <si>
    <t>MRE11</t>
  </si>
  <si>
    <t>Subunit of a complex with Rad50p and Xrs2p (RMX complex) that functions in repair of DNA double-strand breaks and in telomere stability, exhibits nuclease activity that appears to be required for RMX function, widely conserved</t>
  </si>
  <si>
    <t>YMR223W</t>
  </si>
  <si>
    <t>UBP8</t>
  </si>
  <si>
    <t>Ubiquitin-specific protease that is a component of the SAGA (Spt-Ada-Gcn5-Acetyltransferase) acetylation complex, required for SAGA-mediated deubiquitination of histone H2B</t>
  </si>
  <si>
    <t>YMR222C</t>
  </si>
  <si>
    <t>FSH2</t>
  </si>
  <si>
    <t>YMR221C</t>
  </si>
  <si>
    <t>YMR220W</t>
  </si>
  <si>
    <t>ERG8</t>
  </si>
  <si>
    <t>Phosphomevalonate kinase, an essential cytosolic enzyme that acts in the biosynthesis of isoprenoids and sterols, including ergosterol, from mevalonate</t>
  </si>
  <si>
    <t>YMR219W</t>
  </si>
  <si>
    <t>ESC1</t>
  </si>
  <si>
    <t>Protein localized to the nuclear periphery, involved in telomeric silencing, interacts with PAD4-domain of Sir4p</t>
  </si>
  <si>
    <t>YMR218C</t>
  </si>
  <si>
    <t>TRS130</t>
  </si>
  <si>
    <t>One of 10 subunits of the transport protein particle (TRAPP) complex of the cis-Golgi which mediates vesicle docking and fusion, involved in ER to Golgi membrane traffic, mutation activates transcription of OCH1</t>
  </si>
  <si>
    <t>YMR217W</t>
  </si>
  <si>
    <t>GUA1</t>
  </si>
  <si>
    <t>GMP synthase, an enzyme that catalyzes the second step in the biosynthesis of GMP from inosine 5-phosphate (IMP), transcription is not subject to regulation by guanine but is negatively regulated by nutrient starvation</t>
  </si>
  <si>
    <t>YMR216C</t>
  </si>
  <si>
    <t>SKY1</t>
  </si>
  <si>
    <t>SR protein kinase (SRPK) involved in regulating proteins involved in mRNA metabolism and cation homeostasis, similar to human SRPK1</t>
  </si>
  <si>
    <t>YMR215W</t>
  </si>
  <si>
    <t>GAS3</t>
  </si>
  <si>
    <t>YMR214W</t>
  </si>
  <si>
    <t>SCJ1</t>
  </si>
  <si>
    <t>One of several homologs of bacterial chaperone DnaJ, located in the ER lumen where it cooperates with Kar2p to mediate maturation of proteins</t>
  </si>
  <si>
    <t>YMR213W</t>
  </si>
  <si>
    <t>CEF1</t>
  </si>
  <si>
    <t>Essential splicing factor, associated with Prp19p and the spliceosome, contains an N-terminal c-Myb DNA binding motif necessary for cell viability but not for Prp19p association, evolutionarily conserved and homologous to S. pombe Cdc5p</t>
  </si>
  <si>
    <t>YMR212C</t>
  </si>
  <si>
    <t>EFR3</t>
  </si>
  <si>
    <t>Non-essential protein of unknown function, exhibits synthetic lethal genetic interactions with PHO85, green fluorescent protein (GFP)-fusion protein localizes to the cell periphery</t>
  </si>
  <si>
    <t>YMR211W</t>
  </si>
  <si>
    <t>DML1</t>
  </si>
  <si>
    <t>Metalloprotease involved, with homolog Axl1p, in N-terminal processing of pro-a-factor to the mature form, member of the insulin-degrading enzyme family</t>
  </si>
  <si>
    <t>YLR388W</t>
  </si>
  <si>
    <t>Protein component of the small (40S) ribosomal subunit, nearly identical to Rps29Bp and has similarity to rat S29 and E. coli S14 ribosomal proteins  Protein component of the small (40S) ribosomal subunit, nearly identical to Rps29Ap and has similarity to rat S29 and E. coli S14 ribosomal proteins</t>
  </si>
  <si>
    <t>YLR387C</t>
  </si>
  <si>
    <t>REH1</t>
  </si>
  <si>
    <t>Protein of unknown function, similar to Rei1p but not involved in bud growth, contains dispersed C2H2 zinc finger domains</t>
  </si>
  <si>
    <t>YLR386W</t>
  </si>
  <si>
    <t>VAC14</t>
  </si>
  <si>
    <t>Protein involved in regulated synthesis of PtdIns(3,5)P(2), in control of trafficking of some proteins to the vacuole lumen via the MVB, and in maintenance of vacuole size and acidity, activator of Fab1p</t>
  </si>
  <si>
    <t>YLR385C</t>
  </si>
  <si>
    <t>SWC7</t>
  </si>
  <si>
    <t>Protein of unknown function, component of the Swr1p complex that incorporates Htz1p into chromatin</t>
  </si>
  <si>
    <t>YLR384C</t>
  </si>
  <si>
    <t>IKI3</t>
  </si>
  <si>
    <t>Subunit of RNA polymerase II elongator histone acetyltransferase complex, involved in maintaining its structural integrity, negatively regulates exocytosis independent of transcription, homolog of human familial dysautonomia (FD) protein</t>
  </si>
  <si>
    <t>YLR383W</t>
  </si>
  <si>
    <t>SMC6</t>
  </si>
  <si>
    <t>Protein involved in structural maintenance of chromosomes, required for interchromosomal and sister chromatid recombination, homologous to S. pombe rad18</t>
  </si>
  <si>
    <t>YLR382C</t>
  </si>
  <si>
    <t>NAM2</t>
  </si>
  <si>
    <t>Mitochondrial leucyl-tRNA synthetase, also has a direct role in splicing of several mitochondrial group I introns, indirectly required for mitochondrial genome maintenance</t>
  </si>
  <si>
    <t>YLR381W</t>
  </si>
  <si>
    <t>CTF3</t>
  </si>
  <si>
    <t>Outer kinetochore protein that forms a complex with Mcm16p and Mcm22p, may bind the kinetochore to spindle microtubules</t>
  </si>
  <si>
    <t>YLR380W</t>
  </si>
  <si>
    <t>CSR1</t>
  </si>
  <si>
    <t>Phosphatidylinositol transfer protein with a potential role in lipid turnover, interacts specifically with thioredoxin peroxidase (Tsa2p) and may have a role in oxidative stress resistance</t>
  </si>
  <si>
    <t>YLR378C</t>
  </si>
  <si>
    <t>SEC61</t>
  </si>
  <si>
    <t>Protein that recognizes and binds damaged DNA during nucleotide excision repair, subunit of Nucleotide Excision Repair Factor 1 (NEF1), contains zinc finger motif, homolog of human XPA protein</t>
  </si>
  <si>
    <t>YMR200W</t>
  </si>
  <si>
    <t>ROT1</t>
  </si>
  <si>
    <t>Protein that may be involved in cell wall function, mutations in rot1 cause cell wall defects, suppress tor2 mutations, and are synthetically lethal with rot2 mutations</t>
  </si>
  <si>
    <t>YMR199W</t>
  </si>
  <si>
    <t>CLN1</t>
  </si>
  <si>
    <t>YMR198W</t>
  </si>
  <si>
    <t>CIK1</t>
  </si>
  <si>
    <t>CIK1 is important for proper organiziation of microtubule arrays and establishment of a spindle, is essential for karyogamy, and expression is regulated by KAR4 and mating, spindle pole body associated protein</t>
  </si>
  <si>
    <t>YMR197C</t>
  </si>
  <si>
    <t>VTI1</t>
  </si>
  <si>
    <t>Protein involved in cis-Golgi membrane traffic, v-SNARE that interacts with two t-SNARES, Sed5p and Pep12p, required for multiple vacuolar sorting pathways</t>
  </si>
  <si>
    <t>YMR196W</t>
  </si>
  <si>
    <t>YMR195W</t>
  </si>
  <si>
    <t>ICY1</t>
  </si>
  <si>
    <t>Protein that interacts with the cytoskeleton and is involved in chromatin organization and nuclear transport, interacts genetically with TCP1 and ICY2, required for viability in rich media of cells lacking mitochondrial DNA</t>
  </si>
  <si>
    <t>YMR194W</t>
  </si>
  <si>
    <t>RPL36A</t>
  </si>
  <si>
    <t>N-terminally acetylated protein component of the large (60S) ribosomal subunit, nearly identical to Rpl36Bp and has similarity to rat L36 ribosomal protein, binds to 5.8 S rRNA</t>
  </si>
  <si>
    <t>YMR194C-B</t>
  </si>
  <si>
    <t>Identified based on homology to &lt;i&gt;Ashbya gossypii&lt;i&gt;</t>
  </si>
  <si>
    <t>YMR193W</t>
  </si>
  <si>
    <t>MRPL24</t>
  </si>
  <si>
    <t>YMR192W</t>
  </si>
  <si>
    <t>GYL1</t>
  </si>
  <si>
    <t>Putative GTPase activating protein (GAP) that may have a role in polarized exocytosis, stimulates Gyp5p GAP activity on Ypt1p, colocalizes with Gyp5p at sites of polarized growth, interacts with Gyp5p, Rvs161p, and Rvs167p</t>
  </si>
  <si>
    <t>YMR191W</t>
  </si>
  <si>
    <t>SPG5</t>
  </si>
  <si>
    <t>Protein required for survival at high temperature during stationary phase, not required for growth on nonfermentable carbon sources</t>
  </si>
  <si>
    <t>YMR190C</t>
  </si>
  <si>
    <t>SGS1</t>
  </si>
  <si>
    <t>Nucleolar DNA helicase of the RecQ family, involved in maintenance of genome integrity, has similarity to human BLM and WRN helicases implicated in Bloom and Werner syndromes</t>
  </si>
  <si>
    <t>YMR189W</t>
  </si>
  <si>
    <t>GCV2</t>
  </si>
  <si>
    <t>P subunit of the mitochondrial glycine decarboxylase complex, required for the catabolism of glycine to 5,10-methylene-THF, expression is regulated by levels of levels of 5,10-methylene-THF in the cytoplasm</t>
  </si>
  <si>
    <t>YMR188C</t>
  </si>
  <si>
    <t>MRPS17</t>
  </si>
  <si>
    <t>YMR187C</t>
  </si>
  <si>
    <t>YMR186W</t>
  </si>
  <si>
    <t>YMR185W</t>
  </si>
  <si>
    <t>YMR184W</t>
  </si>
  <si>
    <t>YMR183C</t>
  </si>
  <si>
    <t>SSO2</t>
  </si>
  <si>
    <t>Plasma membrane t-SNARE involved in fusion of secretory vesicles at the plasma membrane, syntaxin homolog that is functionally redundant with Sso1p</t>
  </si>
  <si>
    <t>YMR182W-A</t>
  </si>
  <si>
    <t>YMR182C</t>
  </si>
  <si>
    <t>RGM1</t>
  </si>
  <si>
    <t>Putative transcriptional repressor with proline-rich zinc fingers, overproduction impairs cell growth</t>
  </si>
  <si>
    <t>YMR181C</t>
  </si>
  <si>
    <t>Protein of unknown function, open reading frame may be part of a bicistronic transcript with RGM1</t>
  </si>
  <si>
    <t>YMR180C</t>
  </si>
  <si>
    <t>CTL1</t>
  </si>
  <si>
    <t>RNA 5-triphosphatase, localizes to both the nucleus and cytoplasm</t>
  </si>
  <si>
    <t>YMR179W</t>
  </si>
  <si>
    <t>SPT21</t>
  </si>
  <si>
    <t>Protein required for normal transcription at several loci including HTA2-HTB2 and HHF2-HHT2, but not required at the other histone loci, functionally related to Spt10p</t>
  </si>
  <si>
    <t>YMR178W</t>
  </si>
  <si>
    <t>YMR177W</t>
  </si>
  <si>
    <t>MMT1</t>
  </si>
  <si>
    <t>Putative metal transporter involved in mitochondrial iron accumulation, closely related to Mmt2p</t>
  </si>
  <si>
    <t>YMR176W</t>
  </si>
  <si>
    <t>ECM5</t>
  </si>
  <si>
    <t>Non-essential protein of unknown function, contains ATPGTP-binding site motif A, null mutant exhibits cellular volume up to four times greater than wild-type, also large drooping buds with elongated necks</t>
  </si>
  <si>
    <t>YMR175W-A</t>
  </si>
  <si>
    <t>YMR175W</t>
  </si>
  <si>
    <t>SIP18</t>
  </si>
  <si>
    <t>Protein of unknown function whose expression is induced by osmotic stress</t>
  </si>
  <si>
    <t>YMR174C</t>
  </si>
  <si>
    <t>PAI3</t>
  </si>
  <si>
    <t>Cytoplasmic proteinase A inhibitor, dependent on Pbs2p and Hog1p protein kinases for osmotic induction, intrinsically unstructured, N-terminal half becomes ordered in the active site of proteinase A upon contact</t>
  </si>
  <si>
    <t>YMR173W</t>
  </si>
  <si>
    <t>DDR48</t>
  </si>
  <si>
    <t>DNA damage-responsive protein, expression is increased in response to heat-shock stress or treatments that produce DNA lesions, contains multiple repeats of the amino acid sequence NNNDSYGS</t>
  </si>
  <si>
    <t>YMR172W</t>
  </si>
  <si>
    <t>HOT1</t>
  </si>
  <si>
    <t>Nit protein, one of two proteins in S. cerevisiae with similarity to the Nit domain of NitFhit from fly and worm and to the mouse and human Nit protein which interacts with the Fhit tumor suppressor, nitrilase superfamily member</t>
  </si>
  <si>
    <t>YLR350W</t>
  </si>
  <si>
    <t>ORM2</t>
  </si>
  <si>
    <t>Evolutionarily conserved protein with similarity to Orm1p, required for resistance to agents that induce the unfolded protein response, human ortholog is located in the endoplasmic reticulum</t>
  </si>
  <si>
    <t>YLR348C</t>
  </si>
  <si>
    <t>DIC1</t>
  </si>
  <si>
    <t>Mitochondrial dicarboxylate carrier, integral membrane protein, catalyzes a dicarboxylate-phosphate exchange across the inner mitochondrial membrane, transports cytoplasmic dicarboxylates into the mitochondrial matrix</t>
  </si>
  <si>
    <t>YLR347C</t>
  </si>
  <si>
    <t>KAP95</t>
  </si>
  <si>
    <t>Karyopherin beta, forms a dimeric complex with Srp1p (Kap60p) that mediates nuclear import of cargo proteins via a nuclear localization signal (NLS), interacts with nucleoporins to guide transport across the nuclear pore complex</t>
  </si>
  <si>
    <t>YLR346C</t>
  </si>
  <si>
    <t>Protein of unknown function, expression regulated by PDR1</t>
  </si>
  <si>
    <t>YLR345W</t>
  </si>
  <si>
    <t>YLR344W</t>
  </si>
  <si>
    <t>RPL26A</t>
  </si>
  <si>
    <t>Protein component of the large (60S) ribosomal subunit, nearly identical to Rpl26Bp and has similarity to E. coli L24 and rat L26 ribosomal proteins, binds to 5.8S rRNA</t>
  </si>
  <si>
    <t>YLR343W</t>
  </si>
  <si>
    <t>GAS2</t>
  </si>
  <si>
    <t>Putative 1,3-beta-glucanosyltransferase, has similarity to Gas1p</t>
  </si>
  <si>
    <t>YLR342W-A</t>
  </si>
  <si>
    <t>YLR342W</t>
  </si>
  <si>
    <t>FKS1</t>
  </si>
  <si>
    <t>Catalytic subunit of 1,3-beta-D-glucan synthase, functionally redundant with alternate catalytic subunit Gsc2p, binds to regulatory subunit Rho1p, involved in cell wall synthesis and maintenance, localizes to sites of cell wall remodeling</t>
  </si>
  <si>
    <t>YLR341W</t>
  </si>
  <si>
    <t>SPO77</t>
  </si>
  <si>
    <t>Meiosis-specific protein of unknown function, required for spore wall formation during sporulation, dispensable for both nuclear divisions during meiosis</t>
  </si>
  <si>
    <t>YLR340W</t>
  </si>
  <si>
    <t>RPP0</t>
  </si>
  <si>
    <t>Conserved ribosomal protein P0 similar to rat P0, human P0, and E. coli L10e, shown to be phosphorylated on serine 302</t>
  </si>
  <si>
    <t>YLR337C</t>
  </si>
  <si>
    <t>VRP1</t>
  </si>
  <si>
    <t>Proline-rich, actin-associated protein involved in cytoskeletal organization and cytokinesis, related to mammalian Wiskott-Aldrich syndrome protein (WASP)-interacting protein (WIP)</t>
  </si>
  <si>
    <t>YLR336C</t>
  </si>
  <si>
    <t>SGD1</t>
  </si>
  <si>
    <t>Essential nuclear protein with a possible role in the osmoregulatory glycerol response, interacts with phospholipase C (Plc1p), putative homolog of human NOM1 which is implicated in acute myeloid leukemia</t>
  </si>
  <si>
    <t>YLR335W</t>
  </si>
  <si>
    <t>NUP2</t>
  </si>
  <si>
    <t>Protein involved in nucleocytoplasmic transport, binds to either the nucleoplasmic or cytoplasmic faces of the nuclear pore complex depending on Ran-GTP levels, also has a role in chromatin organization</t>
  </si>
  <si>
    <t>YLR333C</t>
  </si>
  <si>
    <t>RPS25B</t>
  </si>
  <si>
    <t>Protein component of the small (40S) ribosomal subunit, nearly identical to Rps25Ap and has similarity to rat S25 ribosomal protein</t>
  </si>
  <si>
    <t>YLR332W</t>
  </si>
  <si>
    <t>MID2</t>
  </si>
  <si>
    <t>O-glycosylated plasma membrane protein that acts as a sensor for cell wall integrity signaling and activates the pathway, interacts with Rom2p, a guanine nucleotide exchange factor for Rho1p, and with cell integrity pathway protein Zeo1p</t>
  </si>
  <si>
    <t>YLR330W</t>
  </si>
  <si>
    <t>CHS5</t>
  </si>
  <si>
    <t>Protein of unknown function, involved in chitin biosynthesis by regulating Chs3p localization, also involved in cell fusion during mating</t>
  </si>
  <si>
    <t>YLR329W</t>
  </si>
  <si>
    <t>REC102</t>
  </si>
  <si>
    <t>Protein involved in early stages of meiotic recombination, required for chromosome synapsis, forms a complex with Rec104p and Spo11p necessary during the initiation of recombination</t>
  </si>
  <si>
    <t>YLR328W</t>
  </si>
  <si>
    <t>NMA1</t>
  </si>
  <si>
    <t>Nicotinic acid mononucleotide adenylyltransferase, involved in NAD(+) salvage pathway</t>
  </si>
  <si>
    <t>YLR327C</t>
  </si>
  <si>
    <t>YLR326W</t>
  </si>
  <si>
    <t>YLR325C</t>
  </si>
  <si>
    <t>RPL38</t>
  </si>
  <si>
    <t>Protein component of the large (60S) ribosomal subunit, has similarity to rat L38 ribosomal protein</t>
  </si>
  <si>
    <t>YLR324W</t>
  </si>
  <si>
    <t>PEX30</t>
  </si>
  <si>
    <t>Peroxisomal integral membrane protein, involved in negative regulation of peroxisome number, partially functionally redundant with Pex31p, genetic interactions suggest action at a step downstream of steps mediated by Pex28p and Pex29p</t>
  </si>
  <si>
    <t>YLR323C</t>
  </si>
  <si>
    <t>CWC24</t>
  </si>
  <si>
    <t>Essential protein, component of a complex containing Cef1p, has similarity to S. pombe Cwf24p</t>
  </si>
  <si>
    <t>YLR321C</t>
  </si>
  <si>
    <t>SFH1</t>
  </si>
  <si>
    <t>Protein of unknown function, involved in proteasome-dependent catabolite inactivation of fructose-1,6-bisphosphatase, contains LisH and CTLH domains, like Vid30p</t>
  </si>
  <si>
    <t>YMR134W</t>
  </si>
  <si>
    <t>YMR133W</t>
  </si>
  <si>
    <t>REC114</t>
  </si>
  <si>
    <t>Membrane bound guanine nucleotide exchange factor (GEF or GDP-release factor), indirectly regulates adenylate cyclase through activation of Ras1p and Ras2p by stimulating the exchange of GDP for GTP, required for progression through G1</t>
  </si>
  <si>
    <t>YLR309C</t>
  </si>
  <si>
    <t>IMH1</t>
  </si>
  <si>
    <t>Protein involved in vesicular transport, mediates transport between an endosomal compartment and the Golgi, contains a Golgi-localization (GRIP) domain that interacts with activated Arl1p-GTP to localize Imh1p to the Golgi</t>
  </si>
  <si>
    <t>YLR308W</t>
  </si>
  <si>
    <t>CDA2</t>
  </si>
  <si>
    <t>Chitin deacetylase, together with Cda1p involved in the biosynthesis ascospore wall component, chitosan, required for proper rigidity of the ascospore wall</t>
  </si>
  <si>
    <t>YLR307W</t>
  </si>
  <si>
    <t>CDA1</t>
  </si>
  <si>
    <t>Chitin deacetylase, together with Cda2p involved in the biosynthesis ascospore wall component, chitosan, required for proper rigidity of the ascospore wall</t>
  </si>
  <si>
    <t>YLR307C-A</t>
  </si>
  <si>
    <t>YLR306W</t>
  </si>
  <si>
    <t>UBC12</t>
  </si>
  <si>
    <t>Enzyme that mediates the conjugation of Rub1p, a ubiquitin-like protein, to other proteins, related to E2 ubiquitin-conjugating enzymes</t>
  </si>
  <si>
    <t>YLR305C</t>
  </si>
  <si>
    <t>STT4</t>
  </si>
  <si>
    <t>Phosphatidylinositol-4-kinase that functions in the Pkc1p protein kinase pathway, required for normal vacuole morphology, cell wall integrity, and actin cytoskeleton organization</t>
  </si>
  <si>
    <t>YLR304C</t>
  </si>
  <si>
    <t>ACO1</t>
  </si>
  <si>
    <t>Aconitase, required for the tricarboxylic acid (TCA) cycle and also independently required for mitochondrial genome maintenance, component of the mitochondrial nucleoid, mutation leads to glutamate auxotrophy</t>
  </si>
  <si>
    <t>YLR303W</t>
  </si>
  <si>
    <t>MET17</t>
  </si>
  <si>
    <t>O-acetyl homoserine-O-acetyl serine sulfhydrylase, required for sulfur amino acid synthesis</t>
  </si>
  <si>
    <t>YLR301W</t>
  </si>
  <si>
    <t>YLR300W</t>
  </si>
  <si>
    <t>EXG1</t>
  </si>
  <si>
    <t>Major exo-1,3-beta-glucanase of the cell wall, involved in cell wall beta-glucan assembly, exists as three differentially glycosylated isoenzymes</t>
  </si>
  <si>
    <t>YLR299W</t>
  </si>
  <si>
    <t>ECM38</t>
  </si>
  <si>
    <t>Gamma-glutamyltranspeptidase, major glutathione-degrading enzyme, expression induced mainly by nitrogen starvation</t>
  </si>
  <si>
    <t>YLR298C</t>
  </si>
  <si>
    <t>YHC1</t>
  </si>
  <si>
    <t>ASI1</t>
  </si>
  <si>
    <t>YMR118C</t>
  </si>
  <si>
    <t>YMR117C</t>
  </si>
  <si>
    <t>SPC24</t>
  </si>
  <si>
    <t>YMR116C</t>
  </si>
  <si>
    <t>ASC1</t>
  </si>
  <si>
    <t>WD repeat protein (G-beta like protein) involved in translation regulation, required for repression of Gcn4p activity in the absence of amino-acid starvation, core component of the ribosome, ortholog of mammalian RACK1</t>
  </si>
  <si>
    <t>YMR115W</t>
  </si>
  <si>
    <t>YMR114C</t>
  </si>
  <si>
    <t>YMR113W</t>
  </si>
  <si>
    <t>FOL3</t>
  </si>
  <si>
    <t>Dihydrofolate synthetase, involved in folic acid biosynthesis, catalyzes the conversion of dihydropteroate to dihydrofolate in folate coenzyme biosynthesis</t>
  </si>
  <si>
    <t>YMR112C</t>
  </si>
  <si>
    <t>MED11</t>
  </si>
  <si>
    <t>14 Kd mediator subunit of RNA polymerase II holoenzyme</t>
  </si>
  <si>
    <t>YMR111C</t>
  </si>
  <si>
    <t>YMR110C</t>
  </si>
  <si>
    <t>YMR109W</t>
  </si>
  <si>
    <t>MYO5</t>
  </si>
  <si>
    <t>One of two type I myosins, contains proline-rich tail homology 2 (TH2) and SH3 domains, MYO5 deletion has little effect on growth, but myo3 myo5 double deletion causes severe defects in growth and actin cytoskeleton organization</t>
  </si>
  <si>
    <t>YMR108W</t>
  </si>
  <si>
    <t>ILV2</t>
  </si>
  <si>
    <t>Acetolactate synthase, catalyses the first common step in isoleucine and valine biosynthesis and is the target of several classes of inhibitors, localizes to the mitochondria, expression of the gene is under general amino acid control</t>
  </si>
  <si>
    <t>YMR107W</t>
  </si>
  <si>
    <t>SPG4</t>
  </si>
  <si>
    <t>YMR106C</t>
  </si>
  <si>
    <t>YKU80</t>
  </si>
  <si>
    <t>YMR105W-A</t>
  </si>
  <si>
    <t>YMR105C</t>
  </si>
  <si>
    <t>PGM2</t>
  </si>
  <si>
    <t>Phosphoglucomutase, catalyzes the conversion from glucose-1-phosphate to glucose-6-phosphate, which is a key step in hexose metabolism, functions as the acceptor for a Glc-phosphotransferase</t>
  </si>
  <si>
    <t>YMR104C</t>
  </si>
  <si>
    <t>YPK2</t>
  </si>
  <si>
    <t>Protein kinase with similarityto serinethreonine protein kinase Ypk1p, functionally redundant with YPK1 at the genetic level, participates in a signaling pathway required for optimal cell wall integrity, homolog of mammalian kinase SGK</t>
  </si>
  <si>
    <t>YMR102C</t>
  </si>
  <si>
    <t>Protein of unknown function, transcription is activated by paralogous transcription factors Yrm1p and Yrr1p along with genes involved in multidrug resistance</t>
  </si>
  <si>
    <t>YMR101C</t>
  </si>
  <si>
    <t>SRT1</t>
  </si>
  <si>
    <t>Cis-prenyltransferase involved in synthesis of long-chain dolichols (19-22 isoprene units, as opposed to Rer2p which synthesizes shorter-chain dolichols), localizes to lipid bodies, transcription is induced during stationary phase</t>
  </si>
  <si>
    <t>YMR100W</t>
  </si>
  <si>
    <t>MUB1</t>
  </si>
  <si>
    <t>Protein of unknown function, deletion causes multi-budding phenotype, has similarity to Aspergillus nidulans samB gene</t>
  </si>
  <si>
    <t>YMR099C</t>
  </si>
  <si>
    <t>YMR098C</t>
  </si>
  <si>
    <t>YMR097C</t>
  </si>
  <si>
    <t>MTG1</t>
  </si>
  <si>
    <t>Peripheral GTPase of the mitochondrial inner membrane, essential for respiratory competence, likely functions in assembly of the large ribosomal subunit, has homologs in plants and animals</t>
  </si>
  <si>
    <t>YMR096W</t>
  </si>
  <si>
    <t>SNZ1</t>
  </si>
  <si>
    <t>Protein involved in vitamin B6 biosynthesis, member of a stationary phase-induced gene family, coregulated with SNO1, interacts with Sno1p and with Yhr198p, perhaps as a multiprotein complex containing other Snz and Sno proteins</t>
  </si>
  <si>
    <t>YMR095C</t>
  </si>
  <si>
    <t>SNO1</t>
  </si>
  <si>
    <t>Protein of unconfirmed function, involved in pyridoxine metabolism, expression is induced during stationary phase, forms a putative glutamine amidotransferase complex with Snz1p, with Sno1p serving as the glutaminase</t>
  </si>
  <si>
    <t>YMR094W</t>
  </si>
  <si>
    <t>CTF13</t>
  </si>
  <si>
    <t>Subunit of the CBF3 complex, which binds to the CDE III element of centromeres, bending the DNA upon binding, and may be involved in sister chromatid cohesion during mitosis</t>
  </si>
  <si>
    <t>YMR093W</t>
  </si>
  <si>
    <t>UTP15</t>
  </si>
  <si>
    <t>Nucleolar protein, component of the small subunit (SSU) processome containing the U3 snoRNA that is involved in processing of pre-18S rRNA</t>
  </si>
  <si>
    <t>YMR092C</t>
  </si>
  <si>
    <t>AIP1</t>
  </si>
  <si>
    <t>Actin cortical patch component, interacts with the actin depolymerizing factor cofilin, required to restrict cofilin localization to cortical patches, contains WD repeats</t>
  </si>
  <si>
    <t>YMR091C</t>
  </si>
  <si>
    <t>NPL6</t>
  </si>
  <si>
    <t>Nuclear protein that may have a role in nuclear protein import</t>
  </si>
  <si>
    <t>YMR090W</t>
  </si>
  <si>
    <t>YMR089C</t>
  </si>
  <si>
    <t>YTA12</t>
  </si>
  <si>
    <t>Component, with Afg3p, of the mitochondrial inner membrane m-AAA protease that mediates degradation of misfolded or unassembled proteins and is also required for correct assembly of mitochondrial enzyme complexes</t>
  </si>
  <si>
    <t>YMR088C</t>
  </si>
  <si>
    <t>VBA1</t>
  </si>
  <si>
    <t>Permease of basic amino acids in the vacuolar membrane</t>
  </si>
  <si>
    <t>YMR087W</t>
  </si>
  <si>
    <t>Putative ADP-ribose-1-monophosphatase that converts ADP-ribose-1-monophosphate to ADP-ribose, may have a role in tRNA splicing, contains an A1pp domain</t>
  </si>
  <si>
    <t>YMR086W</t>
  </si>
  <si>
    <t>Protein of unknown function, green fluorescent protein (GFP)-fusion protein localizes to the cell periphery</t>
  </si>
  <si>
    <t>YMR085W</t>
  </si>
  <si>
    <t>YMR084W</t>
  </si>
  <si>
    <t>YMR083W</t>
  </si>
  <si>
    <t>ADH3</t>
  </si>
  <si>
    <t>Mitochondrial alcohol dehydrogenase isozyme III, involved in the shuttling of mitochondrial NADH to the cytosol under anaerobic conditions and ethanol production</t>
  </si>
  <si>
    <t>YMR081C</t>
  </si>
  <si>
    <t>ISF1</t>
  </si>
  <si>
    <t>Serine-rich, hydrophilic protein with similarity to Mbr1p, overexpression suppresses growth defects of hap2, hap3, and hap4 mutants, expression is under glucose control, cotranscribed with NAM7 in a cyp1 mutant</t>
  </si>
  <si>
    <t>YMR080C</t>
  </si>
  <si>
    <t>NAM7</t>
  </si>
  <si>
    <t>ATP-dependent RNA helicase of the SFI superfamily, required for nonsense mediated mRNA decay and for efficient translation termination at nonsense codons</t>
  </si>
  <si>
    <t>YMR079W</t>
  </si>
  <si>
    <t>SEC14</t>
  </si>
  <si>
    <t>Phosphatidylinositolphosphatidylcholine transfer protein involved in coordinate regulation of PtdIns and PtdCho metabolism, products of which are regulators in Golgi to plasma membrane transport, functionally homologous to mammalian PITPs</t>
  </si>
  <si>
    <t>YMR078C</t>
  </si>
  <si>
    <t>CTF18</t>
  </si>
  <si>
    <t>Subunit of a complex with Ctf8p that shares some subunits with Replication Factor C and is required for sister chromatid cohesion, may have overlapping functions with Rad24p in the DNA damage replication checkpoint</t>
  </si>
  <si>
    <t>YMR077C</t>
  </si>
  <si>
    <t>VPS20</t>
  </si>
  <si>
    <t>Myristoylated subunit of ESCRTIII, the endosomal sorting complex required for transport of transmembrane proteins into the multivesicular body pathway to the lysosomalvacuolar lumen, cytoplasmic protein recruited to endosomal membranes</t>
  </si>
  <si>
    <t>YMR076C</t>
  </si>
  <si>
    <t>PDS5</t>
  </si>
  <si>
    <t>Protein required for establishment and maintenance of sister chromatid condensation and cohesion, colocalizes with cohesin on chromosomes in an interdependent manner, may function as a protein-protein interaction scaffold</t>
  </si>
  <si>
    <t>YMR075W</t>
  </si>
  <si>
    <t>Nuclear protein of unknown function</t>
  </si>
  <si>
    <t>YMR074C</t>
  </si>
  <si>
    <t>YMR073C</t>
  </si>
  <si>
    <t>YMR072W</t>
  </si>
  <si>
    <t>ABF2</t>
  </si>
  <si>
    <t>Mitochondrial DNA-binding protein involved in mitochondrial DNA replication and recombination, member of HMG1 DNA-binding protein family, activity may be regulated by protein kinase A phosphorylation</t>
  </si>
  <si>
    <t>YMR071C</t>
  </si>
  <si>
    <t>Tlg2-Vesicle Protein of 18 kDa, integral membrane vesicle protein</t>
  </si>
  <si>
    <t>YMR070W</t>
  </si>
  <si>
    <t>MOT3</t>
  </si>
  <si>
    <t xml:space="preserve">Nuclear transcription factor with two Cys2-His2 zinc fingers, involved in repression of a subset of hypoxic genes by Rox1p, repression of several DANTIR genes during aerobic growth, and repression of ergosterol biosynthetic genes </t>
  </si>
  <si>
    <t>YMR069W</t>
  </si>
  <si>
    <t>NAT4</t>
  </si>
  <si>
    <t>N alpha-acetyl-transferase, involved in acetylation of the N-terminal residues of histones H4 and H2A</t>
  </si>
  <si>
    <t>YMR068W</t>
  </si>
  <si>
    <t>AVO2</t>
  </si>
  <si>
    <t>Component of a complex containing the Tor2p kinase and other proteins, which may have a role in regulation of cell growth</t>
  </si>
  <si>
    <t>YMR067C</t>
  </si>
  <si>
    <t>UBX4</t>
  </si>
  <si>
    <t>UBX (ubiquitin regulatory X) domain-containing protein that interacts with Cdc48p</t>
  </si>
  <si>
    <t>YMR066W</t>
  </si>
  <si>
    <t>SOV1</t>
  </si>
  <si>
    <t>YMR065W</t>
  </si>
  <si>
    <t>KAR5</t>
  </si>
  <si>
    <t>Protein required for nuclear membrane fusion during karyogamy, localizes to the membrane with a soluble portion in the endoplasmic reticulum lumen, may form a complex with Jem1p and Kar2p, expression of the gene is regulated by pheromone</t>
  </si>
  <si>
    <t>YMR064W</t>
  </si>
  <si>
    <t>AEP1</t>
  </si>
  <si>
    <t>Protein required for expression of the mitochondrial OLI1 gene encoding subunit 9 of F1-F0 ATP synthase</t>
  </si>
  <si>
    <t>YMR063W</t>
  </si>
  <si>
    <t>RIM9</t>
  </si>
  <si>
    <t>Protein of unknown function, involved in the proteolytic activation of Rim101p in response to alkaline pH, has similarity to A. nidulans PalI, putative membrane protein</t>
  </si>
  <si>
    <t>YMR062C</t>
  </si>
  <si>
    <t>ECM40</t>
  </si>
  <si>
    <t>Mitochondrial ornithine acetyltransferase, catalyzes the fifth step in arginine biosynthesis, also possesses acetylglutamate synthase activity, regenerates acetylglutamate while forming ornithine</t>
  </si>
  <si>
    <t>YMR061W</t>
  </si>
  <si>
    <t>RNA14</t>
  </si>
  <si>
    <t>Glycogen synthase, similar to Gsy1p, expression induced by glucose limitation, nitrogen starvation, heat shock, and stationary phase, activity regulated by cAMP-dependent, Snf1p and Pho85p kinases as well as by the Gac1p-Glc7p phosphatase</t>
  </si>
  <si>
    <t>YLR257W</t>
  </si>
  <si>
    <t>YLR256W</t>
  </si>
  <si>
    <t>HAP1</t>
  </si>
  <si>
    <t>Heme-responsive zinc finger transcription factor of the Zn(2)-Cys(6) binuclear cluster domain type, redox sensing regulator of gene expression (activates CYC1, CYC7, CYP3, CYB2, CTT1, COR2, ROX1, ERG9, ERG11, SOD2 and YHB1, represses HEM13)</t>
  </si>
  <si>
    <t>YLR254C</t>
  </si>
  <si>
    <t>NDL1</t>
  </si>
  <si>
    <t>homolog of nuclear distribution factor NudE, NUDEL</t>
  </si>
  <si>
    <t>YLR253W</t>
  </si>
  <si>
    <t>YLR251W</t>
  </si>
  <si>
    <t>SYM1</t>
  </si>
  <si>
    <t>Protein required for ethanol metabolism, induced by heat shock and localized to the inner mitochondrial membrane, homologous to mammalian peroxisomal membrane protein Mpv17</t>
  </si>
  <si>
    <t>YLR250W</t>
  </si>
  <si>
    <t>SSP120</t>
  </si>
  <si>
    <t>YLR249W</t>
  </si>
  <si>
    <t>YEF3</t>
  </si>
  <si>
    <t>Translational elongation factor, stimulates the binding of aminoacyl-tRNA (AA-tRNA) to ribosomes by releasing EF-1 alpha from the ribosomal complex, contains two ABC cassettes, binds and hydrolyses ATP</t>
  </si>
  <si>
    <t>YLR248W</t>
  </si>
  <si>
    <t>RCK2</t>
  </si>
  <si>
    <t>Protein kinase involved in the response to oxidative and osmotic stress, identified as suppressor of S. pombe cell cycle checkpoint mutations</t>
  </si>
  <si>
    <t>YLR247C</t>
  </si>
  <si>
    <t>YLR246W</t>
  </si>
  <si>
    <t>ERF2</t>
  </si>
  <si>
    <t>Subunit of a palmitoyltransferase, composed of Erf2p and Shr5p, that adds a palmitoyl lipid moiety to Ras2p through a thioester linkage, mutants partially mislocalize Ras2p to the vacuole</t>
  </si>
  <si>
    <t>YLR245C</t>
  </si>
  <si>
    <t>CDD1</t>
  </si>
  <si>
    <t>Cytidine deaminase, catalyzes the modification of cytidine to uridine in vitro but native RNA substrates have not been identified, localizes to both the nucleus and cytoplasm</t>
  </si>
  <si>
    <t>YLR244C</t>
  </si>
  <si>
    <t>MAP1</t>
  </si>
  <si>
    <t>Methionine aminopeptidase, catalyzes the cotranslational removal of N-terminal methionine from nascent polypeptides, function is partially redundant with that of Map2p</t>
  </si>
  <si>
    <t>YLR243W</t>
  </si>
  <si>
    <t>YLR242C</t>
  </si>
  <si>
    <t>ARV1</t>
  </si>
  <si>
    <t>Protein required for normal intracellular sterol distribution and for sphingolipid metabolism, similar to Nup120p and C. elegans R05H5.5 protein</t>
  </si>
  <si>
    <t>YLR241W</t>
  </si>
  <si>
    <t>Ferro-O2-oxidoreductase required for high-affinity iron uptake and involved in mediating resistance to copper ion toxicity, belongs to class of integral membrane multicopper oxidases</t>
  </si>
  <si>
    <t>YMR056C</t>
  </si>
  <si>
    <t>AAC1</t>
  </si>
  <si>
    <t>Mitochondrial inner membrane ADPATP translocator, exchanges cytosolic ADP for mitochondrially synthesized ATP, Aac1p is a minor isoform while Pet9p is the major ADPATP translocator</t>
  </si>
  <si>
    <t>YMR055C</t>
  </si>
  <si>
    <t>BUB2</t>
  </si>
  <si>
    <t>Mitotic exit network regulator, forms GTPase-activating Bfa1p-Bub2p complex that binds Tem1p and spindle pole bodies, blocks cell cycle progression before anaphase in response to spindle and kinetochore damage</t>
  </si>
  <si>
    <t>YMR054W</t>
  </si>
  <si>
    <t>STV1</t>
  </si>
  <si>
    <t>Subunit of vacuolar-ATPase V0 domain, one of two isoforms (Stv1p and Vph1p), Stv1p is located in V-ATPase complexes of the Golgi and endosomes while Vph1p is located in V-ATPase complexes of the vacuole</t>
  </si>
  <si>
    <t>YMR053C</t>
  </si>
  <si>
    <t>STB2</t>
  </si>
  <si>
    <t>Protein that interacts with Sin3p in a two-hybrid assay and is part of a large protein complex with Sin3p and Stb1p</t>
  </si>
  <si>
    <t>YMR052W</t>
  </si>
  <si>
    <t>FAR3</t>
  </si>
  <si>
    <t>Protein involved in G1 cell cycle arrest in response to pheromone, in a pathway different from the Far1p-dependent pathway, interacts with Far7p, Far8p, Far9p, Far10p, and Far11p</t>
  </si>
  <si>
    <t>YMR049C</t>
  </si>
  <si>
    <t>ERB1</t>
  </si>
  <si>
    <t>Protein required for maturation of the 25S and 5.8S ribosomal RNAs, constituent of 66S pre-ribosomal particles, homologous to mammalian Bop1</t>
  </si>
  <si>
    <t>YMR048W</t>
  </si>
  <si>
    <t>CSM3</t>
  </si>
  <si>
    <t>YMR047C</t>
  </si>
  <si>
    <t>NUP116</t>
  </si>
  <si>
    <t>Subunit of the nuclear pore complex (NPC) that is localized to both sides of the pore, contains a repetitive GLFG motif that interacts with mRNA export factor Mex67p and with karyopherin Kap95p, homologous to Nup100p</t>
  </si>
  <si>
    <t>YMR044W</t>
  </si>
  <si>
    <t>IOC4</t>
  </si>
  <si>
    <t>Structural component of the meiotic outer plaque, which is a membrane-organizing center that assembles on the cytoplasmic face of the spindle pole body during meiosis II and triggers the formation of the prospore membrane</t>
  </si>
  <si>
    <t>YLR226W</t>
  </si>
  <si>
    <t>BUR2</t>
  </si>
  <si>
    <t>Cyclin for the Sgv1p (Bur1p) protein kinase, Sgv1p and Bur2p comprise a CDK-cyclin complex involved in transcriptional regulation through its phosphorylation of the carboxy-terminal domain of the largest subunit of RNA polymerase II</t>
  </si>
  <si>
    <t>YLR225C</t>
  </si>
  <si>
    <t>YLR224W</t>
  </si>
  <si>
    <t>YLR223C</t>
  </si>
  <si>
    <t>IFH1</t>
  </si>
  <si>
    <t>Essential protein with a highly acidic N-terminal domain, IFH1 exhibits genetic interactions with FHL1, overexpression interferes with silencing at telomeres and HM loci, potential Cdc28p substrate</t>
  </si>
  <si>
    <t>YLR222C</t>
  </si>
  <si>
    <t>UTP13</t>
  </si>
  <si>
    <t>YLR221C</t>
  </si>
  <si>
    <t>RSA3</t>
  </si>
  <si>
    <t>Protein with a likely role in ribosomal maturation, required for accumulation of wild-type levels of large (60S) ribosomal subunits, binds to the helicase Dbp6p in pre-60S ribosomal particles in the nucleolus</t>
  </si>
  <si>
    <t>YLR220W</t>
  </si>
  <si>
    <t>CCC1</t>
  </si>
  <si>
    <t>Functions in the homeostasis of both calcium and manganese ions, Possible transmembrane Ca2+ transporter</t>
  </si>
  <si>
    <t>YLR219W</t>
  </si>
  <si>
    <t>MSC3</t>
  </si>
  <si>
    <t>Protein of unknown function, green fluorescent protein (GFP)-fusion protein localizes to the cell periphery, msc3 mutants are defective in directing meiotic recombination events to homologous chromatids, potential Cdc28p substrate</t>
  </si>
  <si>
    <t>YLR218C</t>
  </si>
  <si>
    <t>YLR216C</t>
  </si>
  <si>
    <t>CPR6</t>
  </si>
  <si>
    <t>Peptidyl-prolyl cis-trans isomerase (cyclophilin), catalyzes the cis-trans isomerization of peptide bonds N-terminal to proline residues, binds to Hsp82p and contributes to chaperone activity</t>
  </si>
  <si>
    <t>YLR215C</t>
  </si>
  <si>
    <t>CDC123</t>
  </si>
  <si>
    <t>Protein involved in nutritional control of the cell cycle, regulates abundance of the translation initiation factor eIF2, ortholog of human D123 protein</t>
  </si>
  <si>
    <t>YLR214W</t>
  </si>
  <si>
    <t>FRE1</t>
  </si>
  <si>
    <t>Ferric reductase and cupric reductase, reduces siderophore-bound iron and oxidized copper prior to uptake by transporters, expression induced by low copper and iron levels</t>
  </si>
  <si>
    <t>YLR213C</t>
  </si>
  <si>
    <t>CRR1</t>
  </si>
  <si>
    <t>Protein with similarity to Crh1p, which is a putative glycosidase of the cell wall</t>
  </si>
  <si>
    <t>YLR212C</t>
  </si>
  <si>
    <t>TUB4</t>
  </si>
  <si>
    <t>Gamma-tubulin, involved in nucleating microtubules from both the cytoplasmic and nuclear faces of the spindle pole body</t>
  </si>
  <si>
    <t>YLR211C</t>
  </si>
  <si>
    <t>YLR210W</t>
  </si>
  <si>
    <t>CLB4</t>
  </si>
  <si>
    <t>B-type cyclin involved in cell cycle progression, activates Cdc28p to promote the G2M transition, may be involved in DNA replication and spindle assembly, accumulates during S phase and G2, then targeted for ubiquitin-mediated degradation</t>
  </si>
  <si>
    <t>YLR209C</t>
  </si>
  <si>
    <t>PNP1</t>
  </si>
  <si>
    <t>Purine nucleoside phosphorylase, specifically metabolizes inosine and guanosine nucleosides</t>
  </si>
  <si>
    <t>YLR208W</t>
  </si>
  <si>
    <t>SEC13</t>
  </si>
  <si>
    <t>Component of both the Nup84 nuclear pore sub-complex and of the COPII complex (Sar1p, Sec13p, Sec16p, Sec23p, Sec24p, Sec31p, Sfb2p, and Sfb3p) which is important for the formation of ER to Golgi transport vesicles</t>
  </si>
  <si>
    <t>YLR207W</t>
  </si>
  <si>
    <t>HRD3</t>
  </si>
  <si>
    <t>Resident protein of the ER membrane that plays a central role in ER-associated protein degradation (ERAD), forms HRD complex with Hrd1p and ERAD determinants that engages in lumen to cytosol communication and coordination of ERAD events</t>
  </si>
  <si>
    <t>YLR206W</t>
  </si>
  <si>
    <t>ENT2</t>
  </si>
  <si>
    <t>Epsin-like protein required for endocytosis and actin patch assembly and functionally redundant with Ent1p, contains clathrin-binding motif at C-terminus</t>
  </si>
  <si>
    <t>YLR205C</t>
  </si>
  <si>
    <t>HMX1</t>
  </si>
  <si>
    <t>ER localized, heme-binding peroxidase involved in the degradation of heme, does not exhibit heme oxygenase activity despite similarity to heme oxygenases, expression regulated by AFT1</t>
  </si>
  <si>
    <t>YLR204W</t>
  </si>
  <si>
    <t>QRI5</t>
  </si>
  <si>
    <t>YLR203C</t>
  </si>
  <si>
    <t>MSS51</t>
  </si>
  <si>
    <t>Nuclear encoded protein required for translation of COX1 mRNA, binds to Cox1 protein</t>
  </si>
  <si>
    <t>YLR201C</t>
  </si>
  <si>
    <t>YLR200W</t>
  </si>
  <si>
    <t>YKE2</t>
  </si>
  <si>
    <t>Subunit of the heterohexameric Gimprefoldin protein complex involved in the folding of alpha-tubulin, beta-tubulin, and actin</t>
  </si>
  <si>
    <t>YLR199C</t>
  </si>
  <si>
    <t>YLR197W</t>
  </si>
  <si>
    <t>SIK1</t>
  </si>
  <si>
    <t>Essential evolutionarily-conserved nucleolar protein component of the box CD snoRNP complexes that direct 2-O-methylation of pre-rRNA during its maturation, overexpression causes spindle orientation defects</t>
  </si>
  <si>
    <t>YLR196W</t>
  </si>
  <si>
    <t>PWP1</t>
  </si>
  <si>
    <t>Protein with WD-40 repeats involved in rRNA processing, associates with trans-acting ribosome biogenesis factors, similar to beta-transducin superfamily</t>
  </si>
  <si>
    <t>YLR195C</t>
  </si>
  <si>
    <t>NMT1</t>
  </si>
  <si>
    <t>N-myristoyl transferase, catalyzes the cotranslational, covalent attachment of myristic acid to the N-terminal glycine residue of several proteins involved in cellular growth and signal transduction</t>
  </si>
  <si>
    <t>YLR194C</t>
  </si>
  <si>
    <t>YLR193C</t>
  </si>
  <si>
    <t>YLR192C</t>
  </si>
  <si>
    <t>HCR1</t>
  </si>
  <si>
    <t>Dual function protein involved in translation initiation as a substoichiometric component of eukaryotic translation initiation factor 3 (eIF3) and required for processing of 20S pre-rRNA, binds to eIF3 subunits Rpg1p and Prt1p and 18S rRNA</t>
  </si>
  <si>
    <t>YLR191W</t>
  </si>
  <si>
    <t>PEX13</t>
  </si>
  <si>
    <t>Integral peroxisomal membrane receptor for the PTS1 peroxisomal matrix protein signal recognition factor Pex5p, required for the translocation of peroxisomal matrix proteins, also interacts with Pex7p and Pex14p, contains a C-terminal SH3 domain</t>
  </si>
  <si>
    <t>YLR190W</t>
  </si>
  <si>
    <t>MMR1</t>
  </si>
  <si>
    <t>Phosphorylated protein of the mitochondrial outer membrane, localizes only to mitochondria of the bud, interacts with Myo2p to mediate mitochondrial distribution to buds, mRNA is targeted to the bud via the transport system involving She2p</t>
  </si>
  <si>
    <t>YLR189C</t>
  </si>
  <si>
    <t>ATG26</t>
  </si>
  <si>
    <t>UDP-glucose:sterol glucosyltransferase, conserved enzyme involved in synthesis of sterol glucoside membrane lipids, involved in autophagy</t>
  </si>
  <si>
    <t>YLR188W</t>
  </si>
  <si>
    <t>MDL1</t>
  </si>
  <si>
    <t>Half-type ATP-binding cassette (ABC) transporter of the inner mitochondrial membrane, mediates export of peptides generated upon proteolysis of mitochondrial proteins, plays a role in the regulation of cellular resistance to oxidative stress</t>
  </si>
  <si>
    <t>YLR187W</t>
  </si>
  <si>
    <t>SKG3</t>
  </si>
  <si>
    <t>Phospholipase B (lysophospholipase) involved in lipid metabolism, required for deacylation of phosphatidylcholine and phosphatidylethanolamine but not phosphatidylinositol</t>
  </si>
  <si>
    <t>YMR006C</t>
  </si>
  <si>
    <t>PLB2</t>
  </si>
  <si>
    <t>Phospholipase B (lysophospholipase) involved in phospholipid metabolism, displays transacylase activity in vitro, overproduction confers resistance to lysophosphatidylcholine</t>
  </si>
  <si>
    <t>YMR005W</t>
  </si>
  <si>
    <t>TAF4</t>
  </si>
  <si>
    <t>TFIID subunit (48 kDa), involved in RNA polymerase II transcription initiation, potential Cdc28p substrate</t>
  </si>
  <si>
    <t>YMR004W</t>
  </si>
  <si>
    <t>MVP1</t>
  </si>
  <si>
    <t>Protein required for sorting proteins to the vacuole, overproduction of Mvp1p suppresses several dominant VPS1 mutations, Mvp1p and Vps1p act in concert to promote membrane traffic to the vacuole</t>
  </si>
  <si>
    <t>YMR003W</t>
  </si>
  <si>
    <t>YMR002W</t>
  </si>
  <si>
    <t>YMR001C-A</t>
  </si>
  <si>
    <t>YMR001C</t>
  </si>
  <si>
    <t>CDC5</t>
  </si>
  <si>
    <t>Polo-like kinase with similarity to Xenopus Plx1 and S. pombe Plo1p, found at bud neck, nucleus and SPBs, has multiple functions in mitosis and cytokinesis through phosphorylation of substrates, may be a Cdc28p substrate</t>
  </si>
  <si>
    <t>YML131W</t>
  </si>
  <si>
    <t>YML130C</t>
  </si>
  <si>
    <t>ERO1</t>
  </si>
  <si>
    <t>Glycoprotein required for oxidative protein folding in the endoplasmic reticulum</t>
  </si>
  <si>
    <t>YML129C</t>
  </si>
  <si>
    <t>COX14</t>
  </si>
  <si>
    <t>Mitochondrial membrane protein, required for assembly of cytochrome c oxidase</t>
  </si>
  <si>
    <t>YML128C</t>
  </si>
  <si>
    <t>MSC1</t>
  </si>
  <si>
    <t>Protein of unknown function, green fluorescent protein (GFP)-fusion protein localizes to the endoplasmic reticulum, msc1 mutants are defective in directing meiotic recombination events to homologous chromatids</t>
  </si>
  <si>
    <t>YML127W</t>
  </si>
  <si>
    <t>RSC9</t>
  </si>
  <si>
    <t>One of 15 subunits of the Remodel the Structure of Chromatin (RSC) complex, DNA-binding protein involved in the synthesis of rRNA and in transcriptional repression and activation of genes regulated by the Target of Rapamycin (TOR) pathway</t>
  </si>
  <si>
    <t>YML126C</t>
  </si>
  <si>
    <t>ERG13</t>
  </si>
  <si>
    <t>3-hydroxy-3-methylglutaryl-CoA (HMG-CoA) synthase, catalyzes the formation of HMG-CoA from acetyl-CoA and acetoacetyl-CoA, involved in the second step in mevalonate biosynthesis</t>
  </si>
  <si>
    <t>YML125C</t>
  </si>
  <si>
    <t>YML124C</t>
  </si>
  <si>
    <t>TUB3</t>
  </si>
  <si>
    <t>Alpha-tubulin, associates with beta-tubulin (Tub2p) to form tubulin dimer, which polymerizes to form microtubules, expressed at lower level than Tub1p</t>
  </si>
  <si>
    <t>YML123C</t>
  </si>
  <si>
    <t>PHO84</t>
  </si>
  <si>
    <t>High-affinity inorganic phosphate (Pi) transporter and low-affinity manganese transporter, regulated by Pho4p and Spt7p, mutation confers resistance to arsenate, exit from the ER during maturation requires Pho86p</t>
  </si>
  <si>
    <t>YML121W</t>
  </si>
  <si>
    <t>GTR1</t>
  </si>
  <si>
    <t>YLR173W</t>
  </si>
  <si>
    <t>YLR172C</t>
  </si>
  <si>
    <t>DPH5</t>
  </si>
  <si>
    <t>Methyltransferase required for synthesis of diphthamide, which is a modified histidine residue of translation elongation factor 2 (Eft1p or Eft2p), not essential for viability, GFP-Dph5p fusion protein localizes to the cytoplasm</t>
  </si>
  <si>
    <t>YLR170C</t>
  </si>
  <si>
    <t>APS1</t>
  </si>
  <si>
    <t>Small subunit of the clathrin-associated adaptor complex AP-1, which is involved in protein sorting at the trans-Golgi network, homolog of the sigma subunit of the mammalian clathrin AP-1 complex</t>
  </si>
  <si>
    <t>YLR168C</t>
  </si>
  <si>
    <t>possibly involved in intramitochondrial sorting</t>
  </si>
  <si>
    <t>YLR167W</t>
  </si>
  <si>
    <t>RPS31</t>
  </si>
  <si>
    <t>Fusion protein that is cleaved to yield a ribosomal protein of the small (40S) subunit and ubiquitin, ubiquitin may facilitate assembly of the ribosomal protein into ribosomes, interacts genetically with translation factor eIF2B</t>
  </si>
  <si>
    <t>YLR166C</t>
  </si>
  <si>
    <t>SEC10</t>
  </si>
  <si>
    <t>Essential 100kDa subunit of the exocyst complex (Sec3p, Sec5p, Sec6p, Sec8p, Sec10p, Sec15p, Exo70p, and Exo84p), which has the essential function of mediating polarized targeting of secretory vesicles to active sites of exocytosis</t>
  </si>
  <si>
    <t>YLR165C</t>
  </si>
  <si>
    <t>PUS5</t>
  </si>
  <si>
    <t>Pseudouridine synthase, catalyzes only the formation of pseudouridine (Psi)-2819 in mitochondrial 21S rRNA, not essential for viability</t>
  </si>
  <si>
    <t>YLR164W</t>
  </si>
  <si>
    <t>YLR164Wp is homologous to TIM18p</t>
  </si>
  <si>
    <t>YLR163C</t>
  </si>
  <si>
    <t>MAS1</t>
  </si>
  <si>
    <t>Smaller subunit of the mitochondrial processing protease, essential processing enzyme that cleaves the N-terminal targeting sequences from mitochondrially imported proteins</t>
  </si>
  <si>
    <t>YLR162W-A</t>
  </si>
  <si>
    <t>YLR162W</t>
  </si>
  <si>
    <t>Protein of unknown function, overexpression confers resistance to the antimicrobial peptide MiAMP1</t>
  </si>
  <si>
    <t>YLR157W-C</t>
  </si>
  <si>
    <t>Note: YLR156W, YLR159W, and YLR161W are identical.  Note: YLR156W, YLR159W, and YLR161W are identical.  Identified by gene-trapping, microarray-based expression analysis, and genome-wide homology searching  YLR156W, YLR159W, and YLR161W are three identical open reading frames encoded near the ribosomal DNA region of chromosome 12.</t>
  </si>
  <si>
    <t>YLR156W</t>
  </si>
  <si>
    <t>Gamma subunit of C-terminal domain kinase I (CTDK-I), which phosphorylates the C-terminal repeated domain of the RNA polymerase II large subunit (Rpo21p) to affect both transcription and pre-mRNA 3 end processing</t>
  </si>
  <si>
    <t>YML111W</t>
  </si>
  <si>
    <t>BUL2</t>
  </si>
  <si>
    <t>Component of the Rsp5p E3-ubiquitin ligase complex, involved in intracellular amino acid permease sorting, functions in heat shock element mediated gene expression, essential for growth in stress conditions, functional homolog of BUL1</t>
  </si>
  <si>
    <t>YML110C</t>
  </si>
  <si>
    <t>COQ5</t>
  </si>
  <si>
    <t>2-hexaprenyl-6-methoxy-1,4-benzoquinone methyltransferase, involved in ubiquinone (Coenzyme Q) biosynthesis, located in mitochondria</t>
  </si>
  <si>
    <t>YML109W</t>
  </si>
  <si>
    <t>ZDS2</t>
  </si>
  <si>
    <t>Protein that interacts with silencing proteins at the telomere, involved in transcriptional silencing, paralog of Zds1p</t>
  </si>
  <si>
    <t>YML108W</t>
  </si>
  <si>
    <t>defines a new subfamily of the split beta-alpha-beta sandwiches.</t>
  </si>
  <si>
    <t>YML107C</t>
  </si>
  <si>
    <t>Protein of unknown function, green fluorescent protein (GFP)-fusion protein localizes to the nuclear periphery</t>
  </si>
  <si>
    <t>YML106W</t>
  </si>
  <si>
    <t>URA5</t>
  </si>
  <si>
    <t>One of two orotate phosphoribosyltransferase isozymes (see also URA10) that catalyze the fifth enzymatic step in de novo biosynthesis of pyrimidines, converting orotate into orotidine-5-phosphate</t>
  </si>
  <si>
    <t>YML105C</t>
  </si>
  <si>
    <t>SEC65</t>
  </si>
  <si>
    <t>Subunit of the signal recognition particle (SRP), involved in protein targeting to the ER, interacts with Srp54p, homolog of mammalian SRP19</t>
  </si>
  <si>
    <t>YML104C</t>
  </si>
  <si>
    <t>MDM1</t>
  </si>
  <si>
    <t>Intermediate filament protein, required for nuclear and mitochondrial transmission to daughter buds</t>
  </si>
  <si>
    <t>YML103C</t>
  </si>
  <si>
    <t>NUP188</t>
  </si>
  <si>
    <t>Subunit of the nuclear pore complex (NPC), involved in the structural organization of the complex and of the nuclear envelope, also involved in nuclear envelope permeability, interacts with Pom152p and Nic96p</t>
  </si>
  <si>
    <t>YML102W</t>
  </si>
  <si>
    <t>CAC2</t>
  </si>
  <si>
    <t>Component of the chromatin assembly complex (with Rlf2p and Msi1p) that assembles newly synthesized histones onto recently replicated DNA, required for building functional kinetochores, conserved from yeast to humans</t>
  </si>
  <si>
    <t>YML101C</t>
  </si>
  <si>
    <t>CUE4</t>
  </si>
  <si>
    <t>Protein of unknown function, has a CUE domain that binds ubiquitin, which may facilitate intramolecular monoubiquitination</t>
  </si>
  <si>
    <t>YML100W-A</t>
  </si>
  <si>
    <t>YML100W</t>
  </si>
  <si>
    <t>TSL1</t>
  </si>
  <si>
    <t>Large subunit of trehalose 6-phosphate synthase (Tps1p)phosphatase (Tps2p) complex, which converts uridine-5-diphosphoglucose and glucose 6-phosphate to trehalose, homologous to Tps3p and may share function</t>
  </si>
  <si>
    <t>YML099C</t>
  </si>
  <si>
    <t>ARG81</t>
  </si>
  <si>
    <t>Zinc-finger transcription factor of the Zn(2)-Cys(6) binuclear cluster domain type, involved in the regulation of arginine-responsive genes, acts with Arg80p and Arg82p</t>
  </si>
  <si>
    <t>YML098W</t>
  </si>
  <si>
    <t>TAF13</t>
  </si>
  <si>
    <t>TFIID subunit (19 kDa), involved in RNA polymerase II transcription initiation, similar to histone H4 with atypical histone fold motif of Spt3-like transcription factors</t>
  </si>
  <si>
    <t>YML097C</t>
  </si>
  <si>
    <t>VPS9</t>
  </si>
  <si>
    <t>A guanine nucleotide exchange factor involved in vesicle-mediated vacuolar protein transport, specifically stimulates the intrinsic guanine nucleotide exchange activity of Vps21pRab5: similar to mammalian ras inhibitors, binds ubiquitin</t>
  </si>
  <si>
    <t>YML096W</t>
  </si>
  <si>
    <t>YML095C</t>
  </si>
  <si>
    <t>RAD10</t>
  </si>
  <si>
    <t>Single-stranded DNA endonuclease (with Rad1p), cleaves single-stranded DNA during nucleotide excision repair and double-strand break repair, subunit of Nucleotide Excision Repair Factor 1 (NEF1), homolog of human XPF protein</t>
  </si>
  <si>
    <t>YML094W</t>
  </si>
  <si>
    <t>GIM5</t>
  </si>
  <si>
    <t>YML093W</t>
  </si>
  <si>
    <t>UTP14</t>
  </si>
  <si>
    <t>YML092C</t>
  </si>
  <si>
    <t>PRE8</t>
  </si>
  <si>
    <t>20S proteasome beta-type subunit</t>
  </si>
  <si>
    <t>YML091C</t>
  </si>
  <si>
    <t>RPM2</t>
  </si>
  <si>
    <t>Protein component of mitochondrial RNase P, along with the mitochondrially-encoded RNA subunit RPM1, Rnase P removes 5 extensions from tRNA precursors, Rpm2p is also involved in maturation of RPM1 and in translation of mitochondrial mRNAs</t>
  </si>
  <si>
    <t>YML088W</t>
  </si>
  <si>
    <t>UFO1</t>
  </si>
  <si>
    <t>F-box receptor protein, subunit of the Skp1-Cdc53-F-box receptor (SCF) E3 ubiquitin ligase complex, binds to phosphorylated Ho endonuclease, allowing its ubiquitylation by SCF and subsequent degradation</t>
  </si>
  <si>
    <t>YML087C</t>
  </si>
  <si>
    <t>YML086C</t>
  </si>
  <si>
    <t>ALO1</t>
  </si>
  <si>
    <t>Transcription factor, member of UAF (upstream activation factor) family along with Rrn9p and Rrn10p, involved in transcription of rDNA by RNA polymerase I</t>
  </si>
  <si>
    <t>YLR139C</t>
  </si>
  <si>
    <t>SLS1</t>
  </si>
  <si>
    <t>Mitochondrial membrane protein required for assembly of respiratory-chain enzyme complexes III and IV, coordinates expression of mitochondrially-encoded genes, may facilitate delivery of mRNA to membrane-bound translation machinery</t>
  </si>
  <si>
    <t>YLR138W</t>
  </si>
  <si>
    <t>NHA1</t>
  </si>
  <si>
    <t>Na+H+ antiporter involved in sodium and potassium efflux through the plasma membrane, required for alkali cation tolerance at acidic pH</t>
  </si>
  <si>
    <t>YLR137W</t>
  </si>
  <si>
    <t>YLR136C</t>
  </si>
  <si>
    <t>TIS11</t>
  </si>
  <si>
    <t>mRNA-binding protein expressed during iron starvation, binds to a sequence element in the 3-untranslated regions of specific mRNAs to mediate their degradation, involved in iron homeostasis</t>
  </si>
  <si>
    <t>YLR135W</t>
  </si>
  <si>
    <t>SLX4</t>
  </si>
  <si>
    <t>Subunit of a complex, with Slx1p, that hydrolyzes 5 branches from duplex DNA in response to stalled or converging replication forks, function overlaps with that of Sgs1p-Top3p</t>
  </si>
  <si>
    <t>YLR134W</t>
  </si>
  <si>
    <t>PDC5</t>
  </si>
  <si>
    <t>Minor isoform of pyruvate decarboxylase, key enzyme in alcoholic fermentation, decarboxylates pyruvate to acetaldehyde, regulation is glucose- and ethanol-dependent, repressed by thiamine, involved in amino acid catabolism</t>
  </si>
  <si>
    <t>YLR133W</t>
  </si>
  <si>
    <t>CKI1</t>
  </si>
  <si>
    <t>Choline kinase, catalyzes the first step in the CDP-choline pathway phophatidylcholine synthesis (Kennedy pathway), mRNA expression is regulated by inositol and choline, enzyme activity is stimulated by phophorylation by protein kinase</t>
  </si>
  <si>
    <t>YLR132C</t>
  </si>
  <si>
    <t>YLR131C</t>
  </si>
  <si>
    <t>ACE2</t>
  </si>
  <si>
    <t>Transcription factor that activates expression of early G1-specific genes, localizes to daughter cell nuclei after cytokinesis and delays G1 progression in daughters, localization is regulated by phosphorylation, potential Cdc28p substrate</t>
  </si>
  <si>
    <t>YLR130C</t>
  </si>
  <si>
    <t>ZRT2</t>
  </si>
  <si>
    <t>Low-affinity zinc transporter of the plasma membrane, transcription is induced under low-zinc conditions by the Zap1p transcription factor</t>
  </si>
  <si>
    <t>YLR129W</t>
  </si>
  <si>
    <t>DIP2</t>
  </si>
  <si>
    <t>Nucleolar protein, specifically associated with the U3 snoRNA, part of the large ribonucleoprotein complex known as the small subunit (SSU) processome, required for 18S rRNA biogenesis, part of the active pre-rRNA processing complex</t>
  </si>
  <si>
    <t>YLR128W</t>
  </si>
  <si>
    <t>DCN1</t>
  </si>
  <si>
    <t>Putative Nedd8 ligase, binds Nedd8, involved in cullin neddylation, not essential, similar to C.elegans DCN-1, contains UBA-like ubiquitin-binding domain and a DUF298 domain</t>
  </si>
  <si>
    <t>YLR127C</t>
  </si>
  <si>
    <t>APC2</t>
  </si>
  <si>
    <t>Subunit of the Anaphase-Promoting ComplexCyclosome (APCC), which is a ubiquitin-protein ligase required for degradation of anaphase inhibitors, including mitotic cyclins, during the metaphaseanaphase transition, similar to cullin Cdc53p</t>
  </si>
  <si>
    <t>YLR126C</t>
  </si>
  <si>
    <t>YLR125W</t>
  </si>
  <si>
    <t>YLR121C</t>
  </si>
  <si>
    <t>YPS3</t>
  </si>
  <si>
    <t>Aspartic protease, attached to the plasma membrane via a glycosylphosphatidylinositol (GPI) anchor</t>
  </si>
  <si>
    <t>YLR120C</t>
  </si>
  <si>
    <t>YPS1</t>
  </si>
  <si>
    <t>YLR119W</t>
  </si>
  <si>
    <t>SRN2</t>
  </si>
  <si>
    <t>Component of the ESCRT-I complex, which is involved in ubiquitin-dependent sorting of proteins into the endosome, suppressor of rna1-1 mutation, may be involved in RNA export from nucleus</t>
  </si>
  <si>
    <t>YLR118C</t>
  </si>
  <si>
    <t>YLR117C</t>
  </si>
  <si>
    <t>CLF1</t>
  </si>
  <si>
    <t>Essential splicesome assembly factor, contains multiple tetratricopeptide repeat (TPR) protein-binding motifs and interacts specifically with many spliceosome components, may serve as a scaffold during splicesome assembly</t>
  </si>
  <si>
    <t>YLR116W</t>
  </si>
  <si>
    <t>MSL5</t>
  </si>
  <si>
    <t>Component of the commitment complex, which defines the first step in the splicing pathway, essential protein that interacts with Mud2p and Prp40p, forming a bridge between the intron ends, also involved in nuclear retention of pre-mRNA</t>
  </si>
  <si>
    <t>YLR115W</t>
  </si>
  <si>
    <t>CFT2</t>
  </si>
  <si>
    <t>Subunit of the mRNA cleavage and polyadenlylation factor (CPF), required for pre-mRNA cleavage, polyadenylation and poly(A) site recognition, 43% similarity with the mammalian CPSF-100 protein.</t>
  </si>
  <si>
    <t>YLR114C</t>
  </si>
  <si>
    <t>PHO85 Requiring</t>
  </si>
  <si>
    <t>YLR113W</t>
  </si>
  <si>
    <t>HOG1</t>
  </si>
  <si>
    <t>Protein involved in the Mec1p-mediated checkpoint pathway that responds to DNA damage or replication arrest, transcription is induced by DNA damage</t>
  </si>
  <si>
    <t>YML058W</t>
  </si>
  <si>
    <t>SML1</t>
  </si>
  <si>
    <t>Ribonucleotide reductase inhibitor involved in regulating dNTP production, regulated by Mec1p and Rad53p during DNA damage and S phase</t>
  </si>
  <si>
    <t>YML057W</t>
  </si>
  <si>
    <t>CMP2</t>
  </si>
  <si>
    <t>Calcineurin A, one isoform (the other is CNA1) of the catalytic subunit of calcineurin, a Ca++calmodulin-regulated protein phosphatase which regulates Crz1p (a stress-response transcription factor), the other calcineurin subunit is CNB1</t>
  </si>
  <si>
    <t>YML056C</t>
  </si>
  <si>
    <t>IMD4</t>
  </si>
  <si>
    <t>Inosine monophosphate dehydrogenase, catalyzes the first step of GMP biosynthesis, member of a four-gene family in S. cerevisiae, constitutively expressed</t>
  </si>
  <si>
    <t>YML055W</t>
  </si>
  <si>
    <t>SPC2</t>
  </si>
  <si>
    <t>Subunit of signal peptidase complex (Spc1p, Spc2p, Spc3p, Sec11p), which catalyzes cleavage of N-terminal signal sequences of proteins targeted to the secretory pathway, homologous to mammalian SPC25</t>
  </si>
  <si>
    <t>YML054C-A</t>
  </si>
  <si>
    <t>YML054C</t>
  </si>
  <si>
    <t>CYB2</t>
  </si>
  <si>
    <t>Zinc-finger protein with Zn[2]-Cys[6] fungal-type binuclear cluster domain, DNA-binding transcriptional activator or CHA1</t>
  </si>
  <si>
    <t>YLR097C</t>
  </si>
  <si>
    <t>HRT3</t>
  </si>
  <si>
    <t>Putative nuclear ubiquitin ligase, based on computational analysis of large-scale protein-protein interaction data, has similarity to F-box proteins, identified in association with Cdc53p, Skp1p and Ubi4 in large-scale studies</t>
  </si>
  <si>
    <t>YLR096W</t>
  </si>
  <si>
    <t>KIN2</t>
  </si>
  <si>
    <t>Serinethreonine protein kinase involved in regulation of exocytosis, localizes to the cytoplasmic face of the plasma membrane, closely related to Kin1p</t>
  </si>
  <si>
    <t>YLR095C</t>
  </si>
  <si>
    <t>IOC2</t>
  </si>
  <si>
    <t>Member of a complex (Isw1b) with Isw1p and Ioc4p that exhibits nucleosome-stimulated ATPase activity and acts within coding regions to coordinate transcription elongation with termination and processing, contains a PHD finger motif</t>
  </si>
  <si>
    <t>YLR094C</t>
  </si>
  <si>
    <t>GIS3</t>
  </si>
  <si>
    <t>Protein of unknown function</t>
  </si>
  <si>
    <t>YLR093C</t>
  </si>
  <si>
    <t>NYV1</t>
  </si>
  <si>
    <t>v-SNARE component of the vacuolar SNARE complex involved in vesicle fusion, inhibits ATP-dependent Ca(2+) transport activity of Pmc1p in the vacuolar membrane</t>
  </si>
  <si>
    <t>YLR092W</t>
  </si>
  <si>
    <t>SUL2</t>
  </si>
  <si>
    <t>High affinity sulfate permease, sulfate uptake is mediated by specific sulfate transporters Sul1p and Sul2p, which control the concentration of endogenous activated sulfate intermediates</t>
  </si>
  <si>
    <t>YLR091W</t>
  </si>
  <si>
    <t>YLR090W</t>
  </si>
  <si>
    <t>XDJ1</t>
  </si>
  <si>
    <t>Putative chaperone, homolog of E. coli DnaJ, closely related to Ydj1p</t>
  </si>
  <si>
    <t>YLR089C</t>
  </si>
  <si>
    <t>Putative alanine transaminase (glutamic pyruvic transaminase)</t>
  </si>
  <si>
    <t>YLR088W</t>
  </si>
  <si>
    <t>GAA1</t>
  </si>
  <si>
    <t>Subunit of the GPI (glycosylphosphatidylinositol):protein transamidase complex, removes the GPI-anchoring signal and attaches GPI to proteins in the ER</t>
  </si>
  <si>
    <t>YLR087C</t>
  </si>
  <si>
    <t>CSF1</t>
  </si>
  <si>
    <t>Protein required for fermentation at low temperature</t>
  </si>
  <si>
    <t>YLR086W</t>
  </si>
  <si>
    <t>SMC4</t>
  </si>
  <si>
    <t>Subunit of the condensin complex, which reorganizes chromosomes during cell division, forms a stable complex with Smc2p that has ATP-hydrolyzing and DNA-binding activity and promotes knotting of circular DNA, potential Cdc28p substrate</t>
  </si>
  <si>
    <t>YLR085C</t>
  </si>
  <si>
    <t>ARP6</t>
  </si>
  <si>
    <t>YLR084C</t>
  </si>
  <si>
    <t>RAX2</t>
  </si>
  <si>
    <t>Protein of unknown function, component of the Swr1p complex that incorporates Htz1p into chromatin, required for vacuolar protein sorting</t>
  </si>
  <si>
    <t>YML038C</t>
  </si>
  <si>
    <t>YMD8</t>
  </si>
  <si>
    <t>Putative nucleotide sugar transporter, has similarity to Vrg4p</t>
  </si>
  <si>
    <t>YML037C</t>
  </si>
  <si>
    <t>YML036W</t>
  </si>
  <si>
    <t>YML035C</t>
  </si>
  <si>
    <t>AMD1</t>
  </si>
  <si>
    <t>AMP deaminase, tetrameric enzyme that catalyzes the deamination of AMP to form IMP and ammonia, may be involved in regulation of intracellular adenine nucleotide pools</t>
  </si>
  <si>
    <t>YML034W</t>
  </si>
  <si>
    <t>SRC1</t>
  </si>
  <si>
    <t>Protein with a putative role in sister chromatid segregation, potentially phosphorylated by Cdc28p, green fluorescent protein (GFP)-fusion protein localizes to the nuclear periphery</t>
  </si>
  <si>
    <t>YML032C</t>
  </si>
  <si>
    <t>RAD52</t>
  </si>
  <si>
    <t>Protein that stimulates strand exchange by facilitating Rad51p binding to single-stranded DNA, anneals complementary single-stranded DNA, involved in the repair of double-strand breaks in DNA during vegetative growth and meiosis</t>
  </si>
  <si>
    <t>YML031W</t>
  </si>
  <si>
    <t>NDC1</t>
  </si>
  <si>
    <t>Nuclear envelope protein with multiple putative transmembrane domains, required for nuclear pore complex assembly and spindle pole body duplication, required for meiosis II</t>
  </si>
  <si>
    <t>YML030W</t>
  </si>
  <si>
    <t>YML029W</t>
  </si>
  <si>
    <t>USA1</t>
  </si>
  <si>
    <t>Protein that interacts in the two-hybrid system with the U1 snRNP-specific protein, Snp1p, may have a role in pre-mRNA splicing</t>
  </si>
  <si>
    <t>YML028W</t>
  </si>
  <si>
    <t>TSA1</t>
  </si>
  <si>
    <t>Ubiquitous housekeeping thioredoxin peroxidase, reduces reactive oxygen, nitrogen and sulfur species using thioredoxin as hydrogen donor, mediates redox regulation of the nuclear localization of Yap1p, deletion results in mutator phenotype</t>
  </si>
  <si>
    <t>YML027W</t>
  </si>
  <si>
    <t>YOX1</t>
  </si>
  <si>
    <t>Homeodomain-containing transcriptional repressor, binds to Mcm1p and to early cell cycle boxes (ECBs) in the promoters of cell cycle-regulated genes expressed in MG1 phase, expression is cell cycle-regulated, potential Cdc28p substrate</t>
  </si>
  <si>
    <t>YML026C</t>
  </si>
  <si>
    <t>Protein component of the small (40S) ribosomal subunit, nearly identical to Rps18Ap and has similarity to E. coli S13 and rat S18 ribosomal proteins  Protein component of the small (40S) ribosomal subunit, nearly identical to Rps18Bp and has similarity to E. coli S13 and rat S18 ribosomal proteins</t>
  </si>
  <si>
    <t>YML025C</t>
  </si>
  <si>
    <t>YML6</t>
  </si>
  <si>
    <t>Mitochondrial ribosomal protein of the large subunit, has similarity to E. coli L4 ribosomal protein and human mitoribosomal MRP-L4 protein, essential for viability, unlike most other mitoribosomal proteins</t>
  </si>
  <si>
    <t>YML024W</t>
  </si>
  <si>
    <t>Ribosomal protein 51 (rp51) of the small (40s) subunit, nearly identical to Rps17Bp and has similarity to rat S17 ribosomal protein  Ribosomal protein 51 (rp51) of the small (40s) subunit, nearly identical to Rps17Ap and has similarity to rat S17 ribosomal protein</t>
  </si>
  <si>
    <t>YML023C</t>
  </si>
  <si>
    <t>YML022W</t>
  </si>
  <si>
    <t>APT1</t>
  </si>
  <si>
    <t>Adenine phosphoribosyltransferase, catalyzes the formation of AMP from adenine and 5-phosphoribosylpyrophosphate, involved in the salvage pathway of purine nucleotide biosynthesis</t>
  </si>
  <si>
    <t>YML021C</t>
  </si>
  <si>
    <t>UNG1</t>
  </si>
  <si>
    <t>Uracil-DNA glycosylase, required for repair of uracil in DNA formed by spontaneous cytosine deamination, not required for strand-specific mismatch repair, cell-cycle regulated, expressed in late G1, localizes to mitochondria and nucleus</t>
  </si>
  <si>
    <t>YML020W</t>
  </si>
  <si>
    <t>YML019W</t>
  </si>
  <si>
    <t>OST6</t>
  </si>
  <si>
    <t>Subunit of the oligosaccharyltransferase complex of the ER lumen, which catalyzes asparagine-linked glycosylation of newly synthesized proteins, similar to and partially functionally redundant with Ost3p</t>
  </si>
  <si>
    <t>YML018C</t>
  </si>
  <si>
    <t>YML017W</t>
  </si>
  <si>
    <t>PSP2</t>
  </si>
  <si>
    <t>Asn rich cytoplasmic protein that contains RGG motifs, high-copy suppressor of group II intron-splicing defects of a mutation in MRS2 and of a conditional mutation in POL1 (DNA polymerase alpha), possible role in mitochondrial mRNA splicing</t>
  </si>
  <si>
    <t>YML016C</t>
  </si>
  <si>
    <t>PPZ1</t>
  </si>
  <si>
    <t>Serinethreonine protein phosphatase Z, isoform of Ppz2p, involved in regulation of potassium transport, which affects osmotic stability, cell cycle progression, and halotolerance</t>
  </si>
  <si>
    <t>YML015C</t>
  </si>
  <si>
    <t>TAF11</t>
  </si>
  <si>
    <t>TFIID subunit (40 kDa), involved in RNA polymerase II transcription initiation, similar to histone H3 with atypical histone fold motif of Spt3-like transcription factors</t>
  </si>
  <si>
    <t>YML014W</t>
  </si>
  <si>
    <t>TRM9</t>
  </si>
  <si>
    <t>tRNA methyltransferase, catalyzes the esterification of modified uridine nucleotides in tRNAs, creating 5-methylcarbonylmethyluridine in tRNA(Arg3) and 5-methylcarbonylmethyl-2-thiouridine in tRNA(Glu), may have a role in stress response</t>
  </si>
  <si>
    <t>YML013W</t>
  </si>
  <si>
    <t>SEL1</t>
  </si>
  <si>
    <t>UBX (ubiquitin regulatory X) domain-containing protein that interacts with Cdc48p, has a ubiquitin-associated (UBA) domain, interacts with ubiquitylated proteins in vivo, and is required for degradation of a ubiquitylated model substrate</t>
  </si>
  <si>
    <t>YML012W</t>
  </si>
  <si>
    <t>ERV25</t>
  </si>
  <si>
    <t>Protein that forms a heterotrimeric complex with Erp1, Erp2p, and Emp24, member of the p24 family involved in endoplasmic reticulum to Golgi transport</t>
  </si>
  <si>
    <t>YML011C</t>
  </si>
  <si>
    <t>YML010W</t>
  </si>
  <si>
    <t>SPT5</t>
  </si>
  <si>
    <t>Protein that forms a complex with Spt4p and mediates both activation and inhibition of transcription elongation, Spt4p-Spt5p complex also plays a role in pre-mRNA processing</t>
  </si>
  <si>
    <t>YML009C</t>
  </si>
  <si>
    <t>MRPL39</t>
  </si>
  <si>
    <t>YML008C</t>
  </si>
  <si>
    <t>ERG6</t>
  </si>
  <si>
    <t>Delta(24)-sterol C-methyltransferase, converts zymosterol to fecosterol in the ergosterol biosynthetic pathway by methylating position C-24</t>
  </si>
  <si>
    <t>YML007W</t>
  </si>
  <si>
    <t>YAP1</t>
  </si>
  <si>
    <t>Basic leucine zipper (bZIP) transcription factor required for oxidative stress tolerance, mediates pleiotropic drug and metal resistance, localized to the nucleus in response to the presence of oxidants</t>
  </si>
  <si>
    <t>YML007C-A</t>
  </si>
  <si>
    <t>YML006C</t>
  </si>
  <si>
    <t>GIS4</t>
  </si>
  <si>
    <t>CAAX box containing protein of unknown function, proposed to be involved in the RAScAMP signaling pathway</t>
  </si>
  <si>
    <t>YML005W</t>
  </si>
  <si>
    <t>TRM12</t>
  </si>
  <si>
    <t>S-adenosylmethionine-dependent methyltransferase of the seven beta-strand family, required for wybutosine formation in phenylalanine-accepting tRNA</t>
  </si>
  <si>
    <t>YML004C</t>
  </si>
  <si>
    <t>GLO1</t>
  </si>
  <si>
    <t>Monomeric glyoxalase I, catalyzes the detoxification of methylglyoxal (a by-product of glycolysis) via condensation with glutathione to produce S-D-lactoylglutathione, expression regulated by methylglyoxal levels and osmotic stress</t>
  </si>
  <si>
    <t>YML003W</t>
  </si>
  <si>
    <t>YML002W</t>
  </si>
  <si>
    <t>YML001W</t>
  </si>
  <si>
    <t>YPT7</t>
  </si>
  <si>
    <t>Gtp-binding protein of the rab family, required for homotypic fusion event in vacuole inheritance, for endosome-endosome fusion, and for fusion of endosomes to vacuoles when expressed from high copy plasmid, GTP-binding protein, rab family</t>
  </si>
  <si>
    <t>YLR466C-B</t>
  </si>
  <si>
    <t>YLR462W</t>
  </si>
  <si>
    <t>RSC58</t>
  </si>
  <si>
    <t>Remodels the structure of chromatin complex 58KDa subunit, Chromatin Remodeling Complex subunit</t>
  </si>
  <si>
    <t>YLR032W</t>
  </si>
  <si>
    <t>RAD5</t>
  </si>
  <si>
    <t>Single-stranded DNA-dependent ATPase, involved in postreplication repair, contains RING finger domain</t>
  </si>
  <si>
    <t>YLR031W</t>
  </si>
  <si>
    <t>YLR030W</t>
  </si>
  <si>
    <t>YLR029C</t>
  </si>
  <si>
    <t>RPL15A</t>
  </si>
  <si>
    <t>Protein component of the large (60S) ribosomal subunit, nearly identical to Rpl15Bp and has similarity to rat L15 ribosomal protein, binds to 5.8 S rRNA</t>
  </si>
  <si>
    <t>YLR028C</t>
  </si>
  <si>
    <t>ADE16</t>
  </si>
  <si>
    <t>Enzyme of de novo purine biosynthesis containing both 5-aminoimidazole-4-carboxamide ribonucleotide transformylase and inosine monophosphate cyclohydrolase activities, isozyme of Ade17p, ade16 ade17 mutants require adenine and histidine</t>
  </si>
  <si>
    <t>YLR027C</t>
  </si>
  <si>
    <t>AAT2</t>
  </si>
  <si>
    <t>Cytosolic aspartate aminotransferase, involved in nitrogen metabolism, localizes to peroxisomes in oleate-grown cells</t>
  </si>
  <si>
    <t>YLR026C</t>
  </si>
  <si>
    <t>SED5</t>
  </si>
  <si>
    <t>cis-Golgi t-SNARE syntaxin required for vesicular transport between the ER and the Golgi complex, binds at least 9 SNARE proteins</t>
  </si>
  <si>
    <t>YLR025W</t>
  </si>
  <si>
    <t>SNF7</t>
  </si>
  <si>
    <t>One of four subunits of the endosomal sorting complex required for transport III (ESCRT-III), involved in the sorting of transmembrane proteins into the multivesicular body (MVB) pathway, recruited from the cytoplasm to endosomal membranes</t>
  </si>
  <si>
    <t>YLR024C</t>
  </si>
  <si>
    <t>UBR2</t>
  </si>
  <si>
    <t>Cytoplasmic ubiquitin-protein ligase (E3)</t>
  </si>
  <si>
    <t>YLR023C</t>
  </si>
  <si>
    <t>IZH3</t>
  </si>
  <si>
    <t>Membrane protein involved in zinc metabolism, member of the four-protein IZH family, expression induced by zinc deficiency, deletion reduces sensitivity to elevated zinc and shortens lag phase, overexpression reduces Zap1p activity</t>
  </si>
  <si>
    <t>YLR022C</t>
  </si>
  <si>
    <t>Essential protein involved in RNA metabolism, one of two yeast homologs (with Yhr087wp) of the human protein SBDS responsible for autosomal recessive Shwachman-Bodian-Diamond Syndrome, also conserved in Archaea</t>
  </si>
  <si>
    <t>YLR021W</t>
  </si>
  <si>
    <t>YLR020C</t>
  </si>
  <si>
    <t>YEH2</t>
  </si>
  <si>
    <t>Steryl ester hydrolase, catalyzes steryl ester hydrolysis at the plasma membrane, involved in sterol metabolism</t>
  </si>
  <si>
    <t>YLR019W</t>
  </si>
  <si>
    <t>PSR2</t>
  </si>
  <si>
    <t>Part of 23-member seripauperin multigene family encoded mainly in subtelomeric regions, active during alcoholic fermentation, regulated by anaerobiosis, negatively regulated by oxygen, repressed by heme  Hypothetical protein  Part of 23-member seripauperin multigene family encoded mainly in subtelomeric regions, active during alcoholic fermentation, regulated by anaerobiosis, negatively regulated by oxygen, repressed by heme  Hypothetical protein  Part of 23-member seripauperin multigene family encoded mainly in subtelomeric regions, active during alcoholic fermentation, regulated by anaerobiosis, negatively regulated by oxygen, repressed by heme  Hypothetical protein  Hypothetical protein  Hypothetical protein  Hypothetical protein  Part of 23-member seripauperin multigene family encoded mainly in subtelomeric regions, active during alcoholic fermentation, regulated by anaerobiosis, negatively regulated by oxygen, repressed by heme  Hypothetical protein  Cell wall mannoprotein with similarity to Tir1p, Tir2p, Tir3p, and Tir4p, expressed under anaerobic conditions, completely repressed during aerobic growth  Hypothetical protein  Hypothetical protein identified by homology. See FEBS Letters [2000] 487:31-36.</t>
  </si>
  <si>
    <t>YLR460C</t>
  </si>
  <si>
    <t>YLR459W</t>
  </si>
  <si>
    <t>GAB1</t>
  </si>
  <si>
    <t>GPI transamidase subunit, involved in attachment of glycosylphosphatidylinositol (GPI) anchors to proteins, may have a role in recognition of the attachment signal or of the lipid portion of GPI</t>
  </si>
  <si>
    <t>YLR457C</t>
  </si>
  <si>
    <t>NBP1</t>
  </si>
  <si>
    <t>Component of the mitotic apparatus containing a coiled-coil domain, essential for the G2M transition</t>
  </si>
  <si>
    <t>YLR456W</t>
  </si>
  <si>
    <t>YLR455W</t>
  </si>
  <si>
    <t>YLR454W</t>
  </si>
  <si>
    <t>YLR453C</t>
  </si>
  <si>
    <t>RIF2</t>
  </si>
  <si>
    <t>Protein that binds to the Rap1p C-terminus and acts synergistically with Rif1p to help control telomere length and establish telomeric silencing, deletion results in telomere elongation</t>
  </si>
  <si>
    <t>YLR452C</t>
  </si>
  <si>
    <t>SST2</t>
  </si>
  <si>
    <t>Cytoplasmic response regulator, part of a two-component signal transducer that mediates osmosensing via a phosphorelay mechanism, dephosphorylated form is degraded by the ubiquitin-proteasome system, potential Cdc28p substrate</t>
  </si>
  <si>
    <t>YLR005W</t>
  </si>
  <si>
    <t>SSL1</t>
  </si>
  <si>
    <t>Component of the core form of RNA polymerase transcription factor TFIIH, which has both protein kinase and DNA-dependent ATPasehelicase activities and is essential for transcription and nucleotide excision repair, interacts with Tfb4p</t>
  </si>
  <si>
    <t>YLR004C</t>
  </si>
  <si>
    <t>YLR003C</t>
  </si>
  <si>
    <t>YLR002C</t>
  </si>
  <si>
    <t>NOC3</t>
  </si>
  <si>
    <t>Protein that forms a nuclear complex with Noc2p that binds to 66S ribosomal precursors to mediate their intranuclear transport, also binds to chromatin to promote the association of DNA replication factors and replication initiation</t>
  </si>
  <si>
    <t>YLR001C</t>
  </si>
  <si>
    <t>YLL066W-B</t>
  </si>
  <si>
    <t>YLL064C</t>
  </si>
  <si>
    <t>YLL063C</t>
  </si>
  <si>
    <t>AYT1</t>
  </si>
  <si>
    <t>Acetyltransferase, catalyzes trichothecene 3-O-acetylation, suggesting a possible role in trichothecene biosynthesis</t>
  </si>
  <si>
    <t>YLL062C</t>
  </si>
  <si>
    <t>MHT1</t>
  </si>
  <si>
    <t>S-methylmethionine-homocysteine methyltransferase, functions along with Sam4p in the conversion of S-adenosylmethionine (AdoMet) to methionine to control the methionineAdoMet ratio</t>
  </si>
  <si>
    <t>YLL061W</t>
  </si>
  <si>
    <t>MMP1</t>
  </si>
  <si>
    <t>High-affinity S-methylmethionine permease, required for utilization of S-methylmethionine as a sulfur source, has similarity to S-adenosylmethionine permease Sam3p</t>
  </si>
  <si>
    <t>YLL060C</t>
  </si>
  <si>
    <t>GTT2</t>
  </si>
  <si>
    <t>Glutathione S-transferase capable of homodimerization, functional overlap with Gtt2p, Grx1p, and Grx2p</t>
  </si>
  <si>
    <t>YLL058W</t>
  </si>
  <si>
    <t>YLL057C</t>
  </si>
  <si>
    <t>JLP1</t>
  </si>
  <si>
    <t>Fe(II)-dependent sulfonatealpha-ketoglutarate dioxygenase, involved in sulfonate catabolism for use as a sulfur source, contains sequence that closely resembles a J domain (typified by the E. coli DnaJ protein)</t>
  </si>
  <si>
    <t>YLL056C</t>
  </si>
  <si>
    <t>YLL055W</t>
  </si>
  <si>
    <t>YLL054C</t>
  </si>
  <si>
    <t>YLL053C</t>
  </si>
  <si>
    <t>AQY2</t>
  </si>
  <si>
    <t>Water channel that mediates the transport of water across cell membranes and may be involved in freeze tolerance, disrupted by a stop codon in many S. cerevisiae strains  Hypothetical protein, maybe continuous with YLL052C (AQY2) in some strain backgrounds including Sigma1278b, functions as an aquaporin in these strains.</t>
  </si>
  <si>
    <t>YLL052C</t>
  </si>
  <si>
    <t>YLL051C</t>
  </si>
  <si>
    <t>FRE6</t>
  </si>
  <si>
    <t>YLL050C</t>
  </si>
  <si>
    <t>COF1</t>
  </si>
  <si>
    <t>Cofilin, promotes actin filament depolarization in a pH-dependent manner, binds both actin monomers and filaments and severs filaments , thought to be regulated by phosphorylation at SER4, ubiquitous and essential in eukaryotes</t>
  </si>
  <si>
    <t>YLL049W</t>
  </si>
  <si>
    <t>YLL048C</t>
  </si>
  <si>
    <t>YBT1</t>
  </si>
  <si>
    <t>Transporter of the ATP-binding cassette (ABC) family involved in bile acid transport, similar to mammalian bile transporters</t>
  </si>
  <si>
    <t>YLL046C</t>
  </si>
  <si>
    <t>RNP1</t>
  </si>
  <si>
    <t>Ribonucleoprotein that contains two RNA recognition motifs (RRM)</t>
  </si>
  <si>
    <t>YLL045C</t>
  </si>
  <si>
    <t>Ribosomal protein L4 of the large (60S) ribosomal subunit, nearly identical to Rpl8Ap and has similarity to rat L7a ribosomal protein, mutation results in decreased amounts of free 60S subunits  Ribosomal protein L4 of the large (60S) ribosomal subunit, nearly identical to Rpl8Bp and has similarity to rat L7a ribosomal protein, mutation results in decreased amounts of free 60S subunits</t>
  </si>
  <si>
    <t>YLL043W</t>
  </si>
  <si>
    <t>FPS1</t>
  </si>
  <si>
    <t>Plasma membrane glycerol channel, member of the major intrinsic protein (MIP) family of channel proteins, involved in efflux of glycerol and in uptake of the trivalent metalloids arsenite and antimonite</t>
  </si>
  <si>
    <t>YLL042C</t>
  </si>
  <si>
    <t>ATG10</t>
  </si>
  <si>
    <t>Enzyme that mediates formation of the Atg12p-Atg5p conjugate, which is a critical step in autophagy</t>
  </si>
  <si>
    <t>YLL041C</t>
  </si>
  <si>
    <t>SDH2</t>
  </si>
  <si>
    <t>Iron-sulfur protein subunit of succinate dehydrogenase (Sdh1p, Sdh2p, Sdh3p, Sdh4p), which couples the oxidation of succinate to the transfer of electrons to ubiquinone</t>
  </si>
  <si>
    <t>YLL040C</t>
  </si>
  <si>
    <t>VPS13</t>
  </si>
  <si>
    <t>Protein of unknown function, heterooligomeric or homooligomeric complex, peripherally associated with membranes, homologous to human COH1, involved in sporulation, vacuolar protein sorting and protein-Golgi retention</t>
  </si>
  <si>
    <t>YLL039C</t>
  </si>
  <si>
    <t>UBI4</t>
  </si>
  <si>
    <t>Ubiquitin, becomes conjugated to proteins, marking them for selective degradation via the ubiquitin-26S proteasome system, essential for the cellular stress response</t>
  </si>
  <si>
    <t>YLL038C</t>
  </si>
  <si>
    <t>ENT4</t>
  </si>
  <si>
    <t>Protein of unknown function, contains an N-terminal epsin-like domain</t>
  </si>
  <si>
    <t>YLL036C</t>
  </si>
  <si>
    <t>PRP19</t>
  </si>
  <si>
    <t>Splicing factor associated with the spliceosome, contains a U-box, a motif found in a class of ubiquitin ligases</t>
  </si>
  <si>
    <t>YLL035W</t>
  </si>
  <si>
    <t>GRC3</t>
  </si>
  <si>
    <t>Protein of unknown function, required for cell growth and possibly involved in rRNA processing, mRNA is cell cycle regulated</t>
  </si>
  <si>
    <t>YLL034C</t>
  </si>
  <si>
    <t>RIX7</t>
  </si>
  <si>
    <t>Putative ATPase of the AAA family, required for export of pre-ribosomal large subunits from the nucleus, distributed between the nucleolus, nucleoplasm, and nuclear periphery depending on growth conditions</t>
  </si>
  <si>
    <t>YLL033W</t>
  </si>
  <si>
    <t>YLL032C</t>
  </si>
  <si>
    <t>YLL031C</t>
  </si>
  <si>
    <t>GPI13</t>
  </si>
  <si>
    <t>ER membrane localized phosphoryltransferase that adds phosphoethanolamine onto the third mannose residue of the glycosylphosphatidylinositol (GPI) anchor precursor, similar to human PIG-O protein</t>
  </si>
  <si>
    <t>YLL029W</t>
  </si>
  <si>
    <t>YLL028W</t>
  </si>
  <si>
    <t>TPO1</t>
  </si>
  <si>
    <t>Polyamine transporter that recognizes spermine, putrescine, and spermidine, catalyzes uptake of polyamines at alkaline pH and excretion at acidic pH, phosphorylation enhances activity and sorting to the plasma membrane</t>
  </si>
  <si>
    <t>YLL027W</t>
  </si>
  <si>
    <t>ISA1</t>
  </si>
  <si>
    <t>Mitochondrial matrix protein involved in biogenesis of the iron-sulfur (FeS) cluster of FeS proteins, isa1 deletion causes loss of mitochondrial DNA and respiratory deficiency, depletion reduces growth on nonfermentable carbon sources</t>
  </si>
  <si>
    <t>YLL026W</t>
  </si>
  <si>
    <t>HSP104</t>
  </si>
  <si>
    <t>Transcription factor that controls expression of many ribosome biogenesis genes in response to nutrients and stress, regulates G2M transitions during mitotic cell cycle and DNA-damage response, involved in cell size modulation</t>
  </si>
  <si>
    <t>YLR401C</t>
  </si>
  <si>
    <t>DUS3</t>
  </si>
  <si>
    <t>Dihydrouridine synthase, member of a widespread family of conserved proteins including Smm1p, Dus1p, and Dus4p, contains a consensus oleate response element (ORE) in its promoter region</t>
  </si>
  <si>
    <t>YLR399C</t>
  </si>
  <si>
    <t>BDF1</t>
  </si>
  <si>
    <t>Protein involved in transcription initiation at TATA-containing promoters, associates with the basal transcription factor TFIID, contains two bromodomains, corresponds to the C-terminal region of mammalian TAF1, redundant with Bdf2p</t>
  </si>
  <si>
    <t>YLR398C</t>
  </si>
  <si>
    <t>SKI2</t>
  </si>
  <si>
    <t>Putative RNA helicase, involved in exosome mediated 3 to 5 mRNA degradation and translation inhibition of non-poly(A) mRNAs, forms complex with Ski3p and Ski8p, required for repressing propagation of dsRNA viruses</t>
  </si>
  <si>
    <t>YLR397C</t>
  </si>
  <si>
    <t>AFG2</t>
  </si>
  <si>
    <t>ATPase of the CDC48PAS1SEC18 (AAA) family, forms a hexameric complex, may be involved in degradation of aberrant mRNAs</t>
  </si>
  <si>
    <t>YLR396C</t>
  </si>
  <si>
    <t>VPS33</t>
  </si>
  <si>
    <t>ATP-binding protein that is a subunit of the homotypic vacuole fusion and vacuole protein sorting (HOPS) complex, essential for membrane docking and fusion at both the Golgi-to-endosome and endosome-to-vacuole stages of protein transport</t>
  </si>
  <si>
    <t>YLR395C</t>
  </si>
  <si>
    <t>COX8</t>
  </si>
  <si>
    <t>Subunit VIII of cytochrome c oxidase, which is the terminal member of the mitochondrial inner membrane electron transport chain</t>
  </si>
  <si>
    <t>YLR394W</t>
  </si>
  <si>
    <t>CST9</t>
  </si>
  <si>
    <t>Protein required for synaptonemal complex formation, may have a role in meiotic recombination, localizes to synapsis initiation sites on meiotic chromosomes, potential Cdc28p substrate</t>
  </si>
  <si>
    <t>YLR393W</t>
  </si>
  <si>
    <t>ATP10</t>
  </si>
  <si>
    <t>Mitochondrial inner membrane protein required for assembly of the F0 sector of mitochondrial F1F0 ATP synthase, interacts genetically with ATP6</t>
  </si>
  <si>
    <t>YLR392C</t>
  </si>
  <si>
    <t>YLR390W-A</t>
  </si>
  <si>
    <t>CCW14</t>
  </si>
  <si>
    <t>Secretory Stress Response protein</t>
  </si>
  <si>
    <t>YLR390W</t>
  </si>
  <si>
    <t>ECM19</t>
  </si>
  <si>
    <t>YLR389C</t>
  </si>
  <si>
    <t>STE23</t>
  </si>
  <si>
    <t>ABC type transmembrane transporter of MRPCFTR family, found in vacuolar membrane, involved in the transport of unconjugated bilirubin and in heavy metal detoxification via glutathione conjugates, along with Ycf1p</t>
  </si>
  <si>
    <t>YLL014W</t>
  </si>
  <si>
    <t>YLL013C</t>
  </si>
  <si>
    <t>PUF3</t>
  </si>
  <si>
    <t>Protein that regulates degradation of specific mRNAs such as COX17, binds almost exclusively to cytoplasmic mRNAs encoding mitochondrial proteins, member of the PUF protein family that contains Pumilio homology domains</t>
  </si>
  <si>
    <t>YLL012W</t>
  </si>
  <si>
    <t>YEH1</t>
  </si>
  <si>
    <t>Steryl ester hydrolase, one of three gene products (Yeh1p, Yeh2p, Tgl1p) responsible for steryl ester hydrolase activity and involved in sterol homeostasis, localized to lipid particle membranes</t>
  </si>
  <si>
    <t>YLL011W</t>
  </si>
  <si>
    <t>SOF1</t>
  </si>
  <si>
    <t>Essential subunit of the U3 (box C+D) snRNP complex required for 2 O-methylation of pre-RNA, has similarity to the beta subunit of trimeric G-proteins and the splicing factor Prp4p</t>
  </si>
  <si>
    <t>YLL010C</t>
  </si>
  <si>
    <t>PSR1</t>
  </si>
  <si>
    <t>Plasma membrane associated protein phosphatase involved in the general stress response, required along with binding partner Whi2p for full activation of STRE-mediated gene expression, possibly through dephosphorylation of Msn2p</t>
  </si>
  <si>
    <t>YLL009C</t>
  </si>
  <si>
    <t>COX17</t>
  </si>
  <si>
    <t>Copper metallochaperone that transfers copper to Sco1p and Cox11p for eventual delivery to cytochrome c oxidase</t>
  </si>
  <si>
    <t>YLL008W</t>
  </si>
  <si>
    <t>DRS1</t>
  </si>
  <si>
    <t>Nucleolar DEAD-box protein required for ribosome assembly and function, including synthesis of 60S ribosomal subunits, constituent of 66S pre-ribosomal particles</t>
  </si>
  <si>
    <t>YLL007C</t>
  </si>
  <si>
    <t>YLL006W-A</t>
  </si>
  <si>
    <t>YLL006W</t>
  </si>
  <si>
    <t>MMM1</t>
  </si>
  <si>
    <t>Mitochondrial outer membrane protein required for normal mitochondrial morphology and mtDNA stability, involved in tethering mitochondria to the actin cytoskeleton and in anchoring mtDNA nucleoids</t>
  </si>
  <si>
    <t>YLL005C</t>
  </si>
  <si>
    <t>SPO75</t>
  </si>
  <si>
    <t>YLL004W</t>
  </si>
  <si>
    <t>ORC3</t>
  </si>
  <si>
    <t>YLL003W</t>
  </si>
  <si>
    <t>SFI1</t>
  </si>
  <si>
    <t>Centrin (Cdc31p)-binding protein required for spindle pole body (SPB) duplication, localizes to the half-bridge of the SPB, required for progression through G(2)-M transition, has similarity to Xenopus laevis XCAP-C</t>
  </si>
  <si>
    <t>YLL002W</t>
  </si>
  <si>
    <t>RTT109</t>
  </si>
  <si>
    <t>Essential subunit of Sec61 complex (Sec61p, Sbh1p, and Sss1p), forms a channel for SRP-dependent protein import and retrograde transport of misfolded proteins out of the ER, with Sec63 complex allows SRP-independent protein import into ER</t>
  </si>
  <si>
    <t>YLR377C</t>
  </si>
  <si>
    <t>FBP1</t>
  </si>
  <si>
    <t>Fructose-1,6-bisphosphatase, key regulatory enzyme in the gluconeogenesis pathway, required for glucose metabolism</t>
  </si>
  <si>
    <t>YLR376C</t>
  </si>
  <si>
    <t>PSY3</t>
  </si>
  <si>
    <t xml:space="preserve">Protein of unknown function, deletion results in a mutator phenotype suggesting a role for this protein as a mutational suppressor, deletion increases sensitivity to anticancer drugs oxaliplatin and cisplatin but not mitomycin C </t>
  </si>
  <si>
    <t>YLR375W</t>
  </si>
  <si>
    <t>STP3</t>
  </si>
  <si>
    <t>Zinc-finger protein of unknown function, possibly involved in pre-tRNA splicing and in uptake of branched-chain amino acids</t>
  </si>
  <si>
    <t>YLR373C</t>
  </si>
  <si>
    <t>VID22</t>
  </si>
  <si>
    <t>Glycosylated integral membrane protein localized to the plasma membrane, plays a role in fructose-1,6-bisphosphatase (FBPase) degradation, involved in FBPase transport from the cytosol to Vid (vacuole import and degradation) vesicles</t>
  </si>
  <si>
    <t>YLR372W</t>
  </si>
  <si>
    <t>SUR4</t>
  </si>
  <si>
    <t>Elongase, involved in fatty acid and sphingolipid biosynthesis, synthesizes very long chain 20-26-carbon fatty acids from C18-CoA primers, involved in regulation of sphingolipid biosynthesis</t>
  </si>
  <si>
    <t>YLR371W</t>
  </si>
  <si>
    <t>ROM2</t>
  </si>
  <si>
    <t>GDPGTP exchange protein (GEP) for Rho1p and Rho2p, mutations are synthetically lethal with mutations in rom1, which also encodes a GEP</t>
  </si>
  <si>
    <t>YLR370C</t>
  </si>
  <si>
    <t>ARC18</t>
  </si>
  <si>
    <t>Subunit of the ARP23 complex, which is required for the motility and integrity of cortical actin patches</t>
  </si>
  <si>
    <t>YLR369W</t>
  </si>
  <si>
    <t>SSQ1</t>
  </si>
  <si>
    <t>Mitochondrial hsp70-type molecular chaperone, required for assembly of ironsulfur clusters into proteins at a step after cluster synthesis, and for maturation of Yfh1p, which is a homolog of human frataxin implicated in Friedreichs ataxia</t>
  </si>
  <si>
    <t>YLR368W</t>
  </si>
  <si>
    <t>MDM30</t>
  </si>
  <si>
    <t>F box protein, component of protein ubiquitin ligases, promotes ubiquitin-mediated degradation of Gal4p, required for normal mitochondrial fusion</t>
  </si>
  <si>
    <t>YLR367W</t>
  </si>
  <si>
    <t>RPS22B</t>
  </si>
  <si>
    <t>Protein component of the small (40S) ribosomal subunit, nearly identical to Rps22Ap and has similarity to E. coli S8 and rat S15a ribosomal proteins</t>
  </si>
  <si>
    <t>YLR364W</t>
  </si>
  <si>
    <t>YLR363W-A</t>
  </si>
  <si>
    <t>YLR363C</t>
  </si>
  <si>
    <t>NMD4</t>
  </si>
  <si>
    <t>Protein interacting with Nam7p, may be involved in the nonsense-mediated mRNA decay pathway</t>
  </si>
  <si>
    <t>YLR362W</t>
  </si>
  <si>
    <t>STE11</t>
  </si>
  <si>
    <t>Signal transducing MEK kinase involved in pheromone response and pseudohyphalinvasive growth pathways, where it phosphorylates Ste7p, and the high osmolarity response pathway, via phosphorylation of Pbs2p, regulated by Ste20p and Ste50p</t>
  </si>
  <si>
    <t>YLR361C-A</t>
  </si>
  <si>
    <t>YLR361C</t>
  </si>
  <si>
    <t>Protein involved in cell cycle regulation</t>
  </si>
  <si>
    <t>YLR360W</t>
  </si>
  <si>
    <t>VPS38</t>
  </si>
  <si>
    <t>Part of a Vps34p phosphatidylinositol 3-kinase complex that functions in carboxypeptidase Y (CPY) sorting, binds Vps30p and Vps34p to promote production of phosphatidylinositol 3-phosphate (PtdIns3P) which stimulates kinase activity</t>
  </si>
  <si>
    <t>YLR359W</t>
  </si>
  <si>
    <t>ADE13</t>
  </si>
  <si>
    <t>Adenylosuccinate lyase, catalyzes two steps in the de novo purine nucleotide biosynthetic pathway</t>
  </si>
  <si>
    <t>YLR357W</t>
  </si>
  <si>
    <t>RSC2</t>
  </si>
  <si>
    <t>One of 15 subunits of the Remodel the Structure of Chromatin (RSC) complex, required for expression of mid-late sporulation-specific genes, contains two essential  bromodomains, a bromo-adjacent homology (BAH) domain, and an AT hook</t>
  </si>
  <si>
    <t>YLR356W</t>
  </si>
  <si>
    <t>YLR355C</t>
  </si>
  <si>
    <t>ILV5</t>
  </si>
  <si>
    <t>Acetohydroxyacid reductoisomerase, mitochondrial protein involved in branched-chain amino acid biosynthesis, also required for maintenance of wild-type mitochondrial DNA</t>
  </si>
  <si>
    <t>YLR354C</t>
  </si>
  <si>
    <t>TAL1</t>
  </si>
  <si>
    <t>Transaldolase, enzyme in the non-oxidative pentose phosphate pathway, converts sedoheptulose 7-phosphate and glyceraldehyde 3-phosphate to erythrose 4-phosphate and fructose 6-phosphate</t>
  </si>
  <si>
    <t>YLR353W</t>
  </si>
  <si>
    <t>BUD8</t>
  </si>
  <si>
    <t>Protein involved in bud-site selection, diploid mutants display a unipolar budding pattern instead of the wild-type bipolar pattern, and bud at the proximal pole</t>
  </si>
  <si>
    <t>YLR352W</t>
  </si>
  <si>
    <t>YLR351C</t>
  </si>
  <si>
    <t>NIT3</t>
  </si>
  <si>
    <t>RNA helicase in the DEAH-box family involved in the second catalytic step of splicing, exhibits ATP-dependent RNA unwinding activity</t>
  </si>
  <si>
    <t>YKR085C</t>
  </si>
  <si>
    <t>MRPL20</t>
  </si>
  <si>
    <t>YKR084C</t>
  </si>
  <si>
    <t>HBS1</t>
  </si>
  <si>
    <t>GTP binding protein with sequence similarity to the elongation factor class of G proteins, EF-1alpha and Sup35p, associates with Dom34p, and shares a similar genetic relationship with genes that encode ribosomal protein components</t>
  </si>
  <si>
    <t>YKR083C</t>
  </si>
  <si>
    <t>DAD2</t>
  </si>
  <si>
    <t>Essential protein, component of the DASH complex, involved in spindle integrity and kinetochore function, interacts with Duo1p and Dam1p, localizes to intranuclear spindles and kinetochore</t>
  </si>
  <si>
    <t>YKR082W</t>
  </si>
  <si>
    <t>NUP133</t>
  </si>
  <si>
    <t>Subunit of the Nup84p subcomplex of the nuclear pore complex (NPC), localizes to both sides of the NPC, required to establish a normal nucleocytoplasmic concentration gradient of the GTPase Gsp1p</t>
  </si>
  <si>
    <t>YKR081C</t>
  </si>
  <si>
    <t>RPF2</t>
  </si>
  <si>
    <t>Essential protein involved in the processing of pre-rRNA and the assembly of the 60S ribosomal subunit, interacts with ribosomal protein L11, localizes predominantly to the nucleolus, constituent of 66S pre-ribosomal particles</t>
  </si>
  <si>
    <t>YKR080W</t>
  </si>
  <si>
    <t>MTD1</t>
  </si>
  <si>
    <t>NAD-dependent 5,10-methylenetetrahydrafolate dehydrogenase, plays a catalytic role in oxidation of cytoplasmic one-carbon units, expression is regulated by Bas1p and Bas2p, repressed by adenine, and may be induced by inositol and choline</t>
  </si>
  <si>
    <t>YKR079C</t>
  </si>
  <si>
    <t>TRZ1</t>
  </si>
  <si>
    <t>tRNase Z, involved in RNA processing, has two putative nucleotide triphosphate-binding motifs (P-loop) and a conserved histidine motif, homolog of the human candidate prostate cancer susceptibility gene ELAC2</t>
  </si>
  <si>
    <t>YKR078W</t>
  </si>
  <si>
    <t>Cytoplasmic protein of unknown function, has similarity to Vps5p, potential Cdc28p substrate</t>
  </si>
  <si>
    <t>YKR077W</t>
  </si>
  <si>
    <t>YKR076W</t>
  </si>
  <si>
    <t>ECM4</t>
  </si>
  <si>
    <t>Non-essential protein of unknown function, similar to Ygr154cp</t>
  </si>
  <si>
    <t>YKR075C</t>
  </si>
  <si>
    <t>Protein of unknown function, similar to YOR062Cp and Reg1p, expression regulated by glucose and Rgt1p</t>
  </si>
  <si>
    <t>YKR074W</t>
  </si>
  <si>
    <t>YKR072C</t>
  </si>
  <si>
    <t>SIS2</t>
  </si>
  <si>
    <t>Negative regulatory subunit of the protein phosphatase 1 Ppz1p, involved in ion homeostasis and cell cycle progression</t>
  </si>
  <si>
    <t>YKR071C</t>
  </si>
  <si>
    <t>DRE2</t>
  </si>
  <si>
    <t>Protein of unknown function, mutation displays synthetic lethal interaction with the pol3-13 allele of CDC2</t>
  </si>
  <si>
    <t>YKR070W</t>
  </si>
  <si>
    <t>YKR069W</t>
  </si>
  <si>
    <t>MET1</t>
  </si>
  <si>
    <t>S-adenosyl-L-methionine uroporphyrinogen III transmethylase, involved in sulfate assimilation, methionine metabolism, and siroheme biosynthesis</t>
  </si>
  <si>
    <t>YKR068C</t>
  </si>
  <si>
    <t>BET3</t>
  </si>
  <si>
    <t>Hydrophilic protein that acts in conjunction with SNARE proteins in targeting and fusion of ER to Golgi transport vesicles, component of the TRAPP (transport protein particle) complex</t>
  </si>
  <si>
    <t>YKR067W</t>
  </si>
  <si>
    <t>GPT2</t>
  </si>
  <si>
    <t>Glycerol-3-phosphate acyltransferase located in both lipid particles and the ER, involved in the stepwise acylation of glycerol-3-phosphate and dihydroxyacetone, which are intermediate steps in lipid biosynthesis</t>
  </si>
  <si>
    <t>YKR066C</t>
  </si>
  <si>
    <t>CCP1</t>
  </si>
  <si>
    <t>Mitochondrial cytochrome-c peroxidase, degrades reactive oxygen species in mitochondria, involved in the response to oxidative stress</t>
  </si>
  <si>
    <t>YKR065C</t>
  </si>
  <si>
    <t>YKR064W</t>
  </si>
  <si>
    <t>YKR063C</t>
  </si>
  <si>
    <t>LAS1</t>
  </si>
  <si>
    <t>Essential nuclear protein possibly involved in bud formation and morphogenesis, mutants require the SSD1-v allele for viability</t>
  </si>
  <si>
    <t>YKR062W</t>
  </si>
  <si>
    <t>TFA2</t>
  </si>
  <si>
    <t>TFIIE small subunit, involved in RNA polymerase II transcription initiation</t>
  </si>
  <si>
    <t>YKR061W</t>
  </si>
  <si>
    <t>KTR2</t>
  </si>
  <si>
    <t>Mannosyltransferase involved in N-linked protein glycosylation, member of the KRE2MNT1 mannosyltransferase family</t>
  </si>
  <si>
    <t>YKR060W</t>
  </si>
  <si>
    <t>UTP30</t>
  </si>
  <si>
    <t>YKR058W</t>
  </si>
  <si>
    <t>GLG1</t>
  </si>
  <si>
    <t>Self-glucosylating initiator of glycogen synthesis, also glucosylates n-dodecyl-beta-D-maltoside, similar to mammalian glycogenin</t>
  </si>
  <si>
    <t>YKR057W</t>
  </si>
  <si>
    <t>RPS21A</t>
  </si>
  <si>
    <t>Protein component of the small (40S) ribosomal subunit, nearly identical to Rps21Bp and has similarity to rat S21 ribosomal protein</t>
  </si>
  <si>
    <t>YKR056W</t>
  </si>
  <si>
    <t>TRM2</t>
  </si>
  <si>
    <t>tRNA methyltransferase, 5-methylates the uridine residue at position 54 of tRNAs and may also have a role in tRNA stabilization or maturation, previously thought to be an endo-exonuclease</t>
  </si>
  <si>
    <t>YKR055W</t>
  </si>
  <si>
    <t>RHO4</t>
  </si>
  <si>
    <t>Subunit of the RSC chromatin remodeling complex required for kinetochore function in chromosome segregation, essential gene required for cell cycle progression, phosphorylated in the G1 phase of the cell cycle, Snf5p paralog</t>
  </si>
  <si>
    <t>YLR320W</t>
  </si>
  <si>
    <t>MMS22</t>
  </si>
  <si>
    <t>Protein involved in resistance to ionizing radiation, acts with Mms1p in a repair pathway that may be involved in resolving replication intermediates or preventing the damage caused by blocked replication forks</t>
  </si>
  <si>
    <t>YLR319C</t>
  </si>
  <si>
    <t>BUD6</t>
  </si>
  <si>
    <t>Actin- and formin-interacting protein, involved in actin cable nucleation and polarized cell growth, isolated as bipolar budding mutant, potential Cdc28p substrate</t>
  </si>
  <si>
    <t>YLR318W</t>
  </si>
  <si>
    <t>EST2</t>
  </si>
  <si>
    <t>Reverse transcriptase subunit of the telomerase holoenzyme, essential for telomerase core catalytic activity, involved in other aspects of telomerase assembly and function, mutations in human homolog are associated with aplastic anemia</t>
  </si>
  <si>
    <t>YLR316C</t>
  </si>
  <si>
    <t>TAD3</t>
  </si>
  <si>
    <t>Subunit of tRNA-specific adenosine-34 deaminase, forms a heterodimer with Tad3p that converts adenosine to inosine at the wobble position of several tRNAs</t>
  </si>
  <si>
    <t>YLR315W</t>
  </si>
  <si>
    <t>NKP2</t>
  </si>
  <si>
    <t>Non-essential kinetochore protein, subunit of the Ctf19 central kinetochore complex (Ctf19p-Mcm21p-Okp1p-Mcm22p-Mcm16p-Ctf3p-Chl4p-Mcm19p-Nkp1p-Nkp2p-Ame1p-Mtw1p)</t>
  </si>
  <si>
    <t>YLR314C</t>
  </si>
  <si>
    <t>CDC3</t>
  </si>
  <si>
    <t>Component of the septin ring of the mother-bud neck that is required for cytokinesis, septins recruit proteins to the neck and can act as a barrier to diffusion at the membrane, and they comprise the 10nm filaments seen with EM</t>
  </si>
  <si>
    <t>YLR313C</t>
  </si>
  <si>
    <t>SPH1</t>
  </si>
  <si>
    <t>Identified by fungal homology and RT-PCR  Protein involved in shmoo formation and bipolar bud site selection, homologous to Spa2p, localizes to sites of polarized growth in a cell cycle dependent- and Spa2p-dependent manner, interacts with MAPKKs Mkk1p, Mkk2p, and Ste7p</t>
  </si>
  <si>
    <t>YLR312W-A</t>
  </si>
  <si>
    <t>MRPL15</t>
  </si>
  <si>
    <t>YLR312C-B</t>
  </si>
  <si>
    <t>YLR312C</t>
  </si>
  <si>
    <t>YLR310C</t>
  </si>
  <si>
    <t>CDC25</t>
  </si>
  <si>
    <t>Component of Dam1p complex, important for spindle and kinetochore integrity, localized to nuclear side of spindle pole body and along mitotic spindle</t>
  </si>
  <si>
    <t>YKR036C</t>
  </si>
  <si>
    <t>CAF4</t>
  </si>
  <si>
    <t>WD40 repeat-containing protein associated with the CCR4-NOT complex, interacts in a Ccr4p-dependent manner with Ssn2p</t>
  </si>
  <si>
    <t>YKR035W-A</t>
  </si>
  <si>
    <t>DID2</t>
  </si>
  <si>
    <t>Class E protein of the vacuolar protein-sorting (Vps) pathway, associates reversibly with the late endosome, has human ortholog that may be altered in breast tumors</t>
  </si>
  <si>
    <t>YKR034W</t>
  </si>
  <si>
    <t>DAL80</t>
  </si>
  <si>
    <t>Negative regulator of genes in multiple nitrogen degradation pathways, expression is regulated by nitrogen levels and by Gln3p, member of the GATA-binding family, forms homodimers and heterodimers with Deh1p</t>
  </si>
  <si>
    <t>YKR031C</t>
  </si>
  <si>
    <t>SPO14</t>
  </si>
  <si>
    <t>Phospholipase D, catalyzes the hydrolysis of phosphatidylcholine, producing choline and phosphatidic acid, involved in Sec14p-independent secretion, required for meiosis and spore formation, differently regulated in secretion and meiosis</t>
  </si>
  <si>
    <t>YKR030W</t>
  </si>
  <si>
    <t>GMH1</t>
  </si>
  <si>
    <t>Golgi membrane protein of unknown function, interacts with Gea1p and Gea2p, required for localization of Gea2p, computational analysis suggests a possible role in either cell wall synthesis or protein-vacuolar targeting</t>
  </si>
  <si>
    <t>YKR029C</t>
  </si>
  <si>
    <t>SET3</t>
  </si>
  <si>
    <t>Defining member of the SET3 histone deacetylase complex which is a meiosis-specific repressor of sporulation genes, necessary for efficient transcription by RNAPII, one of two yeast proteins that contains both SET and PHD domains</t>
  </si>
  <si>
    <t>YKR028W</t>
  </si>
  <si>
    <t>SAP190</t>
  </si>
  <si>
    <t>Protein that forms a complex with the Sit4p protein phosphatase and is required for its function, member of a family of similar proteins including Sap4p, Sap155p, and Sap185p</t>
  </si>
  <si>
    <t>YKR027W</t>
  </si>
  <si>
    <t>YKR026C</t>
  </si>
  <si>
    <t>GCN3</t>
  </si>
  <si>
    <t>Alpha subunit of the translation initiation factor eIF2B, the guanine-nucleotide exchange factor for eIF2, activity subsequently regulated by phosphorylated eIF2, first identified as a positive regulator of GCN4 expression</t>
  </si>
  <si>
    <t>YKR025W</t>
  </si>
  <si>
    <t>RPC37</t>
  </si>
  <si>
    <t>RNA polymerase III subunit C37</t>
  </si>
  <si>
    <t>YKR024C</t>
  </si>
  <si>
    <t>DBP7</t>
  </si>
  <si>
    <t>Component of the U1 snRNP complex required for pre-mRNA splicing, putative ortholog of human U1C protein, which is involved in formation of a complex between U1 snRNP and the pre-mRNA 5 splice site</t>
  </si>
  <si>
    <t>YLR297W</t>
  </si>
  <si>
    <t>YLR295C</t>
  </si>
  <si>
    <t>ATP14</t>
  </si>
  <si>
    <t>Subunit h of the F0 sector of mitochondrial F1F0 ATP synthase, which is a large, evolutionarily conserved enzyme complex required for ATP synthesis</t>
  </si>
  <si>
    <t>YLR293C</t>
  </si>
  <si>
    <t>GSP1</t>
  </si>
  <si>
    <t>GTP binding protein (mammalian Ranp homolog) involved in the maintenance of nuclear organization, RNA processing and transport, regulated by Prp20p, Rna1p, Yrb1p, Yrb2p, Yrp4p, Yrb30p, Cse1p and Kap95p, yeast Gsp2p homolog</t>
  </si>
  <si>
    <t>YLR292C</t>
  </si>
  <si>
    <t>SEC72</t>
  </si>
  <si>
    <t>Non-essential subunit of Sec63 complex (Sec63p, Sec62p, Sec66p and Sec72p), with Sec61 complex, Kar2pBiP and Lhs1p forms a channel competent for SRP-dependent and post-translational SRP-independent protein targeting and import into the ER</t>
  </si>
  <si>
    <t>YLR291C</t>
  </si>
  <si>
    <t>GCD7</t>
  </si>
  <si>
    <t>Beta subunit of the translation initiation factor eIF2B, the guanine-nucleotide exchange factor for eIF2, activity subsequently regulated by phosphorylated eIF2, first identified as a negative regulator of GCN4 expression</t>
  </si>
  <si>
    <t>YLR290C</t>
  </si>
  <si>
    <t>YLR289W</t>
  </si>
  <si>
    <t>GUF1</t>
  </si>
  <si>
    <t>Mitochondrial GTPase of unknown function, similar to E. coli elongation factor-type GTP-binding protein LepA and to LK1236.1 from Caenorhabditis elegans</t>
  </si>
  <si>
    <t>YLR288C</t>
  </si>
  <si>
    <t>MEC3</t>
  </si>
  <si>
    <t>DNA damage and meiotic pachytene checkpoint protein, subunit of a heterotrimeric complex (Rad17p-Mec3p-Ddc1p) that forms a sliding clamp, loaded onto partial duplex DNA by a clamp loader complex, homolog of human and S. pombe Hus1</t>
  </si>
  <si>
    <t>YLR287C-A</t>
  </si>
  <si>
    <t>Protein component of the small (40S) ribosomal subunit, nearly identical to Rps30Ap and has similarity to rat S30 ribosomal protein  Protein component of the small (40S) ribosomal subunit, nearly identical to Rps30Bp and has similarity to rat S30 ribosomal protein</t>
  </si>
  <si>
    <t>YLR287C</t>
  </si>
  <si>
    <t>YLR286C</t>
  </si>
  <si>
    <t>CTS1</t>
  </si>
  <si>
    <t>Endochitinase, required for cell separation after mitosis, transcriptional activation during late G and early M cell cycle phases is mediated by transcription factor Ace2p</t>
  </si>
  <si>
    <t>YLR285W</t>
  </si>
  <si>
    <t>NNT1</t>
  </si>
  <si>
    <t>Putative nicotinamide N-methyltransferase, has a role in rDNA silencing and in lifespan determination</t>
  </si>
  <si>
    <t>YLR285C-A</t>
  </si>
  <si>
    <t>YLR284C</t>
  </si>
  <si>
    <t>ECI1</t>
  </si>
  <si>
    <t>Peroxisomal delta3,delta2-enoyl-CoA isomerase, hexameric protein that converts 3-hexenoyl-CoA to trans-2-hexenoyl-CoA, essential for the beta-oxidation of unsaturated fatty acids, oleate-induced</t>
  </si>
  <si>
    <t>YLR283W</t>
  </si>
  <si>
    <t>YLR281C</t>
  </si>
  <si>
    <t>YLR278C</t>
  </si>
  <si>
    <t>Protein of unknown function, localizes to the nucleus, potential Cdc28p substrate</t>
  </si>
  <si>
    <t>YLR277C</t>
  </si>
  <si>
    <t>YSH1</t>
  </si>
  <si>
    <t>Putative endonuclease, subunit of the mRNA cleavage and polyadenylation specificity complex required for 3 processing of mRNAs</t>
  </si>
  <si>
    <t>YLR276C</t>
  </si>
  <si>
    <t>DBP9</t>
  </si>
  <si>
    <t>ATP-dependent RNA helicase of the DEAD-box family involved in biogenesis of the 60S ribosomal subunit</t>
  </si>
  <si>
    <t>YLR275W</t>
  </si>
  <si>
    <t>SMD2</t>
  </si>
  <si>
    <t>U1 snRNP protein of the Sm class</t>
  </si>
  <si>
    <t>YLR274W</t>
  </si>
  <si>
    <t>CDC46</t>
  </si>
  <si>
    <t>Component of the hexameric MCM complex, which is important for priming origins of DNA replication in G1 and becomes an active ATP-dependent helicase that promotes DNA melting and elongation when activated by Cdc7p-Dbf4p in S-phase</t>
  </si>
  <si>
    <t>YLR273C</t>
  </si>
  <si>
    <t>PIG1</t>
  </si>
  <si>
    <t>Putative type 1 phosphatase regulatory subunit, interacts with Gsy2p, similar to Gac1p</t>
  </si>
  <si>
    <t>YLR272C</t>
  </si>
  <si>
    <t>YCS4</t>
  </si>
  <si>
    <t>Non-SMC subunit of the condensin complex (Smc2p-Smc4p-Ycs4p-Brn1p-Ycg1p), required for establishment and maintenance of chromosome condensation, chromosome segregation, chromatin binding of condensin and silencing at the mating type locus</t>
  </si>
  <si>
    <t>YLR271W</t>
  </si>
  <si>
    <t>YLR270W</t>
  </si>
  <si>
    <t>DCS1</t>
  </si>
  <si>
    <t>Non-essential hydrolase involved in mRNA decapping, may function in a feedback mechanism to regulate deadenylation, contains pyrophosphatase activity and a HIT (histidine triad) motif, interacts with neutral trehalase Nth1p</t>
  </si>
  <si>
    <t>YLR268W</t>
  </si>
  <si>
    <t>SEC22</t>
  </si>
  <si>
    <t>R-SNARE protein, assembles into SNARE complex with Bet1p, Bos1p and Sed5p, cycles between the ER and Golgi complex, involved in anterograde and retrograde transport between the ER and Golgi, synaptobrevin homolog</t>
  </si>
  <si>
    <t>YLR267W</t>
  </si>
  <si>
    <t>YLR266C</t>
  </si>
  <si>
    <t>PDR8</t>
  </si>
  <si>
    <t>Transcription factor, targets include ATP-binding cassette (ABC) transporters, major facilitator superfamily transporters, and other genes involved in the pleiotropic drug resistance (PDR) phenomenon</t>
  </si>
  <si>
    <t>YLR265C</t>
  </si>
  <si>
    <t>NEJ1</t>
  </si>
  <si>
    <t>Protein involved in regulation of nonhomologous end joining, repressed by MAT heterozygosity, associates with Lif1p and regulates its cellular distribution</t>
  </si>
  <si>
    <t>YLR264W</t>
  </si>
  <si>
    <t>RPS28B</t>
  </si>
  <si>
    <t>Protein component of the small (40S) ribosomal subunit, nearly identical to Rps28Bp and has similarity to rat S28 ribosomal protein</t>
  </si>
  <si>
    <t>YLR264C-A</t>
  </si>
  <si>
    <t>YLR263W</t>
  </si>
  <si>
    <t>RED1</t>
  </si>
  <si>
    <t>Protein involved in chromosome segregation during the first meiotic division, component of the axial elements of the synaptonemal complex, interacts with Hop1p, required for wild-type levels of Mek1p kinase activity</t>
  </si>
  <si>
    <t>YLR262C-A</t>
  </si>
  <si>
    <t>Similar to C. elegans protein</t>
  </si>
  <si>
    <t>YLR262C</t>
  </si>
  <si>
    <t>YPT6</t>
  </si>
  <si>
    <t>Ras-like GTP binding protein involved in the secretory pathway, required for fusion of endosome-derived vesicles with the late Golgi, has similarity to the human GTPase, Rab6</t>
  </si>
  <si>
    <t>YLR260W</t>
  </si>
  <si>
    <t>LCB5</t>
  </si>
  <si>
    <t>Minor sphingoid long-chain base kinase, paralog of Lcb4p responsible for few percent of the total activity, possibly involved in synthesis of long-chain base phosphates, which function as signaling molecules</t>
  </si>
  <si>
    <t>YLR259C</t>
  </si>
  <si>
    <t>HSP60</t>
  </si>
  <si>
    <t>Tetradecameric mitochondrial chaperonin required for ATP-dependent folding of precursor polypeptides and complex assembly, prevents aggregation and mediates protein refolding after heat shock, role in mtDNA transmission, similarity to groEL</t>
  </si>
  <si>
    <t>YLR258W</t>
  </si>
  <si>
    <t>GSY2</t>
  </si>
  <si>
    <t>v-SNARE (synaptobrevin) essential for endoplasmic reticulum-Golgi transport, has similarity to Sec22p, Snc1p, and Snc2p</t>
  </si>
  <si>
    <t>YKL195W</t>
  </si>
  <si>
    <t>MIA40</t>
  </si>
  <si>
    <t>Essential protein of the mitochondrial intermembrane space, involved in import and assembly of intermembrane space proteins</t>
  </si>
  <si>
    <t>YKL194C</t>
  </si>
  <si>
    <t>MST1</t>
  </si>
  <si>
    <t>Mitochondrial threonyl-tRNA synthetase</t>
  </si>
  <si>
    <t>YKL193C</t>
  </si>
  <si>
    <t>SDS22</t>
  </si>
  <si>
    <t>Conserved nuclear regulatory subunit of Glc7p type 1 protein serine-threonine phosphatase (PP1), functions positively with Glc7p to promote dephosphorylation of nuclear substrates required for chromosome transmission during mitosis</t>
  </si>
  <si>
    <t>YKL192C</t>
  </si>
  <si>
    <t>ACP1</t>
  </si>
  <si>
    <t>Mitochondrial matrix acyl carrier protein, involved in biosynthesis of octanoate, which is a precursor to lipoic acid, activated by phosphopantetheinylation catalyzed by Ppt2p</t>
  </si>
  <si>
    <t>YKL191W</t>
  </si>
  <si>
    <t>DPH2</t>
  </si>
  <si>
    <t>Protein required, along with Dph1p, Kti11p, Jjj3p, and Dph5p, for synthesis of diphthamide, which is a modified histidine residue of translation elongation factor 2 (Eft1p or Eft2p), may act in a complex with Dph1p and Kti11p</t>
  </si>
  <si>
    <t>YKL190W</t>
  </si>
  <si>
    <t>CNB1</t>
  </si>
  <si>
    <t>Calcineurin B, the regulatory subunit of calcineurin, a Ca++calmodulin-regulated protein phosphatase which regulates Crz1p (a stress-response transcription factor), the other calcineurin subunit is encoded by CNA1 andor CMP1</t>
  </si>
  <si>
    <t>YKL189W</t>
  </si>
  <si>
    <t>HYM1</t>
  </si>
  <si>
    <t>Component of the RAM signaling network that is involved in regulation of Ace2p activity and cellular morphogenesis, interacts with Kic1p and Sog2p, localizes to sites of polarized growth during budding and during the mating response</t>
  </si>
  <si>
    <t>YKL188C</t>
  </si>
  <si>
    <t>PXA2</t>
  </si>
  <si>
    <t>YKL187C</t>
  </si>
  <si>
    <t>YKL186C</t>
  </si>
  <si>
    <t>MTR2</t>
  </si>
  <si>
    <t>mRNA transport regulator, essential nuclear protein, Mex67p and Mtr2p form a mRNA export complex which binds to RNA</t>
  </si>
  <si>
    <t>YKL185W</t>
  </si>
  <si>
    <t>ASH1</t>
  </si>
  <si>
    <t>Zinc-finger inhibitor of HO transcription, mRNA is localized and translated in the distal tip of anaphase cells, resulting in accumulation of Ash1p in daughter cell nuclei and inhibition of HO expression, potential Cdc28p substrate</t>
  </si>
  <si>
    <t>YKL184W</t>
  </si>
  <si>
    <t>SPE1</t>
  </si>
  <si>
    <t>YLR240W</t>
  </si>
  <si>
    <t>VPS34</t>
  </si>
  <si>
    <t>Phosphatidylinositol 3-kinase responsible for the synthesis of phosphatidylinositol 3-phosphate, forms membrane-associated signal transduction complex with Vps15p to regulate protein sorting, similar to p110 subunit of mammalian PI 3-kinase</t>
  </si>
  <si>
    <t>YLR239C</t>
  </si>
  <si>
    <t>LIP2</t>
  </si>
  <si>
    <t>Lipoyl ligase, involved in the modification of mitochondrial enzymes by the attachment of lipoic acid groups</t>
  </si>
  <si>
    <t>YLR238W</t>
  </si>
  <si>
    <t>FAR10</t>
  </si>
  <si>
    <t>Protein involved in G1 cell cycle arrest in response to pheromone, in a pathway different from the Far1p-dependent pathway, interacts with Far3p, Far7p, Far8p, Far9p, and Far11p, potential Cdc28p substrate</t>
  </si>
  <si>
    <t>YLR237W</t>
  </si>
  <si>
    <t>THI7</t>
  </si>
  <si>
    <t>Plasma membrane transporter responsible for the uptake of thiamine, member of the major facilitator superfamily of transporters, mutation of human ortholog causes thiamine-responsive megaloblastic anemia</t>
  </si>
  <si>
    <t>YLR234W</t>
  </si>
  <si>
    <t>TOP3</t>
  </si>
  <si>
    <t>DNA Topoisomerase III, conserved protein that functions in a complex with Sgs1p and Rmi1p to relax single-stranded negatively-supercoiled DNA preferentially, involved in telomere stability and regulation of mitotic recombination</t>
  </si>
  <si>
    <t>YLR233C</t>
  </si>
  <si>
    <t>EST1</t>
  </si>
  <si>
    <t>TLC1 RNA-associated factor involved in telomere length regulation as the recruitment subunit of the telomerase holoenzyme, has a possible role in activating Est2p-TLC1-RNA bound to the telomere</t>
  </si>
  <si>
    <t>YLR231C</t>
  </si>
  <si>
    <t>BNA5</t>
  </si>
  <si>
    <t>Kynureninase, required for biosynthesis of nicotinic acid from tryptophan via kynurenine pathway</t>
  </si>
  <si>
    <t>YLR229C</t>
  </si>
  <si>
    <t>CDC42</t>
  </si>
  <si>
    <t>Small rho-like GTPase, essential for establishment and maintenance of cell polarity, mutants have defects in the organization of actin and septins</t>
  </si>
  <si>
    <t>YLR228C</t>
  </si>
  <si>
    <t>ECM22</t>
  </si>
  <si>
    <t>Sterol regulatory element binding protein, regulates transcription of the sterol biosynthetic genes ERG2 and ERG3, member of the fungus-specific Zn[2]-Cys[6] binuclear cluster family of transcription factors, homologous to Upc2p</t>
  </si>
  <si>
    <t>YLR227C</t>
  </si>
  <si>
    <t>ADY4</t>
  </si>
  <si>
    <t>Protein involved in excretion of putrescine and spermidine, putative polyamine transporter in the Golgi or post-Golgi vesicles</t>
  </si>
  <si>
    <t>YKL173W</t>
  </si>
  <si>
    <t>SNU114</t>
  </si>
  <si>
    <t>involved in splicing, U5 snRNP-specific protein related to EF-2</t>
  </si>
  <si>
    <t>YKL172W</t>
  </si>
  <si>
    <t>EBP2</t>
  </si>
  <si>
    <t>Essential protein required for the maturation of 25S rRNA and 60S ribosomal subunit assembly, localizes to the nucleolus, constituent of 66S pre-ribosomal particles</t>
  </si>
  <si>
    <t>YKL171W</t>
  </si>
  <si>
    <t>YKL170W</t>
  </si>
  <si>
    <t>MRPL38</t>
  </si>
  <si>
    <t>Mitochondrial ribosomal protein of the large subunit, appears as two protein spots (YmL34 and YmL38) on two-dimensional SDS gels</t>
  </si>
  <si>
    <t>YKL168C</t>
  </si>
  <si>
    <t>KKQ8</t>
  </si>
  <si>
    <t>Putative serinethreonine protein kinase with unknown cellular role</t>
  </si>
  <si>
    <t>YKL167C</t>
  </si>
  <si>
    <t>MRP49</t>
  </si>
  <si>
    <t>YKL166C</t>
  </si>
  <si>
    <t>TPK3</t>
  </si>
  <si>
    <t>Subunit of cytoplasmic cAMP-dependent protein kinase, which contains redundant catalytic subunits Tpk1p, Tpk2p, and Tpk3p and regulatory subunit Bcy1p, promotes vegetative growth in response to nutrients, inhibits filamentous growth</t>
  </si>
  <si>
    <t>YKL165C</t>
  </si>
  <si>
    <t>MCD4</t>
  </si>
  <si>
    <t>Protein involved in glycosylphosphatidylinositol (GPI) anchor synthesis, multimembrane-spanning protein that localizes to the endoplasmic reticulum, highly conserved among eukaryotes</t>
  </si>
  <si>
    <t>YKL164C</t>
  </si>
  <si>
    <t>PIR1</t>
  </si>
  <si>
    <t>O-glycosylated protein required for cell wall stability, attached to the cell wall via beta-1,3-glucan, mediates mitochondrial translocation of Apn1p, expression regulated by the cell integrity pathway and by Swi5p during the cell cycle</t>
  </si>
  <si>
    <t>YKL163W</t>
  </si>
  <si>
    <t>PIR3</t>
  </si>
  <si>
    <t>O-glycosylated covalently-bound cell wall protein required for cell wall stability, expression is cell cycle regulated, peaking in MG1 and also subject to regulation by the cell integrity pathway</t>
  </si>
  <si>
    <t>YKL162C</t>
  </si>
  <si>
    <t>YKL161C</t>
  </si>
  <si>
    <t>Mpk1-like protein kinase, associates with Rlm1p</t>
  </si>
  <si>
    <t>YKL160W</t>
  </si>
  <si>
    <t>ELF1</t>
  </si>
  <si>
    <t>Protein of unknown function, deletion inhibits Brome mosaic virus expression</t>
  </si>
  <si>
    <t>YKL159C</t>
  </si>
  <si>
    <t>RCN1</t>
  </si>
  <si>
    <t>Protein involved in calcineurin regulation during calcium signaling, has similarity to H. sapiens DSCR1 which is found in the Down Syndrome candidate region</t>
  </si>
  <si>
    <t>YKL157W</t>
  </si>
  <si>
    <t>APE2</t>
  </si>
  <si>
    <t>Zinc-dependent metallopeptidase yscII, may have a role in obtaining leucine from dipeptide substrates, sequence coordinates have changed since RT-PCR analysis showed that the adjacent ORF YKL158W comprises the 5 exon of APE2YKL157W</t>
  </si>
  <si>
    <t>YKL156W</t>
  </si>
  <si>
    <t>RPS27A</t>
  </si>
  <si>
    <t>Protein component of the small (40S) ribosomal subunit, nearly identical to Rps27Bp and has similarity to rat S27 ribosomal protein</t>
  </si>
  <si>
    <t>YKL155C</t>
  </si>
  <si>
    <t>RSM22</t>
  </si>
  <si>
    <t>YKL154W</t>
  </si>
  <si>
    <t>SRP102</t>
  </si>
  <si>
    <t>Signal recognition particle (SRP) receptor beta subunit, involved in SRP-dependent protein targeting, anchors Srp101p to the ER membrane</t>
  </si>
  <si>
    <t>YKL152C</t>
  </si>
  <si>
    <t>GPM1</t>
  </si>
  <si>
    <t>Tetrameric phosphoglycerate mutase, mediates the conversion of 3-phosphoglycerate to 2-phosphoglycerate during glycolysis and the reverse reaction during gluconeogenesis</t>
  </si>
  <si>
    <t>YKL151C</t>
  </si>
  <si>
    <t>YKL150W</t>
  </si>
  <si>
    <t>MCR1</t>
  </si>
  <si>
    <t>Mitochondrial NADH-cytochrome b5 reductase, involved in ergosterol biosynthesis</t>
  </si>
  <si>
    <t>YKL149C</t>
  </si>
  <si>
    <t>DBR1</t>
  </si>
  <si>
    <t>RNA lariat debranching enzyme, involved in intron turnover, required for efficient Ty1 transposition</t>
  </si>
  <si>
    <t>YKL148C</t>
  </si>
  <si>
    <t>SDH1</t>
  </si>
  <si>
    <t>Flavoprotein subunit of succinate dehydrogenase (Sdh1p, Sdh2p, Sdh3p, Sdh4p), which couples the oxidation of succinate to the transfer of electrons to ubiquinone</t>
  </si>
  <si>
    <t>YKL146W</t>
  </si>
  <si>
    <t>AVT3</t>
  </si>
  <si>
    <t>YKL145W</t>
  </si>
  <si>
    <t>RPT1</t>
  </si>
  <si>
    <t>One of six ATPases of the 19S regulatory particle of the 26S proteasome involved in the degradation of ubiquitinated substrates, required for optimal CDC20 transcription, interacts with Rpn12p and the E3 ubiquitin-protein ligase Ubr1p</t>
  </si>
  <si>
    <t>YKL144C</t>
  </si>
  <si>
    <t>RPC25</t>
  </si>
  <si>
    <t>RNA polymerase III subunit C25</t>
  </si>
  <si>
    <t>YKL143W</t>
  </si>
  <si>
    <t>LTV1</t>
  </si>
  <si>
    <t>Protein required for growth at low temperature</t>
  </si>
  <si>
    <t>YKL142W</t>
  </si>
  <si>
    <t>MRP8</t>
  </si>
  <si>
    <t>Putative mitochondrial ribosomal protein, has similarity to E. coli ribosomal protein S2</t>
  </si>
  <si>
    <t>YKL141W</t>
  </si>
  <si>
    <t>SDH3</t>
  </si>
  <si>
    <t>Cytochrome b subunit of succinate dehydrogenase (Sdh1p, Sdh2p, Sdh3p, Sdh4p), which couples the oxidation of succinate to the transfer of electrons to ubiquinone</t>
  </si>
  <si>
    <t>YKL140W</t>
  </si>
  <si>
    <t>TGL1</t>
  </si>
  <si>
    <t>YKL139W</t>
  </si>
  <si>
    <t>CTK1</t>
  </si>
  <si>
    <t>Catalytic (alpha) subunit of C-terminal domain kinase I (CTDK-I), which phosphorylates the C-terminal repeated domain of the RNA polymerase II large subunit (Rpo21p) to affect both transcription and pre-mRNA 3 end processing</t>
  </si>
  <si>
    <t>YKL138C-A</t>
  </si>
  <si>
    <t>HSK3</t>
  </si>
  <si>
    <t>Component of the DASH complex which is found at kinetochores and regulates spindle assembly, in vitro DASH forms rings on microtubules and promotes microtubule stability</t>
  </si>
  <si>
    <t>YKL138C</t>
  </si>
  <si>
    <t>MRPL31</t>
  </si>
  <si>
    <t>YKL137W</t>
  </si>
  <si>
    <t>YKL135C</t>
  </si>
  <si>
    <t>APL2</t>
  </si>
  <si>
    <t>Beta-adaptin, large subunit of the clathrin-associated protein (AP-1) complex, binds clathrin, involved in clathrin-dependent Golgi protein sorting</t>
  </si>
  <si>
    <t>YKL134C</t>
  </si>
  <si>
    <t>Mitochondrial intermediate peptidase, cleaves N-terminal residues of a subset of proteins upon import, after their cleavage by mitochondrial processing peptidase (Mas1p-Mas2p), may contribute to mitochondrial iron homeostasis</t>
  </si>
  <si>
    <t>YKL133C</t>
  </si>
  <si>
    <t>YKL132C</t>
  </si>
  <si>
    <t>RMA1</t>
  </si>
  <si>
    <t>Putative dihydrofolate synthetase, has similarity to Fol3p, similar to E. coli folylpolyglutamate synthetasedihydrofolate synthetase</t>
  </si>
  <si>
    <t>YKL130C</t>
  </si>
  <si>
    <t>SHE2</t>
  </si>
  <si>
    <t>RNA-binding protein that binds specific mRNAs and interacts with She3p, part of the mRNA localization machinery that restricts accumulation of certain proteins to the bud</t>
  </si>
  <si>
    <t>YKL129C</t>
  </si>
  <si>
    <t>MYO3</t>
  </si>
  <si>
    <t>One of two type I myosins, localizes to actin cortical patches, deletion of MYO3 has little effect on growth, but myo3 myo5 double deletion causes severe defects in growth and actin cytoskeleton organization</t>
  </si>
  <si>
    <t>YKL128C</t>
  </si>
  <si>
    <t>PMU1</t>
  </si>
  <si>
    <t>Protein of unknown function, green fluorescent protein (GFP)-fusion protein localizes to the cell periphery, cytoplasm, bud, and bud neck, potential Cdc28p substrate, similar to Caf120p and Skg4p</t>
  </si>
  <si>
    <t>YLR186W</t>
  </si>
  <si>
    <t>EMG1</t>
  </si>
  <si>
    <t>Protein required for the maturation of the 18S rRNA and for 40S ribosome production, associated with spindlemicrotubules, nuclear localization depends on physical interaction with Nop14p, may bind snoRNAs</t>
  </si>
  <si>
    <t>YLR185W</t>
  </si>
  <si>
    <t>RPL37A</t>
  </si>
  <si>
    <t>Protein component of the large (60S) ribosomal subunit, has similarity to Rpl37Bp and to rat L37 ribosomal protein</t>
  </si>
  <si>
    <t>YLR183C</t>
  </si>
  <si>
    <t>TOS4</t>
  </si>
  <si>
    <t>Transcription factor that binds to a number of promoter regions, particularly promoters of some genes involved in pheromone response and cell cycle, potential Cdc28p substrate, expression is induced in G1 by bound SBF</t>
  </si>
  <si>
    <t>YLR182W</t>
  </si>
  <si>
    <t>SWI6</t>
  </si>
  <si>
    <t>Transcription cofactor, forms complexes with DNA-binding proteins Swi4p and Mbp1p to regulate transcription at the G1S transition, involved in meiotic gene expression, localization regulated by phosphorylation, potential Cdc28p substrate</t>
  </si>
  <si>
    <t>YLR181C</t>
  </si>
  <si>
    <t>VTA1</t>
  </si>
  <si>
    <t>Multivesicular body (MVB) protein involved in endosomal protein sorting, binds to Vps20p and Vps4p, may regulate Vps4p function, bindsVps60p and may act at a late step in MVB formation, mutants show class E vacuolar-protein sorting defects</t>
  </si>
  <si>
    <t>YLR180W</t>
  </si>
  <si>
    <t>SAM1</t>
  </si>
  <si>
    <t>S-adenosylmethionine synthetase, catalyzes transfer of the adenosyl group of ATP to the sulfur atom of methionine, one of two differentially regulated isozymes (Sam1p and Sam2p)</t>
  </si>
  <si>
    <t>YLR179C</t>
  </si>
  <si>
    <t>YLR178C</t>
  </si>
  <si>
    <t>TFS1</t>
  </si>
  <si>
    <t>Carboxypeptidase Y inhibitor, function requires acetylation by the NatB N-terminal acetyltransferase, phosphatidylethanolamine-binding protein involved in protein kinase A signaling pathway</t>
  </si>
  <si>
    <t>YLR177W</t>
  </si>
  <si>
    <t>YLR176C</t>
  </si>
  <si>
    <t>RFX1</t>
  </si>
  <si>
    <t>Protein involved in DNA damage and replication checkpoint pathway, recruits repressors Tup1p and Cyc8p to promoters of DNA damage-inducible genes, similar to a family of mammalian DNA binding RFX1-4 proteins</t>
  </si>
  <si>
    <t>YLR175W</t>
  </si>
  <si>
    <t>CBF5</t>
  </si>
  <si>
    <t>Component of box HACA small nucleolar ribonucleoprotein particles (snoRNPs), probable rRNA pseudouridine synthase, binds to snoRNP Nop10p and also interacts with ribosomal biogenesis protein Nop53p</t>
  </si>
  <si>
    <t>YLR174W</t>
  </si>
  <si>
    <t>IDP2</t>
  </si>
  <si>
    <t>Cytosolic NADP-specific isocitrate dehydrogenase, catalyzes oxidation of isocitrate to alpha-ketoglutarate, levels are elevated during growth on non-fermentable carbon sources and reduced during growth on glucose</t>
  </si>
  <si>
    <t>Major apurinicapyrimidinic endonuclease, 3-repair diesterase involved in repair of DNA damage by oxidation and alkylating agents, controls spontaneous mutations</t>
  </si>
  <si>
    <t>YKL113C</t>
  </si>
  <si>
    <t>RAD27</t>
  </si>
  <si>
    <t>5 to 3 exonuclease, 5 flap endonuclease, required for Okazaki fragment processing and maturation as well as for long-patch base-excision repair, member of the S. pombe RAD2FEN1 family</t>
  </si>
  <si>
    <t>YKL112W</t>
  </si>
  <si>
    <t>ABF1</t>
  </si>
  <si>
    <t>DNA binding protein with possible chromatin-reorganizing activity involved in transcriptional activation, gene silencing, and DNA replication and repair</t>
  </si>
  <si>
    <t>YKL110C</t>
  </si>
  <si>
    <t>KTI12</t>
  </si>
  <si>
    <t>Protein associated with the RNA polymerase II Elongator complex, involved in sensitivity to G1 arrest induced by Kluyveromyces lactis toxin, zymocin</t>
  </si>
  <si>
    <t>YKL109W</t>
  </si>
  <si>
    <t>HAP4</t>
  </si>
  <si>
    <t>Subunit of the heme-activated, glucose-repressed Hap2p3p4p5p CCAAT-binding complex, a transcriptional activator and global regulator of respiratory gene expression, provides the principal activation function of the complex</t>
  </si>
  <si>
    <t>YKL108W</t>
  </si>
  <si>
    <t>SLD2</t>
  </si>
  <si>
    <t>Protein required for DNA replication, phosphorylated in S phase by S-phase cyclin-dependent kinases (Cdks), phosphorylation is essential for DNA replication and for complex formation with Dpb11p, potential Cdc28p substrate</t>
  </si>
  <si>
    <t>YKL107W</t>
  </si>
  <si>
    <t>YKL106W</t>
  </si>
  <si>
    <t>AAT1</t>
  </si>
  <si>
    <t>Mitochondrial aspartate aminotransferase, catalyzes the conversion of oxaloacetate to aspartate in aspartate and asparagine biosynthesis</t>
  </si>
  <si>
    <t>YKL106C-A</t>
  </si>
  <si>
    <t>YKL105C</t>
  </si>
  <si>
    <t>YKL104C</t>
  </si>
  <si>
    <t>GFA1</t>
  </si>
  <si>
    <t>Glutamine-fructose-6-phosphate amidotransferase, catalyzes the formation of glucosamine-6-P and glutamate from fructose-6-P and glutamine in the first step of chitin biosynthesis</t>
  </si>
  <si>
    <t>YKL103C</t>
  </si>
  <si>
    <t>LAP4</t>
  </si>
  <si>
    <t>Vacuolar aminopeptidase, often used as a marker protein in studies of autophagy and cytosol to vacuole targeting (CVT) pathway</t>
  </si>
  <si>
    <t>YKL101W</t>
  </si>
  <si>
    <t>HSL1</t>
  </si>
  <si>
    <t>Nim1p-related protein kinase that regulates the morphogenesis and septin checkpoints, associates with the assembled septin filament, required along with Hsl7p for bud neck recruitment, phosphorylation, and degradation of Swe1p</t>
  </si>
  <si>
    <t>Note: YLR156W, YLR159W, and YLR161W are identical.  Note: YLR156W, YLR159W, and YLR161W are identical.  Identified by gene-trapping, microarray-based expression analysis, and genome-wide homology searching  Identified by gene-trapping, microarray-based expression analysis, and genome-wide homology searching  YLR156W, YLR159W, and YLR161W are three identical open reading frames encoded near the ribosomal DNA region of chromosome 12.</t>
  </si>
  <si>
    <t>YLR155C</t>
  </si>
  <si>
    <t>Cell-wall L-asparaginase II, involved in asparagine catabolism, expression is induced during nitrogen starvation, four copies of ASP3 are present in the genome reference strain S288C  Cell-wall L-asparaginase II, involved in asparagine catabolism, expression is induced during nitrogen starvation, four copies of ASP3 are present in the genome reference strain S288C  Cell-wall L-asparaginase II, involved in asparagine catabolism, expression is induced during nitrogen starvation, four copies of ASP3 are present in the genome reference strain S288C  Cell-wall L-asparaginase II, involved in asparagine catabolism, expression is induced during nitrogen starvation, four copies of ASP3 are present in the genome reference strain S288C</t>
  </si>
  <si>
    <t>YLR154W-F</t>
  </si>
  <si>
    <t>Identified by expression profiling and mass spectrometry, encoded within the the 35S rRNA transcript on the opposite strand</t>
  </si>
  <si>
    <t>YLR154W-E</t>
  </si>
  <si>
    <t>Identified by gene-trapping, microarray-based expression analysis, and genome-wide homology searching, encoded within the the 35S rRNA transcript on the opposite strand</t>
  </si>
  <si>
    <t>YLR154C-H</t>
  </si>
  <si>
    <t>Identified by fungal homology and RT-PCR  Identified by fungal homology and RT-PCR  Identified by fungal homology and RT-PCR  Identified by fungal homology and RT-PCR</t>
  </si>
  <si>
    <t>YLR154C</t>
  </si>
  <si>
    <t>RNH203</t>
  </si>
  <si>
    <t>Ribonuclease H2 subunit, required for RNase H2 activity</t>
  </si>
  <si>
    <t>YLR153C</t>
  </si>
  <si>
    <t>ACS2</t>
  </si>
  <si>
    <t>Acetyl-coA synthetase isoform, required for growth on glucose, expressed under anaerobic conditions</t>
  </si>
  <si>
    <t>YLR152C</t>
  </si>
  <si>
    <t>YLR151C</t>
  </si>
  <si>
    <t>PCD1</t>
  </si>
  <si>
    <t>Peroxisomal nudix pyrophosphatase with specificity for coenzyme A and CoA derivatives, may function to remove potentially toxic oxidized CoA disulfide from peroxisomes to maintain the capacity for beta-oxidation of fatty acids</t>
  </si>
  <si>
    <t>YLR150W</t>
  </si>
  <si>
    <t>STM1</t>
  </si>
  <si>
    <t>Protein that binds G4 quadruplex and purine motif triplex nucleic acid, acts with Cdc13p to maintain telomere structure, interacts with ribosomes and subtelomeric Y DNA, multicopy suppressor of tom1 and pop2 mutations</t>
  </si>
  <si>
    <t>YLR149C</t>
  </si>
  <si>
    <t>YLR148W</t>
  </si>
  <si>
    <t>PEP3</t>
  </si>
  <si>
    <t>Vacuolar peripheral membrane protein that promotes vesicular dockingfusion reactions in conjunction with SNARE proteins, required for vacuolar biogenesis, forms complex with Pep5p that mediates protein transport to the vacuole</t>
  </si>
  <si>
    <t>YLR147C</t>
  </si>
  <si>
    <t>SMD3</t>
  </si>
  <si>
    <t>involved in snRNP biogenesis and pre-mRNA splicing, encodes a core snRNP protein</t>
  </si>
  <si>
    <t>YLR146C</t>
  </si>
  <si>
    <t>SPE4</t>
  </si>
  <si>
    <t>Spermine synthase, required for the biosynthesis of spermine and also involved in biosynthesis of pantothenic acid</t>
  </si>
  <si>
    <t>YLR145W</t>
  </si>
  <si>
    <t>RMP1</t>
  </si>
  <si>
    <t>Protein required for cell viability, component of RNase MRP, which is involved in RNA processing in mitochondria</t>
  </si>
  <si>
    <t>YLR144C</t>
  </si>
  <si>
    <t>ACF2</t>
  </si>
  <si>
    <t>Intracellular beta-1,3-endoglucanase, expression is induced during sporulation, may have a role in cortical actin cytoskeleton assembly</t>
  </si>
  <si>
    <t>YLR143W</t>
  </si>
  <si>
    <t>YLR142W</t>
  </si>
  <si>
    <t>PUT1</t>
  </si>
  <si>
    <t>Proline oxidase, nuclear-encoded mitochondrial protein involved in utilization of proline as sole nitrogen source, PUT1 transcription is induced by Put3p in the presence of proline and the absence of a preferred nitrogen source</t>
  </si>
  <si>
    <t>YLR141W</t>
  </si>
  <si>
    <t>RRN5</t>
  </si>
  <si>
    <t>Subunit of the nuclear pore complex (NPC) that is localized to both sides of the pore, contains a repetitive GLFG motif that interacts with mRNA export factor Mex67p and with karyopherin Kap95p, homologous to Nup116p</t>
  </si>
  <si>
    <t>YKL067W</t>
  </si>
  <si>
    <t>YNK1</t>
  </si>
  <si>
    <t>Nucleoside diphosphate kinase, catalyzes the phosphorylation of nucleoside diphosphates into the corresponding triphosphates for nucleic acid biosynthesis</t>
  </si>
  <si>
    <t>YKL065C</t>
  </si>
  <si>
    <t>YKL064W</t>
  </si>
  <si>
    <t>MNR2</t>
  </si>
  <si>
    <t>Putative magnesium transporter, has similarity to Alr1p and Alr2p, which mediate influx of Mg2+ and other divalent cations</t>
  </si>
  <si>
    <t>YKL063C</t>
  </si>
  <si>
    <t>YKL062W</t>
  </si>
  <si>
    <t>MSN4</t>
  </si>
  <si>
    <t>Transcriptional activator related to Msn2p, activated in stress conditions, which results in translocation from the cytoplasm to the nucleus, binds DNA at stress response elements of responsive genes, inducing gene expression</t>
  </si>
  <si>
    <t>YKL061W</t>
  </si>
  <si>
    <t>YKL060C</t>
  </si>
  <si>
    <t>FBA1</t>
  </si>
  <si>
    <t>Fructose 1,6-bisphosphate aldolase, a cytosolic enzyme required for glycolysis and gluconeogenesis, catalyzes the conversion of fructose 1,6 bisphosphate into two 3-carbon products: glyceraldehyde-3-phosphate and dihydroxyacetone phosphate</t>
  </si>
  <si>
    <t>YKL059C</t>
  </si>
  <si>
    <t>MPE1</t>
  </si>
  <si>
    <t>Essential conserved subunit of CPF (cleavage and polyadenylation factor), plays a role in 3 end formation of mRNA via the specific cleavage and polyadenylation of pre-mRNA, contains a putative RNA-binding zinc knuckle motif</t>
  </si>
  <si>
    <t>YKL058W</t>
  </si>
  <si>
    <t>TOA2</t>
  </si>
  <si>
    <t>Transcription factor IIA, small chain</t>
  </si>
  <si>
    <t>YKL057C</t>
  </si>
  <si>
    <t>NUP120</t>
  </si>
  <si>
    <t>Subunit of the Nup84p subcomplex of the nuclear pore complex (NPC), required for even distribution of NPCs around the nuclear envelope, involved in establishment of a normal nucleocytoplasmic concentration gradient of the GTPase Gsp1p</t>
  </si>
  <si>
    <t>YKL056C</t>
  </si>
  <si>
    <t>YKL055C</t>
  </si>
  <si>
    <t>OAR1</t>
  </si>
  <si>
    <t>Mitochondrial 3-oxoacyl-[acyl-carrier-protein] reductase, may comprise a type II mitochondrial fatty acid synthase along with Mct1p</t>
  </si>
  <si>
    <t>YKL054C</t>
  </si>
  <si>
    <t>DEF1</t>
  </si>
  <si>
    <t>RNAPII degradation factor, forms a complex with Rad26p in chromatin, enables ubiquitination and proteolysis of RNAPII</t>
  </si>
  <si>
    <t>YKL053C-A</t>
  </si>
  <si>
    <t>MDM35</t>
  </si>
  <si>
    <t>Mitochondrial Distribution and Morphology, Similar to human sequence predicted by GENSCAN</t>
  </si>
  <si>
    <t>YKL052C</t>
  </si>
  <si>
    <t>ASK1</t>
  </si>
  <si>
    <t>Component of the DASH complex that binds to microtubules and kinetochores and is essential for chromosome segregation, phosphorylated during the cell cycle by cyclin-dependent kinases</t>
  </si>
  <si>
    <t>YKL051W</t>
  </si>
  <si>
    <t>SFK1</t>
  </si>
  <si>
    <t>Plasma membrane protein that may act together with or upstream of Stt4p to generate normal levels of the essential phospholipid PI4P, at least partially mediates proper localization of Stt4p to the plasma membrane</t>
  </si>
  <si>
    <t>YKL050C</t>
  </si>
  <si>
    <t>YKL049C</t>
  </si>
  <si>
    <t>CSE4</t>
  </si>
  <si>
    <t>Centromere protein that resembles histones, required for proper kinetochore function, homolog of human CENP-A</t>
  </si>
  <si>
    <t>YKL048C</t>
  </si>
  <si>
    <t>ELM1</t>
  </si>
  <si>
    <t>Serinethreonine protein kinase that regulates cellular morphogenesis, septin behavior, and cytokinesis, required for the regulation of other kinases, forms part of the bud neck ring</t>
  </si>
  <si>
    <t>YKL047W</t>
  </si>
  <si>
    <t>YKL046C</t>
  </si>
  <si>
    <t>DCW1</t>
  </si>
  <si>
    <t>Mannosidase, GPI-anchored membrane protein required for cell wall biosynthesis, homologous to Dfg5p</t>
  </si>
  <si>
    <t>YKL045W</t>
  </si>
  <si>
    <t>PRI2</t>
  </si>
  <si>
    <t>Subunit of DNA primase, which is required for DNA synthesis and double-strand break repair</t>
  </si>
  <si>
    <t>YKL043W</t>
  </si>
  <si>
    <t>PHD1</t>
  </si>
  <si>
    <t>Transcriptional activator that enhances pseudohyphal growth, regulates expression of FLO11, an adhesin required for pseudohyphal filament formation, similar to StuA, an A. nidulans developmental regulator, potential Cdc28p substrate</t>
  </si>
  <si>
    <t>YKL042W</t>
  </si>
  <si>
    <t>SPC42</t>
  </si>
  <si>
    <t>Central plaque component of spindle pole body (SPB), involved in SPB duplication, may facilitate attachment of the SPB to the nuclear membrane</t>
  </si>
  <si>
    <t>YKL041W</t>
  </si>
  <si>
    <t>VPS24</t>
  </si>
  <si>
    <t>One of four subunits of the endosomal sorting complex required for transport III (ESCRT-III), forms an ESCRT-III subcomplex with Vps2p, involved in the sorting of transmembrane proteins into the multivesicular body (MVB) pathway</t>
  </si>
  <si>
    <t>YKL040C</t>
  </si>
  <si>
    <t>NFU1</t>
  </si>
  <si>
    <t>Protein involved in iron metabolism in mitochondria, similar to NifU, which is a protein required for the maturation of the FeS clusters of nitrogenase in nitrogen-fixing bacteria</t>
  </si>
  <si>
    <t>YKL039W</t>
  </si>
  <si>
    <t>PTM1</t>
  </si>
  <si>
    <t>YKL038W</t>
  </si>
  <si>
    <t>RGT1</t>
  </si>
  <si>
    <t>Glucose-responsive transcription factor that regulates expression of several glucose transporter (HXT) genes in response to glucose, binds to promoters and acts both as a transcriptional activator and repressor</t>
  </si>
  <si>
    <t>YKL037W</t>
  </si>
  <si>
    <t>YKL035W</t>
  </si>
  <si>
    <t>UGP1</t>
  </si>
  <si>
    <t>Mitogen-activated protein kinase involved in osmoregulation via three independent osmosensors, mediates the recruitment and activation of RNA Pol II at Hot1p-dependent promoters, localization regulated by Ptp2p and Ptp3p</t>
  </si>
  <si>
    <t>YLR110C</t>
  </si>
  <si>
    <t>CCW12</t>
  </si>
  <si>
    <t>Cell wall protein, mutants are defective in mating and agglutination, expression is downregulated by alpha-factor</t>
  </si>
  <si>
    <t>YLR109W</t>
  </si>
  <si>
    <t>AHP1</t>
  </si>
  <si>
    <t>Thiol-specific peroxiredoxin, reduces hydroperoxides to protect against oxidative damage, function in vivo requires covalent conjugation to Urm1p</t>
  </si>
  <si>
    <t>YLR108C</t>
  </si>
  <si>
    <t>YLR107W</t>
  </si>
  <si>
    <t>REX3</t>
  </si>
  <si>
    <t>RNA exonuclease, required for maturation of the RNA component of RNase MRP, functions redundantly with Rnh70p and Rex2p in processing of U5 snRNA and RNase P RNA, member of RNase D family of exonucleases</t>
  </si>
  <si>
    <t>YLR106C</t>
  </si>
  <si>
    <t>MDN1</t>
  </si>
  <si>
    <t>Huge dynein-related AAA-type ATPase (midasin), forms extended pre-60S particle with the Rix1 complex (Rix1p-Ipi1p-Ipi3p), may mediate ATP-dependent remodeling of 60S subunits and subsequent export from nucleoplasm to cytoplasm</t>
  </si>
  <si>
    <t>YLR105C</t>
  </si>
  <si>
    <t>SEN2</t>
  </si>
  <si>
    <t>Subunit of the tRNA splicing endonuclease, which is composed of Sen2p, Sen15p, Sen34p, and Sen54p, Sen2p contains the active site for tRNA 5 splice site cleavage and has similarity to Sen34p and to Archaeal tRNA splicing endonuclease</t>
  </si>
  <si>
    <t>YLR104W</t>
  </si>
  <si>
    <t>YLR103C</t>
  </si>
  <si>
    <t>CDC45</t>
  </si>
  <si>
    <t>DNA replication initiation factor, recruited to MCM pre-RC complexes at replication origins, promotes release of MCM from Mcm10p, recruits elongation machinery, mutants in human homolog may cause velocardiofacial and DiGeorge syndromes</t>
  </si>
  <si>
    <t>YLR102C</t>
  </si>
  <si>
    <t>APC9</t>
  </si>
  <si>
    <t>YLR100W</t>
  </si>
  <si>
    <t>ERG27</t>
  </si>
  <si>
    <t>3-keto sterol reductase, catalyzes the last of three steps required to remove two C-4 methyl groups from an intermediate in ergosterol biosynthesis, mutants are sterol auxotrophs</t>
  </si>
  <si>
    <t>YLR099W-A</t>
  </si>
  <si>
    <t>YLR099C</t>
  </si>
  <si>
    <t>ICT1</t>
  </si>
  <si>
    <t>Protein of unknown function, null mutation leads to an increase in sensitivity to Calcofluor white, expression of the gene is induced in the presence of isooctane</t>
  </si>
  <si>
    <t>YLR098C</t>
  </si>
  <si>
    <t>CHA4</t>
  </si>
  <si>
    <t>Subunit of the anaphase-promoting complexcyclosome (APCC), which is a ubiquitin-protein ligase required for degradation of anaphase inhibitors, including mitotic cyclins, during the metaphaseanaphase transition, required for sporulation</t>
  </si>
  <si>
    <t>YKL021C</t>
  </si>
  <si>
    <t>MAK11</t>
  </si>
  <si>
    <t>Protein essential for cell growth and replication of M dsRNA virus, contains four beta-transducin repeats</t>
  </si>
  <si>
    <t>YKL020C</t>
  </si>
  <si>
    <t>SPT23</t>
  </si>
  <si>
    <t>ER membrane protein involved, with its homolog Mga2p, in regulation of OLE1 transcription, inactive ER form dimerizes and one subunit is then activated by ubiquitinproteasome-dependent processing followed by nuclear targeting</t>
  </si>
  <si>
    <t>YKL019W</t>
  </si>
  <si>
    <t>RAM2</t>
  </si>
  <si>
    <t>Alpha subunit of both the farnesyltransferase and type I geranylgeranyltransferase that catalyze prenylation of proteins containing a CAAX consensus motif, essential protein required for membrane localization of Ras proteins and a-factor</t>
  </si>
  <si>
    <t>YKL018W</t>
  </si>
  <si>
    <t>SWD2</t>
  </si>
  <si>
    <t>Subunit of the COMPASS (Set1C) complex, which methylates ubiquitinated histone H3 on lys 4 and is involved in telomeric silencing, subunit of CPF (cleavage and polyadenylation factor), a complex involved in RNAP II transcription termination</t>
  </si>
  <si>
    <t>YKL018C-A</t>
  </si>
  <si>
    <t>YKL017C</t>
  </si>
  <si>
    <t>HCS1</t>
  </si>
  <si>
    <t>Hexameric DNA polymerase alpha-associated DNA helicase A involved in lagging strand DNA synthesis, contains single-stranded DNA stimulated ATPase and dATPase activities, replication protein A stimulates helicase and ATPase activities</t>
  </si>
  <si>
    <t>YKL016C</t>
  </si>
  <si>
    <t>ATP7</t>
  </si>
  <si>
    <t>Subunit d of the stator stalk of mitochondrial F1F0 ATP synthase, which is a large, evolutionarily conserved enzyme complex required for ATP synthesis</t>
  </si>
  <si>
    <t>YKL015W</t>
  </si>
  <si>
    <t>PUT3</t>
  </si>
  <si>
    <t>N-glycosylated protein involved in the maintenance of bud site selection during bipolar budding, localization requires Rax1p</t>
  </si>
  <si>
    <t>YLR083C</t>
  </si>
  <si>
    <t>EMP70</t>
  </si>
  <si>
    <t>Protein whose 24kDa cleavage product is found in endosome-enriched membrane fractions, predicted to be a transmembrane protein</t>
  </si>
  <si>
    <t>YLR082C</t>
  </si>
  <si>
    <t>SRL2</t>
  </si>
  <si>
    <t>Protein of unknown function, overexpression suppresses the lethality caused by a rad53 null mutation</t>
  </si>
  <si>
    <t>YLR081W</t>
  </si>
  <si>
    <t>GAL2</t>
  </si>
  <si>
    <t>Galactose permease, required for utilization of galactose, also able to transport glucose</t>
  </si>
  <si>
    <t>YLR080W</t>
  </si>
  <si>
    <t>EMP46</t>
  </si>
  <si>
    <t>Integral membrane component of endoplasmic reticulum-derived COPII-coated vesicles, which function in ER to Golgi transport</t>
  </si>
  <si>
    <t>YLR079W</t>
  </si>
  <si>
    <t>SIC1</t>
  </si>
  <si>
    <t>Inhibitor of Cdc28-Clb kinase complexes that controls the G1S phase transition, preventing premature S phase entry and ensuring genomic integrity, multisite phosphorylation by Cdc28-Cln kinase targets Sic1p for SCF(CDC4)-dependent turnover</t>
  </si>
  <si>
    <t>YLR078C</t>
  </si>
  <si>
    <t>BOS1</t>
  </si>
  <si>
    <t>v-SNARE (vesicle specific SNAP receptor), localized to the endoplasmic reticulum membrane and necessary for vesicular transport from the ER to the Golgi</t>
  </si>
  <si>
    <t>YLR077W</t>
  </si>
  <si>
    <t>YLR075W</t>
  </si>
  <si>
    <t>RPL10</t>
  </si>
  <si>
    <t>Protein component of the large (60S) ribosomal subunit, responsible for joining the 40S and 60S subunits, regulates translation initiation, has similarity to rat L10 ribosomal protein and to members of the QM gene family</t>
  </si>
  <si>
    <t>YLR074C</t>
  </si>
  <si>
    <t>BUD20</t>
  </si>
  <si>
    <t>YLR073C</t>
  </si>
  <si>
    <t>YLR072W</t>
  </si>
  <si>
    <t>YLR071C</t>
  </si>
  <si>
    <t>RGR1</t>
  </si>
  <si>
    <t>Component of RNA polymerase II holoenzymemediator complex, affects chromatin structure and transcriptional regulation of diverse genes, required for glucose repression, HO repression, RME1 repression and sporulation</t>
  </si>
  <si>
    <t>YLR070C</t>
  </si>
  <si>
    <t>XYL2</t>
  </si>
  <si>
    <t>Xylitol dehydrogenase, converts xylitol to D-xylulose in the endogenous xylose utilization pathway</t>
  </si>
  <si>
    <t>YLR069C</t>
  </si>
  <si>
    <t>MEF1</t>
  </si>
  <si>
    <t>Mitochondrial elongation factor involved in translational elongation</t>
  </si>
  <si>
    <t>YLR068W</t>
  </si>
  <si>
    <t>FYV7</t>
  </si>
  <si>
    <t>Protein of unknown function, required for survival upon exposure to K1 killer toxin, involved in processing the 35S rRNA primary transcript to generate the 20S and 27SA2 pre-rRNA transcripts</t>
  </si>
  <si>
    <t>YLR067C</t>
  </si>
  <si>
    <t>PET309</t>
  </si>
  <si>
    <t>Specific translational activator for the COX1 mRNA, also influences stability of intron-containing COX1 primary transcripts, located in the mitochondrial inner membrane</t>
  </si>
  <si>
    <t>YLR066W</t>
  </si>
  <si>
    <t>SPC3</t>
  </si>
  <si>
    <t>Subunit of signal peptidase complex (Spc1p, Spc2p, Spc3p, Sec11p), which catalyzes cleavage of N-terminal signal sequences of proteins targeted to the secretory pathway, homologous to mammalian SPC2223</t>
  </si>
  <si>
    <t>YLR065C</t>
  </si>
  <si>
    <t>YLR064W</t>
  </si>
  <si>
    <t>YLR063W</t>
  </si>
  <si>
    <t>YLR061W</t>
  </si>
  <si>
    <t>RPL22A</t>
  </si>
  <si>
    <t>Protein component of the large (60S) ribosomal subunit, has similarity to Rpl22Bp and to rat L22 ribosomal protein</t>
  </si>
  <si>
    <t>YLR060W</t>
  </si>
  <si>
    <t>FRS1</t>
  </si>
  <si>
    <t>Beta subunit of cytoplasmic phenylalanyl-tRNA synthetase, forms a tetramer with Frs2p to generate the active enzyme, evolutionarily distant from mitochondrial phenylalanyl-tRNA synthetase based on protein sequence, but substrate binding is similar</t>
  </si>
  <si>
    <t>YLR059C</t>
  </si>
  <si>
    <t>REX2</t>
  </si>
  <si>
    <t xml:space="preserve">RNA exonuclease, required for U4 snRNA maturation, functions redundantly with Rnh70p in 5.8S rRNA maturation, and with Rnh70p and Rex3p in processing of U5 snRNA and RNase P RNA, member of RNase D family of exonucleases </t>
  </si>
  <si>
    <t>YLR058C</t>
  </si>
  <si>
    <t>SHM2</t>
  </si>
  <si>
    <t>serine hydroxymethyltransferase</t>
  </si>
  <si>
    <t>YLR057W</t>
  </si>
  <si>
    <t>YLR056W</t>
  </si>
  <si>
    <t>ERG3</t>
  </si>
  <si>
    <t>C-5 sterol desaturase, catalyzes the introduction of a C-5(6) double bond into episterol, a precursor in ergosterol biosynthesis, mutants are viable, but cannot grow on non-fermentable carbon sources</t>
  </si>
  <si>
    <t>YLR055C</t>
  </si>
  <si>
    <t>SPT8</t>
  </si>
  <si>
    <t>Subunit of the SAGA transcriptional regulatory complex but not present in SAGA-like complex SLIKSALSA, required for SAGA-mediated inhibition at some promoters</t>
  </si>
  <si>
    <t>YLR054C</t>
  </si>
  <si>
    <t>OSW2</t>
  </si>
  <si>
    <t>Protein of unknown function proposed to be involved in the assembly of the spore wall</t>
  </si>
  <si>
    <t>YLR053C</t>
  </si>
  <si>
    <t>YLR052W</t>
  </si>
  <si>
    <t>IES3</t>
  </si>
  <si>
    <t>Subunit of the INO80 chromatin remodeling complex</t>
  </si>
  <si>
    <t>YLR051C</t>
  </si>
  <si>
    <t>YLR050C</t>
  </si>
  <si>
    <t>YLR049C</t>
  </si>
  <si>
    <t>YLR048W</t>
  </si>
  <si>
    <t>RPS0B</t>
  </si>
  <si>
    <t>Protein component of the small (40S) ribosomal subunit, nearly identical to Rps0Ap, required for maturation of 18S rRNA along with Rps0Ap, deletion of either RPS0 gene reduces growth rate, deletion of both genes is lethal</t>
  </si>
  <si>
    <t>YLR047C</t>
  </si>
  <si>
    <t>YLR046C</t>
  </si>
  <si>
    <t>Putative membrane protein, transcription is activated by paralogous transcription factors Yrm1p and Yrr1p along with genes involved in multidrug resistance</t>
  </si>
  <si>
    <t>YLR045C</t>
  </si>
  <si>
    <t>STU2</t>
  </si>
  <si>
    <t>Microtubule-associated protein (MAP) of the XMAP215Dis1 family, regulates microtubule dynamics during spindle orientation and metaphase chromosome alignment, interacts with spindle pole body component Spc72p</t>
  </si>
  <si>
    <t>YLR044C</t>
  </si>
  <si>
    <t>PDC1</t>
  </si>
  <si>
    <t>Major of three pyruvate decarboxylase isozymes, key enzyme in alcoholic fermentation, decarboxylates pyruvate to acetaldehyde, subject to glucose-, ethanol-, and autoregulation, involved in amino acid catabolism</t>
  </si>
  <si>
    <t>YLR043C</t>
  </si>
  <si>
    <t>TRX1</t>
  </si>
  <si>
    <t>Cytoplasmic thioredoxin isoenzyme of the thioredoxin system which protects cells against both oxidative and reductive stress, forms LMA1 complex with Pbi2p, acts as a cofactor for Tsa1p, required for ER-Golgi transport and vacuole inheritance</t>
  </si>
  <si>
    <t>YLR042C</t>
  </si>
  <si>
    <t>YLR040C</t>
  </si>
  <si>
    <t>YLR039C</t>
  </si>
  <si>
    <t>RIC1</t>
  </si>
  <si>
    <t>Protein involved in retrograde transport to the cis-Golgi network, forms heterodimer with Rgp1p that acts as a GTP exchange factor for Ypt6p, involved in transcription of rRNA and ribosomal protein genes</t>
  </si>
  <si>
    <t>YLR038C</t>
  </si>
  <si>
    <t>COX12</t>
  </si>
  <si>
    <t>Subunit VIb of cytochrome c oxidase, which is the terminal member of the mitochondrial inner membrane electron transport chain, required for assembly of fully active cytochrome c oxidase but not required for activity after assembly</t>
  </si>
  <si>
    <t>YLR037C</t>
  </si>
  <si>
    <t>DAN2</t>
  </si>
  <si>
    <t>Cell wall mannoprotein with similarity to Tir1p, Tir2p, Tir3p, and Tir4p, expressed under anaerobic conditions, completely repressed during aerobic growth  Hypothetical protein</t>
  </si>
  <si>
    <t>YLR036C</t>
  </si>
  <si>
    <t>YLR035C</t>
  </si>
  <si>
    <t>MLH2</t>
  </si>
  <si>
    <t>Protein required for DNA mismatch repair in mitosis and meiosis, involved in the repair of mutational intermediates, forms a complex with Pms1p and Msh1p to repair mismatched DNA</t>
  </si>
  <si>
    <t>YLR034C</t>
  </si>
  <si>
    <t>SMF3</t>
  </si>
  <si>
    <t>Putative divalent metal ion transporter involved in iron homeostasis, transcriptionally regulated by metal ions, member of the Nramp family of metal transport proteins</t>
  </si>
  <si>
    <t>YLR033W</t>
  </si>
  <si>
    <t>Karyopherin, a carrier protein involved in nuclear import of proteins, importin beta homolog</t>
  </si>
  <si>
    <t>YJR131W</t>
  </si>
  <si>
    <t>MNS1</t>
  </si>
  <si>
    <t>Alpha-1,2-mannosidase involved in ER quality control, catalyzes the removal of one mannose residue from Man9GlcNAc to produce a single isomer of Man8GlcNAc in N-linked oligosaccharide biosynthesis, integral to ER membrane</t>
  </si>
  <si>
    <t>YJR130C</t>
  </si>
  <si>
    <t>STR2</t>
  </si>
  <si>
    <t>Cystathionine gamma-synthase, converts cysteine into cystathionine</t>
  </si>
  <si>
    <t>YJR129C</t>
  </si>
  <si>
    <t>YJR127C</t>
  </si>
  <si>
    <t>ZMS1</t>
  </si>
  <si>
    <t>Zinc-finger protein that localizes to the nucleus, putative transcriptional regulator of ALD6</t>
  </si>
  <si>
    <t>YJR126C</t>
  </si>
  <si>
    <t>VPS70</t>
  </si>
  <si>
    <t>Protein of unknown function involved in vacuolar protein sorting</t>
  </si>
  <si>
    <t>YJR125C</t>
  </si>
  <si>
    <t>ENT3</t>
  </si>
  <si>
    <t>Protein containing an N-terminal epsin-like domain involved in clathrin recruitment and traffic between the Golgi and endosomes, associates with the clathrin adaptor Gga2p</t>
  </si>
  <si>
    <t>YJR124C</t>
  </si>
  <si>
    <t>YJR123W</t>
  </si>
  <si>
    <t>RPS5</t>
  </si>
  <si>
    <t>Protein component of the small (40S) ribosomal subunit, the least basic of the non-acidic ribosomal proteins, phosphorylated in vivo, essential for viability, has similarity to E. coli S7 and rat S5 ribosomal proteins</t>
  </si>
  <si>
    <t>YJR122W</t>
  </si>
  <si>
    <t>CAF17</t>
  </si>
  <si>
    <t>Mitochondrial protein that interacts with Ccr4p in the two-hybrid system, 3-untranslated region contains a putative mRNA localization element common to genes encoding mitochondrial proteins</t>
  </si>
  <si>
    <t>YJR121W</t>
  </si>
  <si>
    <t>ATP2</t>
  </si>
  <si>
    <t>Beta subunit of the F1 sector of mitochondrial F1F0 ATP synthase, which is a large, evolutionarily conserved enzyme complex required for ATP synthesis</t>
  </si>
  <si>
    <t>YJR120W</t>
  </si>
  <si>
    <t>YJR119C</t>
  </si>
  <si>
    <t>YJR118C</t>
  </si>
  <si>
    <t>ILM1</t>
  </si>
  <si>
    <t>Protein of unknown function, may be involved in mitochondrial DNA maintenance, required for slowed DNA synthesis-induced filamentous growth</t>
  </si>
  <si>
    <t>YJR117W</t>
  </si>
  <si>
    <t>STE24</t>
  </si>
  <si>
    <t>Highly conserved zinc metalloprotease that functions in two steps of a-factor maturation, C-terminal CAAX proteolysis and the first step of N-terminal proteolytic processing, contains multiple transmembrane spans</t>
  </si>
  <si>
    <t>YJR116W</t>
  </si>
  <si>
    <t>YJR115W</t>
  </si>
  <si>
    <t>YJR114W</t>
  </si>
  <si>
    <t>Functionally redundant Psr1p homolog, a plasma membrane phosphatase involved in the general stress response, required with Psr1p and Whi2p for full activation of STRE-mediated gene expression, possibly through dephosphorylation of Msn2p</t>
  </si>
  <si>
    <t>YLR018C</t>
  </si>
  <si>
    <t>POM34</t>
  </si>
  <si>
    <t>Integral membrane protein of the nuclear pore complex, localizes adjacent to the nuclear membrane</t>
  </si>
  <si>
    <t>YLR017W</t>
  </si>
  <si>
    <t>MEU1</t>
  </si>
  <si>
    <t>Methylthioadenosine phosphorylase (MTAP), catalyzes the initial step in the methionine salvage pathway, affects polyamine biosynthesis through regulation of ornithine decarboxylase (Spe1p) activity, regulates ADH2 gene expression</t>
  </si>
  <si>
    <t>YLR016C</t>
  </si>
  <si>
    <t>YLR015W</t>
  </si>
  <si>
    <t>BRE2</t>
  </si>
  <si>
    <t>Subunit of the COMPASS (Set1C) complex, which methylates Rad6p ubiquitinated histone H3 on lysine 4 and is required in transcriptional silencing near telomeres, has similarity to the trithorax-group protein ASH2L</t>
  </si>
  <si>
    <t>YLR014C</t>
  </si>
  <si>
    <t>PPR1</t>
  </si>
  <si>
    <t>Zinc finger transcription factor containing a Zn(2)-Cys(6) binuclear cluster domain, positively regulates transcription of genes involved in uracil biosynthesis, activity may be modulated by interaction with Tup1p</t>
  </si>
  <si>
    <t>YLR013W</t>
  </si>
  <si>
    <t>GAT3</t>
  </si>
  <si>
    <t>Protein containing GATA family zinc finger motifs</t>
  </si>
  <si>
    <t>YLR012C</t>
  </si>
  <si>
    <t>YLR011W</t>
  </si>
  <si>
    <t>LOT6</t>
  </si>
  <si>
    <t>Putative NADPH-dependent FMN reductase with strong ferricyanide reductase activity in vitro, gene expression increases in cultures shifted to a lower temperature</t>
  </si>
  <si>
    <t>YLR010C</t>
  </si>
  <si>
    <t>TEN1</t>
  </si>
  <si>
    <t>Protein that regulates telomeric length, protects telomeric ends in a complex with Cdc13p and Stn1p</t>
  </si>
  <si>
    <t>YLR009W</t>
  </si>
  <si>
    <t>RLP24</t>
  </si>
  <si>
    <t>Ribosomal Like Protein 24</t>
  </si>
  <si>
    <t>YLR008C</t>
  </si>
  <si>
    <t>PAM18</t>
  </si>
  <si>
    <t>Constituent of the mitochondrial import motor associated with the presequence translocase, along with Ssc1p, Tim44p, Mge1p, and Pam16p, stimulates the ATPase activity of Ssc1p to drive mitochondrial import, contains a J domain</t>
  </si>
  <si>
    <t>YLR007W</t>
  </si>
  <si>
    <t>NSE1</t>
  </si>
  <si>
    <t>Essential nuclear protein required for DNA repair, forms a complex with Smc5p and Smc6p</t>
  </si>
  <si>
    <t>YLR006C</t>
  </si>
  <si>
    <t>SSK1</t>
  </si>
  <si>
    <t>Mitochondrial succinate-fumarate transporter, transports succinate into and fumarate out of the mitochondrion, required for ethanol and acetate utilization</t>
  </si>
  <si>
    <t>YJR094W-A</t>
  </si>
  <si>
    <t>RPL43B</t>
  </si>
  <si>
    <t>Protein component of the large (60S) ribosomal subunit, identical to Rpl43Ap and has similarity to rat L37a ribosomal protein</t>
  </si>
  <si>
    <t>YJR094C</t>
  </si>
  <si>
    <t>IME1</t>
  </si>
  <si>
    <t>Master regulator of meiosis that is active only during meiotic events, activates transcription of early meiotic genes through interaction with Ume6p, degraded by the 26S proteasome following phosphorylation by Ime2p</t>
  </si>
  <si>
    <t>YJR093C</t>
  </si>
  <si>
    <t>FIP1</t>
  </si>
  <si>
    <t>Subunit of cleavage polyadenylation factor (CPF), interacts directly with poly(A) polymerase (Pap1p) to regulate its activity</t>
  </si>
  <si>
    <t>YJR092W</t>
  </si>
  <si>
    <t>BUD4</t>
  </si>
  <si>
    <t>Protein involved in bud-site selection and required for axial budding pattern, localizes with septins to bud neck in mitosis and may constitute an axial landmark for next round of budding, potential Cdc28p substrate</t>
  </si>
  <si>
    <t>YJR091C</t>
  </si>
  <si>
    <t>JSN1</t>
  </si>
  <si>
    <t>Member of the Puf family of RNA-binding proteins, interacts with mRNAs encoding membrane-associated proteins, overexpression suppresses a tub2-150 mutation and causes increased sensitivity to benomyl in wild-type cells</t>
  </si>
  <si>
    <t>YJR090C</t>
  </si>
  <si>
    <t>GRR1</t>
  </si>
  <si>
    <t>F-box protein component of the SCF ubiquitin-ligase complex, required for Cln1p and Cln2p degradation, involved in carbon catabolite repression, glucose-dependent divalent cation transport, high-affinity glucose transport, and morphogenesis</t>
  </si>
  <si>
    <t>YJR089W</t>
  </si>
  <si>
    <t>BIR1</t>
  </si>
  <si>
    <t>Protein involved in cell cycle regulation and chromosome segregation, contains BIR (Baculovirus Inhibitor of apoptosis Repeat) domain</t>
  </si>
  <si>
    <t>YJR088C</t>
  </si>
  <si>
    <t>YJR086W</t>
  </si>
  <si>
    <t>STE18</t>
  </si>
  <si>
    <t>G protein gamma subunit, forms a dimer with Ste4p to activate the mating signaling pathway, forms a heterotrimer with Gpa1p and Ste4p to dampen signaling, C-terminus is palmitoylated and farnesylated, which are required for normal signaling</t>
  </si>
  <si>
    <t>YJR085C</t>
  </si>
  <si>
    <t>YJR084W</t>
  </si>
  <si>
    <t>CSN12</t>
  </si>
  <si>
    <t>YJR083C</t>
  </si>
  <si>
    <t>ACF4</t>
  </si>
  <si>
    <t>Protein of unknown function, computational analysis of large-scale protein-protein interaction data suggests a possible role in actin cytoskeleton organization, potential Cdc28p substrate</t>
  </si>
  <si>
    <t>YJR082C</t>
  </si>
  <si>
    <t>EAF6</t>
  </si>
  <si>
    <t>Esa1p-associated factor, subunit of the NuA4 acetyltransferase complex</t>
  </si>
  <si>
    <t>YJR080C</t>
  </si>
  <si>
    <t>YJR079W</t>
  </si>
  <si>
    <t>BNA2</t>
  </si>
  <si>
    <t>Tryptophan 2,3-dioxygenase, required for biosynthesis of nicotinic acid from tryptophan via kynurenine pathway  Hypothetical protein</t>
  </si>
  <si>
    <t>YJR078W</t>
  </si>
  <si>
    <t>YJR077C</t>
  </si>
  <si>
    <t>MIR1</t>
  </si>
  <si>
    <t>Mitochondrial phosphate carrier, imports inorganic phosphate into mitochondria, functionally redundant with Pic2p but more abundant than Pic2 under normal conditions</t>
  </si>
  <si>
    <t>YJR076C</t>
  </si>
  <si>
    <t>CDC11</t>
  </si>
  <si>
    <t>YJR075W</t>
  </si>
  <si>
    <t>HOC1</t>
  </si>
  <si>
    <t>Alpha-1,6-mannosyltransferase involved in cell wall mannan biosynthesis, subunit of a Golgi-localized complex that also contains Anp1p, Mnn9p, Mnn11p, and Mnn10p, identified as a suppressor of a cell lysis sensitive pkc1-371 allele</t>
  </si>
  <si>
    <t>YJR074W</t>
  </si>
  <si>
    <t>MOG1</t>
  </si>
  <si>
    <t>Conserved nuclear protein that interacts with GTP-Gsp1p, which is a Ran homolog of the Ras GTPase family, and stimulates nucleotide release, involved in nuclear protein import, nucleotide release is inhibited by Yrb1p</t>
  </si>
  <si>
    <t>YJR073C</t>
  </si>
  <si>
    <t>OPI3</t>
  </si>
  <si>
    <t>Phospholipid methyltransferase (methylene-fatty-acyl-phospholipid synthase), catalyzes the last two steps in phosphatidylcholine biosynthesis</t>
  </si>
  <si>
    <t>YJR072C</t>
  </si>
  <si>
    <t>NPA3</t>
  </si>
  <si>
    <t>Cytoplasmic protein required for cell viability, identified by association with pre-ribosomal particles</t>
  </si>
  <si>
    <t>YJR070C</t>
  </si>
  <si>
    <t>LIA1</t>
  </si>
  <si>
    <t>Protein with a possible role in microtubule function, complements S. pombe mmd1 mutation affecting mitochondrial distribution although not required for this process in S. cerevisiae, binds to Hyp2p (eIF5A), contains HEAT-like repeats</t>
  </si>
  <si>
    <t>YJR069C</t>
  </si>
  <si>
    <t>HAM1</t>
  </si>
  <si>
    <t>Protein of unknown function that is involved in DNA repair, mutant is sensitive to the base analog, 6-N-hydroxylaminopurine, while gene disruption does not increase the rate of spontaneous mutagenesis</t>
  </si>
  <si>
    <t>YJR068W</t>
  </si>
  <si>
    <t>RFC2</t>
  </si>
  <si>
    <t>YJR067C</t>
  </si>
  <si>
    <t>YAE1</t>
  </si>
  <si>
    <t>Essential protein of unknown function</t>
  </si>
  <si>
    <t>YJR066W</t>
  </si>
  <si>
    <t>TOR1</t>
  </si>
  <si>
    <t>PIK-related protein kinase and rapamycin target, subunit of TORC1, a complex that controls growth in response to nutrients by regulating translation, transcription, ribosome biogenesis, nutrient transport and autophagy, involved in meiosis</t>
  </si>
  <si>
    <t>YJR065C</t>
  </si>
  <si>
    <t>ARP3</t>
  </si>
  <si>
    <t>Essential component of the Arp23 complex, which is a highly conserved actin nucleation center required for the motility and integrity of actin patches, involved in endocytosis and membrane growth and polarity</t>
  </si>
  <si>
    <t>YJR064W</t>
  </si>
  <si>
    <t>CCT5</t>
  </si>
  <si>
    <t>Subunit of the cytosolic chaperonin Cct ring complex, related to Tcp1p, required for the assembly of actin and tubulins in vivo</t>
  </si>
  <si>
    <t>YJR063W</t>
  </si>
  <si>
    <t>RPA12</t>
  </si>
  <si>
    <t>RNA polymerase I subunit A12.2, contains two zinc binding domains, and the N terminal domain is responsible for anchoring to the RNA pol I complex</t>
  </si>
  <si>
    <t>YJR062C</t>
  </si>
  <si>
    <t>NTA1</t>
  </si>
  <si>
    <t>Amidase, removes the amide group from N-terminal asparagine and glutamine residues to generate proteins with N-terminal aspartate and glutamate residues that are targets of ubiquitin-mediated degradation</t>
  </si>
  <si>
    <t>YJR061W</t>
  </si>
  <si>
    <t>YJR060W</t>
  </si>
  <si>
    <t>CBF1</t>
  </si>
  <si>
    <t>Helix-loop-helix protein that binds the motif CACRTG, which is present at several sites including MET gene promoters and centromere DNA element I (CDEI), required for nucleosome positioning at this motif, targets Isw1p to DNA</t>
  </si>
  <si>
    <t>YJR059W</t>
  </si>
  <si>
    <t>PTK2</t>
  </si>
  <si>
    <t>Putative serinethreonine protein kinase involved in regulation of ion transport across plasma membrane, enhances spermine uptake</t>
  </si>
  <si>
    <t>YJR058C</t>
  </si>
  <si>
    <t>APS2</t>
  </si>
  <si>
    <t>Small subunit of the clathrin-associated adaptor complex AP-2, which is involved in protein sorting at the plasma membrane, related to the sigma subunit of the mammalian plasma membrane clathrin-associated protein (AP-2) complex</t>
  </si>
  <si>
    <t>YJR057W</t>
  </si>
  <si>
    <t>CDC8</t>
  </si>
  <si>
    <t>Thymidylate and uridylate kinase, functions in de novo biosynthesis of pyrimidine deoxyribonucleotides, converts dTMP to dTDP and dUMP to dUTP, essential for mitotic and meiotic DNA replication, homologous to S. pombe Tmp1p</t>
  </si>
  <si>
    <t>YJR056C</t>
  </si>
  <si>
    <t>Heat shock protein that cooperates with Ydj1p (Hsp40) and Ssa1p (Hsp70) to refold and reactivate previously denatured, aggregated proteins, responsive to stresses including: heat, ethanol, and sodium arsenite, involved in [PSI+] propagation</t>
  </si>
  <si>
    <t>YLL025W</t>
  </si>
  <si>
    <t>YLL024C</t>
  </si>
  <si>
    <t>ATP binding protein involved in protein folding and vacuolar import of proteins, member of heat shock protein 70 (HSP70) family, associated with the chaperonin-containing T-complex, present in the cytoplasm, vacuolar membrane and cell wall  ATPase involved in protein folding and nuclear localization signal (NLS)-directed nuclear transport, member of heat shock protein 70 (HSP70) family, forms a chaperone complex with Ydj1p, localized to the nucleus, cytoplasm, and cell wall</t>
  </si>
  <si>
    <t>YLL023C</t>
  </si>
  <si>
    <t>YLL022C</t>
  </si>
  <si>
    <t>HIF1</t>
  </si>
  <si>
    <t>Non-essential component of the HAT-B histone acetyltransferase complex (Hat1p-Hat2p-Hif1p), localized to the nucleus, has a role in telomeric silencing</t>
  </si>
  <si>
    <t>YLL021W</t>
  </si>
  <si>
    <t>SPA2</t>
  </si>
  <si>
    <t>Component of the polarisome, which functions in actin cytoskeletal organization during polarized growth, acts as a scaffold for Mkk1p and Mpk1p cell wall integrity signaling components, potential Cdc28p substrate</t>
  </si>
  <si>
    <t>YLL019C</t>
  </si>
  <si>
    <t>KNS1</t>
  </si>
  <si>
    <t>Nonessential putative protein kinase of unknown cellular role, member of the LAMMER family of protein kinases, which are serinethreonine kinases also capable of phosphorylating tyrosine residues</t>
  </si>
  <si>
    <t>YLL018C-A</t>
  </si>
  <si>
    <t>COX19</t>
  </si>
  <si>
    <t>Protein required for cytochrome c oxidase assembly, located in the cytosol and mitochondrial intermembrane space, putative copper metallochaperone that delivers copper to cytochrome c oxidase</t>
  </si>
  <si>
    <t>YLL018C</t>
  </si>
  <si>
    <t>DPS1</t>
  </si>
  <si>
    <t>Cytoplasmic aspartyl-tRNA synthetase, homodimeric enzyme that catalyzes the specific aspartylation of tRNA(Asp), class II aminoacyl tRNA synthetase, binding to its own mRNA may confer autoregulation</t>
  </si>
  <si>
    <t>YLL015W</t>
  </si>
  <si>
    <t>BPT1</t>
  </si>
  <si>
    <t>Subunit of the Nup84p subcomplex of the nuclear pore complex (NPC), required for assembly of the subcomplex and also for formation of the nucleocytoplasmic Gsp1p concentration gradient that plays a role in nuclear trafficking</t>
  </si>
  <si>
    <t>YJR041C</t>
  </si>
  <si>
    <t>URB2</t>
  </si>
  <si>
    <t>Nucleolar protein required for normal metabolism of the rRNA primary transcript, proposed to be involved in ribosome biogenesis</t>
  </si>
  <si>
    <t>YJR040W</t>
  </si>
  <si>
    <t>GEF1</t>
  </si>
  <si>
    <t>Chloride channel localized to late- or post-Golgi vesicles, involved in iron metabolism, highly homologous to voltage-gated chloride channels in vertebrates</t>
  </si>
  <si>
    <t>YJR039W</t>
  </si>
  <si>
    <t>YJR036C</t>
  </si>
  <si>
    <t>HUL4</t>
  </si>
  <si>
    <t>Protein with similarity to hect domain E3 ubiquitin-protein ligases, not essential for viability</t>
  </si>
  <si>
    <t>YJR035W</t>
  </si>
  <si>
    <t>RAD26</t>
  </si>
  <si>
    <t>Protein involved in transcription-coupled repair nucleotide excision repair of UV-induced DNA lesions, homolog of human CSB protein</t>
  </si>
  <si>
    <t>YJR034W</t>
  </si>
  <si>
    <t>PET191</t>
  </si>
  <si>
    <t>Protein required for assembly of cytochrome c oxidase</t>
  </si>
  <si>
    <t>YJR033C</t>
  </si>
  <si>
    <t>RAV1</t>
  </si>
  <si>
    <t>Subunit of the RAVE complex (Rav1p, Rav2p, Skp1p), which promotes assembly of the V-ATPase holoenzyme, required for transport between the early and late endosomePVC and for localization of TGN membrane proteins, potential Cdc28p substrate</t>
  </si>
  <si>
    <t>YJR032W</t>
  </si>
  <si>
    <t>CPR7</t>
  </si>
  <si>
    <t>YJR031C</t>
  </si>
  <si>
    <t>GEA1</t>
  </si>
  <si>
    <t>Guanine nucleotide exchange factor for ADP ribosylation factors (ARFs), involved in vesicular transport between the Golgi and ER, Golgi organization, and actin cytoskeleton organization, similar to but not functionally redundant with Gea2p</t>
  </si>
  <si>
    <t>YJR030C</t>
  </si>
  <si>
    <t>YJR025C</t>
  </si>
  <si>
    <t>BNA1</t>
  </si>
  <si>
    <t>3-hydroxyanthranilic acid dioxygenase, required for biosynthesis of nicotinic acid from tryptophan via kynurenine pathway</t>
  </si>
  <si>
    <t>YJR024C</t>
  </si>
  <si>
    <t>YJR022W</t>
  </si>
  <si>
    <t>LSM8</t>
  </si>
  <si>
    <t>Component of small nuclear ribonucleoprotein complexes involved in RNA processing and splicing</t>
  </si>
  <si>
    <t>YJR021C</t>
  </si>
  <si>
    <t>REC107</t>
  </si>
  <si>
    <t>Protein involved in early stages of meiotic recombination, involved in altering chromatin structure at DNA double-stranded break sites and in coordination between the initiation of recombination and the first division of meiosis</t>
  </si>
  <si>
    <t>YLL001W</t>
  </si>
  <si>
    <t>DNM1</t>
  </si>
  <si>
    <t>Dynamin-related GTPase required for mitochondrial fission and the maintenance of mitochondrial morphology, assembles on the cytoplasmic face of mitochondrial tubules at sites at which division will occur, also participates in endocytosis</t>
  </si>
  <si>
    <t>YKR104W</t>
  </si>
  <si>
    <t>ORFs YKR103W and YKR104W are merged in different strain backgrounds</t>
  </si>
  <si>
    <t>YKR103W</t>
  </si>
  <si>
    <t>NFT1</t>
  </si>
  <si>
    <t>Putative transporter of the multidrug resistance-associated protein (MRP) subfamily, adjacent ORFs YKR103W and YKR104W are merged in different strain backgrounds.</t>
  </si>
  <si>
    <t>YKR102W</t>
  </si>
  <si>
    <t>FLO10</t>
  </si>
  <si>
    <t>Lectin-like protein with similarity to Flo1p, thought to be involved in flocculation</t>
  </si>
  <si>
    <t>YKR101W</t>
  </si>
  <si>
    <t>SIR1</t>
  </si>
  <si>
    <t>Protein involved in repression of transcription at the silent mating-type loci HML and HMR, recruitment to silent chromatin requires interactions with Orc1p and with Sir4p, through a common Sir1p domain, binds to centromeric chromatin</t>
  </si>
  <si>
    <t>YKR100C</t>
  </si>
  <si>
    <t>SKG1</t>
  </si>
  <si>
    <t>Transmembrane protein of unknown function, localizes on the inner surface of the plasma membrane at the bud and in the daughter cell, affects the cell wall polymer composition</t>
  </si>
  <si>
    <t>YKR099W</t>
  </si>
  <si>
    <t>BAS1</t>
  </si>
  <si>
    <t>Myb-related transcription factor involved in regulating basal and induced expression of genes of the purine and histidine biosynthesis pathways</t>
  </si>
  <si>
    <t>YKR098C</t>
  </si>
  <si>
    <t>UBP11</t>
  </si>
  <si>
    <t>Ubiquitin-specific protease that cleaves ubiquitin from ubiquitinated proteins</t>
  </si>
  <si>
    <t>YKR097W</t>
  </si>
  <si>
    <t>PCK1</t>
  </si>
  <si>
    <t xml:space="preserve">Phosphoenolpyruvate carboxykinase, key enzyme in gluconeogenesis, catalyzes early reaction in carbohydrate biosynthesis, glucose represses transcription and accelerates mRNA degradation, regulated by Mcm1p and Cat8p, located in the cytosol </t>
  </si>
  <si>
    <t>YKR096W</t>
  </si>
  <si>
    <t>YKR095W-A</t>
  </si>
  <si>
    <t>Protein of unknown function, conserved in Ashbya gossypii</t>
  </si>
  <si>
    <t>YKR095W</t>
  </si>
  <si>
    <t>MLP1</t>
  </si>
  <si>
    <t>Myosin-like protein associated with the nuclear envelope, connects the nuclear pore complex with the nuclear interior, involved in the Tel1p pathway that controls telomere length, involved in the retention of unspliced mRNAs in the nucleus</t>
  </si>
  <si>
    <t>YKR094C</t>
  </si>
  <si>
    <t>Fusion protein, identical to Rpl40Ap, that is cleaved to yield ubiquitin and a ribosomal protein of the large (60S) ribosomal subunit with similarity to rat L40, ubiquitin may facilitate assembly of the ribosomal protein into ribosomes  Fusion protein, identical to Rpl40Bp, that is cleaved to yield ubiquitin and a ribosomal protein of the large (60S) ribosomal subunit with similarity to rat L40, ubiquitin may facilitate assembly of the ribosomal protein into ribosomes</t>
  </si>
  <si>
    <t>YKR093W</t>
  </si>
  <si>
    <t>PTR2</t>
  </si>
  <si>
    <t>Integral membrane peptide transporter, mediates transport of di- and tri-peptides, conserved protein that contains 12 transmembrane domains, PTR2 expression is regulated by the N-end rule pathway via repression by Cup9p</t>
  </si>
  <si>
    <t>YKR092C</t>
  </si>
  <si>
    <t>SRP40</t>
  </si>
  <si>
    <t>Nucleolar, serine-rich protein with a role in preribosome assembly or transport, may function as a chaperone of small nucleolar ribonucleoprotein particles (snoRNPs), immunologically and structurally to rat Nopp140</t>
  </si>
  <si>
    <t>YKR091W</t>
  </si>
  <si>
    <t>SRL3</t>
  </si>
  <si>
    <t>Cytoplasmic protein that, when overexpressed, suppresses the lethality of a rad53 null mutation, potential Cdc28p substrate</t>
  </si>
  <si>
    <t>YKR090W</t>
  </si>
  <si>
    <t>PXL1</t>
  </si>
  <si>
    <t>LIM domain-containing protein that localizes to sites of polarized growth, required for selection andor maintenance of polarized growth sites, may modulate signaling by the GTPases Cdc42p and Rho1p, has similarity to metazoan paxillin</t>
  </si>
  <si>
    <t>YKR089C</t>
  </si>
  <si>
    <t>Protein of unknown function found in lipid particles, potential Cdc28p substrate</t>
  </si>
  <si>
    <t>YKR088C</t>
  </si>
  <si>
    <t>Integral membrane protein localized to vesicles along with the v-SNARE Tlg2p, green fluorescent protein (GFP)-fusion protein localizes to the cytoplasm in a punctate pattern</t>
  </si>
  <si>
    <t>YKR087C</t>
  </si>
  <si>
    <t>OMA1</t>
  </si>
  <si>
    <t>Metalloendopeptidase of the mitochondrial inner membrane, involved in turnover of membrane-embedded proteins, member of a family of predicted membrane-bound metallopeptidases in prokaryotes and higher eukaryotes</t>
  </si>
  <si>
    <t>YKR086W</t>
  </si>
  <si>
    <t>PRP16</t>
  </si>
  <si>
    <t>Subunit of the SF3a splicing factor complex, required for spliceosome assembly</t>
  </si>
  <si>
    <t>YJL201W</t>
  </si>
  <si>
    <t>ECM25</t>
  </si>
  <si>
    <t>Non-essential protein of unknown function, promoter contains a consensus binding sequence for factor Abf1p</t>
  </si>
  <si>
    <t>YJL200C</t>
  </si>
  <si>
    <t>YJL198W</t>
  </si>
  <si>
    <t>PHO90</t>
  </si>
  <si>
    <t>YJL197W</t>
  </si>
  <si>
    <t>UBP12</t>
  </si>
  <si>
    <t>Ubiquitin-specific protease present in the nucleus and cytoplasm that cleaves ubiquitin from ubiquitinated proteins</t>
  </si>
  <si>
    <t>YJL196C</t>
  </si>
  <si>
    <t>ELO1</t>
  </si>
  <si>
    <t>Elongase I, medium-chain acyl elongase, catalyzes carboxy-terminal elongation of unsaturated C12-C16 fatty acyl-CoAs to C16-C18 fatty acids</t>
  </si>
  <si>
    <t>YJL194W</t>
  </si>
  <si>
    <t>CDC6</t>
  </si>
  <si>
    <t>Essential ATP-binding protein required for DNA replication, component of the pre-replicative complex (pre-RC) which requires ORC to associate with chromatin and is in turn required for Mcm2-7p DNA association, homologous to S. pombe Cdc18p</t>
  </si>
  <si>
    <t>YJL193W</t>
  </si>
  <si>
    <t>YJL192C</t>
  </si>
  <si>
    <t>SOP4</t>
  </si>
  <si>
    <t>suppressor of pma1-7</t>
  </si>
  <si>
    <t>YJL191W</t>
  </si>
  <si>
    <t>Ribosomal protein 59 of the small subunit, required for ribosome assembly and 20S pre-rRNA processing, mutations confer cryptopleurine resistance, nearly identical to Rps14Ap and similar to E. coli S11 and rat S14 ribosomal proteins  Ribosomal protein 59 of the small subunit, required for ribosome assembly and 20S pre-rRNA processing, mutations confer cryptopleurine resistance, nearly identical to Rps14Bp and similar to E. coli S11 and rat S14 ribosomal proteins</t>
  </si>
  <si>
    <t>YJL190C</t>
  </si>
  <si>
    <t>RPS22A</t>
  </si>
  <si>
    <t>Protein component of the small (40S) ribosomal subunit, nearly identical to Rps22Bp and has similarity to E. coli S8 and rat S15a ribosomal proteins</t>
  </si>
  <si>
    <t>YJL189W</t>
  </si>
  <si>
    <t>RPL39</t>
  </si>
  <si>
    <t>Protein component of the large (60S) ribosomal subunit, has similarity to rat L39 ribosomal protein, required for ribosome biogenesis, exhibits genetic interactions with SIS1 and PAB1</t>
  </si>
  <si>
    <t>YJL187C</t>
  </si>
  <si>
    <t>SWE1</t>
  </si>
  <si>
    <t>Protein kinase that regulates the G2M transition by inhibition of Cdc28p kinase activity, localizes to the nucleus and to the daughter side of the mother-bud neck, homolog of S. pombe Wee1p, potential Cdc28p substrate</t>
  </si>
  <si>
    <t>YJL186W</t>
  </si>
  <si>
    <t>MNN5</t>
  </si>
  <si>
    <t>Alpha-1,2-mannosyltransferase, responsible for addition of the second alpha-1,2-linked mannose of the branches on the mannan backbone of oligosaccharides, localizes to an early Golgi compartment</t>
  </si>
  <si>
    <t>YJL185C</t>
  </si>
  <si>
    <t>YJL184W</t>
  </si>
  <si>
    <t>GON7</t>
  </si>
  <si>
    <t>Protein of unknown function, proposed to be involved in the transfer of mannosylphosphate groups onto N-linked oligosaccharides, also proposed to be involved in responding to osmotic stress</t>
  </si>
  <si>
    <t>YJL183W</t>
  </si>
  <si>
    <t>MNN11</t>
  </si>
  <si>
    <t>Subunit of a Golgi mannosyltransferase complex that also contains Anp1p, Mnn9p, Mnn10p, and Hoc1p, and mediates elongation of the polysaccharide mannan backbone, has homology to Mnn10p</t>
  </si>
  <si>
    <t>YJL181W</t>
  </si>
  <si>
    <t>YJL180C</t>
  </si>
  <si>
    <t>ATP12</t>
  </si>
  <si>
    <t>YJL179W</t>
  </si>
  <si>
    <t>PFD1</t>
  </si>
  <si>
    <t>Subunit of heterohexameric prefoldin, which binds cytosolic chaperonin and transfers target proteins to it, involved in the biogenesis of actin and of alpha- and gamma-tubulin</t>
  </si>
  <si>
    <t>YJL178C</t>
  </si>
  <si>
    <t>ATG27</t>
  </si>
  <si>
    <t>Type II membrane protein that binds phosphatidylinositol 3-phosphate, required for the cytoplasm-to-vacuole targeting (Cvt) pathway</t>
  </si>
  <si>
    <t>YJL177W</t>
  </si>
  <si>
    <t>YJL176C</t>
  </si>
  <si>
    <t>SWI3</t>
  </si>
  <si>
    <t>YJL174W</t>
  </si>
  <si>
    <t>KRE9</t>
  </si>
  <si>
    <t>Glycoprotein involved in cell wall beta-glucan assembly, null mutation leads to severe growth defects, aberrant multibudded morphology, and mating defects</t>
  </si>
  <si>
    <t>YJL173C</t>
  </si>
  <si>
    <t>RFA3</t>
  </si>
  <si>
    <t>YJL172W</t>
  </si>
  <si>
    <t>CPS1</t>
  </si>
  <si>
    <t>Vacuolar carboxypeptidase yscS, expression is induced under low-nitrogen conditions</t>
  </si>
  <si>
    <t>YJL171C</t>
  </si>
  <si>
    <t>YJL170C</t>
  </si>
  <si>
    <t>ASG7</t>
  </si>
  <si>
    <t>Protein that regulates signaling from a G protein beta subunit Ste4p and its relocalization within the cell, specific to a-cells and induced by alpha-factor</t>
  </si>
  <si>
    <t>YJL168C</t>
  </si>
  <si>
    <t>SET2</t>
  </si>
  <si>
    <t>Histone methyltransferase with a role in transcriptional elongation, methylates a lysine residue of histone H3, associates with the C-terminal domain of Rpo21p, histone methylation activity is regulated by phosphorylation status of Rpo21p</t>
  </si>
  <si>
    <t>YJL167W</t>
  </si>
  <si>
    <t>ERG20</t>
  </si>
  <si>
    <t>Non-essential small GTPase of the RhoRac subfamily of Ras-like proteins, likely to be involved in the establishment of cell polarity</t>
  </si>
  <si>
    <t>YKR054C</t>
  </si>
  <si>
    <t>DYN1</t>
  </si>
  <si>
    <t>Cytoplasmic heavy chain dynein, microtubule motor protein, required for anaphase spindle elongation, involved in spindle assembly, chromosome movement, and spindle orientation during cell division, targeted to microtubule tips by Pac1p</t>
  </si>
  <si>
    <t>YKR053C</t>
  </si>
  <si>
    <t>YSR3</t>
  </si>
  <si>
    <t>Dihydrosphingosine 1-phosphate phosphatase, membrane protein involved in sphingolipid metabolism, has similarity to Lcb3p</t>
  </si>
  <si>
    <t>YKR052C</t>
  </si>
  <si>
    <t>MRS4</t>
  </si>
  <si>
    <t>Mitochondrial iron transporter of the mitochondrial carrier family (MCF), very similar to and functionally redundant with Mrs3p, functions under low-iron conditions, may transport other cations in addition to iron</t>
  </si>
  <si>
    <t>YKR051W</t>
  </si>
  <si>
    <t>YKR050W</t>
  </si>
  <si>
    <t>TRK2</t>
  </si>
  <si>
    <t>Component of the Trk1p-Trk2p potassium transport system</t>
  </si>
  <si>
    <t>YKR049C</t>
  </si>
  <si>
    <t>YKR048C</t>
  </si>
  <si>
    <t>NAP1</t>
  </si>
  <si>
    <t>Protein that interacts with mitotic cyclin Clb2p, required for the regulation of microtubule dynamics during mitosis, controls bud morphogenesis, involved in the transport of H2A and H2B histones to the nucleus</t>
  </si>
  <si>
    <t>YKR046C</t>
  </si>
  <si>
    <t>PET10</t>
  </si>
  <si>
    <t>Protein of unknown function that co-purifies with lipid particles, expression pattern suggests a role in respiratory growth, computational analysis of large-scale protein-protein interaction data suggests a role in ATPADP exchange</t>
  </si>
  <si>
    <t>YKR045C</t>
  </si>
  <si>
    <t>YKR044W</t>
  </si>
  <si>
    <t>UIP5</t>
  </si>
  <si>
    <t>YKR043C</t>
  </si>
  <si>
    <t>YKR042W</t>
  </si>
  <si>
    <t>UTH1</t>
  </si>
  <si>
    <t>Mitochondrial outer membrane and cell wall localized SUN family member required for mitochondrial autophagy, involved in the oxidative stress response, life span during starvation, mitochondrial biogenesis, and cell death</t>
  </si>
  <si>
    <t>YKR041W</t>
  </si>
  <si>
    <t>YKR039W</t>
  </si>
  <si>
    <t>GAP1</t>
  </si>
  <si>
    <t>General amino acid permease, localization to the plasma membrane is regulated by nitrogen source</t>
  </si>
  <si>
    <t>YKR038C</t>
  </si>
  <si>
    <t>KAE1</t>
  </si>
  <si>
    <t>Putative glycoprotease that interacts with Bud32p, which is a member of the novel protein kinase piD261 family</t>
  </si>
  <si>
    <t>YKR037C</t>
  </si>
  <si>
    <t>SPC34</t>
  </si>
  <si>
    <t>Endosomal protein that is a subunit of the membrane-associated retromer complex essential for endosome-to-Golgi retrograde transport, forms a subcomplex with Vps26p and Vps29p that selects cargo proteins for endosome-to-Golgi retrieval</t>
  </si>
  <si>
    <t>YJL153C</t>
  </si>
  <si>
    <t>INO1</t>
  </si>
  <si>
    <t>Inositol 1-phosphate synthase, involved in synthesis of inositol phosphates and inositol-containing phospholipids, transcription is coregulated with other phospholipid biosynthetic genes by Ino2p and Ino4p, which bind the UASINO DNA element</t>
  </si>
  <si>
    <t>YJL151C</t>
  </si>
  <si>
    <t>SNA3</t>
  </si>
  <si>
    <t>Integral membrane protein localized to vacuolar intralumenal vesicles, computational analysis of large-scale protein-protein interaction data suggests a possible role in either cell wall synthesis or protein-vacuolar targeting</t>
  </si>
  <si>
    <t>YJL149W</t>
  </si>
  <si>
    <t>Hypothetical protein, has similarity to F-box proteins</t>
  </si>
  <si>
    <t>YJL148W</t>
  </si>
  <si>
    <t>RPA34</t>
  </si>
  <si>
    <t>RNA polymerase I subunit A34.5</t>
  </si>
  <si>
    <t>YJL147C</t>
  </si>
  <si>
    <t>YJL146W</t>
  </si>
  <si>
    <t>IDS2</t>
  </si>
  <si>
    <t>Protein involved in modulation of Ime2p activity during meiosis, appears to act indirectly to promote Ime2p-mediated late meiotic functions, found in growing cells and degraded during sporulation</t>
  </si>
  <si>
    <t>YJL145W</t>
  </si>
  <si>
    <t>SFH5</t>
  </si>
  <si>
    <t>Putative phosphatidylinositol transfer protein (PITP), exhibits phosphatidylinositol- but not phosphatidylcholine-transfer activity, mainly localized to cytosol and microsomes, similar to Sec14p, may be PITP regulator rather than actual PITP</t>
  </si>
  <si>
    <t>YJL144W</t>
  </si>
  <si>
    <t>YJL143W</t>
  </si>
  <si>
    <t>TIM17</t>
  </si>
  <si>
    <t>Essential constituent of the mitochondrial inner membrane presequence translocase, interacts with Pam18p to recruit the presequence translocase-associated motor (PAM complex) and also required for protein sorting during import</t>
  </si>
  <si>
    <t>YJL141C</t>
  </si>
  <si>
    <t>YAK1</t>
  </si>
  <si>
    <t>Serine-threonine protein kinase that is part of a glucose-sensing system involved in growth control in response to glucose availability, translocates from the cytoplasm to the nucleus and phosphorylates Pop2p in response to a glucose signal</t>
  </si>
  <si>
    <t>YJL140W</t>
  </si>
  <si>
    <t>RPB4</t>
  </si>
  <si>
    <t>Putative ATP-dependent RNA helicase of the DEAD-box family involved in ribosomal biogenesis</t>
  </si>
  <si>
    <t>YKR023W</t>
  </si>
  <si>
    <t>YKR022C</t>
  </si>
  <si>
    <t>YKR021W</t>
  </si>
  <si>
    <t>YKR020W</t>
  </si>
  <si>
    <t>VPS51</t>
  </si>
  <si>
    <t>Component of the GARP (Golgi-associated retrograde protein) complex, Vps51p-Vps52p-Vps53p-Vps54p, which is required for the recycling of proteins from endosomes to the late Golgi, links the (VFTGARP)  complex to the SNARE Tlg1p</t>
  </si>
  <si>
    <t>YKR019C</t>
  </si>
  <si>
    <t>IRS4</t>
  </si>
  <si>
    <t>Protein involved in regulation of phosphatidylinositol 4,5-bisphosphate concentrations, Irs4p and Tax4p bind and activate the phosphatase Inp51p, mutation confers an increase in rDNA silencing</t>
  </si>
  <si>
    <t>YKR018C</t>
  </si>
  <si>
    <t>YKR017C</t>
  </si>
  <si>
    <t>YKR016W</t>
  </si>
  <si>
    <t>YKR015C</t>
  </si>
  <si>
    <t>YKR014C</t>
  </si>
  <si>
    <t>YPT52</t>
  </si>
  <si>
    <t>GTPase, similar to Ypt51p and Ypt53p and to mammalian rab5, required for vacuolar protein sorting and endocytosis</t>
  </si>
  <si>
    <t>YKR013W</t>
  </si>
  <si>
    <t>PRY2</t>
  </si>
  <si>
    <t>Protein of unknown function, has similarity to Pry1p and Pry3p and to the plant PR-1 class of pathogen related proteins</t>
  </si>
  <si>
    <t>YKR011C</t>
  </si>
  <si>
    <t>YKR010C</t>
  </si>
  <si>
    <t>TOF2</t>
  </si>
  <si>
    <t>Nonessential mitochondrial protein of unknown function with sequence similarity to Net1p, identified as a topoisomerase I (Top1p) binding protein, displays synthetic genetic interactions with TOP1 and HPR1</t>
  </si>
  <si>
    <t>YKR009C</t>
  </si>
  <si>
    <t>FOX2</t>
  </si>
  <si>
    <t>Multifunctional enzyme of the peroxisomal fatty acid beta-oxidation pathway, has 3-hydroxyacyl-CoA dehydrogenase and enoyl-CoA hydratase activities</t>
  </si>
  <si>
    <t>YKR008W</t>
  </si>
  <si>
    <t>RSC4</t>
  </si>
  <si>
    <t>One of 15 subunits of the Remodel the Structure of Chromatin (RSC) complex, found in close proximity to nucleosomal DNA, displaced from the surface of nucleosomal DNA after chromatin remodeling</t>
  </si>
  <si>
    <t>YKR007W</t>
  </si>
  <si>
    <t>MEH1</t>
  </si>
  <si>
    <t>Component of the EGO complex, which is involved in the regulation of microautophagy, localizes to the vacuolar membrane, loss results in a defect in vacuolar acidification</t>
  </si>
  <si>
    <t>YKR006C</t>
  </si>
  <si>
    <t>MRPL13</t>
  </si>
  <si>
    <t>YKR005C</t>
  </si>
  <si>
    <t>YKR004C</t>
  </si>
  <si>
    <t>ECM9</t>
  </si>
  <si>
    <t>YKR003W</t>
  </si>
  <si>
    <t>OSH6</t>
  </si>
  <si>
    <t>Member of an oxysterol-binding protein family with overlapping, redundant functions in sterol metabolism and which collectively perform a function essential for viability, GFP-fusion protein localizes to the cell periphery</t>
  </si>
  <si>
    <t>YKR002W</t>
  </si>
  <si>
    <t>PAP1</t>
  </si>
  <si>
    <t>Poly(A) polymerase, one of three factors required for mRNA 3-end polyadenylation, forms multiprotein complex with polyadenylation factor I (PF I), also required for mRNA nuclear export, may also polyadenylate rRNAs</t>
  </si>
  <si>
    <t>YKR001C</t>
  </si>
  <si>
    <t>VPS1</t>
  </si>
  <si>
    <t>GTPase required for vacuolar protein sorting, functions in actin cytoskeleton organization via its interaction with Sla1p, required for late Golgi-retention of some proteins including Kex2p, involved in regulating peroxisome biogenesis</t>
  </si>
  <si>
    <t>YKL222C</t>
  </si>
  <si>
    <t>YKL221W</t>
  </si>
  <si>
    <t>MCH2</t>
  </si>
  <si>
    <t>YKL220C</t>
  </si>
  <si>
    <t>FRE2</t>
  </si>
  <si>
    <t>Ferric reductase and cupric reductase, reduces siderophore-bound iron and oxidized copper prior to uptake by transporters, expression induced by low iron levels but not by low copper levels</t>
  </si>
  <si>
    <t>YKL219W</t>
  </si>
  <si>
    <t>COS9</t>
  </si>
  <si>
    <t>YKL218C</t>
  </si>
  <si>
    <t>SRY1</t>
  </si>
  <si>
    <t>3-hydroxyaspartate dehydratase, deaminates L-threo-3-hydroxyaspartate to form oxaloacetate and ammonia, required for survival in the presence of hydroxyaspartate</t>
  </si>
  <si>
    <t>YKL217W</t>
  </si>
  <si>
    <t>JEN1</t>
  </si>
  <si>
    <t>Lactate transporter, required for uptake of lactate and pyruvate, expression is derepressed by transcriptional activator Cat8p under nonfermentative growth conditions, and repressed in the presence of glucose, fructose, and mannose</t>
  </si>
  <si>
    <t>YKL216W</t>
  </si>
  <si>
    <t>URA1</t>
  </si>
  <si>
    <t>Dihydroorotate dehydrogenase, catalyzes the fourth enzymatic step in the de novo biosynthesis of pyrimidines, converting dihydroorotic acid into orotic acid</t>
  </si>
  <si>
    <t>YKL215C</t>
  </si>
  <si>
    <t>YKL214C</t>
  </si>
  <si>
    <t>YRA2</t>
  </si>
  <si>
    <t>Member of the REF (RNA and export factor binding proteins) family, when overexpressed, can substitute for the function of Yra1p in export of poly(A)+ mRNA from the nucleus</t>
  </si>
  <si>
    <t>YKL213C</t>
  </si>
  <si>
    <t>DOA1</t>
  </si>
  <si>
    <t>WD repeat protein required for ubiquitin-mediated protein degradation, forms complex with Cdc48p, plays a role in controlling cellular ubiquitin concentration, also promotes efficient NHEJ in postdiauxicstationary phase</t>
  </si>
  <si>
    <t>YKL212W</t>
  </si>
  <si>
    <t>SAC1</t>
  </si>
  <si>
    <t>Lipid phosphoinositide phosphatase of the ER and Golgi, involved in protein trafficking and secretion</t>
  </si>
  <si>
    <t>YKL211C</t>
  </si>
  <si>
    <t>TRP3</t>
  </si>
  <si>
    <t>Bifunctional enzyme exhibiting both indole-3-glycerol-phosphate synthase and anthranilate synthase activities, forms multifunctional hetero-oligomeric anthranilate synthase:indole-3-glycerol phosphate synthase enzyme complex with Trp2p</t>
  </si>
  <si>
    <t>YKL210W</t>
  </si>
  <si>
    <t>UBA1</t>
  </si>
  <si>
    <t>Ubiquitin activating enzyme, involved in ubiquitin-mediated protein degradation and essential for viability</t>
  </si>
  <si>
    <t>YKL209C</t>
  </si>
  <si>
    <t>STE6</t>
  </si>
  <si>
    <t>ATP-binding cassette (ABC) transporter required for the export of a-factor, catalyzes ATP hydrolysis coupled to a-factor transport, contains 12 transmembrane domains and two ATP binding domains, expressed only in MATa cells</t>
  </si>
  <si>
    <t>YKL208W</t>
  </si>
  <si>
    <t>CBT1</t>
  </si>
  <si>
    <t>Subunit of complex involved in processing of the 3 end of cytochrome b pre-mRNA, involved in RNA splicing</t>
  </si>
  <si>
    <t>YKL207W</t>
  </si>
  <si>
    <t>YKL206C</t>
  </si>
  <si>
    <t>YKL205W</t>
  </si>
  <si>
    <t>LOS1</t>
  </si>
  <si>
    <t>Nuclear pore protein involved in nuclear export of pre-tRNA</t>
  </si>
  <si>
    <t>YKL204W</t>
  </si>
  <si>
    <t>EAP1</t>
  </si>
  <si>
    <t>eIF4E-associated protein, binds eIF4E and inhibits cap-dependent translation, also functions independently of eIF4E to maintain genetic stability, plays a role in cell growth, implicated in the TOR signaling cascade</t>
  </si>
  <si>
    <t>YKL203C</t>
  </si>
  <si>
    <t>TOR2</t>
  </si>
  <si>
    <t>PIK-related protein kinase and rapamycin target, subunit of TORC1, a complex that regulates growth in response to nutrients and TORC2, a complex that regulates cell-cycle dependent polarization of the actin cytoskeleton, involved in meiosis</t>
  </si>
  <si>
    <t>YKL201C</t>
  </si>
  <si>
    <t>MNN4</t>
  </si>
  <si>
    <t>Putative positive regulator of mannosylphosphate transferase (Mnn6p), involved in mannosylphosphorylation of N-linked oligosaccharides, expression increases in late-logarithmic and stationary growth phases</t>
  </si>
  <si>
    <t>YKL198C</t>
  </si>
  <si>
    <t>PTK1</t>
  </si>
  <si>
    <t>Putative serinethreonine protein kinase that regulates spermine uptake, involved in polyamine transport, possible mitochondrial protein</t>
  </si>
  <si>
    <t>YKL197C</t>
  </si>
  <si>
    <t>PEX1</t>
  </si>
  <si>
    <t>AAA-family ATPase peroxin required for peroxisome biogenesis, contains two 230 amino acid ATP-binding AAA cassettes, upregulated in anaerobiosis, Pex1p and Pex6p interact via their N-terminal AAA-cassettes</t>
  </si>
  <si>
    <t>YKL196C</t>
  </si>
  <si>
    <t>YKT6</t>
  </si>
  <si>
    <t>Protein involved in the inositol acylation of glucosaminyl phosphatidylinositol (GlcN-PI) to form glucosaminyl(acyl)phosphatidylinositol (GlcN(acyl)PI), an intermediate in the biosynthesis of glycosylphosphatidylinositol (GPI) anchors</t>
  </si>
  <si>
    <t>YJL090C</t>
  </si>
  <si>
    <t>DPB11</t>
  </si>
  <si>
    <t>Essential BRCT repeat protein, required on the prereplicative complex at replication origins for loading DNA polymerases to initiate DNA synthesis, also required for SM checkpoint control</t>
  </si>
  <si>
    <t>YJL089W</t>
  </si>
  <si>
    <t>SIP4</t>
  </si>
  <si>
    <t>C6 zinc cluster transcriptional activator that binds to the carbon source-responsive element (CSRE) of gluconeogenic genes, involved in the positive regulation of gluconeogenesis, regulated by Snf1p protein kinase, localized to the nucleus</t>
  </si>
  <si>
    <t>YJL088W</t>
  </si>
  <si>
    <t>ARG3</t>
  </si>
  <si>
    <t>Ornithine carbamoyltransferase (carbamoylphosphate:L-ornithine carbamoyltransferase), catalyzes the sixth step in the biosynthesis of the arginine precursor ornithine</t>
  </si>
  <si>
    <t>YJL087C</t>
  </si>
  <si>
    <t>TRL1</t>
  </si>
  <si>
    <t>tRNA ligase, required for tRNA splicing, composed of three essential domains containing the phosphodiesterase, polynucleotide kinase, and ligase activities required for ligation, localized at the inner membrane of the nuclear envelope</t>
  </si>
  <si>
    <t>YJL085W</t>
  </si>
  <si>
    <t>EXO70</t>
  </si>
  <si>
    <t>Essential 70kDa subunit of the exocyst complex (Sec3p, Sec5p, Sec6p, Sec8p, Sec10p, Sec15p, Exo70p, and Exo84p), which has the essential function of mediating polarized targeting of secretory vesicles to active sites of exocytosis</t>
  </si>
  <si>
    <t>YJL084C</t>
  </si>
  <si>
    <t>Cytoplasmic protein of unknown function that interacts with Pcl7p, phosphorylated in vitro, potential Cdc28p substrate</t>
  </si>
  <si>
    <t>YJL083W</t>
  </si>
  <si>
    <t>TAX4</t>
  </si>
  <si>
    <t>Protein involved in regulation of phosphatidylinositol 4,5-bisphosphate concentrations, Irs4p and Tax4p bind and activate the phosphatase Inp51p</t>
  </si>
  <si>
    <t>YJL082W</t>
  </si>
  <si>
    <t>IML2</t>
  </si>
  <si>
    <t>Protein of unknown function, green fluorescent protein (GFP)-fusion protein localizes to the cytoplasm and nucleus</t>
  </si>
  <si>
    <t>YJL081C</t>
  </si>
  <si>
    <t>ARP4</t>
  </si>
  <si>
    <t>YJL080C</t>
  </si>
  <si>
    <t>SCP160</t>
  </si>
  <si>
    <t>Ornithine decarboxylase, catalyzes the first step in polyamine biosynthesis, degraded in a proteasome-dependent manner in the presence of excess polyamines</t>
  </si>
  <si>
    <t>YKL183W</t>
  </si>
  <si>
    <t>LOT5</t>
  </si>
  <si>
    <t>Protein of unknown function, gene expression increases in cultures shifted to a lower temperature</t>
  </si>
  <si>
    <t>YKL183C-A</t>
  </si>
  <si>
    <t>YKL182W</t>
  </si>
  <si>
    <t>FAS1</t>
  </si>
  <si>
    <t>Beta subunit of fatty acid synthetase, which catalyzes the synthesis of long-chain saturated fatty acids, contains acetyltransacylase, dehydratase, enoyl reductase, malonyl transacylase, and palmitoyl transacylase activities</t>
  </si>
  <si>
    <t>YKL181W</t>
  </si>
  <si>
    <t>PRS1</t>
  </si>
  <si>
    <t>5-phospho-ribosyl-1(alpha)-pyrophosphate synthetase, involved in nucleotide, histidine, and tryptophan biosynthesis, one of five related enzymes, which are active as heteromultimeric complexes</t>
  </si>
  <si>
    <t>YKL180W</t>
  </si>
  <si>
    <t>Protein component of the large (60S) ribosomal subunit, nearly identical to Rpl17Bp and has similarity to E. coli L22 and rat L17 ribosomal proteins, copurifies with the components of the outer kinetochore DASH complex  Protein component of the large (60S) ribosomal subunit, nearly identical to Rpl17Ap and has similarity to E. coli L22 and rat L17 ribosomal proteins</t>
  </si>
  <si>
    <t>YKL179C</t>
  </si>
  <si>
    <t>COY1</t>
  </si>
  <si>
    <t>Golgi membrane protein with similarity to mammalian CASP, genetic interactions with GOS1 (encoding a Golgi snare protein) suggest a role in Golgi function</t>
  </si>
  <si>
    <t>YKL178C</t>
  </si>
  <si>
    <t>STE3</t>
  </si>
  <si>
    <t>Receptor for a factor receptor, transcribed in alpha cells and required for mating by alpha cells, couples to MAP kinase cascade to mediate pheromone response, ligand bound receptors are endocytosed and recycled to the plasma membrane, GPCR</t>
  </si>
  <si>
    <t>YKL176C</t>
  </si>
  <si>
    <t>LST4</t>
  </si>
  <si>
    <t>Protein possibly involved in a post-Golgi secretory pathway, required for the transport of nitrogen-regulated amino acid permease Gap1p from the Golgi to the cell surface</t>
  </si>
  <si>
    <t>YKL175W</t>
  </si>
  <si>
    <t>ZRT3</t>
  </si>
  <si>
    <t>Vacuolar membrane zinc transporter, transports zinc from storage in the vacuole to the cytoplasm when needed, transcription is induced under conditions of zinc deficiency</t>
  </si>
  <si>
    <t>YKL174C</t>
  </si>
  <si>
    <t>TPO5</t>
  </si>
  <si>
    <t>Subunit of the nuclear pore complex (NPC), forms a subcomplex with Nup159p and Nsp1p, interacts with Nup116p and is required for proper localization of Nup116p in the NPC</t>
  </si>
  <si>
    <t>YJL060W</t>
  </si>
  <si>
    <t>BNA3</t>
  </si>
  <si>
    <t>Arylformamidase, involved in biosynthesis of nicotinic acid from tryptophan via kynurenine pathway, potential Cdc28p substrate</t>
  </si>
  <si>
    <t>YJL059W</t>
  </si>
  <si>
    <t>YHC3</t>
  </si>
  <si>
    <t>Vacuolar membrane protein involved in the ATP-dependent transport of arginine into the vacuole and possibly in balancing ion homeostasis, homolog of human CLN3 involved in Batten disease (juvenile onset neuronal ceroid lipofuscinosis)</t>
  </si>
  <si>
    <t>YJL058C</t>
  </si>
  <si>
    <t>BIT61</t>
  </si>
  <si>
    <t>Subunit of TORC2 (Tor2p-Lst8p-Avo1-Avo2-Tsc11p-Bit61p-Slm1p-Slm2p), a membrane-associated complex that regulates cell cycle-dependent actin cytoskeletal dynamics during polarized growth and cell wall integrity</t>
  </si>
  <si>
    <t>YJL057C</t>
  </si>
  <si>
    <t>probable serinethreonine kinase</t>
  </si>
  <si>
    <t>YJL056C</t>
  </si>
  <si>
    <t>ZAP1</t>
  </si>
  <si>
    <t>Zinc-regulated transcription factor, binds to zinc-responsive promoter elements to induce transcription of certain genes in the presence of zinc, regulates its own transcription, contains seven zinc-finger domains</t>
  </si>
  <si>
    <t>YJL055W</t>
  </si>
  <si>
    <t>YJL054W</t>
  </si>
  <si>
    <t>TIM54</t>
  </si>
  <si>
    <t>Translocase Inner Membrane, 54kD, Translocase for the insertion of proteins into the mitochondrial inner membrane.</t>
  </si>
  <si>
    <t>YJL053W</t>
  </si>
  <si>
    <t>PEP8</t>
  </si>
  <si>
    <t>Vacuolar protein sorting protein that forms part of the multimeric membrane-associated retromer complex along with Vps35p, Vps29p, Vps17p, and Vps5p, essential for endosome-to-Golgi retrograde protein transport</t>
  </si>
  <si>
    <t>YJL052W</t>
  </si>
  <si>
    <t>TDH1</t>
  </si>
  <si>
    <t xml:space="preserve">Glyceraldehyde-3-phosphate dehydrogenase, isozyme 1, involved in glycolysis and gluconeogenesis, tetramer that catalyzes the reaction of glyceraldehyde-3-phosphate to 1,3 bis-phosphoglycerate, detected in the cytoplasm and cell-wall </t>
  </si>
  <si>
    <t>YJL052C-A</t>
  </si>
  <si>
    <t>YJL051W</t>
  </si>
  <si>
    <t>Protein of unknown function, localized to the bud tip, mRNA is targeted to the bud via the mRNA transport system involving She2p</t>
  </si>
  <si>
    <t>YJL050W</t>
  </si>
  <si>
    <t>MTR4</t>
  </si>
  <si>
    <t>Dead-box family ATP dependent helicase required for mRNA export from the nucleus, co-factor of the exosome complex, required for 3 end formation of 5.8S rRNA</t>
  </si>
  <si>
    <t>YJL049W</t>
  </si>
  <si>
    <t>YJL048C</t>
  </si>
  <si>
    <t>UBX6</t>
  </si>
  <si>
    <t>UBX (ubiquitin regulatory X) domain-containing protein that interacts with Cdc48p, transcription is repressed when cells are grown in media containing inositol and choline</t>
  </si>
  <si>
    <t>YJL047C-A</t>
  </si>
  <si>
    <t>YJL047C</t>
  </si>
  <si>
    <t>RTT101</t>
  </si>
  <si>
    <t>Cullin subunit of a Roc1p-dependent E3 ubiquitin ligase complex, deletion phenotype suggests a role in anaphase progression, interacts with Mms22p and implicated in Mms22-dependent DNA repair, modified by the ubiquitin-like protein, Rub1p</t>
  </si>
  <si>
    <t>YJL046W</t>
  </si>
  <si>
    <t>YJL045W</t>
  </si>
  <si>
    <t>Similar to SDH1</t>
  </si>
  <si>
    <t>YJL044C</t>
  </si>
  <si>
    <t>GYP6</t>
  </si>
  <si>
    <t>GTPase-activating protein (GAP) for the yeast Rab family member, Ypt6p, involved in vesicle mediated protein transport</t>
  </si>
  <si>
    <t>YJL043W</t>
  </si>
  <si>
    <t>YJL042W</t>
  </si>
  <si>
    <t>MHP1</t>
  </si>
  <si>
    <t>Microtubule-associated protein involved in assembly and stabilization of microtubules, overproduction results in cell cycle arrest at G2 phase, similar to Drosophila protein MAP and to mammalian MAP4 proteins</t>
  </si>
  <si>
    <t>YJL041W</t>
  </si>
  <si>
    <t>NSP1</t>
  </si>
  <si>
    <t>Essential component of the nuclear pore complex, which mediates nuclear import and export</t>
  </si>
  <si>
    <t>YJL039C</t>
  </si>
  <si>
    <t>NUP192</t>
  </si>
  <si>
    <t>Essential structural subunit of the nuclear pore complex (NPC), localizes to the nuclear periphery of nuclear pores, homologous to human p205</t>
  </si>
  <si>
    <t>YJL038C</t>
  </si>
  <si>
    <t>YJL037W</t>
  </si>
  <si>
    <t>YJL036W</t>
  </si>
  <si>
    <t>SNX4</t>
  </si>
  <si>
    <t>Sorting nexin, involved in the retrieval of late-Golgi SNAREs from the post-Golgi endosome to the trans-Golgi network and in cytoplasm to vacuole transport, contains a PX domain, forms complex with Snx41p and Atg20p</t>
  </si>
  <si>
    <t>YJL035C</t>
  </si>
  <si>
    <t>TAD2</t>
  </si>
  <si>
    <t>YJL034W</t>
  </si>
  <si>
    <t>KAR2</t>
  </si>
  <si>
    <t>ATPase involved in protein import into the ER, also acts as a chaperone to mediate protein folding in the ER and may play a role in ER export of soluble proteins, regulates the unfolded protein response via interaction with Ire1p</t>
  </si>
  <si>
    <t>YJL033W</t>
  </si>
  <si>
    <t>HCA4</t>
  </si>
  <si>
    <t>Putative nucleolar DEAD box RNA helicase, high-copy number suppression of a U14 snoRNA processing mutant suggests an involvement in 18S rRNA synthesis</t>
  </si>
  <si>
    <t>YJL031C</t>
  </si>
  <si>
    <t>BET4</t>
  </si>
  <si>
    <t>Alpha subunit of Type II geranylgeranyltransferase required for vesicular transport between the endoplasmic reticulum and the Golgi, provides a membrane attachment moiety to Rab-like proteins Ypt1p and Sec4p</t>
  </si>
  <si>
    <t>YJL030W</t>
  </si>
  <si>
    <t>MAD2</t>
  </si>
  <si>
    <t>Component of the spindle-assembly checkpoint complex, which delays the onset of anaphase in cells with defects in mitotic spindle assembly, forms a complex with Mad1p</t>
  </si>
  <si>
    <t>YJL029C</t>
  </si>
  <si>
    <t>VPS53</t>
  </si>
  <si>
    <t>Component of the GARP (Golgi-associated retrograde protein) complex, Vps51p-Vps52p-Vps53p-Vps54p, which is required for the recycling of proteins from endosomes to the late Golgi, required for vacuolar protein sorting</t>
  </si>
  <si>
    <t>YJL027C</t>
  </si>
  <si>
    <t>YJL026W</t>
  </si>
  <si>
    <t>RNR2</t>
  </si>
  <si>
    <t>Ribonucleotide-diphosphate reductase (RNR), small subunit, the RNR complex catalyzes the rate-limiting step in dNTP synthesis and is regulated by DNA replication and DNA damage checkpoint pathways via localization of the small subunits</t>
  </si>
  <si>
    <t>YJL025W</t>
  </si>
  <si>
    <t>RRN7</t>
  </si>
  <si>
    <t>involved in the transcription of 35S rRNA genes by RNA polymerase I, member of yeast Pol I core factor (CF) also composed of Rrn11p, Rrn6p and TATA-binding protein</t>
  </si>
  <si>
    <t>YJL024C</t>
  </si>
  <si>
    <t>APS3</t>
  </si>
  <si>
    <t>Small subunit of the clathrin-associated adaptor complex AP-3, which is involved in vacuolar protein sorting, related to the sigma subunit of the mammalian clathrin AP-3 complex, suppressor of loss of casein kinase 1 function</t>
  </si>
  <si>
    <t>YJL023C</t>
  </si>
  <si>
    <t>PET130</t>
  </si>
  <si>
    <t>Protein required for respiratory growth</t>
  </si>
  <si>
    <t>YJL020C</t>
  </si>
  <si>
    <t>BBC1</t>
  </si>
  <si>
    <t>Protein possibly involved in assembly of actin patches, interacts with an actin assembly factor Las17p and with the SH3 domains of Type I myosins Myo3p and Myo5p, localized predominantly to cortical actin patches</t>
  </si>
  <si>
    <t>YJL019W</t>
  </si>
  <si>
    <t>MPS3</t>
  </si>
  <si>
    <t>Putative phosphomutase, contains a region homologous to the active site of phsophomutases, overexpression of the gene suppresses the histidine auxotrophy of an ade3 ade16 ade17 triple mutant and the temperature sensitivity of a tps2 mutant</t>
  </si>
  <si>
    <t>YKL127W</t>
  </si>
  <si>
    <t>PGM1</t>
  </si>
  <si>
    <t>Phosphoglucomutase, minor isoform, catalyzes the conversion from glucose-1-phosphate to glucose-6-phosphate, which is a key step in hexose metabolism</t>
  </si>
  <si>
    <t>YKL126W</t>
  </si>
  <si>
    <t>YPK1</t>
  </si>
  <si>
    <t>Serinethreonine protein kinase required for receptor-mediated endocytosis, involved in sphingolipid-mediated and cell integrity signaling pathways, localized to the bud neck, cytosol and plasma membrane, homolog of mammalian kinase SGK</t>
  </si>
  <si>
    <t>YKL125W</t>
  </si>
  <si>
    <t>RRN3</t>
  </si>
  <si>
    <t>Required for transcription of rDNA by RNA Polymerase I, DNA-independent RNA Polymerase I transcription factor</t>
  </si>
  <si>
    <t>YKL124W</t>
  </si>
  <si>
    <t>SSH4</t>
  </si>
  <si>
    <t>Protein whose overexpression confers resistance to the growth inhibitor leflunomide, suppressor of shr3 mutation</t>
  </si>
  <si>
    <t>YKL122C</t>
  </si>
  <si>
    <t>SRP21</t>
  </si>
  <si>
    <t>Subunit of the signal recognition particle (SRP), which functions in protein targeting to the endoplasmic reticulum membrane, not found in mammalian SRP, forms a pre-SRP structure in the nucleolus that is translocated to the cytoplasm</t>
  </si>
  <si>
    <t>YKL121W</t>
  </si>
  <si>
    <t>YKL120W</t>
  </si>
  <si>
    <t>OAC1</t>
  </si>
  <si>
    <t>Mitochondrial inner membrane transporter, transports oxaloacetate, sulfate, and thiosulfate, member of the mitochondrial carrier family</t>
  </si>
  <si>
    <t>YKL119C</t>
  </si>
  <si>
    <t>VPH2</t>
  </si>
  <si>
    <t>Integral membrane protein required for vacuolar H+-ATPase (V-ATPase) function, although not an actual component of the V-ATPase complex, functions in the assembly of the V-ATPase, localized to the endoplasmic reticulum (ER)</t>
  </si>
  <si>
    <t>YKL117W</t>
  </si>
  <si>
    <t>SBA1</t>
  </si>
  <si>
    <t>Co-chaperone that binds to and regulates Hsp90 family chaperones, important for pp60v-src activity in yeast, homologous to the mammalian p23 proteins</t>
  </si>
  <si>
    <t>YKL116C</t>
  </si>
  <si>
    <t>PRR1</t>
  </si>
  <si>
    <t>Protein kinase with a possible role in MAP kinase signaling in the pheromone response pathway</t>
  </si>
  <si>
    <t>YKL114C</t>
  </si>
  <si>
    <t>APN1</t>
  </si>
  <si>
    <t>ER associated glutathione S-transferase capable of homodimerization, expression induced during the diauxic shift and throughout stationary phase, functional overlap with Gtt2p, Grx1p, and Grx2p</t>
  </si>
  <si>
    <t>YIR037W</t>
  </si>
  <si>
    <t>HYR1</t>
  </si>
  <si>
    <t>Thiol peroxidase that functions as a hydroperoxide receptor to sense intracellular hydroperoxide levels and transduce a redox signal to the Yap1p transcription factor</t>
  </si>
  <si>
    <t>YIR036C</t>
  </si>
  <si>
    <t>YIR035C</t>
  </si>
  <si>
    <t>YIR034C</t>
  </si>
  <si>
    <t>LYS1</t>
  </si>
  <si>
    <t>Saccharopine dehydrogenase (NAD+, L-lysine-forming), catalyzes the conversion of saccharopine to L-lysine, which is the final step in the lysine biosynthesis pathway</t>
  </si>
  <si>
    <t>YIR033W</t>
  </si>
  <si>
    <t>MGA2</t>
  </si>
  <si>
    <t>ER membrane protein involved, with its homolog Spt23p, in regulation of OLE1 transcription, inactive ER form dimerizes and one subunit is then activated by ubiquitinproteasome-dependent processing followed by nuclear targeting</t>
  </si>
  <si>
    <t>YIR032C</t>
  </si>
  <si>
    <t>DAL3</t>
  </si>
  <si>
    <t>Ureidoglycolate hydrolase, converts ureidoglycolate to glyoxylate and urea in the third step of allantoin degradation, expression sensitive to nitrogen catabolite repression</t>
  </si>
  <si>
    <t>YIR031C</t>
  </si>
  <si>
    <t>DAL7</t>
  </si>
  <si>
    <t>Malate synthase, role in allantoin degradation unknown, expression sensitive to nitrogen catabolite repression and induced by allophanate, an intermediate in allantoin degradation</t>
  </si>
  <si>
    <t>YIR030C</t>
  </si>
  <si>
    <t>DCG1</t>
  </si>
  <si>
    <t>Protein of unknown function, expression is sensitive to nitrogen catabolite repression and regulated by Dal80p, contains transmembrane domain</t>
  </si>
  <si>
    <t>YIR029W</t>
  </si>
  <si>
    <t>DAL2</t>
  </si>
  <si>
    <t>Allantoicase, converts allantoate to urea and ureidoglycolate in the second step of allantoin degradation, expression sensitive to nitrogen catabolite repression and induced by allophanate, an intermediate in allantoin degradation</t>
  </si>
  <si>
    <t>YIR028W</t>
  </si>
  <si>
    <t>DAL4</t>
  </si>
  <si>
    <t>Allantoin permease, expression sensitive to nitrogen catabolite repression and induced by allophanate, an intermediate in allantoin degradation</t>
  </si>
  <si>
    <t>YIR027C</t>
  </si>
  <si>
    <t>DAL1</t>
  </si>
  <si>
    <t>Allantoinase, converts allantoin to allantoate in the first step of allantoin degradation, expression sensitive to nitrogen catabolite repression</t>
  </si>
  <si>
    <t>YIR026C</t>
  </si>
  <si>
    <t>YKL100C</t>
  </si>
  <si>
    <t>YKL099C</t>
  </si>
  <si>
    <t>UTP11</t>
  </si>
  <si>
    <t>YKL098W</t>
  </si>
  <si>
    <t>YKL096W-A</t>
  </si>
  <si>
    <t>CWP2</t>
  </si>
  <si>
    <t>major constituent of the cell wall containing GPI-anchor, plays a role in stabilizing the cell wall, low pH resistance protein, cell wall mannoprotein</t>
  </si>
  <si>
    <t>YKL096W</t>
  </si>
  <si>
    <t>CWP1</t>
  </si>
  <si>
    <t>Cell wall mannoprotein, linked to a beta-1,3- and beta-1,6-glucan heteropolymer through a phosphodiester bond, involved in cell wall organization</t>
  </si>
  <si>
    <t>YKL096C-B</t>
  </si>
  <si>
    <t>YKL095W</t>
  </si>
  <si>
    <t>YJU2</t>
  </si>
  <si>
    <t>Essential nuclear protein, putative spliceosomal component involved in mRNA splicing, based on computational analysis of large-scale protein-protein interaction data</t>
  </si>
  <si>
    <t>YKL094W</t>
  </si>
  <si>
    <t>YJU3</t>
  </si>
  <si>
    <t>Protein of unknown function, localizes to lipid particles</t>
  </si>
  <si>
    <t>YKL093W</t>
  </si>
  <si>
    <t>MBR1</t>
  </si>
  <si>
    <t>Protein involved in mitochondrial functions and stress response, overexpression suppresses growth defects of hap2, hap3, and hap4 mutants</t>
  </si>
  <si>
    <t>YKL092C</t>
  </si>
  <si>
    <t>BUD2</t>
  </si>
  <si>
    <t>GTPase activating factor for Rsr1pBud1p required for both axial and bipolar budding patterns, mutants exhibit random budding in all cell types</t>
  </si>
  <si>
    <t>YKL091C</t>
  </si>
  <si>
    <t>Sec14p homolog</t>
  </si>
  <si>
    <t>YKL090W</t>
  </si>
  <si>
    <t>CUE2</t>
  </si>
  <si>
    <t>Protein of unknown function, has two CUE domains that bind ubiquitin, which may facilitate intramolecular monoubiquitination</t>
  </si>
  <si>
    <t>YKL089W</t>
  </si>
  <si>
    <t>MIF2</t>
  </si>
  <si>
    <t>Kinetochore protein with homology to human CENP-C, required for structural integrity of the spindle during anaphase spindle elongation, interacts with histones H2A, H2B, and H4, phosphorylated by Ipl1p</t>
  </si>
  <si>
    <t>YKL088W</t>
  </si>
  <si>
    <t>YKL087C</t>
  </si>
  <si>
    <t>CYT2</t>
  </si>
  <si>
    <t>Cytochrome c1 heme lyase, involved in maturation of cytochrome c1, which is a subunit of the mitochondrial ubiquinol-cytochrome-c reductase, links heme covalently to apocytochrome c1</t>
  </si>
  <si>
    <t>YKL086W</t>
  </si>
  <si>
    <t>SRX1</t>
  </si>
  <si>
    <t>Sulfiredoxin, contributes to oxidative stress resistance by reducing cysteine-sulfinic acid groups in the peroxiredoxins Tsa1p and Ahp1p that are formed upon exposure to oxidants, conserved in higher eukaryotes</t>
  </si>
  <si>
    <t>YKL085W</t>
  </si>
  <si>
    <t>MDH1</t>
  </si>
  <si>
    <t>Mitochondrial malate dehydrogenase, catalyzes interconversion of malate and oxaloacetate, involved in the tricarboxylic acid (TCA) cycle</t>
  </si>
  <si>
    <t>YKL084W</t>
  </si>
  <si>
    <t>HOT13</t>
  </si>
  <si>
    <t>Mitochondrial intermembrane space protein, first component of a pathway mediating assembly of small TIM (Translocase of the Inner Membrane) complexes which escort hydrophobic inner membrane proteins en route to the TIM22 complex</t>
  </si>
  <si>
    <t>YKL082C</t>
  </si>
  <si>
    <t>RRP14</t>
  </si>
  <si>
    <t>Essential protein, constituent of 66S pre-ribosomal particles, interacts with proteins involved in ribosomal biogenesis and cell polarity, member of the SURF-6 family</t>
  </si>
  <si>
    <t>YKL081W</t>
  </si>
  <si>
    <t>TEF4</t>
  </si>
  <si>
    <t>Translation elongation factor EF-1 gamma</t>
  </si>
  <si>
    <t>YKL080W</t>
  </si>
  <si>
    <t>VMA5</t>
  </si>
  <si>
    <t>Subunit C of the eight-subunit V1 peripheral membrane domain of vacuolar H+-ATPase (V-ATPase), an electrogenic proton pump found throughout the endomembrane system, required for the V1 domain to assemble onto the vacuolar membrane</t>
  </si>
  <si>
    <t>YKL079W</t>
  </si>
  <si>
    <t>SMY1</t>
  </si>
  <si>
    <t>Protein that interacts with Myo2p, proposed to be involved in exocytosis, N-terminal domain is related to the motor domain of kinesins</t>
  </si>
  <si>
    <t>YKL078W</t>
  </si>
  <si>
    <t>DHR2</t>
  </si>
  <si>
    <t>Predominantly nucleolar DEAH-box RNA helicase, required for 18S rRNA synthesis</t>
  </si>
  <si>
    <t>YKL077W</t>
  </si>
  <si>
    <t>YKL075C</t>
  </si>
  <si>
    <t>YKL074C</t>
  </si>
  <si>
    <t>MUD2</t>
  </si>
  <si>
    <t>Protein involved in early pre-mRNA splicing, component of the pre-mRNA-U1 snRNP complex, the commitment complex, interacts with Msl5pBBP splicing factor and Sub2p, similar to metazoan splicing factor U2AF65</t>
  </si>
  <si>
    <t>YKL073W</t>
  </si>
  <si>
    <t>LHS1</t>
  </si>
  <si>
    <t>Molecular chaperone of the endoplasmic reticulum lumen, involved in polypeptide translocation and folding, member of the Hsp70 family, localizes to the lumen of the ER, regulated by the unfolded protein response pathway</t>
  </si>
  <si>
    <t>YKL072W</t>
  </si>
  <si>
    <t>STB6</t>
  </si>
  <si>
    <t>Protein that binds Sin3p in a two-hybrid assay</t>
  </si>
  <si>
    <t>YKL071W</t>
  </si>
  <si>
    <t>YKL070W</t>
  </si>
  <si>
    <t>YKL069W</t>
  </si>
  <si>
    <t>YKL068W-A</t>
  </si>
  <si>
    <t>YKL068W</t>
  </si>
  <si>
    <t>NUP100</t>
  </si>
  <si>
    <t>YIL165C</t>
  </si>
  <si>
    <t>NIT1</t>
  </si>
  <si>
    <t>Nitrilase, member of the widely found nitrilase branch (EC:3.5.5.1) of the nitrilase superfamily  Hypothetical protein</t>
  </si>
  <si>
    <t>YIL164C</t>
  </si>
  <si>
    <t>Nitrilase, member of the widely found nitrilase branch (EC:3.5.5.1) of the nitrilase superfamily</t>
  </si>
  <si>
    <t>YIL162W</t>
  </si>
  <si>
    <t>SUC2</t>
  </si>
  <si>
    <t>Invertase, sucrose hydrolyzing enzyme, a secreted, glycosylated form is regulated by glucose repression, and an intracellular, nonglycosylated enzyme is produced constitutively</t>
  </si>
  <si>
    <t>YIL161W</t>
  </si>
  <si>
    <t>YIL160C</t>
  </si>
  <si>
    <t>POT1</t>
  </si>
  <si>
    <t>3-ketoacyl-CoA thiolase with broad chain length specificity, cleaves 3-ketoacyl-CoA into acyl-CoA and acetyl-CoA during beta-oxidation of fatty acids</t>
  </si>
  <si>
    <t>YIL159W</t>
  </si>
  <si>
    <t>BNR1</t>
  </si>
  <si>
    <t>Formin, nucleates the formation of linear actin filaments, involved in cell processes such as budding and mitotic spindle orientation which require the formation of polarized actin cables, functionally redundant with BNI1</t>
  </si>
  <si>
    <t>YIL158W</t>
  </si>
  <si>
    <t>YIL157C</t>
  </si>
  <si>
    <t>YIL156W</t>
  </si>
  <si>
    <t>UBP7</t>
  </si>
  <si>
    <t>Ubiquitin-specific protease that cleaves ubiquitin-protein fusions</t>
  </si>
  <si>
    <t>YIL155C</t>
  </si>
  <si>
    <t>GUT2</t>
  </si>
  <si>
    <t>Mitochondrial glycerol-3-phosphate dehydrogenase, expression is repressed by both glucose and cAMP and derepressed by non-fermentable carbon sources in a Snf1p, Rsf1p, Hap2345 complex dependent manner</t>
  </si>
  <si>
    <t>YIL154C</t>
  </si>
  <si>
    <t>Transcriptional activator involved in maintenance of ion homeostasis and protection against DNA damage caused by bleomycin and other oxidants, contains a C-terminal leucine-rich repeat</t>
  </si>
  <si>
    <t>YIL153W</t>
  </si>
  <si>
    <t>RRD1</t>
  </si>
  <si>
    <t>Activator of the phosphotyrosyl phosphatase activity of PP2A, regulates G1 phase progression, the G2M phase transition, microtubule dynamics, the osmoresponse, bud morphogenesis and DNA repair, subunit of the Tap42p-Sit4p-Rrd1p complex</t>
  </si>
  <si>
    <t>YIL152W</t>
  </si>
  <si>
    <t>YIL151C</t>
  </si>
  <si>
    <t>YIL150C</t>
  </si>
  <si>
    <t>MCM10</t>
  </si>
  <si>
    <t>Essential, chromatin-associated protein involved in the initiation of DNA replication, required for the association of the MCM2-7 complex with replication origins</t>
  </si>
  <si>
    <t>YIL149C</t>
  </si>
  <si>
    <t>MLP2</t>
  </si>
  <si>
    <t>Myosin-like protein associated with the nuclear envelope, connects the nuclear pore complex with the nuclear interior, involved in the Tel1p pathway that controls telomere length</t>
  </si>
  <si>
    <t>YIL148W</t>
  </si>
  <si>
    <t>YIL147C</t>
  </si>
  <si>
    <t>SLN1</t>
  </si>
  <si>
    <t>Histidine kinase osmosensor that regulates a MAP kinase cascade, transmembrane protein with an intracellular kinase domain that signals to Ypd1p and Ssk1p, thereby forming a phosphorelay system similar to bacterial two-component regulators</t>
  </si>
  <si>
    <t>YIL146C</t>
  </si>
  <si>
    <t>ECM37</t>
  </si>
  <si>
    <t>YIL145C</t>
  </si>
  <si>
    <t>PAN6</t>
  </si>
  <si>
    <t>Pantothenate synthase, also known as pantoate-beta-alanine ligase, required for pantothenic acid biosynthesis, deletion causes pantothenic acid auxotrophy, homologous to E. coli panC</t>
  </si>
  <si>
    <t>YIL144W</t>
  </si>
  <si>
    <t>TID3</t>
  </si>
  <si>
    <t>Component of the evolutionarily conserved kinetochore-associated Ndc80 complex (Ndc80p-Nuf2p-Spc24p-Spc25p), conserved coiled-coil protein involved in chromosome segregation, spindle checkpoint activity, kinetochore assembly and clustering</t>
  </si>
  <si>
    <t>YIL143C</t>
  </si>
  <si>
    <t>SSL2</t>
  </si>
  <si>
    <t>Component of the holoenzyme form of RNA polymerase transcription factor TFIIH, has DNA-dependent ATPasehelicase activity and is required, with Rad3p, for unwinding promoter DNA, involved in DNA repair, homolog of human ERCC3</t>
  </si>
  <si>
    <t>YIL142W</t>
  </si>
  <si>
    <t>CCT2</t>
  </si>
  <si>
    <t>Subunit beta of the cytosolic chaperonin Cct ring complex, related to Tcp1p, required for the assembly of actin and tubulins in vivo</t>
  </si>
  <si>
    <t>YIL140W</t>
  </si>
  <si>
    <t>AXL2</t>
  </si>
  <si>
    <t>Integral plasma membrane protein required for axial budding in haploid cells, localizes to the incipient bud site and bud neck, glycosylated by Pmt4p, potential Cdc28p substrate</t>
  </si>
  <si>
    <t>YIL139C</t>
  </si>
  <si>
    <t>REV7</t>
  </si>
  <si>
    <t>YIL138C</t>
  </si>
  <si>
    <t>TPM2</t>
  </si>
  <si>
    <t>Minor isoform of tropomyosin, binds to and stabilizes actin cables and filaments, which direct polarized cell growth and the distribution of several organelles, appears to have distinct and also overlapping functions with Tpm1p</t>
  </si>
  <si>
    <t>YIL137C</t>
  </si>
  <si>
    <t>YIL136W</t>
  </si>
  <si>
    <t>OM45</t>
  </si>
  <si>
    <t>Protein of unknown function, major constituent of the mitochondrial outer membrane, located on the outer (cytosolic) face of the outer membrane</t>
  </si>
  <si>
    <t>YIL135C</t>
  </si>
  <si>
    <t>VHS2</t>
  </si>
  <si>
    <t>Cytoplasmic protein of unknown function, identified as a high-copy suppressor of the synthetic lethality of a sis2 sit4 double mutant, suggesting a role in G1S phase progression, similar to Mlf3p</t>
  </si>
  <si>
    <t>UDP-glucose pyrophosphorylase (UGPase), catalyses the reversible formation of UDP-Glc from glucose 1-phosphate and UTP, involved in a wide variety of metabolic pathways, expression modulated by Pho85p through Pho4p</t>
  </si>
  <si>
    <t>YKL034W</t>
  </si>
  <si>
    <t>TUL1</t>
  </si>
  <si>
    <t>Golgi-localized RING-finger ubiquitin ligase (E3), involved in ubiquitinating and sorting membrane proteins that contain polar transmembrane domains to multivesicular bodies for delivery to the vacuole for quality control purposes</t>
  </si>
  <si>
    <t>YKL033W-A</t>
  </si>
  <si>
    <t>Similar to S. pombe hypothetical proteins</t>
  </si>
  <si>
    <t>YKL033W</t>
  </si>
  <si>
    <t>Protein of unknown function, localized to the cytoplasm.</t>
  </si>
  <si>
    <t>YKL032C</t>
  </si>
  <si>
    <t>IXR1</t>
  </si>
  <si>
    <t>Protein that binds DNA containing intrastrand cross-links formed by cisplatin, contains two HMG (high mobility group box) domains, which confer the ability to bend cisplatin-modified DNA, mediates aerobic transcriptional repression of COX5b</t>
  </si>
  <si>
    <t>YKL029C</t>
  </si>
  <si>
    <t>MAE1</t>
  </si>
  <si>
    <t>Mitochondrial malic enzyme, catalyzes the oxidative decarboxylation of malate to pyruvate, which is a key intermediate in sugar metabolism and a precursor for synthesis of several amino acids</t>
  </si>
  <si>
    <t>YKL028W</t>
  </si>
  <si>
    <t>TFA1</t>
  </si>
  <si>
    <t>TFIIE large subunit, involved in recruitment of RNA polymerase II to the promoter, activation of TFIIH, and promoter opening</t>
  </si>
  <si>
    <t>YKL027W</t>
  </si>
  <si>
    <t>YKL026C</t>
  </si>
  <si>
    <t>GPX1</t>
  </si>
  <si>
    <t>Phospholipid hydroperoxide glutathione peroxidase induced by glucose starvation that protects cells from phospholipid hydroperoxides and nonphospholipid peroxides during oxidative stress</t>
  </si>
  <si>
    <t>YKL025C</t>
  </si>
  <si>
    <t>PAN3</t>
  </si>
  <si>
    <t>Essential subunit of the Pan2p-Pan3p poly(A)-ribonuclease complex, which acts to control poly(A) tail length and regulate the stoichiometry and activity of postreplication repair complexes</t>
  </si>
  <si>
    <t>YKL024C</t>
  </si>
  <si>
    <t>URA6</t>
  </si>
  <si>
    <t>Uridylate kinase, catalyzes the seventh enzymatic step in the de novo biosynthesis of pyrimidines, converting uridine monophosphate (UMP) into uridine-5-diphosphate (UDP)</t>
  </si>
  <si>
    <t>YKL023W</t>
  </si>
  <si>
    <t>YKL022C</t>
  </si>
  <si>
    <t>CDC16</t>
  </si>
  <si>
    <t>Protein of the SUN family (Sim1p, Uth1p, Nca3p, Sun4p) that may participate in DNA replication, promoter contains SCB regulation box at -300 bp indicating that expression may be cell cycle-regulated</t>
  </si>
  <si>
    <t>YIL122W</t>
  </si>
  <si>
    <t>POG1</t>
  </si>
  <si>
    <t>Putative transcriptional activator that promotes recovery from pheromone induced arrest, inhibits both alpha-factor induced G1 arrest and repression of CLN1 and CLN2 via SCBMCB promoter elements, potential Cdc28p substrate, SBF regulated</t>
  </si>
  <si>
    <t>YIL121W</t>
  </si>
  <si>
    <t>QDR2</t>
  </si>
  <si>
    <t>Multidrug transporter required for resistance to quinidine, barban, cisplatin, and bleomycin, member of the major facilitator superfamily of transporters conferring multiple drug resistance (MFS-MDR)</t>
  </si>
  <si>
    <t>YIL120W</t>
  </si>
  <si>
    <t>QDR1</t>
  </si>
  <si>
    <t>Multidrug transporter required for resistance to quinidine, ketoconazole, fluconazole, and barban, member of the major facilitator superfamily of transporters conferring multiple drug resistance (MFS-MDR)</t>
  </si>
  <si>
    <t>YIL119C</t>
  </si>
  <si>
    <t>RPI1</t>
  </si>
  <si>
    <t>Putative transcriptional regulator, overexpression suppresses the heat shock sensitivity of wild-type RAS2 overexpression and also suppresses the cell lysis defect of an mpk1 mutation</t>
  </si>
  <si>
    <t>YIL118W</t>
  </si>
  <si>
    <t>RHO3</t>
  </si>
  <si>
    <t>Non-essential small GTPase of the RhoRac subfamily of Ras-like proteins involved in the establishment of cell polarity, GTPase activity positively regulated by the GTPase activating protein (GAP) Rgd1p</t>
  </si>
  <si>
    <t>YIL117C</t>
  </si>
  <si>
    <t>PRM5</t>
  </si>
  <si>
    <t>Pheromone-regulated protein, predicted to have 1 transmembrane segment, induced during cell integrity signaling</t>
  </si>
  <si>
    <t>YIL116W</t>
  </si>
  <si>
    <t>HIS5</t>
  </si>
  <si>
    <t>Histidinol-phosphate aminotransferase, catalyzes the seventh step in histidine biosynthesis, responsive to general control of amino acid biosynthesis, mutations cause histidine auxotrophy and sensitivity to Cu, Co, and Ni salts</t>
  </si>
  <si>
    <t>YIL115C</t>
  </si>
  <si>
    <t>NUP159</t>
  </si>
  <si>
    <t>Subunit of the nuclear pore complex that is found exclusively on the cytoplasmic side, forms a subcomplex with Nup82p and Nsp1p, required for mRNA export</t>
  </si>
  <si>
    <t>YIL114C</t>
  </si>
  <si>
    <t>POR2</t>
  </si>
  <si>
    <t>Transcriptional activator of proline utilization genes, constitutively binds PUT1 and PUT2 promoter sequences and undergoes a conformational change to form the active state, has a Zn(2)-Cys(6) binuclear cluster domain</t>
  </si>
  <si>
    <t>YKL014C</t>
  </si>
  <si>
    <t>URB1</t>
  </si>
  <si>
    <t>Nucleolar protein required for the normal accumulation of 25S and 5.8S rRNAs, associated with the 27SA2 pre-ribosomal particle, proposed to be involved in the biogenesis of the 60S ribosomal subunit</t>
  </si>
  <si>
    <t>YKL013C</t>
  </si>
  <si>
    <t>ARC19</t>
  </si>
  <si>
    <t>YKL012W</t>
  </si>
  <si>
    <t>PRP40</t>
  </si>
  <si>
    <t>U1 snRNP protein involved in splicing, interacts with the branchpoint-binding protein during the formation of the second commitment complex</t>
  </si>
  <si>
    <t>YKL011C</t>
  </si>
  <si>
    <t>CCE1</t>
  </si>
  <si>
    <t>cruciform cutting endonuclease</t>
  </si>
  <si>
    <t>YKL010C</t>
  </si>
  <si>
    <t>UFD4</t>
  </si>
  <si>
    <t>Ubiquitin-protein ligase (E3) that interacts with Rpt4p and Rpt6p, two subunits of the 19S particle of the 26S proteasome, cytoplasmic E3 involved in the degradation of ubiquitin fusion proteins</t>
  </si>
  <si>
    <t>YKL009W</t>
  </si>
  <si>
    <t>MRT4</t>
  </si>
  <si>
    <t>Protein involved in mRNA turnover and ribosome assembly, localizes to the nucleolus</t>
  </si>
  <si>
    <t>YKL008C</t>
  </si>
  <si>
    <t>LAC1</t>
  </si>
  <si>
    <t>Ceramide synthase component, involved in synthesis of ceramide from C26(acyl)-coenzyme A and dihydrosphingosine or phytosphingosine, functionally equivalent to Lag1p</t>
  </si>
  <si>
    <t>YKL007W</t>
  </si>
  <si>
    <t>CAP1</t>
  </si>
  <si>
    <t>Alpha subunit of the capping protein (CP) heterodimer (Cap1p and Cap2p) which binds to the barbed ends of actin filaments preventing further polymerization, localized predominantly to cortical actin patches</t>
  </si>
  <si>
    <t>YKL006W</t>
  </si>
  <si>
    <t>N-terminally acetylated protein component of the large (60S) ribosomal subunit, nearly identical to Rpl14Bp and has similarity to rat L14 ribosomal protein, rpl14a csh5 double null mutant exhibits synthetic slow growth  Protein component of the large (60S) ribosomal subunit, nearly identical to Rpl14Ap and has similarity to rat L14 ribosomal protein</t>
  </si>
  <si>
    <t>YKL006C-A</t>
  </si>
  <si>
    <t>SFT1</t>
  </si>
  <si>
    <t>Intra-Golgi v-SNARE, required for transport of proteins between an early and a later Golgi compartment</t>
  </si>
  <si>
    <t>YKL005C</t>
  </si>
  <si>
    <t>BYE1</t>
  </si>
  <si>
    <t>Negative regulator of transcription elongation, contains a TFIIS-like domain and a PHD finger, multicopy suppressor of temperature-sensitive ess1 mutations, probably binds RNA polymerase II large subunit</t>
  </si>
  <si>
    <t>YKL004W</t>
  </si>
  <si>
    <t>AUR1</t>
  </si>
  <si>
    <t>Phosphatidylinositol:ceramide phosphoinositol transferase (IPC synthase), required for sphingolipid synthesis, can mutate to confer aureobasidin A resistance</t>
  </si>
  <si>
    <t>YKL003C</t>
  </si>
  <si>
    <t>MRP17</t>
  </si>
  <si>
    <t>Mitochondrial ribosomal protein of the small subunit, MRP17 exhibits genetic interactions with PET122, encoding a COX3-specific translational activator</t>
  </si>
  <si>
    <t>YKL002W</t>
  </si>
  <si>
    <t>DID4</t>
  </si>
  <si>
    <t>Class E Vps protein of the ESCRT-III complex, required for sorting of integral membrane proteins into lumenal vesicles of multivesicular bodies, and for delivery of newly synthesized vacuolar enzymes to the vacuole, involved in endocytosis</t>
  </si>
  <si>
    <t>YKL001C</t>
  </si>
  <si>
    <t>MET14</t>
  </si>
  <si>
    <t>Adenylylsulfate kinase, required for sulfate assimilation and involved in methionine metabolism</t>
  </si>
  <si>
    <t>YJR155W</t>
  </si>
  <si>
    <t>AAD10</t>
  </si>
  <si>
    <t>YJR154W</t>
  </si>
  <si>
    <t>YJR153W</t>
  </si>
  <si>
    <t>PGU1</t>
  </si>
  <si>
    <t>Endo-polygalacturonase, pectolytic enzyme that hydrolyzes the alpha-1,4-glycosidic bonds in the rhamnogalacturonan chains in pectins</t>
  </si>
  <si>
    <t>YJR152W</t>
  </si>
  <si>
    <t>DAL5</t>
  </si>
  <si>
    <t>Allantoin permease, ureidosuccinate permease, expression is constitutive but sensitive to nitrogen catabolite repression</t>
  </si>
  <si>
    <t>YJR151W-A</t>
  </si>
  <si>
    <t>YJR151C</t>
  </si>
  <si>
    <t>DAN4</t>
  </si>
  <si>
    <t>Cell wall mannoprotein with similarity to Tir1p, Tir2p, Tir3p, and Tir4p, expressed under anaerobic conditions, completely repressed during aerobic growth</t>
  </si>
  <si>
    <t>YJR150C</t>
  </si>
  <si>
    <t>DAN1</t>
  </si>
  <si>
    <t>YJR149W</t>
  </si>
  <si>
    <t>YJR148W</t>
  </si>
  <si>
    <t>BAT2</t>
  </si>
  <si>
    <t>Cytosolic branched-chain amino acid aminotransferase, homolog of murine ECA39, highly expressed during stationary phase and repressed during logarithmic phase</t>
  </si>
  <si>
    <t>YJR147W</t>
  </si>
  <si>
    <t>HMS2</t>
  </si>
  <si>
    <t>Protein with similarity to heat shock transcription factors, overexpression suppresses the pseudohyphal filamentation defect of a diploid mep1 mep2 homozygous null mutant</t>
  </si>
  <si>
    <t>YJR144W</t>
  </si>
  <si>
    <t>MGM101</t>
  </si>
  <si>
    <t>Protein involved in mitochondrial genome maintenance, component of the mitochondrial nucleoid, required for the repair of oxidative mtDNA damage</t>
  </si>
  <si>
    <t>YJR143C</t>
  </si>
  <si>
    <t>PMT4</t>
  </si>
  <si>
    <t>Protein O-mannosyltransferase, transfers mannose residues from dolichyl phosphate-D-mannose to protein serinethreonine residues, appears to form homodimers in vivo and does not complex with other Pmt proteins, target for new antifungals</t>
  </si>
  <si>
    <t>YJR142W</t>
  </si>
  <si>
    <t>YJR141W</t>
  </si>
  <si>
    <t>YJR140C</t>
  </si>
  <si>
    <t>HIR3</t>
  </si>
  <si>
    <t>Transcriptional corepressor involved in the cell cycle-regulated transcription of histone genes HTA1, HTB1, HHT1, and HHT2, involved in position-dependent gene silencing and nucleosome reassembly</t>
  </si>
  <si>
    <t>YJR139C</t>
  </si>
  <si>
    <t>HOM6</t>
  </si>
  <si>
    <t>Homoserine dehydrogenase (L-homoserine:NADP oxidoreductase), dimeric enzyme that catalyzes the third step in the common pathway for methionine and threonine biosynthesis, enzyme has nucleotide-binding, dimerization and catalytic regions</t>
  </si>
  <si>
    <t>YJR138W</t>
  </si>
  <si>
    <t>IML1</t>
  </si>
  <si>
    <t>Protein of unknown function, green fluorescent protein (GFP)-fusion protein localizes to the vacuolar membrane</t>
  </si>
  <si>
    <t>YJR137C</t>
  </si>
  <si>
    <t>ECM17</t>
  </si>
  <si>
    <t>Sulfite reductase beta subunit, involved in amino acid biosynthesis, transcription repressed by methionine</t>
  </si>
  <si>
    <t>YJR136C</t>
  </si>
  <si>
    <t>YJR135W-A</t>
  </si>
  <si>
    <t>TIM8</t>
  </si>
  <si>
    <t>Mitochondrial intermembrane space protein mediating import and insertion of polytopic inner membrane proteins, homolog of human DDP1 (deafness dystonia peptide 1) which is mutated in the X-linked Mohr-Tranebjaerg syndrome</t>
  </si>
  <si>
    <t>YJR135C</t>
  </si>
  <si>
    <t>MCM22</t>
  </si>
  <si>
    <t>Protein involved in minichromosome maintenance, component of the kinetochore, binds to centromeric DNA in a Ctf19p-dependent manner</t>
  </si>
  <si>
    <t>YJR134C</t>
  </si>
  <si>
    <t>SGM1</t>
  </si>
  <si>
    <t>Protein of unknown function, required for wild-type growth rate on galactose and mannose, localizes to COPI coated vesicles and the Golgi apparatus</t>
  </si>
  <si>
    <t>YJR133W</t>
  </si>
  <si>
    <t>XPT1</t>
  </si>
  <si>
    <t>Xanthine-guanine phosphoribosyl transferase, required for xanthine utilization and for optimal utilization of guanine</t>
  </si>
  <si>
    <t>YJR132W</t>
  </si>
  <si>
    <t>NMD5</t>
  </si>
  <si>
    <t>Possible shared subunit of Cop9 signalosome (CSN) and eIF3, binds eIF3b subunit Prt1p, has possible dual functions in transcriptional and translational control, contains a PCI (Proteasome-COP9 signalosome (CSN)-eIF3) domain</t>
  </si>
  <si>
    <t>YIL070C</t>
  </si>
  <si>
    <t>MAM33</t>
  </si>
  <si>
    <t>Acidic protein of the mitochondrial matrix involved in oxidative phosphorylation, related to the human complement receptor gC1q-R</t>
  </si>
  <si>
    <t>YIL069C</t>
  </si>
  <si>
    <t>Protein component of the small (40S) ribosomal subunit, identical to Rps24Ap and has similarity to rat S24 ribosomal protein  Protein component of the small (40S) ribosomal subunit, identical to Rps24Bp and has similarity to rat S24 ribosomal protein</t>
  </si>
  <si>
    <t>YIL068C</t>
  </si>
  <si>
    <t>SEC6</t>
  </si>
  <si>
    <t>Essential 88kDa subunit of the exocyst complex (Sec3p, Sec5p, Sec6p, Sec8p, Sec10p, Sec15p, Exo70p, and Exo84p), which has the essential function of mediating polarized targeting of secretory vesicles to active sites of exocytosis</t>
  </si>
  <si>
    <t>YIL067C</t>
  </si>
  <si>
    <t>YIL066C</t>
  </si>
  <si>
    <t>RNR3</t>
  </si>
  <si>
    <t>Ribonucleotide-diphosphate reductase (RNR), large subunit, the RNR complex catalyzes the rate-limiting step in dNTP synthesis and is regulated by DNA replication and DNA damage checkpoint pathways via localization of the small subunits</t>
  </si>
  <si>
    <t>YIL065C</t>
  </si>
  <si>
    <t>FIS1</t>
  </si>
  <si>
    <t>Mitochondrial outer membrane protein involved in membrane fission, required for localization of Dnm1p and Mdv1p during mitochondrial division</t>
  </si>
  <si>
    <t>YIL064W</t>
  </si>
  <si>
    <t>YIL063C</t>
  </si>
  <si>
    <t>YRB2</t>
  </si>
  <si>
    <t>Ran-GTPase-binding protein involved in nuclear export, nuclear protein, interacts with Gsp1p and Crm1p</t>
  </si>
  <si>
    <t>YIL062C</t>
  </si>
  <si>
    <t>ARC15</t>
  </si>
  <si>
    <t>YIL061C</t>
  </si>
  <si>
    <t>SNP1</t>
  </si>
  <si>
    <t>U1snRNP 70K protein homolog</t>
  </si>
  <si>
    <t>YIL060W</t>
  </si>
  <si>
    <t>YIL057C</t>
  </si>
  <si>
    <t>YIL056W</t>
  </si>
  <si>
    <t>YIL055C</t>
  </si>
  <si>
    <t>YIL053W</t>
  </si>
  <si>
    <t>RHR2</t>
  </si>
  <si>
    <t>Constitutively expressed isoform of DL-glycerol-3-phosphatase, involved in glycerol biosynthesis, induced in response to both anaerobic and, along with the Hor2pGpp2p isoform, osmotic stress</t>
  </si>
  <si>
    <t>YIL052C</t>
  </si>
  <si>
    <t>RPL34B</t>
  </si>
  <si>
    <t>Protein component of the large (60S) ribosomal subunit, nearly identical to Rpl34Ap and has similarity to rat L34 ribosomal protein</t>
  </si>
  <si>
    <t>YIL051C</t>
  </si>
  <si>
    <t>MMF1</t>
  </si>
  <si>
    <t>Protein that may be involved in survival during stationary phase, substrate for the N-myristoyltransferase Nmt1p</t>
  </si>
  <si>
    <t>YJR113C</t>
  </si>
  <si>
    <t>RSM7</t>
  </si>
  <si>
    <t>Mitochondrial ribosomal protein of the small subunit, has similarity to E. coli S7 ribosomal protein</t>
  </si>
  <si>
    <t>YJR112W-A</t>
  </si>
  <si>
    <t>YJR112W</t>
  </si>
  <si>
    <t>NNF1</t>
  </si>
  <si>
    <t>YJR111C</t>
  </si>
  <si>
    <t>YJR110W</t>
  </si>
  <si>
    <t>YMR1</t>
  </si>
  <si>
    <t>Phosphatidylinositol 3-phosphate [PI(3)P] phosphatase, regulates the localization and levels of PI(3)P, involved in cytoplasm to vacuole (CVT) transport, has similarity to the conserved myotubularin dual specificity phosphatase family</t>
  </si>
  <si>
    <t>YJR109C</t>
  </si>
  <si>
    <t>CPA2</t>
  </si>
  <si>
    <t>Large subunit of carbamoyl phosphate synthetase, which catalyzes a step in the synthesis of citrulline, an arginine precursor</t>
  </si>
  <si>
    <t>YJR108W</t>
  </si>
  <si>
    <t>ABM1</t>
  </si>
  <si>
    <t>Protein of unknown function, required for normal microtubule organization</t>
  </si>
  <si>
    <t>YJR107W</t>
  </si>
  <si>
    <t>YJR106W</t>
  </si>
  <si>
    <t>ECM27</t>
  </si>
  <si>
    <t>YJR105W</t>
  </si>
  <si>
    <t>ADO1</t>
  </si>
  <si>
    <t>Adenosine kinase, required for the utilization of S-adenosylmethionine (AdoMet), may be involved in recycling adenosine produced through the methyl cycle</t>
  </si>
  <si>
    <t>YJR104C</t>
  </si>
  <si>
    <t>SOD1</t>
  </si>
  <si>
    <t>Cu, Zn superoxide dismutase, some mutations are analogous to those that cause ALS (amyotrophic lateral sclerosis) in humans</t>
  </si>
  <si>
    <t>YJR103W</t>
  </si>
  <si>
    <t>URA8</t>
  </si>
  <si>
    <t>Minor CTP synthase isozyme (see also URA7), catalyzes the ATP-dependent transfer of the amide nitrogen from glutamine to UTP, forming CTP, the final step in de novo biosynthesis of pyrimidines, involved in phospholipid biosynthesis</t>
  </si>
  <si>
    <t>YJR102C</t>
  </si>
  <si>
    <t>VPS25</t>
  </si>
  <si>
    <t>YJR101W</t>
  </si>
  <si>
    <t>RSM26</t>
  </si>
  <si>
    <t>YJR100C</t>
  </si>
  <si>
    <t>YJR099W</t>
  </si>
  <si>
    <t>YUH1</t>
  </si>
  <si>
    <t>Ubiquitin C-terminal hydrolase that cleaves ubiquitin-protein fusions to generate monomeric ubiquitin, hydrolyzes the peptide bond at the C-terminus of ubiquitin, also the major processing enzyme for the ubiquitin-like protein Rub1p</t>
  </si>
  <si>
    <t>YJR098C</t>
  </si>
  <si>
    <t>YJR097W</t>
  </si>
  <si>
    <t>JJJ3</t>
  </si>
  <si>
    <t>Protein of unknown function, contains a J-domain, which is a region with homology to the E. coli DnaJ protein</t>
  </si>
  <si>
    <t>YJR096W</t>
  </si>
  <si>
    <t>Protein with similarity to aldo-keto reductases</t>
  </si>
  <si>
    <t>YJR095W</t>
  </si>
  <si>
    <t>SFC1</t>
  </si>
  <si>
    <t>Alpha subunit of protein kinase casein kinase-2 (CK2), a spontaneously active, ubiquitous, pleiotropic enzyme that phosphorylates serylthreonyl residues specified by multiple negatively charged side chains (consensus ST-x-x-EDS(P)T(P)</t>
  </si>
  <si>
    <t>YIL034C</t>
  </si>
  <si>
    <t>CAP2</t>
  </si>
  <si>
    <t>Beta subunit of the capping protein (CP) heterodimer (Cap1p and Cap2p) which binds to the barbed ends of actin filaments preventing further polymerization, localized predominantly to cortical actin patches</t>
  </si>
  <si>
    <t>YIL033C</t>
  </si>
  <si>
    <t>BCY1</t>
  </si>
  <si>
    <t>Regulatory subunit of the cyclic AMP-dependent protein kinase (PKA), a component of a signaling pathway that controls a variety of cellular processes, including metabolism, cell cycle, stress response, stationary phase, and sporulation</t>
  </si>
  <si>
    <t>YIL031W</t>
  </si>
  <si>
    <t>ULP2</t>
  </si>
  <si>
    <t>Peptidase that deconjugates Smt3SUMO-1 peptides from proteins, plays a role in chromosome cohesion at centromeric regions and recovery from checkpoint arrest induced by DNA damage or DNA replication defects, potential Cdc28p substrate</t>
  </si>
  <si>
    <t>YIL030C</t>
  </si>
  <si>
    <t>SSM4</t>
  </si>
  <si>
    <t>Ubiquitin-protein ligase of the ERnuclear envelope, required for degradation of Alpha2p and other proteins containing a Deg1 degradation signal, ssm4 mutation suppresses mRNA instability caused by an rna14 mutation</t>
  </si>
  <si>
    <t>YIL029C</t>
  </si>
  <si>
    <t>YIL027C</t>
  </si>
  <si>
    <t>KRE27</t>
  </si>
  <si>
    <t>Protein of unknown function, null mutant shows K1 killer toxin resistance</t>
  </si>
  <si>
    <t>YIL026C</t>
  </si>
  <si>
    <t>IRR1</t>
  </si>
  <si>
    <t>Subunit of the cohesin complex, which is required for sister chromatid cohesion during mitosis and meiosis and interacts with centromeres and chromosome arms, essential for viability</t>
  </si>
  <si>
    <t>YIL024C</t>
  </si>
  <si>
    <t>YIL023C</t>
  </si>
  <si>
    <t>YIL022W</t>
  </si>
  <si>
    <t>TIM44</t>
  </si>
  <si>
    <t>Peripheral mitochondrial membrane protein involved in mitochondrial protein import, tethers essential chaperone Ssc1p to the translocon channel at the matrix side of the inner membrane</t>
  </si>
  <si>
    <t>YIL021W</t>
  </si>
  <si>
    <t>RPB3</t>
  </si>
  <si>
    <t>RNA polymerase II third largest subunit B44, part of central core, similar to prokaryotic alpha subunit</t>
  </si>
  <si>
    <t>YIL020C</t>
  </si>
  <si>
    <t>HIS6</t>
  </si>
  <si>
    <t>Phosphoribosyl-5-amino-1-phosphoribosyl-4-imidazolecarboxiamide isomerase, catalyzes the fourth step in histidine biosynthesis, mutations cause histidine auxotrophy and sensitivity to Cu, Co, and Ni salts</t>
  </si>
  <si>
    <t>YIL019W</t>
  </si>
  <si>
    <t>FAF1</t>
  </si>
  <si>
    <t>Protein required for pre-rRNA processing and 40S ribosomal subunit assembly</t>
  </si>
  <si>
    <t>YIL018W</t>
  </si>
  <si>
    <t>Protein component of the large (60S) ribosomal subunit, identical to Rpl2Ap and has similarity to E. coli L2 and rat L8 ribosomal proteins, expression is upregulated at low temperatures  Protein component of the large (60S) ribosomal subunit, identical to Rpl2Bp and has similarity to E. coli L2 and rat L8 ribosomal proteins</t>
  </si>
  <si>
    <t>YIL017C</t>
  </si>
  <si>
    <t>VID28</t>
  </si>
  <si>
    <t>Protein involved in proteasome-dependent catabolite degradation of fructose-1,6-bisphosphatase (FBPase), localized to the nucleus and the cytoplasm</t>
  </si>
  <si>
    <t>YIL016W</t>
  </si>
  <si>
    <t>SNL1</t>
  </si>
  <si>
    <t>Protein of unknown function proposed to be involved in nuclear pore complex biogenesis and maintenance as well as protein folding, has similarity to the mammalian BAG-1 protein</t>
  </si>
  <si>
    <t>YIL015W</t>
  </si>
  <si>
    <t>BAR1</t>
  </si>
  <si>
    <t>Aspartyl protease secreted into the periplasmic space of mating type a cells, helps cells find mating partners, cleaves and inactivates alpha factor allowing cells to recover from alpha-factor-induced cell cycle arrest</t>
  </si>
  <si>
    <t>YIL014W</t>
  </si>
  <si>
    <t>MNT3</t>
  </si>
  <si>
    <t>Alpha-1,3-mannosyltransferase, adds the fourth and fifth alpha-1,3-linked mannose residues to O-linked glycans during protein O-glycosylation</t>
  </si>
  <si>
    <t>YIL014C-A</t>
  </si>
  <si>
    <t>YIL013C</t>
  </si>
  <si>
    <t>PDR11</t>
  </si>
  <si>
    <t>Membrane protein of the ATP-binding cassette (ABC) transporter superfamily, involved in multiple drug resistance, mediates sterol uptake when sterol biosynthesis is compromised, regulated by Pdr1p, required for anaerobic growth</t>
  </si>
  <si>
    <t>YIL011W</t>
  </si>
  <si>
    <t>TIR3</t>
  </si>
  <si>
    <t>Cell wall mannoprotein of the Srp1pTip1p family of serine-alanine-rich proteins, expressed under anaerobic conditions and required for anaerobic growth</t>
  </si>
  <si>
    <t>YIL010W</t>
  </si>
  <si>
    <t>DOT5</t>
  </si>
  <si>
    <t>Nuclear thiol peroxidase which functions as an alkyl-hydroperoxide reductase during post-diauxic growth</t>
  </si>
  <si>
    <t>YIL009W</t>
  </si>
  <si>
    <t>FAA3</t>
  </si>
  <si>
    <t>Long chain fatty acyl-CoA synthetase, has a preference for C16 and C18 fatty acids, green fluorescent protein (GFP)-fusion protein localizes to the cell periphery</t>
  </si>
  <si>
    <t>YIL009C-A</t>
  </si>
  <si>
    <t>EST3</t>
  </si>
  <si>
    <t>Component of the telomerase holoenzyme, involved in telomere replication</t>
  </si>
  <si>
    <t>YIL008W</t>
  </si>
  <si>
    <t>URM1</t>
  </si>
  <si>
    <t>Ubiquitin-like protein with only weak sequence similarity to ubiquitin, depends on the E1-like activating enzyme Uba4p, molecular function of the Urm1p pathway is unknown, but it is required for normal growth, particularly at high temperature</t>
  </si>
  <si>
    <t>YIL007C</t>
  </si>
  <si>
    <t>NAS2</t>
  </si>
  <si>
    <t>Protein with similarity to the p27 subunit of mammalian proteasome modulator, not essential, interacts with Rpn4p</t>
  </si>
  <si>
    <t>YIL006W</t>
  </si>
  <si>
    <t>Pvruvate transporter of the mitochondrial inner membrane, member of the mitochondrial carrier family, has putative mouse and human orthologs</t>
  </si>
  <si>
    <t>YIL005W</t>
  </si>
  <si>
    <t>EPS1</t>
  </si>
  <si>
    <t>Pdi1p (protein disulfide isomerase)-related protein involved in endoplasmic reticulum retention of resident ER proteins</t>
  </si>
  <si>
    <t>YIL004C</t>
  </si>
  <si>
    <t>BET1</t>
  </si>
  <si>
    <t>Type II membrane protein required for vesicular transport between the endoplasmic reticulum and Golgi complex, v-SNARE with similarity to synaptobrevins</t>
  </si>
  <si>
    <t>YIL003W</t>
  </si>
  <si>
    <t>CFD1</t>
  </si>
  <si>
    <t>Highly conserved, putative P-loop ATPase localized in the cytoplasm, has a potential role in assembly of iron-sulfur clusters in proteins</t>
  </si>
  <si>
    <t>YIL002W-A</t>
  </si>
  <si>
    <t>YIL002C</t>
  </si>
  <si>
    <t>INP51</t>
  </si>
  <si>
    <t>YJR055W</t>
  </si>
  <si>
    <t>HIT1</t>
  </si>
  <si>
    <t>Protein of unknown function, required for growth at high temperature</t>
  </si>
  <si>
    <t>YJR054W</t>
  </si>
  <si>
    <t>Vacuolar protein of unknown function, potential Cdc28p substrate</t>
  </si>
  <si>
    <t>YJR053W</t>
  </si>
  <si>
    <t>BFA1</t>
  </si>
  <si>
    <t>Component of the GTPase-activating Bfa1p-Bub2p complex involved in multiple cell cycle checkpoint pathways that control exit from mitosis</t>
  </si>
  <si>
    <t>YJR052W</t>
  </si>
  <si>
    <t>RAD7</t>
  </si>
  <si>
    <t>Protein that recognizes and binds damaged DNA in an ATP-dependent manner (with Rad16p) during nucleotide excision repair, subunit of Nucleotide Excision Repair Factor 4 (NEF4)</t>
  </si>
  <si>
    <t>YJR051W</t>
  </si>
  <si>
    <t>OSM1</t>
  </si>
  <si>
    <t>Fumarate reductase, catalyzes the reduction of fumarate to succinate, required for the reoxidation of intracellular NADH under anaerobic conditions, mutations cause osmotic sensitivity</t>
  </si>
  <si>
    <t>YJR050W</t>
  </si>
  <si>
    <t>ISY1</t>
  </si>
  <si>
    <t>Component of the spliceosome complex involved in pre-mRNA splicing, auxiliary splicing factor that may modulate Syf1p activity and help optimize splicing, isy1 syf2 double mutation activates the spindle checkpoint, causing cell cycle arrest</t>
  </si>
  <si>
    <t>YJR049C</t>
  </si>
  <si>
    <t>UTR1</t>
  </si>
  <si>
    <t>NAD kinase, active as a hexamer, enhances the activity of ferric reductase (Fre1p)</t>
  </si>
  <si>
    <t>YJR048W</t>
  </si>
  <si>
    <t>CYC1</t>
  </si>
  <si>
    <t>Cytochrome c, isoform 1, electron carrier of the mitochondrial intermembrane space that transfers electrons from ubiquinone-cytochrome c oxidoreductase to cytochrome c oxidase during cellular respiration</t>
  </si>
  <si>
    <t>YJR047C</t>
  </si>
  <si>
    <t>ANB1</t>
  </si>
  <si>
    <t>Translation initiation factor eIF-5A, promotes formation of the first peptide bond, similar to and functionally redundant with Hyp2p, undergoes an essential hypusination modification, expressed under anaerobic conditions</t>
  </si>
  <si>
    <t>YJR046W</t>
  </si>
  <si>
    <t>TAH11</t>
  </si>
  <si>
    <t>DNA replication licensing factor, required for pre-replication complex assembly</t>
  </si>
  <si>
    <t>YJR045C</t>
  </si>
  <si>
    <t>SSC1</t>
  </si>
  <si>
    <t>Mitochondrial matrix ATPase that is a subunit of the presequence translocase-associated protein import motor (PAM), involved in protein translocation into the matrix and protein folding, member of the heat shock protein 70 (HSP70) family</t>
  </si>
  <si>
    <t>YJR044C</t>
  </si>
  <si>
    <t>VPS55</t>
  </si>
  <si>
    <t>Late endosomal protein involved in late endosome to vacuole trafficking, functional homolog of human obesity receptor gene-related protein (OB-RGRP)</t>
  </si>
  <si>
    <t>YJR043C</t>
  </si>
  <si>
    <t>POL32</t>
  </si>
  <si>
    <t>Third subunit of DNA polymerase delta, involved in chromosomal DNA replication, required for error-prone DNA synthesis in the presence of DNA damage and processivity, interacts with Pol31p, PCNA (Pol30p), and Pol1p</t>
  </si>
  <si>
    <t>YJR042W</t>
  </si>
  <si>
    <t>NUP85</t>
  </si>
  <si>
    <t>Protein component of the small (40S) ribosomal subunit, mutation affects 20S pre-rRNA processing, identical to Rps4Bp and has similarity to rat S4 ribosomal protein  Protein component of the small (40S) ribosomal subunit, identical to Rps4Bp and has similarity to rat S4 ribosomal protein</t>
  </si>
  <si>
    <t>YHR202W</t>
  </si>
  <si>
    <t>YHR201C</t>
  </si>
  <si>
    <t>PPX1</t>
  </si>
  <si>
    <t>Exopolyphosphatase, hydrolyzes inorganic polyphosphate (poly P) into Pi residues, located in the cytosol, plasma membrane, and mitochondrial matrix</t>
  </si>
  <si>
    <t>YHR200W</t>
  </si>
  <si>
    <t>RPN10</t>
  </si>
  <si>
    <t>Non-ATPase base subunit of the 19S regulatory particle (RP) of the 26S proteasome, N-terminus plays a role in maintaining the structural integrity of the RP, binds selectively to polyubiquitin chains, homolog of the mammalian S5a protein</t>
  </si>
  <si>
    <t>YHR199C-A</t>
  </si>
  <si>
    <t>YHR199C</t>
  </si>
  <si>
    <t>YHR198C</t>
  </si>
  <si>
    <t>YHR197W</t>
  </si>
  <si>
    <t>RIX1</t>
  </si>
  <si>
    <t>Essential protein involved in the processing of the ITS2 region of the rRNA locus, required for the maturation and nuclear export of the 60S ribosomal subunit</t>
  </si>
  <si>
    <t>YHR196W</t>
  </si>
  <si>
    <t>UTP9</t>
  </si>
  <si>
    <t>YHR195W</t>
  </si>
  <si>
    <t>NVJ1</t>
  </si>
  <si>
    <t>Nuclear envelope protein that interacts with the vacuolar membrane protein Vac8p to promote formation of nucleus-vacuole junctions during piecemeal microautophagy of the nucleus (PMN)</t>
  </si>
  <si>
    <t>YHR194W</t>
  </si>
  <si>
    <t>MDM31</t>
  </si>
  <si>
    <t>Mitochondrial inner membrane protein with similarity to Mdm32p, required for normal mitochondrial morphology and inheritance, interacts genetically with MMM1, MDM10, MDM12, and MDM34</t>
  </si>
  <si>
    <t>YHR193C</t>
  </si>
  <si>
    <t>EGD2</t>
  </si>
  <si>
    <t xml:space="preserve">Alpha subunit of the heteromeric nascent polypeptide-associated complex (NAC) involved in protein sorting and translocation, associated with cytoplasmic ribosomes </t>
  </si>
  <si>
    <t>YHR192W</t>
  </si>
  <si>
    <t>YHR191C</t>
  </si>
  <si>
    <t>CTF8</t>
  </si>
  <si>
    <t>Subunit of a complex with Ctf18p that shares some subunits with Replication Factor C and is required for sister chromatid cohesion</t>
  </si>
  <si>
    <t>YHR190W</t>
  </si>
  <si>
    <t>ERG9</t>
  </si>
  <si>
    <t>Farnesyl-diphosphate farnesyl transferase (squalene synthase), joins two farnesyl pyrophosphate moieties to form squalene in the sterol biosynthesis pathway</t>
  </si>
  <si>
    <t>YHR189W</t>
  </si>
  <si>
    <t>PTH1</t>
  </si>
  <si>
    <t>YJR019C</t>
  </si>
  <si>
    <t>TES1</t>
  </si>
  <si>
    <t>Peroxisomal acyl-CoA thioesterase likely to be involved in fatty acid oxidation rather than fatty acid synthesis, conserved protein also found in human peroxisomes, TES1 mRNA levels increase during growth on fatty acids</t>
  </si>
  <si>
    <t>YJR017C</t>
  </si>
  <si>
    <t>ESS1</t>
  </si>
  <si>
    <t>Peptidylprolyl-cistrans-isomerase (PPIase) specific for phosphorylated serine and threonine residues N-terminal to proline, regulates phosphorylation of the RNA polymerase II large subunit (Rpo21p) C-terminal domain</t>
  </si>
  <si>
    <t>YJR016C</t>
  </si>
  <si>
    <t>ILV3</t>
  </si>
  <si>
    <t>Dihydroxyacid dehydratase, catalyzes third step in the common pathway leading to biosynthesis of branched-chain amino acids</t>
  </si>
  <si>
    <t>YJR015W</t>
  </si>
  <si>
    <t>YJR014W</t>
  </si>
  <si>
    <t>YJR013W</t>
  </si>
  <si>
    <t>GPI14</t>
  </si>
  <si>
    <t>Glycosylphosphatidylinositol-alpha 1,4 mannosyltransferase I, involved in GPI anchor biosynthesis, requires Pbn1p for function, homolog of mammalian PIG-M</t>
  </si>
  <si>
    <t>YJR011C</t>
  </si>
  <si>
    <t>YJR010W</t>
  </si>
  <si>
    <t>MET3</t>
  </si>
  <si>
    <t>ATP sulfurylase, catalyzes the primary step of intracellular sulfate activation, essential for assimilatory reduction of sulfate to sulfide, involved in methionine metabolism</t>
  </si>
  <si>
    <t>YJR010C-A</t>
  </si>
  <si>
    <t>SPC1</t>
  </si>
  <si>
    <t>Subunit of the signal peptidase complex (SPC), which cleaves the signal sequence from proteins targeted to the endoplasmic reticulum (ER), homolog of the SPC12 subunit of mammalian signal peptidase complex</t>
  </si>
  <si>
    <t>YJR008W</t>
  </si>
  <si>
    <t>YJR007W</t>
  </si>
  <si>
    <t>SUI2</t>
  </si>
  <si>
    <t>Alpha subunit of the translation initiation factor eIF2, involved in the identification of the start codon, phosphorylation of Ser51 is required for regulation of translation by inhibiting the exchange of GDP for GTP</t>
  </si>
  <si>
    <t>YJR006W</t>
  </si>
  <si>
    <t>HYS2</t>
  </si>
  <si>
    <t>DNA polymerase III (delta) 55 kDa subunit, essential for cell viability, involved in DNA replication and DNA repair</t>
  </si>
  <si>
    <t>YJR005W</t>
  </si>
  <si>
    <t>APL1</t>
  </si>
  <si>
    <t>Beta-adaptin, large subunit of the clathrin associated protein complex (AP-2), involved in vesicle mediated transport, similar to mammalian beta-chain of the clathrin associated protein complex</t>
  </si>
  <si>
    <t>YJR005C-A</t>
  </si>
  <si>
    <t>YJR004C</t>
  </si>
  <si>
    <t>SAG1</t>
  </si>
  <si>
    <t>Alpha-agglutinin of alpha-cells, binds to Aga1p during agglutination, N-terminal half is homologous to the immunoglobulin superfamily and contains binding site for a-agglutinin, C-terminal half is highly glycosylated and contains GPI anchor</t>
  </si>
  <si>
    <t>YJR003C</t>
  </si>
  <si>
    <t>YJR002W</t>
  </si>
  <si>
    <t>MPP10</t>
  </si>
  <si>
    <t>Component of the SSU processome, which is required for pre-18S rRNA processing, interacts with and controls the stability of Imp3p and Imp4p, essential for viability, similar to human Mpp10p</t>
  </si>
  <si>
    <t>YJR001W</t>
  </si>
  <si>
    <t>AVT1</t>
  </si>
  <si>
    <t>Vacuolar transporter, imports large neutral amino acids into the vacuole, member of a family of seven S. cerevisiae genes (AVT1-7) related to vesicular GABA-glycine transporters</t>
  </si>
  <si>
    <t>YJL219W</t>
  </si>
  <si>
    <t>YJL218W</t>
  </si>
  <si>
    <t>YJL217W</t>
  </si>
  <si>
    <t>YJL216C</t>
  </si>
  <si>
    <t>YJL214W</t>
  </si>
  <si>
    <t>HXT8</t>
  </si>
  <si>
    <t>YJL213W</t>
  </si>
  <si>
    <t>YJL212C</t>
  </si>
  <si>
    <t>OPT1</t>
  </si>
  <si>
    <t>Plasma membrane transporter that transports tetra- and pentapeptides and glutathione, member of the OPT family</t>
  </si>
  <si>
    <t>YJL210W</t>
  </si>
  <si>
    <t>PEX2</t>
  </si>
  <si>
    <t>RING-finger peroxin, peroxisomal membrane protein with a C-terminal zinc-binding RING domain, forms putative translocation subcomplex with Pex10p and Pex12p which functions in peroxisomal matrix protein import</t>
  </si>
  <si>
    <t>YJL209W</t>
  </si>
  <si>
    <t>CBP1</t>
  </si>
  <si>
    <t>Protein required for COB mRNA stability or 5 processing, required for translation of COB mRNAs</t>
  </si>
  <si>
    <t>YJL208C</t>
  </si>
  <si>
    <t>NUC1</t>
  </si>
  <si>
    <t>Major mitochondrial nuclease, has RNAse and DNA endo- and exonucleolytic activities, has a role in mitochondrial recombination</t>
  </si>
  <si>
    <t>YJL207C</t>
  </si>
  <si>
    <t>YJL206C</t>
  </si>
  <si>
    <t>YJL205C</t>
  </si>
  <si>
    <t>NCE101</t>
  </si>
  <si>
    <t>Protein of unknown function, involved in secretion of proteins that lack classical secretory signal sequences</t>
  </si>
  <si>
    <t>YJL204C</t>
  </si>
  <si>
    <t>RCY1</t>
  </si>
  <si>
    <t>F-box protein involved in recycling plasma membrane proteins internalized by endocytosis, localized to sites of polarized growth</t>
  </si>
  <si>
    <t>YJL203W</t>
  </si>
  <si>
    <t>PRP21</t>
  </si>
  <si>
    <t>YHR167W</t>
  </si>
  <si>
    <t>THP2</t>
  </si>
  <si>
    <t>Subunit of the THO complex, which functions to connect transcription elongation with mitotic recombination, and of the TREX complex, which is recruited to activated genes and couples transcription to mRNA export</t>
  </si>
  <si>
    <t>YHR166C</t>
  </si>
  <si>
    <t>CDC23</t>
  </si>
  <si>
    <t>Subunit of the anaphase-promoting complexcyclosome (APCC), which is a ubiquitin-protein ligase required for degradation of anaphase inhibitors, including mitotic cyclins, during the metaphaseanaphase transition</t>
  </si>
  <si>
    <t>YHR165C</t>
  </si>
  <si>
    <t>PRP8</t>
  </si>
  <si>
    <t>Component of the U4U6-U5 snRNP complex, involved in the second catalytic step of splicing</t>
  </si>
  <si>
    <t>YHR164C</t>
  </si>
  <si>
    <t>DNA2</t>
  </si>
  <si>
    <t>Essential tripartite DNA replication factor with single-stranded DNA-dependent ATPase, ATP-dependent nuclease, and helicase activities, required for Okazaki fragment processing, involved in DNA repair pathways, potential Cdc28p substrate</t>
  </si>
  <si>
    <t>YHR163W</t>
  </si>
  <si>
    <t>SOL3</t>
  </si>
  <si>
    <t>Glucose-6-phosphate dehydrogenase, weak multicopy suppressor of los1-1 mutation, homologous to Sol2p and Sol1p</t>
  </si>
  <si>
    <t>YHR162W</t>
  </si>
  <si>
    <t>YHR161C</t>
  </si>
  <si>
    <t>YAP1801</t>
  </si>
  <si>
    <t>Protein involved in clathrin cage assembly, binds Pan1p and clathrin, homologous to Yap1802p, member of the AP180 protein family</t>
  </si>
  <si>
    <t>YHR160C</t>
  </si>
  <si>
    <t>PEX18</t>
  </si>
  <si>
    <t>Part of a two-member peroxin family (Pex18p and Pex21p) specifically required for peroxisomal targeting of the Pex7p peroxisomal signal recognition factor and PTS2 peroxisomal matrix proteins</t>
  </si>
  <si>
    <t>YHR159W</t>
  </si>
  <si>
    <t>Protein of unknown function that localizes to the cytoplasm, potential Cdc28p substrate</t>
  </si>
  <si>
    <t>YHR158C</t>
  </si>
  <si>
    <t>KEL1</t>
  </si>
  <si>
    <t>Protein required for proper cell fusion and cell morphology, functions in a complex with Kel2p to negatively regulate mitotic exit, interacts with Tem1p and Lte1p, localizes to regions of polarized growth, potential Cdc28p substrate</t>
  </si>
  <si>
    <t>YHR157W</t>
  </si>
  <si>
    <t>REC104</t>
  </si>
  <si>
    <t>Protein involved in early stages of meiotic recombination, required for meiotic crossing over, forms a complex with Rec102p and Spo11p necessary during the initiation of recombination</t>
  </si>
  <si>
    <t>YHR156C</t>
  </si>
  <si>
    <t>LIN1</t>
  </si>
  <si>
    <t>Nuclear protein that physically interacts with Irr1p, a component of the cohesin complex, may link together proteins involved in chromosome segregation, mRNA splicing and DNA replication</t>
  </si>
  <si>
    <t>YHR155W</t>
  </si>
  <si>
    <t>YSP1</t>
  </si>
  <si>
    <t>YHR154W</t>
  </si>
  <si>
    <t>RTT107</t>
  </si>
  <si>
    <t>Protein that interacts with Mms22p and is implicated in Mms22-dependent DNA repair during S phase, damage induces phosphorylation by Mec1p at one or more SQTQ motifs, has four BRCT domains, has a role in regulation of Ty1 transposition</t>
  </si>
  <si>
    <t>YHR153C</t>
  </si>
  <si>
    <t>SPO16</t>
  </si>
  <si>
    <t>Protein of unknown function, required for spore formation</t>
  </si>
  <si>
    <t>YHR152W</t>
  </si>
  <si>
    <t>SPO12</t>
  </si>
  <si>
    <t>Nucleolar protein of unknown function, positive regulator of exit from mitosis, involved in regulating the release of Cdc14p from the nucleolus in early anaphase, proposed to play similar role in meiosis</t>
  </si>
  <si>
    <t>YHR151C</t>
  </si>
  <si>
    <t>YHR150W</t>
  </si>
  <si>
    <t>PEX28</t>
  </si>
  <si>
    <t>Peroxisomal integral membrane protein, involved in regulation of peroxisome size and number, genetic interactions suggest that Pex28p and Pex29p act at steps upstream of those mediated by Pex30p, Pex31p, and Pex32p</t>
  </si>
  <si>
    <t>YHR149C</t>
  </si>
  <si>
    <t>SKG6</t>
  </si>
  <si>
    <t>Protein of unknown function, found in the bud tip and bud neck, potential Cdc28p substrate, Skg6p interacts with Zds1p and Zds2p</t>
  </si>
  <si>
    <t>YHR148W</t>
  </si>
  <si>
    <t>IMP3</t>
  </si>
  <si>
    <t>Component of the SSU processome, which is required for pre-18S rRNA processing, essential protein that interacts with Mpp10p and mediates interactions of Imp4p and Mpp10p with U3 snoRNA</t>
  </si>
  <si>
    <t>YHR147C</t>
  </si>
  <si>
    <t>MRPL6</t>
  </si>
  <si>
    <t>YHR146W</t>
  </si>
  <si>
    <t>CRP1</t>
  </si>
  <si>
    <t>Protein that binds to cruciform DNA structures</t>
  </si>
  <si>
    <t>YHR144C</t>
  </si>
  <si>
    <t>DCD1</t>
  </si>
  <si>
    <t>Deaminase required for dCTP and dTTP synthesis, expression is cell cycle regulated</t>
  </si>
  <si>
    <t>YHR143W-A</t>
  </si>
  <si>
    <t>RPC10</t>
  </si>
  <si>
    <t>RNA polymerase subunit, found in RNA polymerase complexes I, II, and III</t>
  </si>
  <si>
    <t>YHR143W</t>
  </si>
  <si>
    <t>DSE2</t>
  </si>
  <si>
    <t>Daughter cell-specific secreted protein with similarity to glucanases, degrades cell wall from the daughter side causing daughter to separate from mother, expression is repressed by cAMP</t>
  </si>
  <si>
    <t>YHR142W</t>
  </si>
  <si>
    <t>CHS7</t>
  </si>
  <si>
    <t>Protein of unknown function, involved in chitin biosynthesis by regulating Chs3p export from the ER</t>
  </si>
  <si>
    <t>YHR141C</t>
  </si>
  <si>
    <t>Farnesyl pyrophosphate synthetase, has both dimethylallyltranstransferase and geranyltranstransferase activities, catalyzes the formation of C15 farnesyl pyrophosphate units for isoprenoid and sterol biosynthesis</t>
  </si>
  <si>
    <t>YJL166W</t>
  </si>
  <si>
    <t>QCR8</t>
  </si>
  <si>
    <t>Subunit 8 of ubiquinol cytochrome-c reductase complex, which is a component of the mitochondrial inner membrane electron transport chain, oriented facing the intermembrane space, expression is regulated by Abf1p and Cpf1p</t>
  </si>
  <si>
    <t>YJL165C</t>
  </si>
  <si>
    <t>HAL5</t>
  </si>
  <si>
    <t>Putative protein kinase, overexpression increases sodium and lithium tolerance, whereas gene disruption increases cation and low pH sensitivity and impairs potassium uptake, suggesting a role in regulation of Trk1p andor Trk2p transporters</t>
  </si>
  <si>
    <t>YJL164C</t>
  </si>
  <si>
    <t>TPK1</t>
  </si>
  <si>
    <t>YJL163C</t>
  </si>
  <si>
    <t>YJL162C</t>
  </si>
  <si>
    <t>JJJ2</t>
  </si>
  <si>
    <t>YJL161W</t>
  </si>
  <si>
    <t>YJL160C</t>
  </si>
  <si>
    <t>YJL159W</t>
  </si>
  <si>
    <t>HSP150</t>
  </si>
  <si>
    <t>O-mannosylated heat shock protein that is secreted and covalently attached to the cell wall via beta-1,3-glucan and disulfide bridges, required for cell wall stability, induced by heat shock, oxidative stress, and nitrogen limitation</t>
  </si>
  <si>
    <t>YJL158C</t>
  </si>
  <si>
    <t>CIS3</t>
  </si>
  <si>
    <t>Mannose-containing glycoprotein constituent of the cell wall, member of the PIR (proteins with internal repeats) family</t>
  </si>
  <si>
    <t>YJL157C</t>
  </si>
  <si>
    <t>FAR1</t>
  </si>
  <si>
    <t>Cyclin-dependent kinase inhibitor that mediates cell cycle arrest in response to pheromone, also forms a complex with Cdc24p, Ste4p, and Ste18p that may specify the direction of polarized growth during mating, potential Cdc28p substrate</t>
  </si>
  <si>
    <t>YJL156C</t>
  </si>
  <si>
    <t>SSY5</t>
  </si>
  <si>
    <t>Component of the SPS plasma membrane amino acid sensor system (Ssy1p-Ptr3p-Ssy5p), which senses external amino acid concentration and transmits intracellular signals that result in regulation of expression of amino acid permease genes</t>
  </si>
  <si>
    <t>YJL155C</t>
  </si>
  <si>
    <t>FBP26</t>
  </si>
  <si>
    <t>Fructose-2,6-bisphosphatase, required for glucose metabolism</t>
  </si>
  <si>
    <t>YJL154C</t>
  </si>
  <si>
    <t>VPS35</t>
  </si>
  <si>
    <t>Uracil phosphoribosyltransferase, synthesizes UMP from uracil, involved in the pyrimidine salvage pathway</t>
  </si>
  <si>
    <t>YHR127W</t>
  </si>
  <si>
    <t>(H)igh copy (S)uppressor of (N)34 dominant negative allele of SEC4. Suppression is very specific to this allele. It has no affect on the analogous YPT1 allele. No homology or known function.</t>
  </si>
  <si>
    <t>YHR126C</t>
  </si>
  <si>
    <t>YHR124W</t>
  </si>
  <si>
    <t>NDT80</t>
  </si>
  <si>
    <t>Meiosis-specific transcription factor required for exit from pachytene and for full meiotic recombination, activates middle sporulation genes, competes with Sum1p for binding to promoters containing middle sporulation elements (MSE)</t>
  </si>
  <si>
    <t>YHR123W</t>
  </si>
  <si>
    <t>EPT1</t>
  </si>
  <si>
    <t>sn-1,2-diacylglycerol ethanolamine- and cholinephosphotranferase, not essential for viability</t>
  </si>
  <si>
    <t>YHR122W</t>
  </si>
  <si>
    <t>YHR121W</t>
  </si>
  <si>
    <t>LSM12</t>
  </si>
  <si>
    <t>Protein containing an Lsm domain and an AD domain, may bind RNA and have a role in RNA processing</t>
  </si>
  <si>
    <t>YHR120W</t>
  </si>
  <si>
    <t>MSH1</t>
  </si>
  <si>
    <t>DNA-binding protein of the mitochondria involved in repair of mitochondrial DNA, has ATPase activity and binds to DNA mismatches, has homology to E. coli MutS, transcription is induced during meiosis</t>
  </si>
  <si>
    <t>YHR119W</t>
  </si>
  <si>
    <t>SET1</t>
  </si>
  <si>
    <t>Histone methyltransferase, subunit of the COMPASS (Set1C) complex which methylates Rad6p ubiquitinated histone H3 on lysine 4, required in transcriptional silencing near telomeres and at the silent mating type loci, contains a SET domain</t>
  </si>
  <si>
    <t>YHR118C</t>
  </si>
  <si>
    <t>ORC6</t>
  </si>
  <si>
    <t>Subunit of the origin recognition complex, which directs DNA replication by binding to replication origins and is also involved in transcriptional silencing, may be phosphorylated by Cdc28p</t>
  </si>
  <si>
    <t>YHR117W</t>
  </si>
  <si>
    <t>TOM71</t>
  </si>
  <si>
    <t>Translocase of the Outer Mitochondrial membrane, 71.9 kDa, 71-kDa component of the protein translocase of the outer membrane of mitochondria</t>
  </si>
  <si>
    <t>YHR116W</t>
  </si>
  <si>
    <t>COX23</t>
  </si>
  <si>
    <t>Mitochondrial intermembrane space protein that functions in mitochondrial copper homeostasis, essential for functional cytochrome oxidase expression, homologous to Cox17p</t>
  </si>
  <si>
    <t>YHR115C</t>
  </si>
  <si>
    <t>DMA1</t>
  </si>
  <si>
    <t>RNA polymerase II subunit B32, forms two subunit dissociable complex with Rpb7p, dispensable under some environmental conditions, involved in export of mRNA to cytoplasm under stress conditions</t>
  </si>
  <si>
    <t>YJL139C</t>
  </si>
  <si>
    <t>YUR1</t>
  </si>
  <si>
    <t>Mannosyltransferase of the KTR1 family, involved in protein N-glycosylation, located in the Golgi apparatus</t>
  </si>
  <si>
    <t>YJL138C</t>
  </si>
  <si>
    <t>Translation initiation factor eIF4A, identical to Tif2p, DEA(DH)-box RNA helicase that couples ATPase activity to RNA binding and unwinding, forms a dumbbell structure of two compact domains connected by a linker, interacts with eIF4G  Translation initiation factor eIF4A, identical to Tif1p, DEA(DH)-box RNA helicase that couples ATPase activity to RNA binding and unwinding, forms a dumbbell structure of two compact domains connected by a linker, interacts with eIF4G</t>
  </si>
  <si>
    <t>YJL137C</t>
  </si>
  <si>
    <t>GLG2</t>
  </si>
  <si>
    <t>YJL136W-A</t>
  </si>
  <si>
    <t>YJL136C</t>
  </si>
  <si>
    <t>RPS21B</t>
  </si>
  <si>
    <t>YJL134W</t>
  </si>
  <si>
    <t>LCB3</t>
  </si>
  <si>
    <t>Long-chain base-1-phosphate phosphatase, regulates ceramide and long-chain base phosphates levels, involved in incorporation of exogenous long chain bases in sphingolipids</t>
  </si>
  <si>
    <t>YJL133W</t>
  </si>
  <si>
    <t>MRS3</t>
  </si>
  <si>
    <t>Mitochondrial iron transporter of the mitochondrial carrier family (MCF), very similar to and functionally redundant with Mrs4p, functions under low-iron conditions, may transport other cations in addition to iron</t>
  </si>
  <si>
    <t>YJL133C-A</t>
  </si>
  <si>
    <t>YJL132W</t>
  </si>
  <si>
    <t>YJL131C</t>
  </si>
  <si>
    <t>YJL130C</t>
  </si>
  <si>
    <t>URA2</t>
  </si>
  <si>
    <t>Bifunctional carbamoylphosphate synthetase (CPSase)-aspartate transcarbamylase (ATCase), catalyzes the first two enzymatic steps in the de novo biosynthesis of pyrimidines, both activities are subject to feedback inhibition by UTP</t>
  </si>
  <si>
    <t>YJL129C</t>
  </si>
  <si>
    <t>TRK1</t>
  </si>
  <si>
    <t>Component of the Trk1p-Trk2p potassium transport system, 180 kDa high affinity potassium transporter</t>
  </si>
  <si>
    <t>YJL128C</t>
  </si>
  <si>
    <t>PBS2</t>
  </si>
  <si>
    <t>MAP kinase kinase that plays a pivotal role in the osmosensing signal-transduction pathway, activated under severe osmotic stress</t>
  </si>
  <si>
    <t>YJL127C-B</t>
  </si>
  <si>
    <t>YJL127C</t>
  </si>
  <si>
    <t>SPT10</t>
  </si>
  <si>
    <t>Putative histone acetylase, required for transcriptional regulation at core promoters, functions at or near the TATA box</t>
  </si>
  <si>
    <t>YJL126W</t>
  </si>
  <si>
    <t>NIT2</t>
  </si>
  <si>
    <t>YJL125C</t>
  </si>
  <si>
    <t>GCD14</t>
  </si>
  <si>
    <t>Subunit of tRNA (1-methyladenosine) methyltransferase, with Gcd10p, required for the modification of the adenine at position 58 in tRNAs, especially tRNAi-Met, first identified as a negative regulator of GCN4 expression</t>
  </si>
  <si>
    <t>YJL124C</t>
  </si>
  <si>
    <t>LSM1</t>
  </si>
  <si>
    <t>Component of small nuclear ribonucleoprotein complexes involved in mRNA decapping and decay</t>
  </si>
  <si>
    <t>YJL123C</t>
  </si>
  <si>
    <t>YJL122W</t>
  </si>
  <si>
    <t>YJL121C</t>
  </si>
  <si>
    <t>RPE1</t>
  </si>
  <si>
    <t>D-ribulose-5-phosphate 3-epimerase, catalyzes a reaction in the non-oxidative part of the pentose-phosphate pathway, mutants are sensitive to oxidative stress</t>
  </si>
  <si>
    <t>YJL118W</t>
  </si>
  <si>
    <t>YJL117W</t>
  </si>
  <si>
    <t>PHO86</t>
  </si>
  <si>
    <t>Endoplasmic reticulum (ER) resident protein required for ER exit of the high-affinity phosphate transporter Pho84p, specifically required for packaging of Pho84p into COPII vesicles</t>
  </si>
  <si>
    <t>YJL116C</t>
  </si>
  <si>
    <t>NCA3</t>
  </si>
  <si>
    <t>Protein that functions with Nca2p to regulate mitochondrial expression of subunits 6 (Atp6p) and 8 (Atp8p ) of the Fo-F1 ATP synthase, member of the SUN family</t>
  </si>
  <si>
    <t>YJL115W</t>
  </si>
  <si>
    <t>ASF1</t>
  </si>
  <si>
    <t>Nucleosome assembly factor, involved in chromatin assembly after DNA replication, anti-silencing protein that causes derepression of silent loci when overexpressed</t>
  </si>
  <si>
    <t>YJL112W</t>
  </si>
  <si>
    <t>MDV1</t>
  </si>
  <si>
    <t>Peripheral protein of the cytosolic face of the mitochondrial outer membrane, required for mitochondrial fission, interacts with Fis1p and with the dynamin-related GTPase Dnm1p, contains WD repeats</t>
  </si>
  <si>
    <t>YJL111W</t>
  </si>
  <si>
    <t>CCT7</t>
  </si>
  <si>
    <t>YJL110C</t>
  </si>
  <si>
    <t>GZF3</t>
  </si>
  <si>
    <t>GATA zinc finger protein and Dal80p homolog that negatively regulates nitrogen catabolic gene expression by competing with Gat1p for GATA site binding, function requires a repressive carbon source, dimerizes with Dal80p and binds to Tor1p</t>
  </si>
  <si>
    <t>YJL109C</t>
  </si>
  <si>
    <t>UTP10</t>
  </si>
  <si>
    <t>YJL108C</t>
  </si>
  <si>
    <t>PRM10</t>
  </si>
  <si>
    <t>Pheromone-regulated protein, predicted to have 5 transmembrane segments  Hypothetical protein</t>
  </si>
  <si>
    <t>YJL107C</t>
  </si>
  <si>
    <t>YJL106W</t>
  </si>
  <si>
    <t>IME2</t>
  </si>
  <si>
    <t>Serinethreonine protein kinase involved in activation of meiosis, associates with Ime1p and mediates its stability, activates Ndt80p, IME2 expression is positively regulated by Ime1p</t>
  </si>
  <si>
    <t>YJL105W</t>
  </si>
  <si>
    <t>SET4</t>
  </si>
  <si>
    <t>Protein of unknown function, contains a SET domain</t>
  </si>
  <si>
    <t>YJL104W</t>
  </si>
  <si>
    <t>PAM16</t>
  </si>
  <si>
    <t>Constituent of the mitochondrial import motor associated with the presequence translocase, along with Ssc1p, Tim44p, Mge1p, and Pam18p, has similarity to J-domain containing proteins</t>
  </si>
  <si>
    <t>YJL103C</t>
  </si>
  <si>
    <t>YJL102W</t>
  </si>
  <si>
    <t>MEF2</t>
  </si>
  <si>
    <t>YJL101C</t>
  </si>
  <si>
    <t>GSH1</t>
  </si>
  <si>
    <t>Gamma glutamylcysteine synthetase, catalyzes the first step in the gamma-glutamyl cycle for glutathione (GSH) biosynthesis, expression induced by oxidants, cadmium, and mercury</t>
  </si>
  <si>
    <t>YJL100W</t>
  </si>
  <si>
    <t>LSB6</t>
  </si>
  <si>
    <t>Phosphatidylinositol 4-kinase that binds Las17p, which is a homolog of human Wiskott-Aldrich Syndrome protein involved in actin patch assembly and actin polymerization</t>
  </si>
  <si>
    <t>YJL099W</t>
  </si>
  <si>
    <t>CHS6</t>
  </si>
  <si>
    <t>Protein of unknown function, involved in chitin biosynthesis by regulating Chs3p localization</t>
  </si>
  <si>
    <t>YJL098W</t>
  </si>
  <si>
    <t>SAP185</t>
  </si>
  <si>
    <t>Protein that forms a complex with the Sit4p protein phosphatase and is required for its function, member of a family of similar proteins including Sap4p, Sap155p, and Sap190p</t>
  </si>
  <si>
    <t>YJL097W</t>
  </si>
  <si>
    <t>YJL096W</t>
  </si>
  <si>
    <t>MRPL49</t>
  </si>
  <si>
    <t>YJL095W</t>
  </si>
  <si>
    <t>BCK1</t>
  </si>
  <si>
    <t>Mitogen-activated protein (MAP) kinase kinase kinase acting in the protein kinase C signaling pathway, which controls cell integrity, upon activation by Pkc1p phosphorylates downstream kinases Mkk1p and Mkk2p</t>
  </si>
  <si>
    <t>YJL094C</t>
  </si>
  <si>
    <t>KHA1</t>
  </si>
  <si>
    <t>Putative K+H+ antiporter</t>
  </si>
  <si>
    <t>YJL093C</t>
  </si>
  <si>
    <t>TOK1</t>
  </si>
  <si>
    <t>Outward-rectifier potassium channel of the plasma membrane with two pore domains in tandem, each of which forms a functional channel permeable to potassium, carboxy tail functions to prevent inner gate closures, target of K1 toxin</t>
  </si>
  <si>
    <t>YJL092W</t>
  </si>
  <si>
    <t>HPR5</t>
  </si>
  <si>
    <t>DNA helicase and DNA-dependent ATPase involved in DNA repair, required for proper timing of commitment to meiotic recombination and the transition from Meiosis I to Meiosis II, potential Cdc28p substrate</t>
  </si>
  <si>
    <t>YJL091C</t>
  </si>
  <si>
    <t>GWT1</t>
  </si>
  <si>
    <t>Protein involved in the nonsense-mediated mRNA decay (NMD) pathway, interacts with Nam7p and Upf3p</t>
  </si>
  <si>
    <t>YHR076W</t>
  </si>
  <si>
    <t>PTC7</t>
  </si>
  <si>
    <t>Mitochondrially localized type 2C protein phosphatase, expression induced by growth on ethanol and by sustained osmotic stress, possible role in carbon source utilization in low oxygen environments</t>
  </si>
  <si>
    <t>YHR075C</t>
  </si>
  <si>
    <t>PPE1</t>
  </si>
  <si>
    <t>Protein with carboxyl methyl esterase activity that may have a role in demethylation of the phosphoprotein phosphatase catalytic subunit, also identified as a small subunit mitochondrial ribosomal protein</t>
  </si>
  <si>
    <t>YHR074W</t>
  </si>
  <si>
    <t>QNS1</t>
  </si>
  <si>
    <t>Glutamine-dependent NAD(+) synthetase, essential for the formation of NAD(+) from nicotinic acid adenine dinucleotide</t>
  </si>
  <si>
    <t>YHR073W</t>
  </si>
  <si>
    <t>OSH3</t>
  </si>
  <si>
    <t>Member of an oxysterol-binding protein family with seven members in S. cerevisiae, family members have overlapping, redundant functions in sterol metabolism and collectively perform a function essential for viability</t>
  </si>
  <si>
    <t>YHR072W-A</t>
  </si>
  <si>
    <t>NOP10</t>
  </si>
  <si>
    <t>Constituent of small nucleolar ribonucleoprotein particles containing HACA-type snoRNAs, which are required for pseudouridylation and processing of pre-18S rRNA</t>
  </si>
  <si>
    <t>YHR072W</t>
  </si>
  <si>
    <t>ERG7</t>
  </si>
  <si>
    <t>Lanosterol synthase, an essential enzyme that catalyzes the cyclization of squalene 2,3-epoxide, a step in ergosterol biosynthesis</t>
  </si>
  <si>
    <t>YHR071W</t>
  </si>
  <si>
    <t>PCL5</t>
  </si>
  <si>
    <t>Cyclin, interacts with Pho85p cyclin-dependent kinase (Cdk), induced by Gcn4p at level of transcription, specifically required for Gcn4p degradation, may be sensor of cellular protein biosynthetic capacity</t>
  </si>
  <si>
    <t>YHR070W</t>
  </si>
  <si>
    <t>TRM5</t>
  </si>
  <si>
    <t>tRNA(m(1)G37)methyltransferase, methylates a tRNA base adjacent to the anticodon that has a role in prevention of frameshifting, highly conserved across Archaea, Bacteria, and Eukarya</t>
  </si>
  <si>
    <t>YHR069C</t>
  </si>
  <si>
    <t>RRP4</t>
  </si>
  <si>
    <t>Protein involved in rRNA processing, component of the exosome 3-&gt;5 exonuclease complex with Rrp41p, Rrp42p, Rrp43p and Dis3p</t>
  </si>
  <si>
    <t>YHR068W</t>
  </si>
  <si>
    <t>DYS1</t>
  </si>
  <si>
    <t>Essential RNA-binding G protein effector of mating response pathway, predominantly associated with nuclear envelope and ER, interacts in mRNA-dependent manner with translating ribosomes via multiple KH domains, similar to vertebrate vigilins</t>
  </si>
  <si>
    <t>YJL079C</t>
  </si>
  <si>
    <t>PRY1</t>
  </si>
  <si>
    <t>Protein of unknown function, has similarity to Pry2p and Pry3p and to the plant PR-1 class of pathogen related proteins</t>
  </si>
  <si>
    <t>YJL078C</t>
  </si>
  <si>
    <t>PRY3</t>
  </si>
  <si>
    <t>Protein of unknown function, has similarity to Pry1p and Pry2p and to the plant PR-1 class of pathogen related proteins</t>
  </si>
  <si>
    <t>YJL077W-B</t>
  </si>
  <si>
    <t>YJL077C</t>
  </si>
  <si>
    <t>ICS3</t>
  </si>
  <si>
    <t>YJL076W</t>
  </si>
  <si>
    <t>NET1</t>
  </si>
  <si>
    <t>Core subunit of the RENT complex, which is a complex involved in nucleolar silencing and telophase exit, stimulates transcription by RNA polymerase I and regulates nucleolar structure</t>
  </si>
  <si>
    <t>YJL074C</t>
  </si>
  <si>
    <t>SMC3</t>
  </si>
  <si>
    <t>Subunit of the multiprotein cohesin complex required for sister chromatid cohesion in mitotic cells, also required, with Rec8p, for cohesion and recombination during meiosis, phylogenetically conserved SMC chromosomal ATPase family member</t>
  </si>
  <si>
    <t>YJL073W</t>
  </si>
  <si>
    <t>JEM1</t>
  </si>
  <si>
    <t>DnaJ-like chaperone required for nuclear membrane fusion during mating, localizes to the ER membrane, exhibits genetic interactions with KAR2</t>
  </si>
  <si>
    <t>YJL072C</t>
  </si>
  <si>
    <t>PSF2</t>
  </si>
  <si>
    <t>YJL071W</t>
  </si>
  <si>
    <t>ARG2</t>
  </si>
  <si>
    <t>Acetylglutamate synthase (glutamate N-acetyltransferase), mitochondrial enzyme that catalyzes the first step in the biosynthesis of the arginine precursor ornithine, forms a complex with Arg5,6p</t>
  </si>
  <si>
    <t>YJL070C</t>
  </si>
  <si>
    <t>YJL069C</t>
  </si>
  <si>
    <t>UTP18</t>
  </si>
  <si>
    <t>YJL068C</t>
  </si>
  <si>
    <t>YJL066C</t>
  </si>
  <si>
    <t>MPM1</t>
  </si>
  <si>
    <t xml:space="preserve">Mitochondrial membrane protein of unknown function, contains no hydrophobic stretches </t>
  </si>
  <si>
    <t>YJL065C</t>
  </si>
  <si>
    <t>DLS1</t>
  </si>
  <si>
    <t>Subunit of ISW2yCHRAC chromatin accessibility complex along with Itc1p, Isw2p, and Dpb4p, involved in inheritance of telomeric silencing</t>
  </si>
  <si>
    <t>YJL063C</t>
  </si>
  <si>
    <t>MRPL8</t>
  </si>
  <si>
    <t>YJL062W-A</t>
  </si>
  <si>
    <t>YJL062W</t>
  </si>
  <si>
    <t>LAS21</t>
  </si>
  <si>
    <t>Integral plasma membrane protein involved in the synthesis of the glycosylphosphatidylinositol (GPI) core structure, mutations affect cell wall integrity</t>
  </si>
  <si>
    <t>YJL061W</t>
  </si>
  <si>
    <t>NUP82</t>
  </si>
  <si>
    <t>Peptidyl-prolyl cis-trans isomerase (cyclophilin), catalyzes the cis-trans isomerization of peptide bonds N-terminal to proline residues, has a potential role in the secretory pathway</t>
  </si>
  <si>
    <t>YHR054C</t>
  </si>
  <si>
    <t>RSC30</t>
  </si>
  <si>
    <t>Hypothetical protein  One of 15 subunits of the Remodel the Structure of Chromatin (RSC) complex, non-essential gene required for regulation of ribosomal protein genes and the cell wallstress response, highly similar to Rsc3p, null mutants are osmosensitive</t>
  </si>
  <si>
    <t>YHR053C</t>
  </si>
  <si>
    <t>Metallothionein, binds copper and mediates resistance to high concentrations of copper and cadmium, locus is variably amplified in different strains, with two copies, CUP1-1 and CUP1-2, in the genomic sequence reference strain S288C  Metallothionein, binds copper and mediates resistance to high concentrations of copper and cadmium, locus is variably amplified in different strains, with two copies, CUP1-1 and CUP1-2, in the genomic sequence reference strain S288C</t>
  </si>
  <si>
    <t>YHR052W</t>
  </si>
  <si>
    <t>CIC1</t>
  </si>
  <si>
    <t>Essential protein that interacts with proteasome components and has a potential role in proteasome substrate specificity, also copurifies with 66S pre-ribosomal particles</t>
  </si>
  <si>
    <t>YHR051W</t>
  </si>
  <si>
    <t>COX6</t>
  </si>
  <si>
    <t>Subunit VI of cytochrome c oxidase, which is the terminal member of the mitochondrial inner membrane electron transport chain, expression is regulated by oxygen levels</t>
  </si>
  <si>
    <t>YHR050W-A</t>
  </si>
  <si>
    <t>YHR050W</t>
  </si>
  <si>
    <t>SMF2</t>
  </si>
  <si>
    <t>Divalent metal ion transporter involved in manganese homeostasis, has broad specificity for di-valent and tri-valent metals, post-translationally regulated by levels of metal ions, member of the Nramp family of metal transport proteins</t>
  </si>
  <si>
    <t>YHR049W</t>
  </si>
  <si>
    <t>FSH1</t>
  </si>
  <si>
    <t>Serine hydrolase that localizes to both the nucleus and cytoplasm, sequence is similar to Fsh2p and Fsh3p</t>
  </si>
  <si>
    <t>YHR048W</t>
  </si>
  <si>
    <t>YHR047C</t>
  </si>
  <si>
    <t>AAP1</t>
  </si>
  <si>
    <t>Argininealanine aminopeptidase, overproduction stimulates glycogen accumulation</t>
  </si>
  <si>
    <t>YHR046C</t>
  </si>
  <si>
    <t>INM1</t>
  </si>
  <si>
    <t>Inositol monophosphatase, involved in biosynthesis of inositol and in phosphoinositide second messenger signaling, INM1 expression increases in the presence of inositol and decreases upon exposure to antibipolar drugs lithium and valproate</t>
  </si>
  <si>
    <t>YHR045W</t>
  </si>
  <si>
    <t>YHR044C</t>
  </si>
  <si>
    <t>DOG1</t>
  </si>
  <si>
    <t>2-deoxyglucose-6-phosphate phosphatase, similar to Dog2p, member of a family of low molecular weight phosphatases, confers 2-deoxyglucose resistance when overexpressed, in vivo substrate has not yet been identified</t>
  </si>
  <si>
    <t>YHR043C</t>
  </si>
  <si>
    <t>2-deoxyglucose-6-phosphate phosphatase, member of a family of low molecular weight phosphatases, similar to Dog1p, induced by oxidative and osmotic stress, confers 2-deoxyglucose resistance when overexpressed  2-deoxyglucose-6-phosphate phosphatase, similar to Dog2p, member of a family of low molecular weight phosphatases, confers 2-deoxyglucose resistance when overexpressed, in vivo substrate has not yet been identified</t>
  </si>
  <si>
    <t>YHR042W</t>
  </si>
  <si>
    <t>NCP1</t>
  </si>
  <si>
    <t>NADP-cytochrome P450 reductase, involved in ergosterol biosynthesis, associated and coordinately regulated with Erg11p</t>
  </si>
  <si>
    <t>YHR041C</t>
  </si>
  <si>
    <t>SRB2</t>
  </si>
  <si>
    <t>RNA polymerase II holoenzymemediator subunit</t>
  </si>
  <si>
    <t>YHR040W</t>
  </si>
  <si>
    <t>BCD1</t>
  </si>
  <si>
    <t>Essential protein required for the accumulation of box CD snoRNA</t>
  </si>
  <si>
    <t>YHR039C-A</t>
  </si>
  <si>
    <t>VMA10</t>
  </si>
  <si>
    <t>Vacuolar H+ ATPase subunit G of the catalytic (V1) sector</t>
  </si>
  <si>
    <t>YHR039C</t>
  </si>
  <si>
    <t>MSC7</t>
  </si>
  <si>
    <t>Protein of unknown function, green fluorescent protein (GFP)-fusion protein localizes to the endoplasmic reticulum, msc7 mutants are defective in directing meiotic recombination events to homologous chromatids</t>
  </si>
  <si>
    <t>YHR038W</t>
  </si>
  <si>
    <t>RRF1</t>
  </si>
  <si>
    <t>Mitochondrial ribosome recycling factor, essential for mitochondrial protein synthesis and for the maintenance of the respiratory function of mitochondria</t>
  </si>
  <si>
    <t>YHR037W</t>
  </si>
  <si>
    <t>PUT2</t>
  </si>
  <si>
    <t>Delta-1-pyrroline-5-carboxylate dehydrogenase, nuclear-encoded mitochondrial protein involved in utilization of proline as sole nitrogen source, deficiency of the human homolog causes HPII, an autosomal recessive inborn error of metabolism</t>
  </si>
  <si>
    <t>YHR036W</t>
  </si>
  <si>
    <t>YHR035W</t>
  </si>
  <si>
    <t>YHR034C</t>
  </si>
  <si>
    <t>PIH1</t>
  </si>
  <si>
    <t>Protein of unresolved function, may function in protein folding andor rRNA processing, interacts with a chaperone (Hsp82p), two chromatin remodeling factors (Rvb1p, Rvb2p) and two rRNA processing factors (Rrp43p, Nop58p)</t>
  </si>
  <si>
    <t>YHR033W</t>
  </si>
  <si>
    <t>YHR032W</t>
  </si>
  <si>
    <t>YHR031C</t>
  </si>
  <si>
    <t>RRM3</t>
  </si>
  <si>
    <t>DNA helicase involved in rDNA replication and Ty1 transposition, structurally and functionally related to Pif1p</t>
  </si>
  <si>
    <t>YHR030C</t>
  </si>
  <si>
    <t>SLT2</t>
  </si>
  <si>
    <t>Serinethreonine MAP kinase involved in regulating the maintenance of cell wall integrity and progression through the cell cycle, regulated by the PKC1-mediated signaling pathway</t>
  </si>
  <si>
    <t>YHR029C</t>
  </si>
  <si>
    <t>YHR028C</t>
  </si>
  <si>
    <t>DAP2</t>
  </si>
  <si>
    <t>Dipeptidyl aminopeptidase, synthesized as a glycosylated precursor, localizes to the vacuolar membrane, similar to Ste13p</t>
  </si>
  <si>
    <t>YHR027C</t>
  </si>
  <si>
    <t>RPN1</t>
  </si>
  <si>
    <t>Non-ATPase base subunit of the 19S regulatory particle of the 26S proteasome, may participate in the recognition of several ligands of the proteasome, contains a leucine-rich repeat (LRR) domain, a site for protein?protein interactions</t>
  </si>
  <si>
    <t>YHR026W</t>
  </si>
  <si>
    <t>PPA1</t>
  </si>
  <si>
    <t>Subunit c of the vacuolar ATPase, which functions in acidification of the vacuole, one of three proteolipid subunits of the V0 domain</t>
  </si>
  <si>
    <t>YHR025W</t>
  </si>
  <si>
    <t>THR1</t>
  </si>
  <si>
    <t>Homoserine kinase, conserved protein required for threonine biosynthesis, expression is regulated by the GCN4-mediated general amino acid control pathway</t>
  </si>
  <si>
    <t>YHR024C</t>
  </si>
  <si>
    <t>MAS2</t>
  </si>
  <si>
    <t>Larger subunit of the mitochondrial processing protease, essential processing enzyme that cleaves the N-terminal targeting sequences from mitochondrially imported proteins</t>
  </si>
  <si>
    <t>YHR023W</t>
  </si>
  <si>
    <t>MYO1</t>
  </si>
  <si>
    <t>Type II myosin heavy chain, required for wild-type cytokinesis and cell separation, localizes to the actomyosin ring, binds to myosin light chains Mlc1p and Mlc2p through its IQ1 and IQ2 motifs respectively</t>
  </si>
  <si>
    <t>YHR022C-A</t>
  </si>
  <si>
    <t>YHR022C</t>
  </si>
  <si>
    <t>YHR021W-A</t>
  </si>
  <si>
    <t>ECM12</t>
  </si>
  <si>
    <t>YHR021C</t>
  </si>
  <si>
    <t>RPS27B</t>
  </si>
  <si>
    <t>Protein component of the small (40S) ribosomal subunit, nearly identical to Rps27Ap and has similarity to rat S27 ribosomal protein</t>
  </si>
  <si>
    <t>YHR020W</t>
  </si>
  <si>
    <t>Essential integral membrane protein required for spindle pole body duplication and for nuclear fusion, localizes to the spindle pole body half bridge, interacts with DnaJ-like chaperone Jem1p and with centrin homolog Cdc31p</t>
  </si>
  <si>
    <t>YJL016W</t>
  </si>
  <si>
    <t>YJL014W</t>
  </si>
  <si>
    <t>CCT3</t>
  </si>
  <si>
    <t>YJL013C</t>
  </si>
  <si>
    <t>MAD3</t>
  </si>
  <si>
    <t>Component of the spindle-assembly checkpoint complex, which delays the onset of anaphase in cells with defects in mitotic spindle assembly, interacts physically with the spindle checkpoint proteins Bub3p and Mad2p</t>
  </si>
  <si>
    <t>YJL012C</t>
  </si>
  <si>
    <t>VTC4</t>
  </si>
  <si>
    <t>YJL011C</t>
  </si>
  <si>
    <t>RPC17</t>
  </si>
  <si>
    <t>RNA polymerase III subunit C17, physically interacts with C31, C11, and TFIIIB70, may be involved in the recruitment of pol III by the preinitiation complex</t>
  </si>
  <si>
    <t>YJL010C</t>
  </si>
  <si>
    <t>Essential nucleolar protein required for 18S rRNA synthesis</t>
  </si>
  <si>
    <t>YJL008C</t>
  </si>
  <si>
    <t>CCT8</t>
  </si>
  <si>
    <t>YJL006C</t>
  </si>
  <si>
    <t>CTK2</t>
  </si>
  <si>
    <t>Beta subunit of C-terminal domain kinase I (CTDK-I), which phosphorylates the C-terminal repeated domain of the RNA polymerase II large subunit (Rpo21p) to affect both transcription and pre-mRNA 3 end processing, has similarity to cyclins</t>
  </si>
  <si>
    <t>YJL005W</t>
  </si>
  <si>
    <t>CYR1</t>
  </si>
  <si>
    <t>Adenylate cyclase, required for cAMP production and cAMP-dependent protein kinase signaling, involved in cell cycle control and glucose and nitrogen repression of sporulation</t>
  </si>
  <si>
    <t>YJL004C</t>
  </si>
  <si>
    <t>SYS1</t>
  </si>
  <si>
    <t>Integral membrane protein of the Golgi required for targeting of the Arf-like GTPase Arl3p to the Golgi, multicopy suppressor of ypt6 null mutation</t>
  </si>
  <si>
    <t>YJL003W</t>
  </si>
  <si>
    <t>COX16</t>
  </si>
  <si>
    <t>Mitochondrial inner membrane protein, required for assembly of cytochrome c oxidase</t>
  </si>
  <si>
    <t>YJL002C</t>
  </si>
  <si>
    <t>OST1</t>
  </si>
  <si>
    <t>Alpha subunit of the oligosaccharyltransferase complex of the ER lumen, which catalyzes asparagine-linked glycosylation of newly synthesized proteins</t>
  </si>
  <si>
    <t>YJL001W</t>
  </si>
  <si>
    <t>PRE3</t>
  </si>
  <si>
    <t>20S proteasome beta-type subunit, responsible for cleavage after acidic residues in peptides</t>
  </si>
  <si>
    <t>YIR042C</t>
  </si>
  <si>
    <t>YIR039C</t>
  </si>
  <si>
    <t>YPS6</t>
  </si>
  <si>
    <t>Putative GPI-anchored aspartic protease</t>
  </si>
  <si>
    <t>YIR038C</t>
  </si>
  <si>
    <t>GTT1</t>
  </si>
  <si>
    <t>Essential protein of the mitochondrial intermembrane space, forms a complex with Tim9p (TIM10 complex) that mediates insertion of hydrophobic proteins at the inner membrane, has homology to Mrs5p, which is also involved in this process</t>
  </si>
  <si>
    <t>YHR005C</t>
  </si>
  <si>
    <t>GPA1</t>
  </si>
  <si>
    <t>GTP-binding alpha subunit of the heterotrimeric G protein that couples to pheromone receptors, negatively regulates the mating pathway by sequestering G(beta)gamma and by triggering an adaptive response, activates the pathway via Scp160p</t>
  </si>
  <si>
    <t>YHR004C</t>
  </si>
  <si>
    <t>NEM1</t>
  </si>
  <si>
    <t>Protein of the nuclear envelope required for the spherical shape of the nucleus, required for normal sporulation</t>
  </si>
  <si>
    <t>YHR003C</t>
  </si>
  <si>
    <t>YHR002W</t>
  </si>
  <si>
    <t>LEU5</t>
  </si>
  <si>
    <t>Mitochondrial carrier protein involved in the accumulation of CoA in the mitochondrial matrix, homolog of human Graves disease protein, does not encode an isozyme of Leu4p, as first hypothesized</t>
  </si>
  <si>
    <t>YHR001W-A</t>
  </si>
  <si>
    <t>QCR10</t>
  </si>
  <si>
    <t>8.5 kDa subunit of the ubiqunol-cytochrome c oxidoreductase complex</t>
  </si>
  <si>
    <t>YHR001W</t>
  </si>
  <si>
    <t>OSH7</t>
  </si>
  <si>
    <t>YHL048W</t>
  </si>
  <si>
    <t>COS8</t>
  </si>
  <si>
    <t>Hypothetical protein  Nuclear membrane protein, member of a family of conserved, often subtelomerically-encoded proteins, regulation suggests a potential role in the unfolded protein response</t>
  </si>
  <si>
    <t>YHL048C-A</t>
  </si>
  <si>
    <t>YHL047C</t>
  </si>
  <si>
    <t>ARN2</t>
  </si>
  <si>
    <t>Transporter, member of the ARN family of transporters that specifically recognize siderophore-iron chelates, responsible for uptake of iron bound to the siderophore triacetylfusarinine C</t>
  </si>
  <si>
    <t>YHL044W</t>
  </si>
  <si>
    <t>Putative integral membrane protein, member of DUP240 gene family, green fluorescent protein (GFP)-fusion protein localizes to the plasma membrane in a punctate pattern</t>
  </si>
  <si>
    <t>YHL043W</t>
  </si>
  <si>
    <t>ECM34</t>
  </si>
  <si>
    <t>YHL042W</t>
  </si>
  <si>
    <t>YHL040C</t>
  </si>
  <si>
    <t>ARN1</t>
  </si>
  <si>
    <t>Transporter, member of the ARN family of transporters that specifically recognize siderophore-iron chelates, responsible for uptake of iron bound to ferrirubin, ferrirhodin, and related siderophores</t>
  </si>
  <si>
    <t>YHL039W</t>
  </si>
  <si>
    <t>YHL038C</t>
  </si>
  <si>
    <t>CBP2</t>
  </si>
  <si>
    <t>Protein required for splicing of COB aI5 intron, Cytochrome B pre-mRNA processing protein</t>
  </si>
  <si>
    <t>YHL036W</t>
  </si>
  <si>
    <t>MUP3</t>
  </si>
  <si>
    <t>YVH1</t>
  </si>
  <si>
    <t>nitrogen starvation-induced protein phosphatase</t>
  </si>
  <si>
    <t>YIR025W</t>
  </si>
  <si>
    <t>MND2</t>
  </si>
  <si>
    <t>Subunit of the anaphase-promoting complex (APC), needed for meiotic nuclear division</t>
  </si>
  <si>
    <t>YIR024C</t>
  </si>
  <si>
    <t>(putative) involved in cell cycle control</t>
  </si>
  <si>
    <t>YIR023W</t>
  </si>
  <si>
    <t>DAL81</t>
  </si>
  <si>
    <t>Positive regulator of genes in multiple nitrogen degradation pathways, contains DNA binding domain but does not appear to bind the dodecanucleotide sequence present in the promoter region of many genes involved in allantoin catabolism</t>
  </si>
  <si>
    <t>YIR022W</t>
  </si>
  <si>
    <t>SEC11</t>
  </si>
  <si>
    <t>18kDa catalytic subunit of the Signal Peptidase Complex (SPC, Spc1p, Spc2p, Spc3p, and Sec11p) which cleaves the signal sequence of proteins targeted to the endoplasmic reticulum</t>
  </si>
  <si>
    <t>YIR021W-A</t>
  </si>
  <si>
    <t>YIR021W</t>
  </si>
  <si>
    <t>MRS1</t>
  </si>
  <si>
    <t>Protein required for the splicing of two mitochondrial group I introns (BI3 in COB and AI5beta in COX1), forms a splicing complex, containing four subunits of Mrs1p and two subunits of the BI3-encoded maturase, that binds to the BI3 RNA</t>
  </si>
  <si>
    <t>YIR019C</t>
  </si>
  <si>
    <t>MUC1</t>
  </si>
  <si>
    <t>GPI-anchored cell surface glycoprotein required for diploid pseudohyphal formation and haploid invasive growth, transcriptionally regulated by the MAPK pathway (via Ste12p and Tec1p) and the cAMP pathway (via Flo8p)</t>
  </si>
  <si>
    <t>YIR018W</t>
  </si>
  <si>
    <t>YAP5</t>
  </si>
  <si>
    <t>Basic leucine zipper (bZIP) transcription factor</t>
  </si>
  <si>
    <t>YIR018C-A</t>
  </si>
  <si>
    <t>YIR017C</t>
  </si>
  <si>
    <t>MET28</t>
  </si>
  <si>
    <t>Transcriptional activator in the Cbf1p-Met4p-Met28p complex, participates in the regulation of sulfur metabolism</t>
  </si>
  <si>
    <t>YIR016W</t>
  </si>
  <si>
    <t>YIR015W</t>
  </si>
  <si>
    <t>RPR2</t>
  </si>
  <si>
    <t>Subunit of nuclear RNase P, which cleaves tRNA precursors to generate mature 5 ends, not shared between Rnase MRP and Rnase P, in contrast to all other Rnase P protein subunits</t>
  </si>
  <si>
    <t>YIR014W</t>
  </si>
  <si>
    <t>YIR013C</t>
  </si>
  <si>
    <t>GAT4</t>
  </si>
  <si>
    <t>YIR012W</t>
  </si>
  <si>
    <t>SQT1</t>
  </si>
  <si>
    <t>Essential protein involved in a late step of 60S ribosomal subunit assembly or modification, contains multiple WD repeats, interacts with Qsr1p in a two-hybrid assay</t>
  </si>
  <si>
    <t>YIR011C</t>
  </si>
  <si>
    <t>STS1</t>
  </si>
  <si>
    <t>Protein that interacts with the karyopherin Srp1p, may have a role with Srp1p in ubiquitin-mediated protein degradation</t>
  </si>
  <si>
    <t>YIR010W</t>
  </si>
  <si>
    <t>DSN1</t>
  </si>
  <si>
    <t>Essential component of the MIND kinetochore complex (Mtw1p Including Nnf1p-Nsl1p-Dsn1p) which joins kinetochore subunits contacting DNA to those contacting microtubules, important for chromosome segregation</t>
  </si>
  <si>
    <t>YIR009W</t>
  </si>
  <si>
    <t>MSL1</t>
  </si>
  <si>
    <t>U2B component of U2 snRNP, involved in splicing, binds the U2 snRNA stem-loop IV in vitro, does not contain the conserved C-terminal RNA binding domain found in other family members</t>
  </si>
  <si>
    <t>YIR008C</t>
  </si>
  <si>
    <t>PRI1</t>
  </si>
  <si>
    <t>YIR007W</t>
  </si>
  <si>
    <t>YIR006C</t>
  </si>
  <si>
    <t>PAN1</t>
  </si>
  <si>
    <t>Part of actin cytoskeleton-regulatory complex Pan1p-Sla1p-End3p, associates with actin patches on the cell cortex, promotes protein-protein interactions essential for endocytosis, previously thought to be a subunit of poly(A) ribonuclease</t>
  </si>
  <si>
    <t>YIR005W</t>
  </si>
  <si>
    <t>IST3</t>
  </si>
  <si>
    <t>Component of the U2 snRNP, required for the first catalytic step of splicing and for spliceosomal assembly, interacts with Rds3p and is required for Mer1p-activated splicing</t>
  </si>
  <si>
    <t>YIR004W</t>
  </si>
  <si>
    <t>DJP1</t>
  </si>
  <si>
    <t>Cytosolic J-domain-containing protein, required for peroxisomal protein import and involved in peroxisome assembly, homologous to E. coli DnaJ</t>
  </si>
  <si>
    <t>YIR003W</t>
  </si>
  <si>
    <t>YIR002C</t>
  </si>
  <si>
    <t>MPH1</t>
  </si>
  <si>
    <t>Member of the DEAH family of helicases, functions in an error-free DNA damage bypass pathway that involves homologous recombination, mutations confer a mutator phenotype</t>
  </si>
  <si>
    <t>YIR001C</t>
  </si>
  <si>
    <t>SGN1</t>
  </si>
  <si>
    <t>Cytoplasmic RNA-binding protein, contains an RNA recognition motif (RRM), may have a role in mRNA translation, as suggested by genetic interactions with genes encoding proteins involved in translational initiation</t>
  </si>
  <si>
    <t>YIL176C</t>
  </si>
  <si>
    <t>YIL173W</t>
  </si>
  <si>
    <t>Putative membrane glycoprotein with strong similarity to Vth1p and Pep1pVps10p, may be involved in vacuolar protein sorting  Putative membrane glycoprotein with strong similarity to Vth2p and Pep1pVps10p, may be involved in vacuolar protein sorting</t>
  </si>
  <si>
    <t>YIL172C</t>
  </si>
  <si>
    <t>FSP2</t>
  </si>
  <si>
    <t>Hypothetical protein  Protein of unknown function, expression is induced during nitrogen limitation  Hypothetical protein</t>
  </si>
  <si>
    <t>YIL169C</t>
  </si>
  <si>
    <t>ORF  Hypothetical protein</t>
  </si>
  <si>
    <t>YIL166C</t>
  </si>
  <si>
    <t>Signal transducing kinase of the PAK (p21-activated kinase) family, involved in pheromone response and pseudohyphalinvasive growth pathways, activated by Cdc42p, binds Ste4p at a GBB motif present in noncatalytic domains of PAK kinases</t>
  </si>
  <si>
    <t>YHL006C</t>
  </si>
  <si>
    <t>SHU1</t>
  </si>
  <si>
    <t>Protein of unassigned function involved in mutation suppression, important for error-free repair of spontaneous and induced DNA lesions to protect the genome from mutation, associates with Shu2p, Psy3p, and Csm2p</t>
  </si>
  <si>
    <t>YHL004W</t>
  </si>
  <si>
    <t>MRP4</t>
  </si>
  <si>
    <t>YHL003C</t>
  </si>
  <si>
    <t>LAG1</t>
  </si>
  <si>
    <t>Ceramide synthase component, involved in synthesis of ceramide from C26(acyl)-coenzyme A and dihydrosphingosine or phytosphingosine, functionally equivalent to Lac1p</t>
  </si>
  <si>
    <t>YHL002W</t>
  </si>
  <si>
    <t>HSE1</t>
  </si>
  <si>
    <t>Subunit of the endosomal Vps27p-Hse1p complex required for sorting of ubiquitinated membrane proteins into intralumenal vesicles prior to vacuolar degradation, as well as for recycling of Golgi proteins and formation of lumenal membranes</t>
  </si>
  <si>
    <t>YHL001W</t>
  </si>
  <si>
    <t>YGR295C</t>
  </si>
  <si>
    <t>Protein involved in salt resistance, interacts with sodium:hydrogen antiporter Nha1p, member of a family of conserved, often subtelomerically-encoded proteins  Protein of unknown function, member of a family of conserved, often subtelomerically-encoded proteins  Protein of unknown function, member of a family of conserved, often subtelomerically-encoded proteins  Protein of unknown function, member of a family of conserved, often subtelomerically-encoded proteins  Protein of unknown function, member of a family of conserved, often subtelomerically-encoded proteins</t>
  </si>
  <si>
    <t>YGR289C</t>
  </si>
  <si>
    <t>MAL11</t>
  </si>
  <si>
    <t>Maltose permease, inducible high-affinity maltose transporter (alpha-glucoside transporter), encoded in the MAL1 complex locus, member of the 12 transmembrane domain superfamily of sugar transporters</t>
  </si>
  <si>
    <t>YGR288W</t>
  </si>
  <si>
    <t>MAL13</t>
  </si>
  <si>
    <t>MAL-activator protein, part of complex locus MAL1, nonfunctional in genomic reference strain S288C</t>
  </si>
  <si>
    <t>YGR287C</t>
  </si>
  <si>
    <t>YGR286C</t>
  </si>
  <si>
    <t>BIO2</t>
  </si>
  <si>
    <t>Biotin synthase, catalyzes the conversion of dethiobiotin to biotin, which is the last step of the biotin biosynthesis pathway, complements E. coli bioB mutant</t>
  </si>
  <si>
    <t>YGR285C</t>
  </si>
  <si>
    <t>ZUO1</t>
  </si>
  <si>
    <t>Cytosolic ribosome-associated chaperone, contains a DnaJ domain, together with Ssz1p, acts as a chaperone for nascent polypeptide chains</t>
  </si>
  <si>
    <t>YGR284C</t>
  </si>
  <si>
    <t>ERV29</t>
  </si>
  <si>
    <t>Protein localized to COPII-coated vesicles, involved in vesicle formation and incorporation of specific secretory cargo</t>
  </si>
  <si>
    <t>YGR283C</t>
  </si>
  <si>
    <t>YGR282C</t>
  </si>
  <si>
    <t>BGL2</t>
  </si>
  <si>
    <t>Endo-beta-1,3-glucanase, major protein of the cell wall, involved in cell wall maintenance</t>
  </si>
  <si>
    <t>YGR281W</t>
  </si>
  <si>
    <t>YOR1</t>
  </si>
  <si>
    <t>Plasma membrane transporter of the ATP-binding cassette (ABC) family, mediates export of many different organic anions including oligomycin</t>
  </si>
  <si>
    <t>YGR280C</t>
  </si>
  <si>
    <t>PXR1</t>
  </si>
  <si>
    <t>Essential protein involved in rRNA and snoRNA maturation, competes with TLC1 RNA for binding to Est2p, suggesting a role in regulation of telomerase, human homolog inhibits telomerase, contains a G-patch RNA interacting domain</t>
  </si>
  <si>
    <t>YGR279C</t>
  </si>
  <si>
    <t>SCW4</t>
  </si>
  <si>
    <t>Cell wall protein with similarity to glucanases, scw4 scw10 double mutants exhibit defects in mating</t>
  </si>
  <si>
    <t>YGR278W</t>
  </si>
  <si>
    <t>CWC22</t>
  </si>
  <si>
    <t>Essential protein, component of a complex containing Cef1p, has similarity to S. pombe Cwf22p, putative spliceosomal component, based on computational analysis of large-scale protein-protein interaction data</t>
  </si>
  <si>
    <t>YGR277C</t>
  </si>
  <si>
    <t>Homolog to human PPAT</t>
  </si>
  <si>
    <t>YGR276C</t>
  </si>
  <si>
    <t>RNH70</t>
  </si>
  <si>
    <t>3 exoribonuclease, required for 5S and tRNA-Arg3 maturation</t>
  </si>
  <si>
    <t>YGR275W</t>
  </si>
  <si>
    <t>RTT102</t>
  </si>
  <si>
    <t>Regulator of Ty1 Transposition, regulator of Ty1 transposition</t>
  </si>
  <si>
    <t>YGR274C</t>
  </si>
  <si>
    <t>TAF1</t>
  </si>
  <si>
    <t>TFIID subunit (145 kDa), involved in RNA polymerase II transcription initiation, has histone acetyltransferase activity, involved in promoter binding and G1S progression</t>
  </si>
  <si>
    <t>YGR273C</t>
  </si>
  <si>
    <t>YGR272C</t>
  </si>
  <si>
    <t>YGR271W</t>
  </si>
  <si>
    <t>SLH1</t>
  </si>
  <si>
    <t>Putative RNA helicase related to Ski2p, involved in translation inhibition of non-poly(A) mRNAs, required for repressing propagation of dsRNA viruses</t>
  </si>
  <si>
    <t>YGR271C-A</t>
  </si>
  <si>
    <t>YGR270W</t>
  </si>
  <si>
    <t>YTA7</t>
  </si>
  <si>
    <t>YIL134W</t>
  </si>
  <si>
    <t>FLX1</t>
  </si>
  <si>
    <t>Protein required for transport of flavin adenine dinucleotide (FAD) from mitochondria, where it is synthesized from riboflavin, to the cytosol</t>
  </si>
  <si>
    <t>YIL134C-A</t>
  </si>
  <si>
    <t>YIL133C</t>
  </si>
  <si>
    <t>RPL16A</t>
  </si>
  <si>
    <t>N-terminally acetylated protein component of the large (60S) ribosomal subunit, binds to 5.8 S rRNA, has similarity to Rpl16Bp, E. coli L13 and rat L13a ribosomal proteins, transcriptionally regulated by Rap1p</t>
  </si>
  <si>
    <t>YIL132C</t>
  </si>
  <si>
    <t>CSM2</t>
  </si>
  <si>
    <t>YIL131C</t>
  </si>
  <si>
    <t>FKH1</t>
  </si>
  <si>
    <t>Transcription factor of the forkhead family that regulates the cell cycle and pseudohyphal growth, also involved in chromatin silencing at HML and HMR</t>
  </si>
  <si>
    <t>YIL130W</t>
  </si>
  <si>
    <t>Proposed transcriptional activator, member of the Gal4p family of zinc cluster proteins</t>
  </si>
  <si>
    <t>YIL129C</t>
  </si>
  <si>
    <t>TAO3</t>
  </si>
  <si>
    <t>Protein involved in cell morphogenesis and proliferation, associated with protein kinase Cbk1p, mutants activate OCH1 transcription</t>
  </si>
  <si>
    <t>YIL128W</t>
  </si>
  <si>
    <t>MET18</t>
  </si>
  <si>
    <t>DNA repair and TFIIH regulator, required for both nucleotide excision repair (NER) and RNA polymerase II (RNAP II) transcription, possible role in assembly of a multiprotein complex(es) required for NER and RNAP II transcription</t>
  </si>
  <si>
    <t>YIL127C</t>
  </si>
  <si>
    <t>YIL126W</t>
  </si>
  <si>
    <t>STH1</t>
  </si>
  <si>
    <t>ATPase component of the ATP-dependent RSC chromatin remodeling complex required for kinetochore function in chromosome segregation, required for expression of early meiotic genes, essential helicase-related protein homologous to Snf2p</t>
  </si>
  <si>
    <t>YIL125W</t>
  </si>
  <si>
    <t>KGD1</t>
  </si>
  <si>
    <t>Component of the mitochondrial alpha-ketoglutarate dehydrogenase complex, which catalyzes a key step in the tricarboxylic acid (TCA) cycle, the oxidative decarboxylation of alpha-ketoglutarate to form succinyl-CoA</t>
  </si>
  <si>
    <t>YIL124W</t>
  </si>
  <si>
    <t>AYR1</t>
  </si>
  <si>
    <t>NADPH-dependent 1-acyl dihydroxyacetone phosphate reductase found in lipid particles and ER, involved in phosphatidic acid biosynthesis and required for spore germination, capable of metabolizing mammalian steroid hormones</t>
  </si>
  <si>
    <t>YIL123W</t>
  </si>
  <si>
    <t>SIM1</t>
  </si>
  <si>
    <t>Putative flavin-dependent monooxygenase, involved in ubiquinone (Coenzyme Q) biosynthesis, located on the matrix side of the mitochondrial inner membrane</t>
  </si>
  <si>
    <t>YGR254W</t>
  </si>
  <si>
    <t>YGR253C</t>
  </si>
  <si>
    <t>PUP2</t>
  </si>
  <si>
    <t>Alpha subunit of the 20S proteasome involved in ubiquitin-dependent catabolism, human homolog is subunit zeta</t>
  </si>
  <si>
    <t>YGR252W</t>
  </si>
  <si>
    <t>GCN5</t>
  </si>
  <si>
    <t>Histone acetyltransferase, acetylates lysine 14 on histone H3, catalytic subunit of the ADA and SAGA histone acetyltransferase complexes, founding member of the Gcn5p-related N-acetyltransferase superfamily</t>
  </si>
  <si>
    <t>YGR251W</t>
  </si>
  <si>
    <t>YGR250C</t>
  </si>
  <si>
    <t>YGR249W</t>
  </si>
  <si>
    <t>MGA1</t>
  </si>
  <si>
    <t>Protein similar to heat shock transcription factor, multicopy suppressor of pseudohyphal growth defects of ammonium permease mutants</t>
  </si>
  <si>
    <t>YGR248W</t>
  </si>
  <si>
    <t>SOL4</t>
  </si>
  <si>
    <t>6-phosphogluconolactonase with similarity to Sol3p</t>
  </si>
  <si>
    <t>YGR247W</t>
  </si>
  <si>
    <t>CPD1</t>
  </si>
  <si>
    <t>Cyclic nucleotide phosphodiesterase, hydrolyzes ADP-ribose 1, 2-cyclic phosphate to ADP-ribose 1-phosphate, no detectable phenotype is conferred by null mutation or by overexpression</t>
  </si>
  <si>
    <t>YGR246C</t>
  </si>
  <si>
    <t>BRF1</t>
  </si>
  <si>
    <t>TFIIIB B-related factor, one of three subunits of RNA polymerase III transcription initiation factor TFIIIB, binds TFIIIC and TBP and recruits RNA pol III to promoters, amino-terminal half is homologous to TFIIB</t>
  </si>
  <si>
    <t>YGR245C</t>
  </si>
  <si>
    <t>SDA1</t>
  </si>
  <si>
    <t>Highly conserved nuclear protein required for actin cytoskeleton organization and passage through Start, plays a critical role in G1 events, binds Nap1p, also involved in 60S ribosome biogenesis</t>
  </si>
  <si>
    <t>YGR244C</t>
  </si>
  <si>
    <t>LSC2</t>
  </si>
  <si>
    <t>Beta subunit of succinyl-CoA ligase, which is a mitochondrial enzyme of the TCA cycle that catalyzes the nucleotide-dependent conversion of succinyl-CoA to succinate</t>
  </si>
  <si>
    <t>YGR243W</t>
  </si>
  <si>
    <t>YGR241C</t>
  </si>
  <si>
    <t>YAP1802</t>
  </si>
  <si>
    <t>Protein involved in clathrin cage assembly, binds Pan1p and clathrin, homologous to Yap1801p, member of the AP180 protein family</t>
  </si>
  <si>
    <t>YGR240C-A</t>
  </si>
  <si>
    <t>YGR240C</t>
  </si>
  <si>
    <t>PFK1</t>
  </si>
  <si>
    <t>Putative mitochondrial porin (voltage-dependent anion channel), related to Por1p but not required for mitochondrial membrane permeability or mitochondrial osmotic stability</t>
  </si>
  <si>
    <t>YIL113W</t>
  </si>
  <si>
    <t>SDP1</t>
  </si>
  <si>
    <t>Stress-inducible dual-specificity MAP kinase phosphatase, negatively regulates Slt2p MAP kinase by direct dephosphorylation, diffuse localization under normal conditions shifts to punctate localization after heat shock</t>
  </si>
  <si>
    <t>YIL112W</t>
  </si>
  <si>
    <t>HOS4</t>
  </si>
  <si>
    <t>Subunit of the Set3 complex, which is a meiotic-specific repressor of sporulation specific genes that contains deacetylase activity, potential Cdc28p substrate</t>
  </si>
  <si>
    <t>YIL111W</t>
  </si>
  <si>
    <t>COX5B</t>
  </si>
  <si>
    <t>Subunit Vb of cytochrome c oxidase, which is the terminal member of the mitochondrial inner membrane electron transport chain, predominantly expressed during anaerobic growth while its isoform Va (Cox5Ap) is expressed during aerobic growth</t>
  </si>
  <si>
    <t>YIL110W</t>
  </si>
  <si>
    <t>YIL109C</t>
  </si>
  <si>
    <t>SEC24</t>
  </si>
  <si>
    <t>Component of the Sec23p-Sec24p heterodimeric complex of the COPII vesicle coat, involved in ER to Golgi transport, cargo selection and autophagy, required for the binding of the Sec13 complex to ER membranes, homologous to Lst1p and Lss1p</t>
  </si>
  <si>
    <t>YIL108W</t>
  </si>
  <si>
    <t>YIL107C</t>
  </si>
  <si>
    <t>PFK26</t>
  </si>
  <si>
    <t>6-phosphofructo-2-kinase, inhibited by phosphoenolpyruvate and sn-glycerol 3-phosphate, has negligible fructose-2,6-bisphosphatase activity, transcriptional regulation involves protein kinase A</t>
  </si>
  <si>
    <t>YIL106W</t>
  </si>
  <si>
    <t>MOB1</t>
  </si>
  <si>
    <t>Component of the mitotic exit network, associates with and is required for the activation and Cdc15p-dependent phosphorylation of the Dbf2p kinase, required for cytokinesis and cell separation, component of the CCR4 transcriptional complex</t>
  </si>
  <si>
    <t>YIL105C</t>
  </si>
  <si>
    <t>SLM1</t>
  </si>
  <si>
    <t>Phosphoinositide PI4,5P(2) binding protein, forms a complex with Slm2p, acts downstream of Mss4p in a pathway regulating actin cytoskeleton organization in response to stress, phosphorylated by the Tor2p-containing complex TORC2</t>
  </si>
  <si>
    <t>YIL104C</t>
  </si>
  <si>
    <t>SHQ1</t>
  </si>
  <si>
    <t>Essential nuclear protein, required for accumulation of box HACA snoRNAs and for rRNA processing, interacts with Naf1p</t>
  </si>
  <si>
    <t>YIL103W</t>
  </si>
  <si>
    <t>DPH1</t>
  </si>
  <si>
    <t>Protein required, along with Dph2p, Kti11p, Jjj3p, and Dph5p, for synthesis of diphthamide, which is a modified histidine residue of translation elongation factor 2 (Eft1p or Eft2p), may act in a complex with Dph2p and Kti11p</t>
  </si>
  <si>
    <t>YIL102C</t>
  </si>
  <si>
    <t>YIL101C</t>
  </si>
  <si>
    <t>XBP1</t>
  </si>
  <si>
    <t>Transcriptional repressor that binds to promoter sequences of the cyclin genes, CYS3, and SMF2, expression is induced by stress or starvation during mitosis, and late in meiosis, member of the Swi4pMbp1p family, potential Cdc28p substrate</t>
  </si>
  <si>
    <t>YIL099W</t>
  </si>
  <si>
    <t>SGA1</t>
  </si>
  <si>
    <t>Intracellular sporulation-specific glucoamylase involved in glycogen degradation, induced during starvation of aa diploids late in sporulation, but dispensable for sporulation</t>
  </si>
  <si>
    <t>YIL098C</t>
  </si>
  <si>
    <t>FMC1</t>
  </si>
  <si>
    <t>Mitochondrial matrix protein, required for assembly or stability at high temperature of the F1 sector of mitochondrial F1F0 ATP synthase</t>
  </si>
  <si>
    <t>YIL097W</t>
  </si>
  <si>
    <t>FYV10</t>
  </si>
  <si>
    <t>Protein of unknown function, required for survival upon exposure to K1 killer toxin, involved in proteasome-dependent catabolite inactivation of fructose-1,6-bisphosphatase, contains CTLH domain</t>
  </si>
  <si>
    <t>YIL096C</t>
  </si>
  <si>
    <t>YIL095W</t>
  </si>
  <si>
    <t>PRK1</t>
  </si>
  <si>
    <t>Protein serinethreonine kinase, regulates the organization and function of the actin cytoskeleton through the phosphorylation of the Pan1p-Sla1p-End3p protein complex</t>
  </si>
  <si>
    <t>YIL094C</t>
  </si>
  <si>
    <t>LYS12</t>
  </si>
  <si>
    <t>Homo-isocitrate dehydrogenase, an NAD-linked mitochondrial enzyme required for the fourth step in the biosynthesis of lysine, in which homo-isocitrate is oxidatively decarboxylated to alpha-ketoadipate</t>
  </si>
  <si>
    <t>YIL093C</t>
  </si>
  <si>
    <t>RSM25</t>
  </si>
  <si>
    <t>YIL092W</t>
  </si>
  <si>
    <t>YIL091C</t>
  </si>
  <si>
    <t>YIL090W</t>
  </si>
  <si>
    <t>ICE2</t>
  </si>
  <si>
    <t>Integral ER membrane protein with type-III transmembrane domains, mutations cause defects in cortical ER morphology in both the mother and daughter cells</t>
  </si>
  <si>
    <t>YIL089W</t>
  </si>
  <si>
    <t>YIL088C</t>
  </si>
  <si>
    <t>AVT7</t>
  </si>
  <si>
    <t>Putative transporter, member of a family of seven S. cerevisiae genes (AVT1-7) related to vesicular GABA-glycine transporters</t>
  </si>
  <si>
    <t>YIL087C</t>
  </si>
  <si>
    <t>YIL085C</t>
  </si>
  <si>
    <t>KTR7</t>
  </si>
  <si>
    <t>YIL084C</t>
  </si>
  <si>
    <t>SDS3</t>
  </si>
  <si>
    <t>Component of the Rpd3pSin3p deacetylase complex required for its structural integrity and catalytic activity, involved in transcriptional silencing and required for sporulation, cells defective in SDS3 display pleiotropic phenotypes</t>
  </si>
  <si>
    <t>YIL083C</t>
  </si>
  <si>
    <t>Homolog to human PPCS</t>
  </si>
  <si>
    <t>YIL082W-A</t>
  </si>
  <si>
    <t>TyB Gag-Pol protein, proteolytically processed to make the Gag, RT, PR, and IN proteins that are required for retrotransposition  Hypothetical protein  TyA Gag protein, the main structural constituent of virus-like particles (VLPs)  TyB Gag-Pol protein, proteolytically processed to make the Gag, RT, PR, and IN proteins that are required for retrotransposition</t>
  </si>
  <si>
    <t>YIL079C</t>
  </si>
  <si>
    <t>AIR1</t>
  </si>
  <si>
    <t>RING finger protein that interacts with the arginine methyltransferase Hmt1p to regulate methylation of Npl3p, which modulates Npl3p function in mRNA processing and export, has similarity to Air2p</t>
  </si>
  <si>
    <t>YIL078W</t>
  </si>
  <si>
    <t>THS1</t>
  </si>
  <si>
    <t>Threonyl-tRNA synthetase, essential cytoplasmic protein</t>
  </si>
  <si>
    <t>YIL077C</t>
  </si>
  <si>
    <t>YIL076W</t>
  </si>
  <si>
    <t>SEC28</t>
  </si>
  <si>
    <t>Epsilon-COP subunit of the coatomer, regulates retrograde Golgi-to-ER protein traffic, stabilizes Cop1p, the alpha-COP and the coatomer complex, non-essential for cell growth</t>
  </si>
  <si>
    <t>YIL075C</t>
  </si>
  <si>
    <t>RPN2</t>
  </si>
  <si>
    <t>Subunit of the 26S proteasome, substrate of the N-acetyltransferase Nat1p</t>
  </si>
  <si>
    <t>YIL074C</t>
  </si>
  <si>
    <t>SER33</t>
  </si>
  <si>
    <t>3-phosphoglycerate dehydrogenase, catalyzes the first step in serine and glycine biosynthesis, isozyme of Ser3p</t>
  </si>
  <si>
    <t>YIL073C</t>
  </si>
  <si>
    <t>SPO22</t>
  </si>
  <si>
    <t>Meiosis-specific protein with similarity to phospholipase A2, involved in completion of nuclear divisions during meiosis, induced early in meiosis</t>
  </si>
  <si>
    <t>YIL072W</t>
  </si>
  <si>
    <t>HOP1</t>
  </si>
  <si>
    <t>Meiosis-specific DNA binding protein that displays Red1p dependent localization to the unsynapsed axial-lateral elements of the synaptonemal complex, required for homologous chromosome synapsis and chiasma formation</t>
  </si>
  <si>
    <t>YIL071C</t>
  </si>
  <si>
    <t>PCI8</t>
  </si>
  <si>
    <t>3-to-5 phosphorolytic exoribonuclease that is a subunit of the exosome, required for 3 processing of the 5.8S rRNA, involved in 3 to 5 mRNA degradation and translation inhibition of non-poly(A) mRNAs</t>
  </si>
  <si>
    <t>YGR194C</t>
  </si>
  <si>
    <t>XKS1</t>
  </si>
  <si>
    <t>Xylulokinase, converts D-xylulose and ATP to xylulose 5-phosphate and ADP, rate limiting step in fermentation of xylulose, required for xylose fermentation by recombinant S. cerevisiae strains</t>
  </si>
  <si>
    <t>YGR193C</t>
  </si>
  <si>
    <t>PDX1</t>
  </si>
  <si>
    <t>Dihydrolipoamide dehydrogenase (E3)-binding protein (E3BP) of the mitochondrial pyruvate dehydrogenase (PDH) complex, plays a structural role in the complex by binding and positioning E3 to the dihydrolipoamide acetyltransferase (E2) core</t>
  </si>
  <si>
    <t>YGR192C</t>
  </si>
  <si>
    <t xml:space="preserve">Glyceraldehyde-3-phosphate dehydrogenase, isozyme 2, involved in glycolysis and gluconeogenesis, tetramer that catalyzes the reaction of glyceraldehyde-3-phosphate to 1,3 bis-phosphoglycerate, detected in the cytoplasm and cell-wall   Glyceraldehyde-3-phosphate dehydrogenase, isozyme 3, involved in glycolysis and gluconeogenesis, tetramer that catalyzes the reaction of glyceraldehyde-3-phosphate to 1,3 bis-phosphoglycerate, detected in the cytoplasm and cell-wall </t>
  </si>
  <si>
    <t>YGR191W</t>
  </si>
  <si>
    <t>HIP1</t>
  </si>
  <si>
    <t>High-affinity histidine permease, also involved in the transport of manganese ions</t>
  </si>
  <si>
    <t>YGR189C</t>
  </si>
  <si>
    <t>CRH1</t>
  </si>
  <si>
    <t>Putative glycosidase of the cell wall, may have a role in cell wall architecture</t>
  </si>
  <si>
    <t>YGR188C</t>
  </si>
  <si>
    <t>BUB1</t>
  </si>
  <si>
    <t>Protein kinase that forms a complex with Mad1p and Bub3p that is crucial in the checkpoint mechanism required to prevent cell cycle progression into anaphase in the presence of spindle damage, associates with centromere DNA via Skp1p</t>
  </si>
  <si>
    <t>YGR187C</t>
  </si>
  <si>
    <t>HGH1</t>
  </si>
  <si>
    <t>Protein of unknown function with similarity to human HMG1 and HMG2, localizes to the cytoplasm</t>
  </si>
  <si>
    <t>YGR186W</t>
  </si>
  <si>
    <t>TFG1</t>
  </si>
  <si>
    <t>Largest subunit of the RNA Polymerase general transcription factor IIF (TFIIF), interacts with Fcp1p phosphatase and with TFIIB, potentially phosphorylated by Cdc28p</t>
  </si>
  <si>
    <t>YGR185C</t>
  </si>
  <si>
    <t>TYS1</t>
  </si>
  <si>
    <t>Mitochondrial protein involved in maintenance of the mitochondrial genome</t>
  </si>
  <si>
    <t>YIL050W</t>
  </si>
  <si>
    <t>PCL7</t>
  </si>
  <si>
    <t>Pho85p cyclin of the Pho80p subfamily, forms a functional kinase complex with Pho85p which phosphorylates Mmr1p and is regulated by Pho81p, involved in glycogen metabolism, expression is cell-cycle regulated</t>
  </si>
  <si>
    <t>YIL049W</t>
  </si>
  <si>
    <t>DFG10</t>
  </si>
  <si>
    <t>Protein of unknown function, involved in filamentous growth</t>
  </si>
  <si>
    <t>YIL048W</t>
  </si>
  <si>
    <t>NEO1</t>
  </si>
  <si>
    <t>Protein involved in the retrograde transport from the Golgi complex to the ER and the endosomal membrane traffic, putative aminophospholipid translocase, member of the highly conserved Drs2 family of P-type ATPases</t>
  </si>
  <si>
    <t>YIL047C</t>
  </si>
  <si>
    <t>SYG1</t>
  </si>
  <si>
    <t>Plasma membrane protein of unknown function, truncation and overexpression suppresses lethality of G-alpha protein deficiency</t>
  </si>
  <si>
    <t>YIL046W-A</t>
  </si>
  <si>
    <t>YIL046W</t>
  </si>
  <si>
    <t>MET30</t>
  </si>
  <si>
    <t>F-box protein containing five copies of the WD40 motif, controls cell cycle function, sulfur metabolism, and methionine biosynthesis as part of the ubiquitin ligase complex, interacts with and regulates Met4p, localizes within the nucleus</t>
  </si>
  <si>
    <t>YIL045W</t>
  </si>
  <si>
    <t>PIG2</t>
  </si>
  <si>
    <t>Protein that interacts with glycogen synthase, Gsy2p</t>
  </si>
  <si>
    <t>YIL044C</t>
  </si>
  <si>
    <t>AGE2</t>
  </si>
  <si>
    <t>ADP-ribosylation factor (ARF) GTPase activating protein (GAP) effector, involved in Trans-Golgi-Network (TGN) transport, contains C2C2H2 cysteinehistidine motif</t>
  </si>
  <si>
    <t>YIL043C</t>
  </si>
  <si>
    <t>CBR1</t>
  </si>
  <si>
    <t>cytochrome b reductase</t>
  </si>
  <si>
    <t>YIL042C</t>
  </si>
  <si>
    <t>YIL041W</t>
  </si>
  <si>
    <t>Golgi-vesicle protein of unknown function, green fluorescent protein (GFP)-fusion protein localizes to the cytoplasm</t>
  </si>
  <si>
    <t>YIL040W</t>
  </si>
  <si>
    <t>APQ12</t>
  </si>
  <si>
    <t>Protein involved in nucleocytoplasmic transport of mRNA</t>
  </si>
  <si>
    <t>YIL039W</t>
  </si>
  <si>
    <t>YIL038C</t>
  </si>
  <si>
    <t>NOT3</t>
  </si>
  <si>
    <t>YIL037C</t>
  </si>
  <si>
    <t>PRM2</t>
  </si>
  <si>
    <t>Pheromone-regulated protein, predicted to have 4 transmembrane segments and a coiled coil domain, regulated by Ste12p</t>
  </si>
  <si>
    <t>YIL036W</t>
  </si>
  <si>
    <t>CST6</t>
  </si>
  <si>
    <t>Basic leucine zipper (bZIP) transcription factor of the ATFCREB family, activates transcription of genes involved in utilization of non-optimal carbon sources</t>
  </si>
  <si>
    <t>YIL035C</t>
  </si>
  <si>
    <t>CKA1</t>
  </si>
  <si>
    <t>Protein with similarity to mammalian developmentally regulated GTP-binding protein</t>
  </si>
  <si>
    <t>YGR172C</t>
  </si>
  <si>
    <t>YIP1</t>
  </si>
  <si>
    <t>Integral membrane protein required for the biogenesis of ER-derived COPII transport vesicles, interacts with Yif1p and Yos1p, localizes to the Golgi, the ER, and COPII vesicles</t>
  </si>
  <si>
    <t>YGR171C</t>
  </si>
  <si>
    <t>MSM1</t>
  </si>
  <si>
    <t>Mitochondrial methionyl-tRNA synthetase (MetRS), functions as a monomer in mitochondrial protein synthesis, functions similarly to cytoplasmic MetRS although the cytoplasmic form contains a zinc-binding domain not found in Msm1p</t>
  </si>
  <si>
    <t>YGR170W</t>
  </si>
  <si>
    <t>PSD2</t>
  </si>
  <si>
    <t>Phosphatidylserine decarboxylase of the Golgi and vacuolar membranes, converts phosphatidylserine to phosphatidylethanolamine</t>
  </si>
  <si>
    <t>YGR169C-A</t>
  </si>
  <si>
    <t>YGR169C</t>
  </si>
  <si>
    <t>PUS6</t>
  </si>
  <si>
    <t>Pseudouridine synthase responsible for modification of cytoplasmic and mitochondrial tRNAs at position 31, mutation of Asp168 to Ala abolishes enzyme activity, not essential for viability</t>
  </si>
  <si>
    <t>YGR168C</t>
  </si>
  <si>
    <t>YGR167W</t>
  </si>
  <si>
    <t>CLC1</t>
  </si>
  <si>
    <t>Clathrin light chain, subunit of the major coat protein involved in intracellular protein transport and endocytosis, thought to regulate clathrin function, two Clathrin heavy chains (CHC1) form the clathrin triskelion structural component</t>
  </si>
  <si>
    <t>YGR166W</t>
  </si>
  <si>
    <t>KRE11</t>
  </si>
  <si>
    <t>Protein involved in biosynthesis of cell wall beta-glucans, subunit of the TRAPP (transport protein particle) complex, which is involved in the late steps of endoplasmic reticulum to Golgi transport</t>
  </si>
  <si>
    <t>YGR165W</t>
  </si>
  <si>
    <t>MRPS35</t>
  </si>
  <si>
    <t>YGR163W</t>
  </si>
  <si>
    <t>GTR2</t>
  </si>
  <si>
    <t>Cytoplasmic GTP binding protein, negative regulator of the RanTc4 GTPase cycle downstream of Gtr1p, homolog of human RagC and RagD proteins, component of the EGO complex, which is involved in the regulation of microautophagy</t>
  </si>
  <si>
    <t>YGR162W</t>
  </si>
  <si>
    <t>TIF4631</t>
  </si>
  <si>
    <t>Translation initiation factor eIF4G, subunit of the mRNA cap-binding protein complex (eIF4F) that also contains eIF4E (Cdc33p), associates with the poly(A)-binding protein Pab1p, also interacts with eIF4A (Tif1p), homologous to Tif4632p</t>
  </si>
  <si>
    <t>YGR161C</t>
  </si>
  <si>
    <t>RTS3</t>
  </si>
  <si>
    <t>Putative component of the protein phosphatase type 2A complex</t>
  </si>
  <si>
    <t>YGR159C</t>
  </si>
  <si>
    <t>NSR1</t>
  </si>
  <si>
    <t>Nucleolar protein that binds nuclear localization sequences, required for pre-rRNA processing and ribosome biogenesis</t>
  </si>
  <si>
    <t>YGR158C</t>
  </si>
  <si>
    <t>MTR3</t>
  </si>
  <si>
    <t>35 exoribonuclease, exosome subunit, nucleolar protein involved in export of mRNA and ribosomal subunits, homologous to the E. coli exonuclease RNase PH</t>
  </si>
  <si>
    <t>YGR157W</t>
  </si>
  <si>
    <t>CHO2</t>
  </si>
  <si>
    <t>First step in the methylation pathway for phosphatidylcholine biosynthesis, Phosphatidyl-ethanolamine N-methyltransferase</t>
  </si>
  <si>
    <t>YGR156W</t>
  </si>
  <si>
    <t>PTI1</t>
  </si>
  <si>
    <t>Pta1p Interacting protein</t>
  </si>
  <si>
    <t>YGR155W</t>
  </si>
  <si>
    <t>CYS4</t>
  </si>
  <si>
    <t>Cystathionine beta-synthase, catalyzes the synthesis of cystathionine from serine and homocysteine, the first committed step in cysteine biosynthesis</t>
  </si>
  <si>
    <t>YGR154C</t>
  </si>
  <si>
    <t>Omega-class glutathione transferase</t>
  </si>
  <si>
    <t>YGR153W</t>
  </si>
  <si>
    <t>YGR152C</t>
  </si>
  <si>
    <t>RSR1</t>
  </si>
  <si>
    <t>GTP-binding protein of the ras superfamily required for bud site selection, morphological changes in response to mating pheromone, and efficient cell fusion, localized to the plasma membrane, significantly similar to mammalian Rap GTPases</t>
  </si>
  <si>
    <t>YGR150C</t>
  </si>
  <si>
    <t>YGR149W</t>
  </si>
  <si>
    <t>YGR148C</t>
  </si>
  <si>
    <t>RPL24B</t>
  </si>
  <si>
    <t>Ribosomal protein L30 of the large (60S) ribosomal subunit, nearly identical to Rpl24Ap and has similarity to rat L24 ribosomal protein, not essential for translation but may be required for normal translation rate</t>
  </si>
  <si>
    <t>YGR147C</t>
  </si>
  <si>
    <t>NAT2</t>
  </si>
  <si>
    <t>N alpha-acetyl-transferase, transfers acetyl group from acetyl coenzyme A to the N-terminal methionine residues of proteins</t>
  </si>
  <si>
    <t>YGR146C-A</t>
  </si>
  <si>
    <t>YGR146C</t>
  </si>
  <si>
    <t>YGR145W</t>
  </si>
  <si>
    <t>ENP2</t>
  </si>
  <si>
    <t>Essential nucleolar protein of unknown function, contains WD repeats, interacts with Mpp10p and Bfr2p, and has homology to Spb1p</t>
  </si>
  <si>
    <t>YGR144W</t>
  </si>
  <si>
    <t>THI4</t>
  </si>
  <si>
    <t>Protein required for thiamine biosynthesis and for mitochondrial genome stability</t>
  </si>
  <si>
    <t>YGR143W</t>
  </si>
  <si>
    <t>SKN1</t>
  </si>
  <si>
    <t>Protein involved in sphingolipid biosynthesis, type II membrane protein with similarity to Kre6p</t>
  </si>
  <si>
    <t>YGR142W</t>
  </si>
  <si>
    <t>BTN2</t>
  </si>
  <si>
    <t>Cytosolic coiled-coil protein that modulates arginine uptake, interacts with Rhb1p, possible role in mediating pH homeostasis between the vacuole and plasma membrane H(+)-ATPase, may have a role in intracellular protein trafficking</t>
  </si>
  <si>
    <t>YGR141W</t>
  </si>
  <si>
    <t>VPS62</t>
  </si>
  <si>
    <t>Vacuolar protein sorting (VPS) protein required for cytoplasm to vacuole targeting of proteins</t>
  </si>
  <si>
    <t>YGR140W</t>
  </si>
  <si>
    <t>CBF2</t>
  </si>
  <si>
    <t>Essential kinetochore protein, component of the CBF3 multisubunit complex that binds to the CDEIII region of the centromere, Cbf2p also binds to the CDEII region possibly forming a different multimeric complex, ubiquitinated in vivo</t>
  </si>
  <si>
    <t>YGR138C</t>
  </si>
  <si>
    <t>Polyamine transport protein specific for spermine, localizes to the plasma membrane, member of the major facilitator superfamily  Polyamine transport protein specific for spermine, localizes to the plasma membrane, transcription of TPO2 is regulated by Haa1p, member of the major facilitator superfamily</t>
  </si>
  <si>
    <t>YGR136W</t>
  </si>
  <si>
    <t>LSB1</t>
  </si>
  <si>
    <t>Protein containing an N-terminal SH3 domain, binds Las17p, which is a homolog of human Wiskott-Aldrich Syndrome protein involved in actin patch assembly and actin polymerization</t>
  </si>
  <si>
    <t>YGR135W</t>
  </si>
  <si>
    <t>PRE9</t>
  </si>
  <si>
    <t>20S proteasome beta-type subunit, the only nonessential 20S subunit</t>
  </si>
  <si>
    <t>YGR134W</t>
  </si>
  <si>
    <t>CAF130</t>
  </si>
  <si>
    <t>YGR133W</t>
  </si>
  <si>
    <t>PEX4</t>
  </si>
  <si>
    <t>Peroxisomal ubiquitin conjugating enzyme required for peroxisomal matrix protein import and peroxisome biogenesis</t>
  </si>
  <si>
    <t>YGR132C</t>
  </si>
  <si>
    <t>PHB1</t>
  </si>
  <si>
    <t>YGR131W</t>
  </si>
  <si>
    <t>YGR130C</t>
  </si>
  <si>
    <t>YGR129W</t>
  </si>
  <si>
    <t>SYF2</t>
  </si>
  <si>
    <t>Component of the spliceosome complex involved in pre-mRNA splicing, involved in regulation of cell cycle progression</t>
  </si>
  <si>
    <t>YGR128C</t>
  </si>
  <si>
    <t>UTP8</t>
  </si>
  <si>
    <t>Nucleolar protein required for export of tRNAs from the nucleus, also copurifies with the small subunit (SSU) processome containing the U3 snoRNA that is involved in processing of pre-18S rRNA</t>
  </si>
  <si>
    <t>YGR127W</t>
  </si>
  <si>
    <t>YGR126W</t>
  </si>
  <si>
    <t>YGR125W</t>
  </si>
  <si>
    <t>YGR124W</t>
  </si>
  <si>
    <t>ASN2</t>
  </si>
  <si>
    <t>Asparagine synthetase, isozyme of Asn1p, catalyzes the synthesis of L-asparagine from L-aspartate in the asparagine biosynthetic pathway</t>
  </si>
  <si>
    <t>YGR123C</t>
  </si>
  <si>
    <t>PPT1</t>
  </si>
  <si>
    <t>Phosphatidylinositol 4,5-bisphosphate 5-phosphatase, synaptojanin-like protein with an N-terminal Sac1 domain, plays a role in phosphatidylinositol 4,5-bisphosphate homeostasis and in endocytosis, null mutation confers cold-tolerant growth</t>
  </si>
  <si>
    <t>YIL001W</t>
  </si>
  <si>
    <t>YHR216W</t>
  </si>
  <si>
    <t>Inosine monophosphate dehydrogenase, catalyzes the first step of GMP biosynthesis, expression is induced by mycophenolic acid resulting in resistance to the drug, expression is repressed by nutrient limitation  Nonfunctional protein with homology to IMP dehydrogenase, IMD1 is a probable pseudogene that is located close to the telomere and is not expressed at detectable levels  Hypothetical protein</t>
  </si>
  <si>
    <t>YHR214C-E</t>
  </si>
  <si>
    <t>YHR214C-D</t>
  </si>
  <si>
    <t>YHR213W-A</t>
  </si>
  <si>
    <t>YHR213W</t>
  </si>
  <si>
    <t>YHR212W-A</t>
  </si>
  <si>
    <t>Identified by gene-trapping, microarray-based expression analysis, and genome-wide homology searching  Hypothetical protein</t>
  </si>
  <si>
    <t>YHR210C</t>
  </si>
  <si>
    <t>YHR209W</t>
  </si>
  <si>
    <t>YHR208W</t>
  </si>
  <si>
    <t>BAT1</t>
  </si>
  <si>
    <t>Mitochondrial branched-chain amino acid aminotransferase, homolog of murine ECA39, highly expressed during logarithmic phase and repressed during stationary phase</t>
  </si>
  <si>
    <t>YHR207C</t>
  </si>
  <si>
    <t>SET5</t>
  </si>
  <si>
    <t>Zinc-finger protein of unknown function, contains one canonical and two unusual fingers in unusual arrangements, deletion enhances replication of positive-strand RNA virus</t>
  </si>
  <si>
    <t>YHR206W</t>
  </si>
  <si>
    <t>SKN7</t>
  </si>
  <si>
    <t>Nuclear response regulator and transcription factor, part of a branched two-component signaling system, required for optimal induction of heat-shock genes in response to oxidative stress, involved in osmoregulation</t>
  </si>
  <si>
    <t>YHR205W</t>
  </si>
  <si>
    <t>SCH9</t>
  </si>
  <si>
    <t>Protein kinase that regulates signal transduction activity and G1 progression, controls cAPK activity, required for nitrogen activation of the FGM pathway, involved in life span regulation, homologous to mammalian AktPKB</t>
  </si>
  <si>
    <t>YHR204W</t>
  </si>
  <si>
    <t>MNL1</t>
  </si>
  <si>
    <t>Alpha mannosidase-like protein of the endoplasmic reticulum required for degradation of glycoproteins but not for processing of N-linked oligosaccharides</t>
  </si>
  <si>
    <t>YHR203C</t>
  </si>
  <si>
    <t>Cytoplasmic GTPase-activating protein for YptRab transport GTPases Ypt6p, Ypt31p and Sec4p, involved in recycling of internalized proteins and regulation of Golgi secretory function</t>
  </si>
  <si>
    <t>YGR099W</t>
  </si>
  <si>
    <t>TEL2</t>
  </si>
  <si>
    <t>Essential DNA-binding protein specific to single-stranded yeast telomeric DNA repeats, required for telomere length regulation and telomere position effect</t>
  </si>
  <si>
    <t>YGR098C</t>
  </si>
  <si>
    <t>ESP1</t>
  </si>
  <si>
    <t>Separase with cysteine protease activity (related to caspases) that promotes sister chromatid separation by mediating dissociation of the cohesin Scc1p from chromatin, inhibited by Pds1p</t>
  </si>
  <si>
    <t>YGR097W</t>
  </si>
  <si>
    <t>ASK10</t>
  </si>
  <si>
    <t>Component of the RNA polymerase II holoenzyme, phosphorylated in response to oxidative stress, has a role in destruction of Ssn8p, which relieves repression of stress-response genes</t>
  </si>
  <si>
    <t>YGR096W</t>
  </si>
  <si>
    <t>TPC1</t>
  </si>
  <si>
    <t>Mitochondrial membrane transporter that mediates uptake of the essential cofactor thiamine pyrophosphate (ThPP) into mitochondria, expression appears to be regulated by carbon source, member of the mitochondrial carrier family</t>
  </si>
  <si>
    <t>YGR095C</t>
  </si>
  <si>
    <t>RRP46</t>
  </si>
  <si>
    <t>YGR094W</t>
  </si>
  <si>
    <t>VAS1</t>
  </si>
  <si>
    <t>Mitochondrial and cytoplasmic valyl-tRNA synthetase</t>
  </si>
  <si>
    <t>YGR093W</t>
  </si>
  <si>
    <t>YGR092W</t>
  </si>
  <si>
    <t>DBF2</t>
  </si>
  <si>
    <t>SerThr kinase involved in transcription and stress response, functions as part of a network of genes in exit from mitosis, localization is cell cycle regulated, activated by Cdc15p during the exit from mitosis</t>
  </si>
  <si>
    <t>YGR091W</t>
  </si>
  <si>
    <t>PRP31</t>
  </si>
  <si>
    <t>YGR090W</t>
  </si>
  <si>
    <t>UTP22</t>
  </si>
  <si>
    <t>YGR089W</t>
  </si>
  <si>
    <t>NNF2</t>
  </si>
  <si>
    <t>Protein that exhibits physical and genetic interactions with Rpb8p, which is a subunit of RNA polymerases I, II, and III, computational analysis of large-scale protein-protein interaction data suggests a role in chromosome segregation</t>
  </si>
  <si>
    <t>YGR088W</t>
  </si>
  <si>
    <t>CTT1</t>
  </si>
  <si>
    <t>Cytosolic catalase T, has a role in protection from oxidative damage by hydrogen peroxide</t>
  </si>
  <si>
    <t>YGR087C</t>
  </si>
  <si>
    <t>PDC6</t>
  </si>
  <si>
    <t>Minor isoform of pyruvate decarboxylase, key enzyme in alcoholic fermentation, decarboxylates pyruvate to acetaldehyde, regulation is glucose- and ethanol-dependent, involved in amino acid catabolism</t>
  </si>
  <si>
    <t>One of two (see also PTH2) mitochondrially-localized peptidyl-tRNA hydrolases, dispensable for cell growth and for mitochondrial respiration</t>
  </si>
  <si>
    <t>YHR188C</t>
  </si>
  <si>
    <t>GPI16</t>
  </si>
  <si>
    <t>Transmembrane protein subunit of the glycosylphosphatidylinositol transamidase complex that adds GPIs to newly synthesized proteins, human PIG-Tp homolog</t>
  </si>
  <si>
    <t>YHR187W</t>
  </si>
  <si>
    <t>IKI1</t>
  </si>
  <si>
    <t>Subunit of the Elp4p-Iki1p-Elp6p-subcomplex of RNA polymerase II elongator complex, which is a histone acetyltransferase, iki1 mutations confer resistance to the K. lactis toxin zymocin</t>
  </si>
  <si>
    <t>YHR186C</t>
  </si>
  <si>
    <t>KOG1</t>
  </si>
  <si>
    <t>Subunit of TORC1, a rapamycin-sensitive complex involved in growth control that contains Tor1p or Tor2p, Lst8p and Tco89p, contains four HEAT repeats and seven WD-40 repeats, may act as a scaffold protein to couple TOR and its effectors</t>
  </si>
  <si>
    <t>YHR185C</t>
  </si>
  <si>
    <t>PFS1</t>
  </si>
  <si>
    <t>Sporulation protein required for prospore membrane formation at selected spindle poles, ensures functionality of all four spindle pole bodies of a cell during meiosis II, not required for meiotic recombination or meiotic chromosome segregation</t>
  </si>
  <si>
    <t>YHR184W</t>
  </si>
  <si>
    <t>SSP1</t>
  </si>
  <si>
    <t>Protein involved in the control of meiotic nuclear division and coordination of meiosis with spore formation, transcription is induced midway through meiosis</t>
  </si>
  <si>
    <t>YHR183W</t>
  </si>
  <si>
    <t>GND1</t>
  </si>
  <si>
    <t>6-phosphogluconate dehydrogenase (decarboxylating), catalyzes an NADPH regenerating reaction in the pentose phosphate pathway, required for growth on D-glucono-delta-lactone and adaptation to oxidative stress</t>
  </si>
  <si>
    <t>YHR182W</t>
  </si>
  <si>
    <t>Protein of unknown function, green fluorescent protein (GFP)-fusion protein localizes to the cell periphery and cytoplasm</t>
  </si>
  <si>
    <t>YHR181W</t>
  </si>
  <si>
    <t>Component of Sed5p vesicles</t>
  </si>
  <si>
    <t>YHR179W</t>
  </si>
  <si>
    <t>OYE2</t>
  </si>
  <si>
    <t>Widely conserved NADPH oxidoreductase containing flavin mononucleotide (FMN), homologous to Oye3p with slight differences in ligand binding and catalytic properties, may be involved in sterol metabolism</t>
  </si>
  <si>
    <t>YHR178W</t>
  </si>
  <si>
    <t>STB5</t>
  </si>
  <si>
    <t>Activator of multidrug resistance genes, forms a heterodimer with Pdr1p, contains a Zn(II)2Cys6 zinc finger domain that interacts with a PDRE (pleotropic drug resistance element) in vitro, binds Sin3p in a two-hybrid assay</t>
  </si>
  <si>
    <t>YHR177W</t>
  </si>
  <si>
    <t>YHR176W</t>
  </si>
  <si>
    <t>FMO1</t>
  </si>
  <si>
    <t>Flavin-containing monooxygenase, localized to the cytoplasmic face of the ER membrane, catalyzes oxidation of biological thiols to maintain the ER redox buffer ratio for correct folding of disulfide-bonded proteins</t>
  </si>
  <si>
    <t>YHR175W-A</t>
  </si>
  <si>
    <t>YHR175W</t>
  </si>
  <si>
    <t>CTR2</t>
  </si>
  <si>
    <t>Putative low-affinity copper transporter of the vacuolar membrane, mutation confers resistance to toxic copper concentrations, while overexpression confers resistance to copper starvation</t>
  </si>
  <si>
    <t>YHR174W</t>
  </si>
  <si>
    <t>Enolase II, a phosphopyruvate hydratase that catalyzes the conversion of 2-phosphoglycerate to phosphoenolpyruvate during glycolysis and the reverse reaction during gluconeogenesis, expression is induced in response to glucose  Enolase I, a phosphopyruvate hydratase that catalyzes the conversion of 2-phosphoglycerate to phosphoenolpyruvate during glycolysis and the reverse reaction during gluconeogenesis, expression is repressed in response to glucose</t>
  </si>
  <si>
    <t>YHR172W</t>
  </si>
  <si>
    <t>SPC97</t>
  </si>
  <si>
    <t>YHR171W</t>
  </si>
  <si>
    <t>ATG7</t>
  </si>
  <si>
    <t>Autophagy-related protein that is a member of the E1 family of ubiquitin-activating enzymes, mediates the conjugation of Atg12p with Atg5p, a required step in the formation of autophagosomes</t>
  </si>
  <si>
    <t>YHR170W</t>
  </si>
  <si>
    <t>NMD3</t>
  </si>
  <si>
    <t>Protein involved in nuclear export of the large ribosomal subunit, acts as a Crm1p-dependent adapter protein for export of nascent ribosomal subunits through the nuclear pore complex</t>
  </si>
  <si>
    <t>YHR169W</t>
  </si>
  <si>
    <t>DBP8</t>
  </si>
  <si>
    <t>Putative ATP-dependent RNA helicase of the DEAD-box family involved in biogenesis of the 40S ribosomal subunit</t>
  </si>
  <si>
    <t>YHR168W</t>
  </si>
  <si>
    <t>MTG2</t>
  </si>
  <si>
    <t>Putative GTPase, member of the Obg family, peripheral protein of the mitochondrial inner membrane that associates with the large ribosomal subunit, required for mitochondrial translation, possibly via a role in ribosome assembly</t>
  </si>
  <si>
    <t>Potential regulatory effector of CDC4 function, suppresses a temperature-sensitive allele of CDC4, tripartite protein structure in which a charged region separates two uncharged domains, not essential for mitosis or meiosis</t>
  </si>
  <si>
    <t>YGR048W</t>
  </si>
  <si>
    <t>UFD1</t>
  </si>
  <si>
    <t>Protein that interacts with Cdc48p and Npl4p, involved in recognition of polyubiquitinated proteins and their presentation to the 26S proteasome for degradation, involved in transporting proteins from the ER to the cytosol</t>
  </si>
  <si>
    <t>YGR047C</t>
  </si>
  <si>
    <t>TFC4</t>
  </si>
  <si>
    <t>One of six subunits of the RNA polymerase III transcription initiation factor complex (TFIIIC), part of the TauA domain of TFIIIC that binds BoxA DNA promoter sites of tRNA and similar genes, has TPR motifs, human homolog is TFIIIC-102</t>
  </si>
  <si>
    <t>YGR046W</t>
  </si>
  <si>
    <t>Essential protein of unknown function, mRNA is targeted to the bud via the mRNA transport system involving She2p</t>
  </si>
  <si>
    <t>YGR045C</t>
  </si>
  <si>
    <t>YGR044C</t>
  </si>
  <si>
    <t>RME1</t>
  </si>
  <si>
    <t>Zinc finger protein involved in control of meiosis, prevents meiosis by repressing IME1 expression and promotes mitosis by activating CLN2 expression, directly repressed by a1-a2 regulator, mediates cell type control of sporulation</t>
  </si>
  <si>
    <t>YGR043C</t>
  </si>
  <si>
    <t>YGR042W</t>
  </si>
  <si>
    <t>YGR041W</t>
  </si>
  <si>
    <t>BUD9</t>
  </si>
  <si>
    <t>Protein involved in bud-site selection, diploid mutants display a unipolar budding pattern instead of the wild-type bipolar pattern, and bud at the distal pole</t>
  </si>
  <si>
    <t>YGR040W</t>
  </si>
  <si>
    <t>KSS1</t>
  </si>
  <si>
    <t xml:space="preserve">Mitogen-activated protein kinase (MAPK) involved in signal transduction pathways that control filamentous growth and pheromone response </t>
  </si>
  <si>
    <t>YGR038W</t>
  </si>
  <si>
    <t>ORM1</t>
  </si>
  <si>
    <t>Evolutionarily conserved protein with similarity to Orm2p, required for resistance to agents that induce the unfolded protein response, human ortholog is located in the endoplasmic reticulum</t>
  </si>
  <si>
    <t>YGR037C</t>
  </si>
  <si>
    <t>ACB1</t>
  </si>
  <si>
    <t>Acyl-CoA-binding protein, transports newly synthesized acyl-CoA esters from fatty acid synthetase (Fas1p-Fas2p) to acyl-CoA-consuming processes</t>
  </si>
  <si>
    <t>YGR036C</t>
  </si>
  <si>
    <t>CAX4</t>
  </si>
  <si>
    <t>Dolichyl pyrophosphate (Dol-P-P) phosphatase with a luminally oriented active site in the ER, cleaves the anhydride linkage in Dol-P-P, required for Dol-P-P-linked oligosaccharide intermediate synthesis and protein N-glycosylation</t>
  </si>
  <si>
    <t>YGR035W-A</t>
  </si>
  <si>
    <t>YGR035C</t>
  </si>
  <si>
    <t>Protein of unknown function, potential Cdc28p substrate, transcription is activated by paralogous transcription factors Yrm1p and Yrr1p along with genes involved in multidrug resistance</t>
  </si>
  <si>
    <t>YGR034W</t>
  </si>
  <si>
    <t>RPL26B</t>
  </si>
  <si>
    <t>Protein component of the large (60S) ribosomal subunit, nearly identical to Rpl26Ap and has similarity to E. coli L24 and rat L26 ribosomal proteins, binds to 5.8S rRNA</t>
  </si>
  <si>
    <t>YGR033C</t>
  </si>
  <si>
    <t>TIM21</t>
  </si>
  <si>
    <t>Constituent of the mitochondrial inner membrane presequence translocase (TIM23 complex), may regulate protein import by binding to both the translocase of the outer membrane (TOM) and presequence-associated motor (PAM) complexes</t>
  </si>
  <si>
    <t>YGR032W</t>
  </si>
  <si>
    <t>GSC2</t>
  </si>
  <si>
    <t>Catalytic subunit of 1,3-beta-glucan synthase, has similarity to an alternate catalytic subunit, Fks1p (Gsc1p), Rho1p encodes the regulatory subunit, involved in cell wall synthesis and maintenance</t>
  </si>
  <si>
    <t>YGR031W</t>
  </si>
  <si>
    <t>YGR030C</t>
  </si>
  <si>
    <t>POP6</t>
  </si>
  <si>
    <t>YGR029W</t>
  </si>
  <si>
    <t>ERV1</t>
  </si>
  <si>
    <t>Flavin-linked sulfhydryl oxidase localized to the mitochondrial intermembrane space, has a role in the maturation of cytosolic iron-sulfur proteins, ortholog of human hepatopoietin (ALR)</t>
  </si>
  <si>
    <t>YGR028W</t>
  </si>
  <si>
    <t>MSP1</t>
  </si>
  <si>
    <t>Mitochondrial protein involved in sorting of proteins in the mitochondria, putative membrane-spanning ATPase</t>
  </si>
  <si>
    <t>YGR027C</t>
  </si>
  <si>
    <t>Protein component of the small (40S) ribosomal subunit, nearly identical to Rps25Ap and has similarity to rat S25 ribosomal protein  Protein component of the small (40S) ribosomal subunit, nearly identical to Rps25Bp and has similarity to rat S25 ribosomal protein</t>
  </si>
  <si>
    <t>YGR026W</t>
  </si>
  <si>
    <t>YGR024C</t>
  </si>
  <si>
    <t>THG1</t>
  </si>
  <si>
    <t>Protein component of the large (60S) ribosomal subunit, identical to Rpl42Bp and has similarity to rat L44 ribosomal protein  Protein component of the large (60S) ribosomal subunit, identical to Rpl42Ap and has similarity to rat L44, required for propagation of the killer toxin-encoding M1 double-stranded RNA satellite of the L-A double-stranded RNA virus</t>
  </si>
  <si>
    <t>YHR140W</t>
  </si>
  <si>
    <t>YHR139C</t>
  </si>
  <si>
    <t>SPS100</t>
  </si>
  <si>
    <t>Protein required for spore wall maturation, expressed during sporulation, may be a component of the spore wall</t>
  </si>
  <si>
    <t>YHR138C</t>
  </si>
  <si>
    <t>Homologous to PBI2</t>
  </si>
  <si>
    <t>YHR137W</t>
  </si>
  <si>
    <t>ARO9</t>
  </si>
  <si>
    <t>Aromatic aminotransferase, catalyzes the first step of tryptophan, phenylalanine, and tyrosine catabolism</t>
  </si>
  <si>
    <t>YHR136C</t>
  </si>
  <si>
    <t>SPL2</t>
  </si>
  <si>
    <t>Protein with similarity to cyclin-dependent kinase inhibitors, overproduction suppresses a plc1 null mutation, green fluorescent protein (GFP)-fusion protein localizes to the cytoplasm in a punctate pattern</t>
  </si>
  <si>
    <t>YHR135C</t>
  </si>
  <si>
    <t>YCK1</t>
  </si>
  <si>
    <t>Palmitoylated, plasma membrane-bound casein kinase I isoform, shares redundant functions with Yck2p in morphogenesis, proper septin assembly, endocytic trafficking, provides an essential function overlapping with that of Yck2p</t>
  </si>
  <si>
    <t>YHR134W</t>
  </si>
  <si>
    <t>WSS1</t>
  </si>
  <si>
    <t>Sumoylated protein of unknown function, identified based on genetic interactions with SMT3, UV-sensitive mutant phenotype and genetic interactions suggest a role in the DNA damage response, processing stalled or collapsed replication forks</t>
  </si>
  <si>
    <t>YHR133C</t>
  </si>
  <si>
    <t>Protein of unknown function, potential homolog of mammalian Insig 1, green fluorescent protein (GFP)-fusion protein localizes to the nuclear periphery</t>
  </si>
  <si>
    <t>YHR132W-A</t>
  </si>
  <si>
    <t>YHR132C</t>
  </si>
  <si>
    <t>ECM14</t>
  </si>
  <si>
    <t>Putative metalloprotease with similarity to the zinc carboxypeptidase family, required for normal cell wall assembly</t>
  </si>
  <si>
    <t>YHR131C</t>
  </si>
  <si>
    <t>YHR129C</t>
  </si>
  <si>
    <t>ARP1</t>
  </si>
  <si>
    <t>Actin-related protein of the dynactin complex, required for spindle orientation and nuclear migration, putative ortholog of mammalian centractin</t>
  </si>
  <si>
    <t>YHR128W</t>
  </si>
  <si>
    <t>FUR1</t>
  </si>
  <si>
    <t>Choline phosphate cytidylyltransferase, catalyzes the second step of phosphatidylethanolamine biosynthesis, involved in the maintenance of plasma membrane, similar to mammalian CTP: phosphocholine cytidylyl-transferases</t>
  </si>
  <si>
    <t>YGR006W</t>
  </si>
  <si>
    <t>PRP18</t>
  </si>
  <si>
    <t>Splicing factor involved in the positioning of the 3 splice site during the second catalytic step of splicing, recruited to the spliceosome by Slu7p</t>
  </si>
  <si>
    <t>YGR005C</t>
  </si>
  <si>
    <t>TFG2</t>
  </si>
  <si>
    <t>transcription initiation factor TFIIF middle subunit</t>
  </si>
  <si>
    <t>YGR004W</t>
  </si>
  <si>
    <t>PEX31</t>
  </si>
  <si>
    <t>Peroxisomal integral membrane protein, involved in negative regulation of peroxisome size, partially functionally redundant with Pex30p and Pex32p, probably acts at a step downstream of steps mediated by Pex28p and Pex29p</t>
  </si>
  <si>
    <t>YGR003W</t>
  </si>
  <si>
    <t>CUL3</t>
  </si>
  <si>
    <t>Ubiquitin-protein ligase, member of the cullin family with similarity to Cdc53p and human CUL3, null mutation has no apparent phenotype</t>
  </si>
  <si>
    <t>YGR002C</t>
  </si>
  <si>
    <t>SWC4</t>
  </si>
  <si>
    <t>Protein of unknown function, component of the Swr1p complex that incorporates Htz1p into chromatin, component of the NuA4 histone acetyltransferase complex</t>
  </si>
  <si>
    <t>YGR001C</t>
  </si>
  <si>
    <t>Protein with similarity to methyltransferase family members, required for replication of Brome mosaic virus in S. cerevisiae, which is a model system for studying replication of positive-strand RNA viruses in their natural hosts</t>
  </si>
  <si>
    <t>YGL263W</t>
  </si>
  <si>
    <t>COS12</t>
  </si>
  <si>
    <t>YGL262W</t>
  </si>
  <si>
    <t>YGL259W</t>
  </si>
  <si>
    <t>YPS5</t>
  </si>
  <si>
    <t>Protein with similarity to GPI-anchored aspartic proteases such as Yap1p and Yap3p</t>
  </si>
  <si>
    <t>YGL258W-A</t>
  </si>
  <si>
    <t>YGL258W</t>
  </si>
  <si>
    <t>YGL257C</t>
  </si>
  <si>
    <t>MNT2</t>
  </si>
  <si>
    <t>Mannosyltransferase involved in adding the 4th and 5th mannose residues of O-linked glycans</t>
  </si>
  <si>
    <t>YGL256W</t>
  </si>
  <si>
    <t>ADH4</t>
  </si>
  <si>
    <t>Alcohol dehydrogenase type IV, dimeric enzyme demonstrated to be zinc-dependent despite sequence similarity to iron-activated alcohol dehydrogenases, transcription is induced in response to zinc deficiency, alcohol dehydrogenase isoenzyme IV</t>
  </si>
  <si>
    <t>YGL255W</t>
  </si>
  <si>
    <t>ZRT1</t>
  </si>
  <si>
    <t>Protein involved in regulating spindle position and orientation, functionally redundant with Dma2p, homolog of S. pombe Dma1 and H. sapiens Chfr</t>
  </si>
  <si>
    <t>YHR114W</t>
  </si>
  <si>
    <t>BZZ1</t>
  </si>
  <si>
    <t>SH3 domain protein implicated in the regulation of actin polymerization, able to recruit actin polymerization machinery through its SH3 domains, colocalizes with cortical actin patches and Las17p, interacts with type I myosins</t>
  </si>
  <si>
    <t>YHR113W</t>
  </si>
  <si>
    <t>YHR112C</t>
  </si>
  <si>
    <t>YHR111W</t>
  </si>
  <si>
    <t>UBA4</t>
  </si>
  <si>
    <t>Protein that activates Urm1p before its conjugation to proteins (urmylation), one target is the thioredoxin peroxidase Ahp1p, suggesting a role of urmylation in the oxidative stress response</t>
  </si>
  <si>
    <t>YHR110W</t>
  </si>
  <si>
    <t>ERP5</t>
  </si>
  <si>
    <t>YHR109W</t>
  </si>
  <si>
    <t>CTM1</t>
  </si>
  <si>
    <t>Cytochrome c lysine methyltransferase, trimethylates residue 72 of apo-cytochrome c (Cyc1p) in the cytosol, not required for normal respiratory growth</t>
  </si>
  <si>
    <t>YHR108W</t>
  </si>
  <si>
    <t>GGA2</t>
  </si>
  <si>
    <t>Golgi-localized protein with homology to gamma-adaptin, interacts with and regulates Arf1p and Arf2p in a GTP-dependent manner in order to facilitate traffic through the late Golgi</t>
  </si>
  <si>
    <t>YHR107C</t>
  </si>
  <si>
    <t>CDC12</t>
  </si>
  <si>
    <t>YHR106W</t>
  </si>
  <si>
    <t>TRR2</t>
  </si>
  <si>
    <t>Mitochondrial thioredoxin reductase involved in protection against oxidative stress, required with Glr1p to maintain the redox state of Trx3p, contains active-site motif (CAVC) present in prokaryotic thioredoxin reductases, binds NADPH and FAD</t>
  </si>
  <si>
    <t>YHR105W</t>
  </si>
  <si>
    <t>YPT35</t>
  </si>
  <si>
    <t>Endosomal protein of unknown function that contains a phox (PX) homology domain and binds to both phosphatidylinositol-3-phosphate (PtdIns(3)P) and proteins involved in ER-Golgi or vesicular transport PMID:14562095|PMID:15263065</t>
  </si>
  <si>
    <t>YHR104W</t>
  </si>
  <si>
    <t>GRE3</t>
  </si>
  <si>
    <t>Aldose reductase involved in methylglyoxal, d-xylose and arabinose metabolism, stress induced (osmotic, ionic, oxidative, heat shock, starvation and heavy metals), regulated by the HOG pathway</t>
  </si>
  <si>
    <t>YHR103W</t>
  </si>
  <si>
    <t>SBE22</t>
  </si>
  <si>
    <t>Protein involved in the transport of cell wall components from the Golgi to the cell surface, similar in structure and functionally redundant with Sbe2p, involved in bud growth</t>
  </si>
  <si>
    <t>YHR102W</t>
  </si>
  <si>
    <t>KIC1</t>
  </si>
  <si>
    <t>Protein kinase of the PAKSte20 kinase family, required for cell integrity possibly through regulating 1,6-beta-glucan levels in the wall, physically interacts with Cdc31p (centrin), which is a component of the spindle pole body</t>
  </si>
  <si>
    <t>YHR101C</t>
  </si>
  <si>
    <t>BIG1</t>
  </si>
  <si>
    <t>Integral membrane protein of the endoplasmic reticulum, required for normal content of cell wall beta-1,6-glucan</t>
  </si>
  <si>
    <t>YHR100C</t>
  </si>
  <si>
    <t>YHR099W</t>
  </si>
  <si>
    <t>TRA1</t>
  </si>
  <si>
    <t>Subunit of SAGA and NuA4 histone acetyltransferase complexes, interacts with acidic activators (e.g., Gal4p) which leads to transcription activation, similar to human TRRAP, which is a cofactor for c-Myc mediated oncogenic transformation</t>
  </si>
  <si>
    <t>YHR098C</t>
  </si>
  <si>
    <t>SFB3</t>
  </si>
  <si>
    <t>Member of the Sec24p family, forms a complex, with Sec23p, that is involved in sorting of Pma1p into COPII vesicles, peripheral ER membrane protein, potential Cdc28p substrate</t>
  </si>
  <si>
    <t>YHR097C</t>
  </si>
  <si>
    <t>YHR096C</t>
  </si>
  <si>
    <t>HXT5</t>
  </si>
  <si>
    <t>Hexose transporter with moderate affinity for glucose, may function in accumulation of reserve carbohydrates during stress, expression induced by a decrease in growth rate, contains an extended N-terminal domain relative to other HXTs</t>
  </si>
  <si>
    <t>YHR094C</t>
  </si>
  <si>
    <t>HXT1</t>
  </si>
  <si>
    <t>Low-affinity glucose transporter of the major facilitator superfamily, expression is induced by Hxk2p in the presence of glucose and repressed by Rgt1p when glucose is limiting</t>
  </si>
  <si>
    <t>YHR092C</t>
  </si>
  <si>
    <t>HXT4</t>
  </si>
  <si>
    <t>YHR091C</t>
  </si>
  <si>
    <t>MSR1</t>
  </si>
  <si>
    <t>Mitochondrial arginyl-tRNA synthetase</t>
  </si>
  <si>
    <t>YHR090C</t>
  </si>
  <si>
    <t>YNG2</t>
  </si>
  <si>
    <t>Subunit of the NuA4 histone acetyltransferase complex that acetylates histone H4 and H2A, has similarity to the human tumor suppressor ING1</t>
  </si>
  <si>
    <t>YHR089C</t>
  </si>
  <si>
    <t>GAR1</t>
  </si>
  <si>
    <t>Protein component of the HACA snoRNP pseudouridylase complex, involved in the modification and cleavage of the 18S pre-rRNA</t>
  </si>
  <si>
    <t>YHR088W</t>
  </si>
  <si>
    <t>RPF1</t>
  </si>
  <si>
    <t>Nucleolar protein involved in the assembly of the large ribosomal subunit, constituent of 66S pre-ribosomal particles, contains a sigma(70)-like motif, which is thought to bind RNA</t>
  </si>
  <si>
    <t>YHR087W</t>
  </si>
  <si>
    <t>Protein involved in RNA metabolism, one of two yeast homologs (with Sdo1pYlr022cp) of the human protein SBDS responsible for autosomal recessive Shwachman-Bodian-Diamond Syndrome, also conserved in Archaea</t>
  </si>
  <si>
    <t>YHR086W-A</t>
  </si>
  <si>
    <t>YHR086W</t>
  </si>
  <si>
    <t>NAM8</t>
  </si>
  <si>
    <t>RNA binding protein, component of the U1 snRNP protein, mutants are defective in meiotic recombination and in formation of viable spores, involved in the formation of DSBs through meiosis-specific splicing of MER2 pre-mRNA</t>
  </si>
  <si>
    <t>YHR085W</t>
  </si>
  <si>
    <t>IPI1</t>
  </si>
  <si>
    <t>Protein of unknown function, essential for viability, may be involved in rRNA processing</t>
  </si>
  <si>
    <t>YHR084W</t>
  </si>
  <si>
    <t>STE12</t>
  </si>
  <si>
    <t>Transcription factor that is activated by a MAP kinase signaling cascade, activates genes involved in mating or pseudohyphalinvasive growth pathways, cooperates with Tec1p transcription factor to regulate genes specific for invasive growth</t>
  </si>
  <si>
    <t>YHR083W</t>
  </si>
  <si>
    <t>SAM35</t>
  </si>
  <si>
    <t>Essential component of the sorting and assembly machinery (SAM complex, aka TOB complex) of the mitochondrial outer membrane, which binds precursors of beta-barrel proteins and facilitates their insertion into the outer membrane</t>
  </si>
  <si>
    <t>YHR082C</t>
  </si>
  <si>
    <t>KSP1</t>
  </si>
  <si>
    <t>Nonessential putative serinethreonine protein kinase of unknown cellular role, overproduction causes allele-specific suppression of the prp20-10 mutation</t>
  </si>
  <si>
    <t>YHR081W</t>
  </si>
  <si>
    <t>LRP1</t>
  </si>
  <si>
    <t>Substrate-specific nuclear cofactor for exosome activity in the processing of stable RNAs, homolog of mammalian nuclear matrix protein C1D, which is involved in regulation of DNA repair and recombination</t>
  </si>
  <si>
    <t>YHR080C</t>
  </si>
  <si>
    <t>YHR079C-A</t>
  </si>
  <si>
    <t>SAE3</t>
  </si>
  <si>
    <t>Meiosis specific protein involved in DMC1-dependent meiotic recombination, forms heterodimer with Mei5p, proposed to be an assembly factor for Dmc1p</t>
  </si>
  <si>
    <t>YHR079C</t>
  </si>
  <si>
    <t>IRE1</t>
  </si>
  <si>
    <t>Serine-threonine kinase and endoribonuclease, transmembrane protein that initiates the unfolded protein response signal by regulating synthesis of Hac1p through HAC1 mRNA splicing</t>
  </si>
  <si>
    <t>YHR078W</t>
  </si>
  <si>
    <t>YHR077C</t>
  </si>
  <si>
    <t>NMD2</t>
  </si>
  <si>
    <t>Mitochondrial outer membrane protein, required for normal mitochondrial morphology and inheritance, localizes to dots on the mitochondrial surface near mtDNA nucleoids, interacts genetically with MDM31 and MDM32</t>
  </si>
  <si>
    <t>YGL216W</t>
  </si>
  <si>
    <t>KIP3</t>
  </si>
  <si>
    <t>YGL215W</t>
  </si>
  <si>
    <t>CLG1</t>
  </si>
  <si>
    <t>Cyclin-like protein that interacts with Pho85p, has sequence similarity to G1 cyclins PCL1 and PCL2</t>
  </si>
  <si>
    <t>YGL213C</t>
  </si>
  <si>
    <t>SKI8</t>
  </si>
  <si>
    <t>Protein involved in exosome mediated 3 to 5 mRNA degradation and translation inhibition of non-poly(A) mRNAs as well as double-strand break formation during meiotic recombination, required for repressing propagation of dsRNA viruses</t>
  </si>
  <si>
    <t>YGL212W</t>
  </si>
  <si>
    <t>VAM7</t>
  </si>
  <si>
    <t>Component of the vacuole SNARE complex involved in vacuolar morphogenesis, SNAP-25 homolog, functions with a syntaxin homolog Vam3p in vacuolar protein trafficking</t>
  </si>
  <si>
    <t>YGL211W</t>
  </si>
  <si>
    <t>NCS6</t>
  </si>
  <si>
    <t>YGL210W</t>
  </si>
  <si>
    <t>YPT32</t>
  </si>
  <si>
    <t>GTPase of the YptRab family, very similar to Ypt31p, involved in the exocytic pathway, mediates intra-Golgi traffic or the budding of post-Golgi vesicles from the trans-Golgi</t>
  </si>
  <si>
    <t>YGL209W</t>
  </si>
  <si>
    <t>MIG2</t>
  </si>
  <si>
    <t>Protein containing zinc fingers, involved in repression, along with Mig1p, of SUC2 (invertase) expression by high levels of glucose, binds to Mig1p-binding sites in SUC2 promoter</t>
  </si>
  <si>
    <t>YGL208W</t>
  </si>
  <si>
    <t>SIP2</t>
  </si>
  <si>
    <t>One of three beta subunits of the Snf1 serinethreonine protein kinase complex involved in the response to glucose starvation, null mutants exhibit accelerated aging, N-myristoylprotein localized to the cytoplasm and the plasma membrane</t>
  </si>
  <si>
    <t>YGL207W</t>
  </si>
  <si>
    <t>SPT16</t>
  </si>
  <si>
    <t>Subunit of the heterodimeric FACT complex (Spt16p-Pob3p), facilitates RNA Polymerase II transcription elongation through nucleosomes by destabilizing and then reassembling nucleosome structure</t>
  </si>
  <si>
    <t>YGL206C</t>
  </si>
  <si>
    <t>CHC1</t>
  </si>
  <si>
    <t>vesicle coat protein, presumed vesicle coat protein</t>
  </si>
  <si>
    <t>YGL205W</t>
  </si>
  <si>
    <t>POX1</t>
  </si>
  <si>
    <t>Fatty-acyl coenzyme A oxidase, involved in the fatty acid beta-oxidation pathway, localized to the peroxisomal matrix</t>
  </si>
  <si>
    <t>YGL203C</t>
  </si>
  <si>
    <t>KEX1</t>
  </si>
  <si>
    <t>Deoxyhypusine synthase, catalyzes formation of deoxyhypusine, the first step in hypusine biosynthesis, triggers posttranslational hypusination of translation elongation factor eIF-5A and regulates its intracellular levels, tetrameric</t>
  </si>
  <si>
    <t>YHR067W</t>
  </si>
  <si>
    <t>HTD2</t>
  </si>
  <si>
    <t>Mitochondrial 3-hydroxyacyl-thioester dehydratase involved in fatty acid biosynthesis, required for respiratory growth and for normal mitochondrial morphology</t>
  </si>
  <si>
    <t>YHR066W</t>
  </si>
  <si>
    <t>SSF1</t>
  </si>
  <si>
    <t>Constituent of 66S pre-ribosomal particles, required for ribosomal large subunit maturation, functionally redundant with Ssf2p, member of the Brix family</t>
  </si>
  <si>
    <t>YHR065C</t>
  </si>
  <si>
    <t>RRP3</t>
  </si>
  <si>
    <t>Protein involved in rRNA processing, required for maturation of the 35S primary transcript of pre-rRNA and for cleavage leading to mature 18S rRNA, homologous to eIF-4a, which is a DEAD box RNA-dependent ATPase with helicase activity</t>
  </si>
  <si>
    <t>YHR064C</t>
  </si>
  <si>
    <t>SSZ1</t>
  </si>
  <si>
    <t>Hsp70 protein that interacts with Zuo1p (a DnaJ homolog) to form a ribosome-associated complex that is bound to the ribosome via the Zuo1p subunit, also involved in pleiotropic drug resistance via sequential activation of PDR1 and PDR5</t>
  </si>
  <si>
    <t>YHR063C</t>
  </si>
  <si>
    <t>PAN5</t>
  </si>
  <si>
    <t>2-dehydropantoate 2-reductase, part of the pantothenic acid pathway, structurally homologous to E. coli panE</t>
  </si>
  <si>
    <t>YHR062C</t>
  </si>
  <si>
    <t>RPP1</t>
  </si>
  <si>
    <t>YHR061C</t>
  </si>
  <si>
    <t>GIC1</t>
  </si>
  <si>
    <t>Protein of unknown function involved in initiation of budding and cellular polarization, interacts with Cdc42p via the Cdc42Rac-interactive binding (CRIB) domain</t>
  </si>
  <si>
    <t>YHR060W</t>
  </si>
  <si>
    <t>VMA22</t>
  </si>
  <si>
    <t>Integral membrane protein that is required for vacuolar H+-ATPase (V-ATPase) function, although not an actual component of the V-ATPase complex, functions in the assembly of the V-ATPase, localized to the yeast endoplasmic reticulum (ER)</t>
  </si>
  <si>
    <t>YHR059W</t>
  </si>
  <si>
    <t>FYV4</t>
  </si>
  <si>
    <t>YHR058C</t>
  </si>
  <si>
    <t>MED6</t>
  </si>
  <si>
    <t>RNA polymerase II transcriptional regulation mediator, RNA polymerase II mediator subunit</t>
  </si>
  <si>
    <t>YHR057C</t>
  </si>
  <si>
    <t>CPR2</t>
  </si>
  <si>
    <t>Protein component of the small (40S) ribosomal subunit, nearly identical to Rps26Bp and has similarity to rat S26 ribosomal protein</t>
  </si>
  <si>
    <t>YGL188C-A</t>
  </si>
  <si>
    <t>YGL187C</t>
  </si>
  <si>
    <t>COX4</t>
  </si>
  <si>
    <t>Subunit IV of cytochrome c oxidase, which is the terminal member of the mitochondrial inner membrane electron transport chain, N-terminal 25 residues of precursor are cleaved during mitochondrial import</t>
  </si>
  <si>
    <t>YGL186C</t>
  </si>
  <si>
    <t>TPN1</t>
  </si>
  <si>
    <t>Plasma membrane pyridoxine (vitamin B6) transporter, member of the purine-cytosine permease subfamily within the major facilitator superfamily, proton symporter with similarity to Fcy21p, Fcy2p, and Fcy22p</t>
  </si>
  <si>
    <t>YGL185C</t>
  </si>
  <si>
    <t>Putative hydroxyacid dehydrogenase</t>
  </si>
  <si>
    <t>YGL184C</t>
  </si>
  <si>
    <t>STR3</t>
  </si>
  <si>
    <t>Cystathionine beta-lyase, converts cystathionine into homocysteine</t>
  </si>
  <si>
    <t>YGL183C</t>
  </si>
  <si>
    <t>MND1</t>
  </si>
  <si>
    <t>Protein required for recombination and meiotic nuclear division, forms a complex with Hop2p, which is involved in chromosome pairing and repair of meiotic double-strand breaks</t>
  </si>
  <si>
    <t>YGL181W</t>
  </si>
  <si>
    <t>GTS1</t>
  </si>
  <si>
    <t>Protein containing a zinc-finger in the N-terminus and a long Gln-rich region in the C-terminus, regulates ultradian rhythm, cell size, cell cycle, lifespan, sporulation, heat tolerance, and multidrug transport</t>
  </si>
  <si>
    <t>YGL180W</t>
  </si>
  <si>
    <t>ATG1</t>
  </si>
  <si>
    <t>Protein serinethreonine kinase, required for autophagy and for the cytoplasm-to-vacuole targeting (Cvt) pathway</t>
  </si>
  <si>
    <t>YGL179C</t>
  </si>
  <si>
    <t>TOS3</t>
  </si>
  <si>
    <t>Protein kinase, related to and functionally redundant with Elm1p and Pak1p for the phosphorylation and activation of Snf1p, functionally orthologous to LKB1, a mammalian kinase associated with Peutz-Jeghers cancer-susceptibility syndrome</t>
  </si>
  <si>
    <t>YGL178W</t>
  </si>
  <si>
    <t>MPT5</t>
  </si>
  <si>
    <t>Protein that specifically binds to mRNAs encoding chromatin modifiers and spindle pole body components, has roles in longevity, in maintenance of cell wall integrity, and in sensitivity to and recovery from pheromone arrest</t>
  </si>
  <si>
    <t>YGL176C</t>
  </si>
  <si>
    <t>YGL175C</t>
  </si>
  <si>
    <t>SAE2</t>
  </si>
  <si>
    <t>Protein with a role in accurate meiotic and mitotic double-strand break repair, phosphorylated in response to DNA damage and required for normal resistance to DNA-damaging agents</t>
  </si>
  <si>
    <t>YGL174W</t>
  </si>
  <si>
    <t>BUD13</t>
  </si>
  <si>
    <t>Protein involved in bud-site selection, diploid mutants display a unipolar budding pattern instead of the wild-type bipolar pattern</t>
  </si>
  <si>
    <t>YGL173C</t>
  </si>
  <si>
    <t>KEM1</t>
  </si>
  <si>
    <t>5-3 exonuclease involved in mRNA decay, evolutionarily conserved component of cytoplasmic processing (P) bodies, plays a role in microtubule-mediated processes, filamentous growth, and ribosomal RNA maturation</t>
  </si>
  <si>
    <t>YGL172W</t>
  </si>
  <si>
    <t>NUP49</t>
  </si>
  <si>
    <t>Subunit of the Nsp1p-Nup57p-Nup49p-Nic96p subcomplex of the nuclear pore complex (NPC), required for nuclear export of ribosomes</t>
  </si>
  <si>
    <t>YGL171W</t>
  </si>
  <si>
    <t>ROK1</t>
  </si>
  <si>
    <t>ATP-dependent RNA helicase of the DEAD box family, required for 18S rRNA synthesis</t>
  </si>
  <si>
    <t>YGL170C</t>
  </si>
  <si>
    <t>SPO74</t>
  </si>
  <si>
    <t>YGL169W</t>
  </si>
  <si>
    <t>SUA5</t>
  </si>
  <si>
    <t>Protein required for respiratory growth, null mutation suppresses the Cyc1p translation defect caused by the presence of an aberrant ATG codon upstream of the correct start</t>
  </si>
  <si>
    <t>YGL168W</t>
  </si>
  <si>
    <t>HUR1</t>
  </si>
  <si>
    <t>Protein required for hydroxyurea resistance, has a possible role in DNA replication</t>
  </si>
  <si>
    <t>YGL167C</t>
  </si>
  <si>
    <t>PMR1</t>
  </si>
  <si>
    <t>High affinity Ca2+Mn2+ P-type ATPase required for Ca2+ and Mn2+ transport into Golgi, involved in Ca2+ dependent protein sorting and processing, mutations in human homolog ATP2C1 cause acantholytic skin condition Hailey-Hailey disease</t>
  </si>
  <si>
    <t>YGL166W</t>
  </si>
  <si>
    <t>CUP2</t>
  </si>
  <si>
    <t>Copper-binding transcription factor, activates transcription of the metallothionein genes CUP1-1 and CUP1-2 in response to elevated copper concentrations</t>
  </si>
  <si>
    <t>YGL164C</t>
  </si>
  <si>
    <t>YRB30</t>
  </si>
  <si>
    <t>Competes with yeast RanBP1 (Yrb1p) for binding to the GTP-bound form of yeast Ran (Gsp1p), able to form trimeric complexes with RanGTP and some of the karyopherins, inhibits RanGAP1(Rna1p)-mediated GTP hydrolysis on Ran.</t>
  </si>
  <si>
    <t>YGL163C</t>
  </si>
  <si>
    <t>RAD54</t>
  </si>
  <si>
    <t>DNA-dependent ATPase, stimulates strand exchange by modifying the topology of double-stranded DNA, involved in the recombinational repair of double-strand breaks in DNA during vegetative growth and meiosis, member of the SWISNF family</t>
  </si>
  <si>
    <t>YGL162W</t>
  </si>
  <si>
    <t>SUT1</t>
  </si>
  <si>
    <t>Transcription factor of the Zn[II]2Cys6 family involved in sterol uptake, involved in induction of hypoxic gene expression</t>
  </si>
  <si>
    <t>YGL161C</t>
  </si>
  <si>
    <t>YIP5</t>
  </si>
  <si>
    <t>YGL160W</t>
  </si>
  <si>
    <t>YGL159W</t>
  </si>
  <si>
    <t>YGL158W</t>
  </si>
  <si>
    <t>RCK1</t>
  </si>
  <si>
    <t>Protein kinase involved in the response to oxidative stress, identified as suppressor of S. pombe cell cycle checkpoint mutations</t>
  </si>
  <si>
    <t>YGL157W</t>
  </si>
  <si>
    <t>Oxidoreductase, catalyzes NADPH-dependent reduction of the bicyclic diketone bicyclo[2.2.2]octane-2,6-dione (BCO2,6D) to the chiral ketoalcohol (1R,4S,6S)-6-hydroxybicyclo[2.2.2]octane-2-one (BCO2one6ol)</t>
  </si>
  <si>
    <t>YGL156W</t>
  </si>
  <si>
    <t>AMS1</t>
  </si>
  <si>
    <t>Vacuolar alpha mannosidase, involved in free oligosaccharide (fOS) degradation, delivered to the vacuole in a novel pathway separate from the secretory pathway</t>
  </si>
  <si>
    <t>YGL155W</t>
  </si>
  <si>
    <t>CDC43</t>
  </si>
  <si>
    <t>Beta subunit of geranylgeranyltransferase type I, catalyzes geranylgeranylation to the cysteine residue in proteins containing a C-terminal CaaX sequence ending in Leu or Phe, has substrates important for morphogenesis</t>
  </si>
  <si>
    <t>YGL154C</t>
  </si>
  <si>
    <t>LYS5</t>
  </si>
  <si>
    <t>Phosphopantetheinyl transferase involved in lysine biosynthesis, converts inactive apo-form of Lys2p (alpha-aminoadipate reductase) into catalytically active holo-form by posttranslational addition of phosphopantetheine</t>
  </si>
  <si>
    <t>YGL153W</t>
  </si>
  <si>
    <t>PEX14</t>
  </si>
  <si>
    <t>Peroxisomal membrane protein that is a central component of the peroxisomal protein import machinery, interacts with PTS1 (Pex5p) and PTS2 (Pex7p) peroxisomal matrix protein signal recognition factors and membrane receptor Pex13p</t>
  </si>
  <si>
    <t>YGL151W</t>
  </si>
  <si>
    <t>NUT1</t>
  </si>
  <si>
    <t>YGL150C</t>
  </si>
  <si>
    <t>INO80</t>
  </si>
  <si>
    <t>ATPase that forms a large complex, containing actin and several actin-related proteins, that has chromatin remodeling activity and 3 to 5 DNA helicase activity in vitro, shows similarity to the Snf2p family of ATPases</t>
  </si>
  <si>
    <t>YGL148W</t>
  </si>
  <si>
    <t>ARO2</t>
  </si>
  <si>
    <t>YHR019C</t>
  </si>
  <si>
    <t>DED81</t>
  </si>
  <si>
    <t>Cytosolic asparaginyl-tRNA synthetase, required for protein synthesis, catalyzes the specific attachment of asparagine to its cognate tRNA</t>
  </si>
  <si>
    <t>YHR018C</t>
  </si>
  <si>
    <t>ARG4</t>
  </si>
  <si>
    <t>Argininosuccinate lyase, catalyzes the final step in the arginine biosynthesis pathway</t>
  </si>
  <si>
    <t>YHR017W</t>
  </si>
  <si>
    <t>YSC83</t>
  </si>
  <si>
    <t>similar to S. douglasii YSD83</t>
  </si>
  <si>
    <t>YHR016C</t>
  </si>
  <si>
    <t>YSC84</t>
  </si>
  <si>
    <t>Protein involved in the organization of the actin cytoskeleton, contains SH3 domain similar to Rvs167p</t>
  </si>
  <si>
    <t>YHR015W</t>
  </si>
  <si>
    <t>MIP6</t>
  </si>
  <si>
    <t>Putative RNA-binding protein, interacts with Mex67p, which is a component of the nuclear pore involved in nuclear mRNA export</t>
  </si>
  <si>
    <t>YHR014W</t>
  </si>
  <si>
    <t>SPO13</t>
  </si>
  <si>
    <t>Meiosis-specific protein of unknown function, involved in maintaining sister chromatid cohesion during meiosis I as well as promoting proper attachment of kinetochores to the spindle during meiosis I and meiosis II</t>
  </si>
  <si>
    <t>YHR013C</t>
  </si>
  <si>
    <t>ARD1</t>
  </si>
  <si>
    <t>YHR012W</t>
  </si>
  <si>
    <t>VPS29</t>
  </si>
  <si>
    <t>Endosomal protein that is a subunit of the membrane-associated retromer complex essential for endosome-to-Golgi retrograde transport, forms a subcomplex with Vps35p and Vps26p that selects cargo proteins for endosome-to-Golgi retrieval</t>
  </si>
  <si>
    <t>YHR011W</t>
  </si>
  <si>
    <t>DIA4</t>
  </si>
  <si>
    <t>Probable mitochondrial seryl-tRNA synthetase, mutant displays increased invasive and pseudohyphal growth</t>
  </si>
  <si>
    <t>YHR010W</t>
  </si>
  <si>
    <t>RPL27A</t>
  </si>
  <si>
    <t>Protein component of the large (60S) ribosomal subunit, nearly identical to Rpl27Bp and has similarity to rat L27 ribosomal protein</t>
  </si>
  <si>
    <t>YHR009C</t>
  </si>
  <si>
    <t>YHR008C</t>
  </si>
  <si>
    <t>SOD2</t>
  </si>
  <si>
    <t>Manganese-containing superoxide dismutase</t>
  </si>
  <si>
    <t>YHR007C-A</t>
  </si>
  <si>
    <t>YHR007C</t>
  </si>
  <si>
    <t>ERG11</t>
  </si>
  <si>
    <t>Lanosterol 14-alpha-demethylase, catalyzes the C-14 demethylation of lanosterol to form 4,4-dimethyl cholesta-8,14,24-triene-3-beta-ol in the ergosterol biosynthesis pathway, member of the cytochrome P450 family</t>
  </si>
  <si>
    <t>YHR006W</t>
  </si>
  <si>
    <t>STP2</t>
  </si>
  <si>
    <t>Transcription factor, activated by proteolytic processing in response to signals from the SPS sensor system for external amino acids, activates transcription of amino acid permease genes</t>
  </si>
  <si>
    <t>YHR005C-A</t>
  </si>
  <si>
    <t>MRS11</t>
  </si>
  <si>
    <t xml:space="preserve">Mitochondrial 21S rRNA methyltransferase, required for methylation of U(2791) in 21S rRNA, MRM2 deletion confers thermosensitive respiration and loss of mitochondrial DNA, has similarity to Spb1p and Trm7p, and to E. coli FtsJRrmJ </t>
  </si>
  <si>
    <t>YGL135W</t>
  </si>
  <si>
    <t>N-terminally acetylated protein component of the large (60S) ribosomal subunit, nearly identical to Rpl1Bp and has similarity to E. coli L1 and rat L10a ribosomal proteins, rpl1a rpl1b double null mutation is lethal  N-terminally acetylated protein component of the large (60S) ribosomal subunit, nearly identical to Rpl1Bp and has similarity to E. coli L1 and rat L10a ribosomal proteins, rpl1a rpl1b double null mutation is lethal</t>
  </si>
  <si>
    <t>YGL134W</t>
  </si>
  <si>
    <t>PCL10</t>
  </si>
  <si>
    <t>Pho85p cyclin, recruits, activates, and targets Pho85p cyclin-dependent protein kinase to its substrate</t>
  </si>
  <si>
    <t>YGL133W</t>
  </si>
  <si>
    <t>ITC1</t>
  </si>
  <si>
    <t>Component of the ATP-dependent Isw2p-Itc1p chromatin remodeling complex, required for repression of a-specific genes, repression of early meiotic genes during mitotic growth, and repression of INO1</t>
  </si>
  <si>
    <t>YGL131C</t>
  </si>
  <si>
    <t>SNT2</t>
  </si>
  <si>
    <t>DNA binding protein with similarity to the S. pombe Snt2 protein</t>
  </si>
  <si>
    <t>YGL130W</t>
  </si>
  <si>
    <t>CEG1</t>
  </si>
  <si>
    <t>mRNA guanylyltransferase (mRNA capping enzyme), alpha subunit, involved in the synthesis of the cap structure found at the 5-end of mRNAs</t>
  </si>
  <si>
    <t>YGL129C</t>
  </si>
  <si>
    <t>RSM23</t>
  </si>
  <si>
    <t>Mitochondrial ribosomal protein of the small subunit, has similarity to mammalian apoptosis mediator proteins, null mutation prevents induction of apoptosis by overproduction of metacaspase Mca1p</t>
  </si>
  <si>
    <t>YGL128C</t>
  </si>
  <si>
    <t>CWC23</t>
  </si>
  <si>
    <t>Component of a complex containing Cef1p, putatively involved in pre-mRNA splicing, has similarity to E. coli DnaJ and other DnaJ-like proteins and to S. pombe Cwf23p</t>
  </si>
  <si>
    <t>YGL127C</t>
  </si>
  <si>
    <t>SOH1</t>
  </si>
  <si>
    <t>Protein with sequence similarity to RNA polymerases, interacts with a DNA repair protein, Rad5p, in the two-hybrid system, may provide a link between recombination in direct repeats and transcription</t>
  </si>
  <si>
    <t>YGL126W</t>
  </si>
  <si>
    <t>SCS3</t>
  </si>
  <si>
    <t>Low affinity methionine permease, similar to Mup1p</t>
  </si>
  <si>
    <t>YHL035C</t>
  </si>
  <si>
    <t>Protein of unknown function, member of the ATP-binding cassette (ABC) family, potential Cdc28p substrate</t>
  </si>
  <si>
    <t>YHL034C</t>
  </si>
  <si>
    <t>SBP1</t>
  </si>
  <si>
    <t>Nucleolar single-strand nucleic acid binding protein, associates with small nuclear RNAs</t>
  </si>
  <si>
    <t>YHL033C</t>
  </si>
  <si>
    <t>YHL032C</t>
  </si>
  <si>
    <t>GUT1</t>
  </si>
  <si>
    <t>Glycerol kinase, converts glycerol to glycerol-3-phosphate, glucose repression of expression is mediated by Adr1p and Ino2p-Ino4p, derepression of expression on non-fermentable carbon sources is mediated by Opi1p and Rsf1p</t>
  </si>
  <si>
    <t>YHL031C</t>
  </si>
  <si>
    <t>GOS1</t>
  </si>
  <si>
    <t>v-SNARE protein involved in Golgi transport, homolog of the mammalian protein GOS-28GS28</t>
  </si>
  <si>
    <t>YHL030W</t>
  </si>
  <si>
    <t>ECM29</t>
  </si>
  <si>
    <t>Major component of the proteasome, tethers the proteasome core particle to the regulatory particle, and enhances the stability of the proteasome</t>
  </si>
  <si>
    <t>YHL029C</t>
  </si>
  <si>
    <t>YHL028W</t>
  </si>
  <si>
    <t>WSC4</t>
  </si>
  <si>
    <t>ER membrane protein involved in the translocation of soluble secretory proteins and insertion of membrane proteins into the ER membrane, exhibits functional overlap with WSC family members involved in the stress response</t>
  </si>
  <si>
    <t>YHL027W</t>
  </si>
  <si>
    <t>RIM101</t>
  </si>
  <si>
    <t>Transcriptional repressor involved in the response to pH, required for alkaline pH-stimulated differentiation pathways such as haploid invasive growth and sporulation, activated by proteolytic processing, has similarity to the A. nidulans transcription factor PacC</t>
  </si>
  <si>
    <t>YHL026C</t>
  </si>
  <si>
    <t>YHL025W</t>
  </si>
  <si>
    <t>SNF6</t>
  </si>
  <si>
    <t>One of 11 subunits of the SWISNF chromatin remodeling complex involved in transcriptional regulation, functions interdependently in transcriptional activation with Snf2p and Snf5p</t>
  </si>
  <si>
    <t>YHL024W</t>
  </si>
  <si>
    <t>RIM4</t>
  </si>
  <si>
    <t>Putative RNA-binding protein required for the expression of early and middle sporulation genes</t>
  </si>
  <si>
    <t>YHL023C</t>
  </si>
  <si>
    <t>RMD11</t>
  </si>
  <si>
    <t>Protein required for sporulation</t>
  </si>
  <si>
    <t>YHL022C</t>
  </si>
  <si>
    <t>SPO11</t>
  </si>
  <si>
    <t>Meiosis-specific protein that initiates meiotic recombination by catalyzing the formation of double-strand breaks in DNA via a transesterification reaction, required for homologous chromosome pairing and synaptonemal complex formation</t>
  </si>
  <si>
    <t>YHL021C</t>
  </si>
  <si>
    <t>YHL020C</t>
  </si>
  <si>
    <t>OPI1</t>
  </si>
  <si>
    <t>Transcriptional regulator of a variety of genes, phosphorylation by protein kinase A stimulates Opi1p function in negative regulation of phospholipid biosynthetic genes</t>
  </si>
  <si>
    <t>YHL019C</t>
  </si>
  <si>
    <t>APM2</t>
  </si>
  <si>
    <t>Protein of unknown function, homologous to the medium chain of mammalian clathrin-associated protein complex, involved in vesicular transport</t>
  </si>
  <si>
    <t>YHL018W</t>
  </si>
  <si>
    <t>YHL017W</t>
  </si>
  <si>
    <t>YHL016C</t>
  </si>
  <si>
    <t>DUR3</t>
  </si>
  <si>
    <t>Plasma membrane urea transporter, expression is highly sensitive to nitrogen catabolite repression and induced by allophanate, the last intermediate of the allantoin degradative pathway</t>
  </si>
  <si>
    <t>YHL015W-A</t>
  </si>
  <si>
    <t>YHL015W</t>
  </si>
  <si>
    <t>RPS20</t>
  </si>
  <si>
    <t>Protein component of the small (40S) ribosomal subunit, overproduction suppresses mutations affecting RNA polymerase III-dependent transcription, has similarity to E. coli S10 and rat S20 ribosomal proteins</t>
  </si>
  <si>
    <t>YHL014C</t>
  </si>
  <si>
    <t>YLF2</t>
  </si>
  <si>
    <t>Protein with weak similarity to B. subtilis GTP-binding protein and to human glycogen phosphorylases</t>
  </si>
  <si>
    <t>YHL013C</t>
  </si>
  <si>
    <t>YHL012W</t>
  </si>
  <si>
    <t>YHL011C</t>
  </si>
  <si>
    <t>PRS3</t>
  </si>
  <si>
    <t>YHL010C</t>
  </si>
  <si>
    <t>YHL009W-B</t>
  </si>
  <si>
    <t>TyA Gag protein, the main structural constituent of virus-like particles (VLPs)  TyA Gag protein, the main structural constituent of virus-like particles (VLPs)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t>
  </si>
  <si>
    <t>YHL009W-A</t>
  </si>
  <si>
    <t>YHL009C</t>
  </si>
  <si>
    <t>YAP3</t>
  </si>
  <si>
    <t>YHL008C</t>
  </si>
  <si>
    <t>YHL007C</t>
  </si>
  <si>
    <t>STE20</t>
  </si>
  <si>
    <t>Homeodomain-containing transcription factor, SBF regulated target gene that in turn regulates expression of genes involved in G1S phase events such as bud site selection, bud emergence and cell cycle progression, similarity to Cup9p</t>
  </si>
  <si>
    <t>YGL095C</t>
  </si>
  <si>
    <t>VPS45</t>
  </si>
  <si>
    <t>Protein of the Sec1pMunc-18 family, essential for vacuolar protein sorting, required for the function of Pep12p and the early endosomelate Golgi SNARE Tlg2p, essential for fusion of Golgi-derived vesicles with the prevacuolar compartment</t>
  </si>
  <si>
    <t>YGL094C</t>
  </si>
  <si>
    <t>PAN2</t>
  </si>
  <si>
    <t>YGL093W</t>
  </si>
  <si>
    <t>SPC105</t>
  </si>
  <si>
    <t>Protein required for accurate chromosome segregation, localizes to the nuclear side of the spindle pole body, forms a complex with Ydr532cp</t>
  </si>
  <si>
    <t>YGL092W</t>
  </si>
  <si>
    <t>NUP145</t>
  </si>
  <si>
    <t>Essential nucleoporin, catalyzes its own cleavage in vivo to generate a C-terminal fragment that assembles into the Nup84p subcomplex of the nuclear pore complex, and an N-terminal fragment of unknown function that is homologous to Nup100p</t>
  </si>
  <si>
    <t>YGL091C</t>
  </si>
  <si>
    <t>NBP35</t>
  </si>
  <si>
    <t>Essential nuclear protein, evolutionarily conserved putative ATPase, exhibits genetic interaction with CDC2 encoding the catalytic subunit of DNA polymerase delta</t>
  </si>
  <si>
    <t>YGL090W</t>
  </si>
  <si>
    <t>LIF1</t>
  </si>
  <si>
    <t>Protein involved in DNA double-strand break repair, physically interacts with DNA ligase 4 (Lig4p), homologous to mammalian XRCC4 protein</t>
  </si>
  <si>
    <t>YGL089C</t>
  </si>
  <si>
    <t>MF(ALPHA)2</t>
  </si>
  <si>
    <t>Mating pheromone alpha-factor, made by alpha cells, interacts with mating type a cells to induce cell cycle arrest and other responses leading to mating, also encoded by MF(ALPHA)1, which is more highly expressed than MF(ALPHA)2</t>
  </si>
  <si>
    <t>YGL087C</t>
  </si>
  <si>
    <t>MMS2</t>
  </si>
  <si>
    <t>Protein involved in error-free postreplication DNA repair, forms a heteromeric complex with Ubc13p that has a ubiquitin-conjugating activity, cooperates with chromatin-associated RING finger proteins, Rad18p and Rad5p</t>
  </si>
  <si>
    <t>YGL086W</t>
  </si>
  <si>
    <t>MAD1</t>
  </si>
  <si>
    <t>Coiled-coil protein involved in the spindle-assembly checkpoint, phosphorylated by Mps1p upon checkpoint activation which leads to inhibition of the activity of the anaphase promoting complex, forms a complex with Mad2p</t>
  </si>
  <si>
    <t>YGL085W</t>
  </si>
  <si>
    <t>YGL084C</t>
  </si>
  <si>
    <t>GUP1</t>
  </si>
  <si>
    <t>Plasma membrane protein with a possible role in proton symport of glycerol, member of the MBOAT family of putative membrane-bound O-acyltransferases</t>
  </si>
  <si>
    <t>YGL083W</t>
  </si>
  <si>
    <t>SCY1</t>
  </si>
  <si>
    <t>Putative kinase, suppressor of GTPase mutant, similar to bovine rhodopsin kinase</t>
  </si>
  <si>
    <t>YGL082W</t>
  </si>
  <si>
    <t>YGL081W</t>
  </si>
  <si>
    <t>YGL080W</t>
  </si>
  <si>
    <t>YGL079W</t>
  </si>
  <si>
    <t>YGL078C</t>
  </si>
  <si>
    <t>DBP3</t>
  </si>
  <si>
    <t>YGL077C</t>
  </si>
  <si>
    <t>HNM1</t>
  </si>
  <si>
    <t>Choline transporter (permease) that also controls the uptake of nitrogen mustard, expression is co-regulated with phospholipid biosynthetic genes and negatively regulated by choline and myo-inositol</t>
  </si>
  <si>
    <t>YGL076C</t>
  </si>
  <si>
    <t>Protein component of the large (60S) ribosomal subunit, nearly identical to Rpl7Ap and has similarity to E. coli L30 and rat L7 ribosomal proteins, contains a conserved C-terminal Nucleic acid Binding Domain (NDB2)  Protein component of the large (60S) ribosomal subunit, nearly identical to Rpl7Bp and has similarity to E. coli L30 and rat L7 ribosomal proteins, contains a conserved C-terminal Nucleic acid Binding Domain (NDB2)</t>
  </si>
  <si>
    <t>YGL075C</t>
  </si>
  <si>
    <t>MPS2</t>
  </si>
  <si>
    <t>Essential membrane protein localized at the nuclear envelope and spindle pole body (SPB), required for insertion of the newly duplicated SPB into the nuclear envelope, potentially phosphorylated by Cdc28p</t>
  </si>
  <si>
    <t>YGL073W</t>
  </si>
  <si>
    <t>HSF1</t>
  </si>
  <si>
    <t>Trimeric heat shock transcription factor, activates multiple genes in response to hyperthermia, recognizes variable heat shock elements (HSEs) consisting of inverted NGAAN repeats, constitutively DNA-bound, posttranslationally regulated</t>
  </si>
  <si>
    <t>YGL071W</t>
  </si>
  <si>
    <t>RCS1</t>
  </si>
  <si>
    <t>Transcription factor involved in iron utilization and homeostasis, binds the consensus site PyPuCACCCPu and activates the expression of target genes in response to changes in iron availability</t>
  </si>
  <si>
    <t>YGL070C</t>
  </si>
  <si>
    <t>RPB9</t>
  </si>
  <si>
    <t>RNA polymerase II subunit B12.6, contacts DNA, mutations affect transcription start site</t>
  </si>
  <si>
    <t>YGL068W</t>
  </si>
  <si>
    <t>MNP1</t>
  </si>
  <si>
    <t>Protein associated with the mitochondrial nucleoid, putative mitochondrial ribosomal protein with similarity to E. coli L7L12 ribosomal protein, required for normal respiratory growth</t>
  </si>
  <si>
    <t>YGL067W</t>
  </si>
  <si>
    <t>NPY1</t>
  </si>
  <si>
    <t>NADH diphosphatase (pyrophosphatase), hydrolyzes the pyrophosphate linkage in NADH and related nucleotides, localizes to peroxisomes</t>
  </si>
  <si>
    <t>Protein of unknown function, member of CDC48PAS1SEC18 family of ATPases, potentially phosphorylated by Cdc28p</t>
  </si>
  <si>
    <t>YGR268C</t>
  </si>
  <si>
    <t>HUA1</t>
  </si>
  <si>
    <t>Cytoplasmic protein containing a zinc finger domain with sequence similarity to that of Type I J-proteins, computational analysis of large-scale protein-protein interaction data suggests a possible role in actin patch assembly</t>
  </si>
  <si>
    <t>YGR267C</t>
  </si>
  <si>
    <t>FOL2</t>
  </si>
  <si>
    <t>GTP-cyclohydrolase I, catalyzes the first step in the folic acid biosynthetic pathway</t>
  </si>
  <si>
    <t>YGR266W</t>
  </si>
  <si>
    <t>probably contains a single transmembrane span</t>
  </si>
  <si>
    <t>YGR264C</t>
  </si>
  <si>
    <t>MES1</t>
  </si>
  <si>
    <t>Methionyl-tRNA synthetase, forms a complex with glutamyl-tRNA synthetase (Gus1p) and Arc1p, which increases the catalytic efficiency of both tRNA synthetases, also has a role in nuclear export of tRNAs</t>
  </si>
  <si>
    <t>YGR263C</t>
  </si>
  <si>
    <t>presents weak similarity to a putative &lt;i&gt;E. coli&lt;i&gt; protein defined as a lipase-like enzyme</t>
  </si>
  <si>
    <t>YGR262C</t>
  </si>
  <si>
    <t>BUD32</t>
  </si>
  <si>
    <t>YGR261C</t>
  </si>
  <si>
    <t>APL6</t>
  </si>
  <si>
    <t>Beta3-like subunit of the yeast AP-3 complex, functions in transport of alkaline phosphatase to the vacuole via the alternate pathway, exists in both cytosolic and peripherally associated membrane-bound pools</t>
  </si>
  <si>
    <t>YGR260W</t>
  </si>
  <si>
    <t>TNA1</t>
  </si>
  <si>
    <t>High affinity nicotinic acid plasma membrane permease, responsible for uptake of low levels of nicotinic acid, expression of the gene increases in the absence of extracellular nicotinic acid or para-aminobenzoate (PABA)</t>
  </si>
  <si>
    <t>YGR258C</t>
  </si>
  <si>
    <t>RAD2</t>
  </si>
  <si>
    <t>Single-stranded DNA endonuclease, cleaves single-stranded DNA during nucleotide excision repair to excise damaged DNA, subunit of Nucleotide Excision Repair Factor 3 (NEF3), homolog of human XPG protein</t>
  </si>
  <si>
    <t>YGR257C</t>
  </si>
  <si>
    <t>MTM1</t>
  </si>
  <si>
    <t>Mitochondrial protein of the mitochondrial carrier family, involved in activating mitochondrial Sod2p probably by facilitating insertion of an essential manganese cofactor</t>
  </si>
  <si>
    <t>YGR256W</t>
  </si>
  <si>
    <t>GND2</t>
  </si>
  <si>
    <t>6-phosphogluconate dehydrogenase (decarboxylating), catalyzes an NADPH regenerating reaction in the pentose phosphate pathway, required for growth on D-glucono-delta-lactone</t>
  </si>
  <si>
    <t>YGR255C</t>
  </si>
  <si>
    <t>COQ6</t>
  </si>
  <si>
    <t>PRM8</t>
  </si>
  <si>
    <t>Pheromone-regulated protein with 2 predicted transmembrane segments and an FF sequence, a motif involved in COPII binding, forms a complex with Prp9p in the ER</t>
  </si>
  <si>
    <t>YGL051W</t>
  </si>
  <si>
    <t>Putative integral membrane protein, involved in vesicle formation, forms complex with Mst28p, member of DUP240 gene family, binds COPI and COPII vesicles  Putative integral membrane protein, involved in vesicle formation, forms complex with Mst27p, member of DUP240 gene family, binds COPI and COPII vesicles</t>
  </si>
  <si>
    <t>YGL050W</t>
  </si>
  <si>
    <t>YGL049C</t>
  </si>
  <si>
    <t>TIF4632</t>
  </si>
  <si>
    <t>Translation initiation factor eIF4G, subunit of the mRNA cap-binding protein complex (eIF4F) that also contains eIF4E (Cdc33p), associates with the poly(A)-binding protein Pab1p, also interacts with eIF4A (Tif1p), homologous to Tif4631p</t>
  </si>
  <si>
    <t>YGL048C</t>
  </si>
  <si>
    <t>RPT6</t>
  </si>
  <si>
    <t>One of six ATPases of the 19S regulatory particle of the 26S proteasome involved in the degradation of ubiquitinated substrates, bound by ubiquitin-protein ligases Ubr1p and Ufd4p, localized mainly to the nucleus throughout the cell cycle</t>
  </si>
  <si>
    <t>YGL047W</t>
  </si>
  <si>
    <t>ALG13</t>
  </si>
  <si>
    <t>Essential protein required for the second step of dolichyl-linked oligosaccharide synthesis, involved in N-linked glycosylation, similar to bacterial glycosyltransferases</t>
  </si>
  <si>
    <t>YGL045W</t>
  </si>
  <si>
    <t>RIM8</t>
  </si>
  <si>
    <t>Protein of unknown function, involved in the proteolytic activation of Rim101p in response to alkaline pH, has similarity to A. nidulans PalF</t>
  </si>
  <si>
    <t>YGL044C</t>
  </si>
  <si>
    <t>RNA15</t>
  </si>
  <si>
    <t>Alpha subunit of heterooctameric phosphofructokinase involved in glycolysis, indispensable for anaerobic growth, activated by fructose-2,6-bisphosphate and AMP, mutation inhibits glucose induction of cell cycle-related genes</t>
  </si>
  <si>
    <t>YGR239C</t>
  </si>
  <si>
    <t>PEX21</t>
  </si>
  <si>
    <t>Part of a two-member peroxin family (Pex18p and Pex21p) specifically required for peroxisomal targeting of the Pex7p peroxisomal signal recognition factor and PTS2-type peroxisomal matrix proteins</t>
  </si>
  <si>
    <t>YGR238C</t>
  </si>
  <si>
    <t>KEL2</t>
  </si>
  <si>
    <t>Protein that functions in a complex with Kel1p to negatively regulate mitotic exit, interacts with Tem1p and Lte1p, localizes to regions of polarized growth, potential Cdc28p substrate</t>
  </si>
  <si>
    <t>YGR237C</t>
  </si>
  <si>
    <t>YGR236C</t>
  </si>
  <si>
    <t>SPG1</t>
  </si>
  <si>
    <t>YGR235C</t>
  </si>
  <si>
    <t>YGR234W</t>
  </si>
  <si>
    <t>YHB1</t>
  </si>
  <si>
    <t>Nitric oxide oxidoreductase, flavohemoglobin involved in nitric oxide detoxification, plays a role in the oxidative and nitrosative stress responses</t>
  </si>
  <si>
    <t>YGR233C</t>
  </si>
  <si>
    <t>PHO81</t>
  </si>
  <si>
    <t>Cyclin-dependent kinase (CDK) inhibitor, regulates Pho80p-Pho85p and Pcl7p-Pho85p cyclin-CDK complexes in response to phosphate levels, required for derepression of PHO5, transcriptionally regulated by Pho4p and Pho2p</t>
  </si>
  <si>
    <t>YGR232W</t>
  </si>
  <si>
    <t>NAS6</t>
  </si>
  <si>
    <t>Regulatory, non-ATPase subunit of the 26S proteasome, homolog of the human oncoprotein gankyrin, which interacts with the retinoblastoma tumor suppressor (Rb) and cyclin-dependent kinase 46</t>
  </si>
  <si>
    <t>YGR231C</t>
  </si>
  <si>
    <t>PHB2</t>
  </si>
  <si>
    <t>Subunit of the prohibitin complex (Phb1p-Phb2p), a 1.2 MDa ring-shaped inner mitochondrial membrane chaperone that stabilizes newly synthesized proteins, determinant of replicative life span, involved in mitochondrial segregation</t>
  </si>
  <si>
    <t>YGR230W</t>
  </si>
  <si>
    <t>BNS1</t>
  </si>
  <si>
    <t>Protein with some similarity to Spo12p, overexpression bypasses need for Spo12p, but not required for meiosis</t>
  </si>
  <si>
    <t>YGR229C</t>
  </si>
  <si>
    <t>SMI1</t>
  </si>
  <si>
    <t>Protein involved in the regulation of cell wall synthesis, proposed to be involved in coordinating cell cycle progression with cell wall integrity</t>
  </si>
  <si>
    <t>YGR227W</t>
  </si>
  <si>
    <t>DIE2</t>
  </si>
  <si>
    <t>Dolichyl-phosphoglucose-dependent glucosyltransferase of the ER, functions in the dolichol pathway that synthesizes the dolichol-linked oligosaccharide precursor for N-linked protein glycosylation, has a role in regulation of ITR1 and INO1</t>
  </si>
  <si>
    <t>YGR226C</t>
  </si>
  <si>
    <t>YGR225W</t>
  </si>
  <si>
    <t>AMA1</t>
  </si>
  <si>
    <t>Activator of meiotic anaphase promoting complex (APCC), Cdc20p family member, required for initiation of spore wall assembly, required for Clb1p degradation during meiosis</t>
  </si>
  <si>
    <t>YGR224W</t>
  </si>
  <si>
    <t>AZR1</t>
  </si>
  <si>
    <t>Plasma membrane transporter of the major facilitator superfamily, involved in resistance to azole drugs such as ketoconazole and fluconazole</t>
  </si>
  <si>
    <t>YGR223C</t>
  </si>
  <si>
    <t>HSV2</t>
  </si>
  <si>
    <t>Phosphatidylinositol 3,5-bisphosphate-binding protein, predicted to fold as a seven-bladed beta-propeller, displays punctate cytoplasmic localization</t>
  </si>
  <si>
    <t>YGR222W</t>
  </si>
  <si>
    <t>PET54</t>
  </si>
  <si>
    <t>Protein required for splicing of the COX1 intron AI5 beta, also specifically required, together with Pet122p and Pet494p, for translation of the COX3 mRNA, located in the mitochondrial inner membrane</t>
  </si>
  <si>
    <t>YGR221C</t>
  </si>
  <si>
    <t>TOS2</t>
  </si>
  <si>
    <t>Protein involved in localization of Cdc24p to the site of bud growth, may act as a membrane anchor, localizes to the bud neck and bud tip, potentially phosphorylated by Cdc28p</t>
  </si>
  <si>
    <t>YGR220C</t>
  </si>
  <si>
    <t>MRPL9</t>
  </si>
  <si>
    <t>YGR218W</t>
  </si>
  <si>
    <t>CRM1</t>
  </si>
  <si>
    <t>Major karyopherin, involved in export of proteins, RNAs, and ribosomal subunits from the nucleus</t>
  </si>
  <si>
    <t>YGR217W</t>
  </si>
  <si>
    <t>CCH1</t>
  </si>
  <si>
    <t>Voltage-gated calcium channel involved in calcium influx in response to mating pheromones</t>
  </si>
  <si>
    <t>YGR216C</t>
  </si>
  <si>
    <t>GPI1</t>
  </si>
  <si>
    <t>Membrane protein involved in the synthesis of N-acetylglucosaminyl phosphatidylinositol (GlcNAc-PI), the first intermediate in the synthesis of glycosylphosphatidylinositol (GPI) anchors, human and mouse GPI1p are functional homologs</t>
  </si>
  <si>
    <t>YGR215W</t>
  </si>
  <si>
    <t>RSM27</t>
  </si>
  <si>
    <t>YGR214W</t>
  </si>
  <si>
    <t>RPS0A</t>
  </si>
  <si>
    <t>Protein component of the small (40S) ribosomal subunit, nearly identical to Rps0Bp, required for maturation of 18S rRNA along with Rps0Bp, deletion of either RPS0 gene reduces growth rate, deletion of both genes is lethal</t>
  </si>
  <si>
    <t>YGR213C</t>
  </si>
  <si>
    <t>RTA1</t>
  </si>
  <si>
    <t>Protein involved in 7-aminocholesterol resistance, has seven potential membrane-spanning regions</t>
  </si>
  <si>
    <t>YGR212W</t>
  </si>
  <si>
    <t>SLI1</t>
  </si>
  <si>
    <t>N-acetyltransferase, confers resistance to the sphingolipid biosynthesis inhibitor myriocin (ISP-1) by converting it into N-acetyl-myriocin, co-operates with Ypk1p in mediating resistance to myriocin</t>
  </si>
  <si>
    <t>YGR211W</t>
  </si>
  <si>
    <t>ZPR1</t>
  </si>
  <si>
    <t>Essential protein with two zinc fingers, present in the nucleus of growing cells but relocates to the cytoplasm in starved cells via a process mediated by Cpr1p, binds to translation elongation factor eEF-1 (Tef1p)</t>
  </si>
  <si>
    <t>YGR210C</t>
  </si>
  <si>
    <t>YGR209C</t>
  </si>
  <si>
    <t>TRX2</t>
  </si>
  <si>
    <t>YGR208W</t>
  </si>
  <si>
    <t>SER2</t>
  </si>
  <si>
    <t>Phosphoserine phosphatase of the phosphoglycerate pathway, involved in serine and glycine biosynthesis, expression is regulated by the available nitrogen source</t>
  </si>
  <si>
    <t>YGR207C</t>
  </si>
  <si>
    <t>YGR206W</t>
  </si>
  <si>
    <t>YGR205W</t>
  </si>
  <si>
    <t>Protein that binds ATP, crystal structure resembles that of E.coli pantothenate kinase</t>
  </si>
  <si>
    <t>YGR204W</t>
  </si>
  <si>
    <t>ADE3</t>
  </si>
  <si>
    <t>Cytoplasmic trifunctional enzyme C1-tetrahydrofolate synthase, involved in single carbon metabolism and required for biosynthesis of purines, thymidylate, methionine, and histidine</t>
  </si>
  <si>
    <t>YGR204C-A</t>
  </si>
  <si>
    <t>YGR203W</t>
  </si>
  <si>
    <t>Probable protein tyrosine phosphatase of the CDC25-like phosphatase family, which includes Mih1p, potential ortholog S. pombe Ibp1 may regulate DNA replication</t>
  </si>
  <si>
    <t>YGR202C</t>
  </si>
  <si>
    <t>PCT1</t>
  </si>
  <si>
    <t>Cholinephosphate cytidylyltransferase, also known as CTP:phosphocholine cytidylyltransferase, rate-determining enzyme of the CDP-choline pathway for phosphatidylcholine synthesis, inhibited by Sec14p, activated upon lipid-binding</t>
  </si>
  <si>
    <t>YGR201C</t>
  </si>
  <si>
    <t>YGR200C</t>
  </si>
  <si>
    <t>ELP2</t>
  </si>
  <si>
    <t>Elongator protein, part of the six-subunit RNA polymerase II Elongator histone acetyltransferase complex, target of Kluyveromyces lactis zymocin</t>
  </si>
  <si>
    <t>YGR199W</t>
  </si>
  <si>
    <t>PMT6</t>
  </si>
  <si>
    <t>Protein O-mannosyltransferase, transfers mannose from dolichyl phosphate-D-mannose to protein serinethreonine residues of secretory proteins, reaction is essential for cell wall rigidity, member of a family of mannosyltransferases</t>
  </si>
  <si>
    <t>YGR198W</t>
  </si>
  <si>
    <t>Essential protein of unknown function, green fluorescent protein (GFP)-fusion protein localizes to the cytoplasm in a punctate pattern</t>
  </si>
  <si>
    <t>YGR197C</t>
  </si>
  <si>
    <t>SNG1</t>
  </si>
  <si>
    <t>Protein involved in nitrosoguanidine (MNNG) resistance, expression is regulated by transcription factors involved in multidrug resistance</t>
  </si>
  <si>
    <t>YGR196C</t>
  </si>
  <si>
    <t>FYV8</t>
  </si>
  <si>
    <t>YGR195W</t>
  </si>
  <si>
    <t>SKI6</t>
  </si>
  <si>
    <t>YGL007C-A</t>
  </si>
  <si>
    <t>YGL006W-A</t>
  </si>
  <si>
    <t>YGL006W</t>
  </si>
  <si>
    <t>PMC1</t>
  </si>
  <si>
    <t>Vacuolar Ca2+ ATPase involved in depleting cytosol of Ca2+ ions, prevents growth inhibition by activation of calcineurin in the presence of elevated concentrations of calcium</t>
  </si>
  <si>
    <t>YGL005C</t>
  </si>
  <si>
    <t>COG7</t>
  </si>
  <si>
    <t>YGL004C</t>
  </si>
  <si>
    <t>RPN14</t>
  </si>
  <si>
    <t>Putative non-ATPase subunit of the 19S regulatory particle of the 26S proteasome, localized to the cytoplasm</t>
  </si>
  <si>
    <t>YGL003C</t>
  </si>
  <si>
    <t>CDH1</t>
  </si>
  <si>
    <t>CDC20 homolog 1, protein required for Clb2 and Ase1 degradation</t>
  </si>
  <si>
    <t>YGL002W</t>
  </si>
  <si>
    <t>ERP6</t>
  </si>
  <si>
    <t>YGL001C</t>
  </si>
  <si>
    <t>ERG26</t>
  </si>
  <si>
    <t>C-3 sterol dehydrogenase, catalyzes the second of three steps required to remove two C-4 methyl groups from an intermediate in ergosterol biosynthesis</t>
  </si>
  <si>
    <t>YFR057W</t>
  </si>
  <si>
    <t>YFR055W</t>
  </si>
  <si>
    <t>YFR053C</t>
  </si>
  <si>
    <t>HXK1</t>
  </si>
  <si>
    <t>Hexokinase isoenzyme 1, a cytosolic protein that catalyzes phosphorylation of glucose during glucose metabolism, expression is highest during growth on non-glucose carbon sources, glucose-induced repression involves the hexokinase Hxk2p</t>
  </si>
  <si>
    <t>YFR052W</t>
  </si>
  <si>
    <t>RPN12</t>
  </si>
  <si>
    <t>Subunit of the 19S regulatory particle of the 26S proteasome lid, synthetically lethal with RPT1, which is an ATPase component of the 19S regulatory particle, physically interacts with Nob1p and Rpn3p</t>
  </si>
  <si>
    <t>YFR051C</t>
  </si>
  <si>
    <t>RET2</t>
  </si>
  <si>
    <t>Delta subunit of the coatomer complex (COPI), which coats Golgi-derived transport vesicles, involved in retrograde transport between Golgi and ER</t>
  </si>
  <si>
    <t>YFR050C</t>
  </si>
  <si>
    <t>PRE4</t>
  </si>
  <si>
    <t>YFR049W</t>
  </si>
  <si>
    <t>YMR31</t>
  </si>
  <si>
    <t>Mitochondrial ribosomal protein of the small subunit, has similarity to human mitochondrial ribosomal protein MRP-S36</t>
  </si>
  <si>
    <t>YFR048W</t>
  </si>
  <si>
    <t>RMD8</t>
  </si>
  <si>
    <t>Cytosolic protein required for sporulation</t>
  </si>
  <si>
    <t>YFR047C</t>
  </si>
  <si>
    <t>BNA6</t>
  </si>
  <si>
    <t>Quinolinate phosphoribosyl transferase, required for biosynthesis of nicotinic acid from tryptophan via kynurenine pathway</t>
  </si>
  <si>
    <t>YFR046C</t>
  </si>
  <si>
    <t>CNN1</t>
  </si>
  <si>
    <t>Kinetochore protein of unknown function, associated with the essential kinetochore proteins Nnf11p and Spc24p, phosphorylated by both Clb5-Cdk1 and, to a lesser extent, Clb2-Cdk1.</t>
  </si>
  <si>
    <t>YFR045W</t>
  </si>
  <si>
    <t>YFR044C</t>
  </si>
  <si>
    <t>YFR043C</t>
  </si>
  <si>
    <t>YFR042W</t>
  </si>
  <si>
    <t>YFR041C</t>
  </si>
  <si>
    <t>ERJ5</t>
  </si>
  <si>
    <t>Cytoplasmic tyrosyl-tRNA synthetase, class I aminoacyl-tRNA synthetase that aminoacylates tRNA(Tyr), required for cytoplasmic protein synthesis, interacts with positions 34 and 35 of the anticodon of tRNATyr</t>
  </si>
  <si>
    <t>YGR184C</t>
  </si>
  <si>
    <t>UBR1</t>
  </si>
  <si>
    <t>Ubiquitin-protein ligase (E3) that interacts with Rad6pUbc2p to ubiquitinate substrates of the N-end rule pathway, binds to the Rpn2p, Rpt1p, and Rpt6p proteins of the 19S particle of the 26S proteasome</t>
  </si>
  <si>
    <t>YGR183C</t>
  </si>
  <si>
    <t>QCR9</t>
  </si>
  <si>
    <t>Subunit 9 of the ubiquinol cytochrome-c reductase complex, which is a component of the mitochondrial inner membrane electron transport chain, required for electron transfer at the ubiquinol oxidase site of the complex</t>
  </si>
  <si>
    <t>YGR181W</t>
  </si>
  <si>
    <t>TIM13</t>
  </si>
  <si>
    <t>Translocase of the inner membrane, mitochondrial intermembrane space protein mediating import and insertion of polytopic inner membrane proteins, Subunit of mitochondrial protein import machinery</t>
  </si>
  <si>
    <t>YGR180C</t>
  </si>
  <si>
    <t>RNR4</t>
  </si>
  <si>
    <t>YGR179C</t>
  </si>
  <si>
    <t>OKP1</t>
  </si>
  <si>
    <t>YGR178C</t>
  </si>
  <si>
    <t>PBP1</t>
  </si>
  <si>
    <t>Protein interacting with poly(A)-binding protein Pab1p, likely involved in control of the extent of mRNA polyadenylation</t>
  </si>
  <si>
    <t>YGR177C</t>
  </si>
  <si>
    <t>ATF2</t>
  </si>
  <si>
    <t>Alcohol acetyltransferase, may play a role in steroid detoxification, forms volatile esters during fermentation, which is important in brewing</t>
  </si>
  <si>
    <t>YGR175C</t>
  </si>
  <si>
    <t>ERG1</t>
  </si>
  <si>
    <t>Squalene epoxidase, catalyzes the epoxidation of squalene to 2,3-oxidosqualene, plays an essential role in the ergosterol-biosynthesis pathway and is the specific target of the antifungal drug terbinafine</t>
  </si>
  <si>
    <t>YGR174W-A</t>
  </si>
  <si>
    <t>YGR174C</t>
  </si>
  <si>
    <t>CBP4</t>
  </si>
  <si>
    <t>Essential for the expression and activity of ubiquinol-cytochrome c reductase, ubiquinol--cytochrome-c reductase assembly factor</t>
  </si>
  <si>
    <t>YGR173W</t>
  </si>
  <si>
    <t>RBG2</t>
  </si>
  <si>
    <t>Protein phosphatase required for mitotic exit, located in the nucleolus until liberated by the FEAR and Mitotic Exit Network in anaphase, enabling it to act on key substrates to effect a decrease in CDKB-cyclin activity and mitotic exit</t>
  </si>
  <si>
    <t>YFR027W</t>
  </si>
  <si>
    <t>ECO1</t>
  </si>
  <si>
    <t>Acetyltransferase required for the establishment of sister chromatid cohesion during DNA replication, but not for its maintenance during G2 and M phases, also required for postreplicative double-strand break repair, interacts with Chl1p</t>
  </si>
  <si>
    <t>YFR026C</t>
  </si>
  <si>
    <t>YFR025C</t>
  </si>
  <si>
    <t>HIS2</t>
  </si>
  <si>
    <t>Histidinolphosphatase, catalyzes the eighth step in histidine biosynthesis, mutations cause histidine auxotrophy and sensitivity to Cu, Co, and Ni salts, transcription is regulated by general amino acid control</t>
  </si>
  <si>
    <t>YFR024C-A</t>
  </si>
  <si>
    <t>LSB3</t>
  </si>
  <si>
    <t>Protein containing a C-terminal SH3 domain, binds Las17p, which is a homolog of human Wiskott-Aldrich Syndrome protein involved in actin patch assembly and actin polymerization</t>
  </si>
  <si>
    <t>YFR023W</t>
  </si>
  <si>
    <t>PES4</t>
  </si>
  <si>
    <t>Poly(A) binding protein, suppressor of DNA polymerase epsilon mutation, similar to Mip6p</t>
  </si>
  <si>
    <t>YFR022W</t>
  </si>
  <si>
    <t>ROG3</t>
  </si>
  <si>
    <t>Protein that binds to Rsp5p, which is a hect-type ubiquitin ligase, via its 2 PY motifs, has similarity to Rod1p, mutation suppresses the temperature sensitivity of an mck1 rim11 double mutant</t>
  </si>
  <si>
    <t>YFR021W</t>
  </si>
  <si>
    <t>ATG18</t>
  </si>
  <si>
    <t>Phosphatidylinositol 3,5-bisphosphate-binding protein of the vacuolar membrane, predicted to fold as a seven-bladed beta-propeller, required for recycling of Atg9p through the pre-autophagosomal structure</t>
  </si>
  <si>
    <t>YFR019W</t>
  </si>
  <si>
    <t>FAB1</t>
  </si>
  <si>
    <t>1-phosphatidylinositol-3-phosphate 5-kinase, vacuolar membrane kinase that generates phosphatidylinositol (3,5)P2, which is involved in vacuolar sorting and homeostasis</t>
  </si>
  <si>
    <t>YFR018C</t>
  </si>
  <si>
    <t>YFR017C</t>
  </si>
  <si>
    <t>YFR016C</t>
  </si>
  <si>
    <t>YFR015C</t>
  </si>
  <si>
    <t>GSY1</t>
  </si>
  <si>
    <t>Glycogen synthase with similarity to Gsy2p, the more highly expressed yeast homolog, expression induced by glucose limitation, nitrogen starvation, environmental stress, and entry into stationary phase</t>
  </si>
  <si>
    <t>YFR014C</t>
  </si>
  <si>
    <t>CMK1</t>
  </si>
  <si>
    <t>Calmodulin-dependent protein kinase, may play a role in stress response, many CA++calmodulan dependent phosphorylation substrates demonstrated in vitro, amino acid sequence similar to Cmk2p and mammalian Cam Kinase II</t>
  </si>
  <si>
    <t>YFR013W</t>
  </si>
  <si>
    <t>IOC3</t>
  </si>
  <si>
    <t>Member of a complex (Isw1a) with Isw1p that has nucleosome-stimulated ATPase activity and represses transcription initiation by specific positioning of a promoter proximal dinucleosome, has homology to Esc8p, which is involved in silencing</t>
  </si>
  <si>
    <t>YFR012W-A</t>
  </si>
  <si>
    <t>YFR012W</t>
  </si>
  <si>
    <t>YFR011C</t>
  </si>
  <si>
    <t>YFR010W</t>
  </si>
  <si>
    <t>UBP6</t>
  </si>
  <si>
    <t>Ubiquitin-specific protease situated in the base subcomplex of the 26S proteasome, releases free ubiquitin from branched polyubiquitin chains, deletion causes hypersensitivity to cycloheximide and other toxic compounds</t>
  </si>
  <si>
    <t>YFR009W</t>
  </si>
  <si>
    <t>GCN20</t>
  </si>
  <si>
    <t>Positive regulator of the Gcn2p kinase activity, forms a complex with Gcn1p, proposed to stimulate Gcn2p activation by an uncharged tRNA</t>
  </si>
  <si>
    <t>YFR008W</t>
  </si>
  <si>
    <t>FAR7</t>
  </si>
  <si>
    <t>Protein involved in G1 cell cycle arrest in response to pheromone, in a pathway different from the Far1p-dependent pathway, interacts with Far3p, Far8p, Far9p, Far10p, and Far11p</t>
  </si>
  <si>
    <t>YFR007W</t>
  </si>
  <si>
    <t>YFR006W</t>
  </si>
  <si>
    <t>YFR005C</t>
  </si>
  <si>
    <t>SAD1</t>
  </si>
  <si>
    <t>Conserved zinc-finger domain protein involved in pre-mRNA splicing, required for assembly of U4 snRNA into the U4U6 particle</t>
  </si>
  <si>
    <t>YFR004W</t>
  </si>
  <si>
    <t>RPN11</t>
  </si>
  <si>
    <t>Metalloprotease subunit of the 19S regulatory particle of the 26S proteasome lid, couples the deubiquitination and degradation of proteasome substrates</t>
  </si>
  <si>
    <t>YFR003C</t>
  </si>
  <si>
    <t>YPI1</t>
  </si>
  <si>
    <t>Inhibitor of the type I protein phosphatase Glc7p, which is involved in regulation of a variety of metabolic processes, overproduction causes decreased cellular content of glycogen</t>
  </si>
  <si>
    <t>YFR002W</t>
  </si>
  <si>
    <t>NIC96</t>
  </si>
  <si>
    <t>Component of the nuclear pore complex, required for nuclear pore formation, forms a subcomplex with Nsp1p, Nup57p, and Nup49p</t>
  </si>
  <si>
    <t>YFR001W</t>
  </si>
  <si>
    <t>LOC1</t>
  </si>
  <si>
    <t>Nuclear protein involved in asymmetric localization of ASH1 mRNA, binds double-stranded RNA in vitro, constituent of 66S pre-ribosomal particles</t>
  </si>
  <si>
    <t>YFL068W</t>
  </si>
  <si>
    <t>YFL067W</t>
  </si>
  <si>
    <t>YFL065C</t>
  </si>
  <si>
    <t>Hypothetical protein  Helicase encoded by the Y element of subtelomeric regions, highly expressed in the mutants lacking the telomerase component TLC1, potentially phosphorylated by Cdc28p  Hypothetical protein  Hypothetical protein  similar to other subtelomerically-encoded proteins  Hypothetical protein  Helicase encoded by the Y element of subtelomeric regions, highly expressed in the mutants lacking the telomerase component TLC1, potentially phosphorylated by Cdc28p  Helicase encoded by the Y element of subtelomeric regions, highly expressed in the mutants lacking the telomerase component TLC1, potentially phosphorylated by Cdc28p  Hypothetical protein  Hypothetical protein  Hypothetical protein  Hypothetical protein  Hypothetical protein  Hypothetical protein  Helicase encoded by the Y element of subtelomeric regions, highly expressed in the mutants lacking the telomerase component TLC1, potentially phosphorylated by Cdc28p  Hypothetical protein  Hypothetical protein  Helicase encoded by the Y element of subtelomeric regions, highly expressed in the mutants lacking the telomerase component TLC1, potentially phosphorylated by Cdc28p  Hypothetical protein  Hypothetical protein  Helicase encoded by the Y element of subtelomeric regions, highly expressed in the mutants lacking the telomerase component TLC1, potentially phosphorylated by Cdc28p  Hypothetical protein</t>
  </si>
  <si>
    <t>YFL064C</t>
  </si>
  <si>
    <t>YFL062W</t>
  </si>
  <si>
    <t>Protein of unknown function, member of a family of conserved, often subtelomerically-encoded proteins  Protein of unknown function, member of a family of conserved, often subtelomerically-encoded proteins  Protein of unknown function, member of a family of conserved, often subtelomerically-encoded proteins</t>
  </si>
  <si>
    <t>YFL061W</t>
  </si>
  <si>
    <t>YFL060C</t>
  </si>
  <si>
    <t>Protein serinethreonine phosphatase with similarity to human phosphatase PP5, present in both the nucleus and cytoplasm, expressed during logarithmic growth</t>
  </si>
  <si>
    <t>YGR122W</t>
  </si>
  <si>
    <t>YGR121W-A</t>
  </si>
  <si>
    <t>YGR121C</t>
  </si>
  <si>
    <t>MEP1</t>
  </si>
  <si>
    <t>Ammonium permease, belongs to a ubiquitous family of cytoplasmic membrane proteins that transport only ammonium (NH4+), expression is under the nitrogen catabolite repression regulation</t>
  </si>
  <si>
    <t>YGR120C</t>
  </si>
  <si>
    <t>COG2</t>
  </si>
  <si>
    <t>YGR119C</t>
  </si>
  <si>
    <t>NUP57</t>
  </si>
  <si>
    <t>Essential subunit of the nuclear pore complex (NPC), functions as the organizing center of an NPC subcomplex containing Nsp1p, Nup49p, Nup57p, and Nic96p</t>
  </si>
  <si>
    <t>YGR118W</t>
  </si>
  <si>
    <t>YGR117C</t>
  </si>
  <si>
    <t>YGR116W</t>
  </si>
  <si>
    <t>SPT6</t>
  </si>
  <si>
    <t>Essential protein that interacts with histones and is involved in nucleosome disassembly and reassembly during transcription elongation</t>
  </si>
  <si>
    <t>YGR113W</t>
  </si>
  <si>
    <t>DAM1</t>
  </si>
  <si>
    <t>Component of the DASH complex, localized to intranuclear spindles and spindle pole bodies, interacts with Duo1p and Mps1p, key Ipl1p target for regulating kinetochore-microtubule attachments</t>
  </si>
  <si>
    <t>YGR112W</t>
  </si>
  <si>
    <t>SHY1</t>
  </si>
  <si>
    <t>Mitochondrial inner membrane protein required for normal respiration, possible chaperone involved in assembly of cytochrome c oxidase, similar to SURF1 from mammals, chickens, and D. melanogaster</t>
  </si>
  <si>
    <t>YGR111W</t>
  </si>
  <si>
    <t>YGR110W</t>
  </si>
  <si>
    <t>YGR109W-B</t>
  </si>
  <si>
    <t>YGR109W-A</t>
  </si>
  <si>
    <t>YGR109C</t>
  </si>
  <si>
    <t>CLB6</t>
  </si>
  <si>
    <t>B-type cyclin involved in DNA replication during S phase, activates Cdc28p to promote initiation of DNA synthesis, functions in formation of mitotic spindles along with Clb3p and Clb4p, most abundant during late G1</t>
  </si>
  <si>
    <t>YGR108W</t>
  </si>
  <si>
    <t>CLB1</t>
  </si>
  <si>
    <t>YGR106C</t>
  </si>
  <si>
    <t>YGR105W</t>
  </si>
  <si>
    <t>VMA21</t>
  </si>
  <si>
    <t>YGR104C</t>
  </si>
  <si>
    <t>SRB5</t>
  </si>
  <si>
    <t>subunit of RNA polymerase II holoenzymemediator complex</t>
  </si>
  <si>
    <t>YGR103W</t>
  </si>
  <si>
    <t>NOP7</t>
  </si>
  <si>
    <t>Nucleolar protein involved in rRNA processing and 60S ribosomal subunit biogenesis, constituent of several different pre-ribosomal particles</t>
  </si>
  <si>
    <t>YGR102C</t>
  </si>
  <si>
    <t>YGR101W</t>
  </si>
  <si>
    <t>PCP1</t>
  </si>
  <si>
    <t>Mitochondrial serine protease required for the processing of various mitochondrial proteins and maintenance of mitochondrial DNA and morphology, belongs to the rhomboid-GlpG superfamily of intramembrane peptidases</t>
  </si>
  <si>
    <t>YGR100W</t>
  </si>
  <si>
    <t>MDR1</t>
  </si>
  <si>
    <t>Phosphomannomutase, involved in synthesis of GDP-mannose and dolichol-phosphate-mannose, required for folding and glycosylation of secretory proteins in the ER lumen</t>
  </si>
  <si>
    <t>YFL044C</t>
  </si>
  <si>
    <t>Protein of unknown function, proposed to act as a deubiquitinating (DUB) enzyme andor transcription factor, contains a C2H2-type DNA-binding Zn finger domain, has similarity to the ovarian tumor (OTU) superfamily of cysteine proteases</t>
  </si>
  <si>
    <t>YFL042C</t>
  </si>
  <si>
    <t>Due to a sequence change (deletion of G at 46151), YFL043C is now part of YFL042C.</t>
  </si>
  <si>
    <t>YFL041W-A</t>
  </si>
  <si>
    <t>YFL041W</t>
  </si>
  <si>
    <t>FET5</t>
  </si>
  <si>
    <t>Multicopper oxidase, integral membrane protein with similarity to Fet3p, may have a role in iron transport</t>
  </si>
  <si>
    <t>YFL040W</t>
  </si>
  <si>
    <t>YFL039C</t>
  </si>
  <si>
    <t>ACT1</t>
  </si>
  <si>
    <t>Actin, structural protein involved in cell polarization, endocytosis, and other cytoskeletal functions</t>
  </si>
  <si>
    <t>YFL038C</t>
  </si>
  <si>
    <t>YPT1</t>
  </si>
  <si>
    <t>Ras-like small GTPase, involved in the ER-to-Golgi step of the secretory pathway, complex formation with the Rab escort protein Mrs6p is required for prenylation of Ypt1p by protein geranylgeranyltransferase type II (Bet2p-Bet4p)</t>
  </si>
  <si>
    <t>YFL037W</t>
  </si>
  <si>
    <t>TUB2</t>
  </si>
  <si>
    <t>Beta-tubulin, associates with alpha-tubulin (Tub1p and Tub3p) to form tubulin dimer, which polymerizes to form microtubules</t>
  </si>
  <si>
    <t>YFL036W</t>
  </si>
  <si>
    <t>RPO41</t>
  </si>
  <si>
    <t>Mitochondrial RNA polymerase, single subunit enzyme similar to those of T3 and T7 bacteriophages, requires a specificity subunit encoded by MTF1 for promoter recognition</t>
  </si>
  <si>
    <t>YFL034W</t>
  </si>
  <si>
    <t>Possible integral membrane protein that interacts with Rpp0p, which is a component of the ribosomal stalk</t>
  </si>
  <si>
    <t>YFL034C-B</t>
  </si>
  <si>
    <t>MOB2</t>
  </si>
  <si>
    <t>Component of the RAM signaling network, localizes and activates the Ace2p in the daughter cell nucleus to direct daughter cell-specific transcription of several genes involved in cell separation, Mob1p-like protein</t>
  </si>
  <si>
    <t>YFL034C-A</t>
  </si>
  <si>
    <t>RPL22B</t>
  </si>
  <si>
    <t>Protein component of the large (60S) ribosomal subunit, has similarity to Rpl22Ap and to rat L22 ribosomal protein</t>
  </si>
  <si>
    <t>YFL033C</t>
  </si>
  <si>
    <t>RIM15</t>
  </si>
  <si>
    <t>YGR086C</t>
  </si>
  <si>
    <t>PIL1</t>
  </si>
  <si>
    <t>Long chain base-responsive inhibitor of protein kinases Phk1p and Phk2p, acts along with Lsp1p to down-regulate heat stress resistance via regulation of the Pkc1p and Ypk1p pathways, phosphorylated by Phk1p and Phk2p</t>
  </si>
  <si>
    <t>YGR085C</t>
  </si>
  <si>
    <t>YGR084C</t>
  </si>
  <si>
    <t>MRP13</t>
  </si>
  <si>
    <t>YGR083C</t>
  </si>
  <si>
    <t>GCD2</t>
  </si>
  <si>
    <t>Delta subunit of the translation initiation factor eIF2B, the guanine-nucleotide exchange factor for eIF2, activity subsequently regulated by phosphorylated eIF2, first identified as a negative regulator of GCN4 expression</t>
  </si>
  <si>
    <t>YGR082W</t>
  </si>
  <si>
    <t>TOM20</t>
  </si>
  <si>
    <t>Translocase of Outer Mitochondrial membrane, 20 kDa mitochondrial outer membrane protein import receptor</t>
  </si>
  <si>
    <t>YGR081C</t>
  </si>
  <si>
    <t>SLX9</t>
  </si>
  <si>
    <t>Protein of unknown function, deletion mutant has synthetic fitness defect with an sgs1 deletion mutant</t>
  </si>
  <si>
    <t>YGR080W</t>
  </si>
  <si>
    <t>TWF1</t>
  </si>
  <si>
    <t>Twinfilin, highly conserved actin monomer-sequestering protein involved in regulation of the cortical actin cytoskeleton, composed of two cofilin-like regions, localizes actin monomers to sites of rapid filament assembly</t>
  </si>
  <si>
    <t>YGR079W</t>
  </si>
  <si>
    <t>YGR078C</t>
  </si>
  <si>
    <t>PAC10</t>
  </si>
  <si>
    <t>Part of the heteromeric co-chaperone GimCprefoldin complex, which promotes efficient protein folding</t>
  </si>
  <si>
    <t>YGR077C</t>
  </si>
  <si>
    <t>PEX8</t>
  </si>
  <si>
    <t>Intraperoxisomal organizer of the peroxisomal import machinery, tightly associated with the lumenal face of the peroxisomal membrane, essential for peroxisome biogenesis, binds PTS1-signal receptor Pex5p</t>
  </si>
  <si>
    <t>YGR076C</t>
  </si>
  <si>
    <t>MRPL25</t>
  </si>
  <si>
    <t>YGR075C</t>
  </si>
  <si>
    <t>PRP38</t>
  </si>
  <si>
    <t>Unique component of the U4U6.U5 tri-snRNP particle, dispensable for spliceosome assembly, but required for conformational changes which lead to catalytic activation of the spliceosome</t>
  </si>
  <si>
    <t>YGR074W</t>
  </si>
  <si>
    <t>SMD1</t>
  </si>
  <si>
    <t>Homolog of human core snRNP protein D1, involved in snRNA maturation, U6 snRNP protein</t>
  </si>
  <si>
    <t>YGR072W</t>
  </si>
  <si>
    <t>UPF3</t>
  </si>
  <si>
    <t>Component of the nonsense-mediated mRNA decay (NMD) pathway, along with Nam7p and Nmd2p, involved in decay of mRNA containing nonsense codons</t>
  </si>
  <si>
    <t>YGR071C</t>
  </si>
  <si>
    <t>YGR070W</t>
  </si>
  <si>
    <t>ROM1</t>
  </si>
  <si>
    <t>GDPGTP exchange protein (GEP) for Rho1p, mutations are synthetically lethal with mutations in rom2, which also encodes a GEP</t>
  </si>
  <si>
    <t>YGR068C</t>
  </si>
  <si>
    <t>YGR067C</t>
  </si>
  <si>
    <t>Hypothetical protein, has similarity to Adr1p DNA-binding domain</t>
  </si>
  <si>
    <t>YGR066C</t>
  </si>
  <si>
    <t>YGR065C</t>
  </si>
  <si>
    <t>VHT1</t>
  </si>
  <si>
    <t>High-affinity plasma membrane H+-biotin (vitamin H) symporter, mutation results in fatty acid auxotrophy, 12 transmembrane domain containing major facilitator subfamily member, mRNA levels negatively regulated by iron deprivation and biotin</t>
  </si>
  <si>
    <t>YGR063C</t>
  </si>
  <si>
    <t>SPT4</t>
  </si>
  <si>
    <t>Protein that forms a complex with Spt5p and mediates both activation and inhibition of transcription elongation, and plays a role in pre-mRNA processing, in addition, Spt4p is involved in kinetochore function and gene silencing</t>
  </si>
  <si>
    <t>YGR062C</t>
  </si>
  <si>
    <t>COX18</t>
  </si>
  <si>
    <t>Mitochondrial inner membrane protein, required for export of the Cox2p C terminus from the mitochondrial matrix to the intermembrane space during its assembly into cytochrome c oxidase, similar to Oxa2p of N. crassa</t>
  </si>
  <si>
    <t>YGR061C</t>
  </si>
  <si>
    <t>ADE6</t>
  </si>
  <si>
    <t>Formylglycinamidine-ribonucleotide (FGAM)-synthetase, catalyzes a step in the de novo purine nucleotide biosynthetic pathway</t>
  </si>
  <si>
    <t>YGR060W</t>
  </si>
  <si>
    <t>ERG25</t>
  </si>
  <si>
    <t>C-4 methyl sterol oxidase, catalyzes the first of three steps required to remove two C-4 methyl groups from an intermediate in ergosterol biosynthesis, mutants accumulate the sterol intermediate 4,4-dimethylzymosterol</t>
  </si>
  <si>
    <t>YGR059W</t>
  </si>
  <si>
    <t>SPR3</t>
  </si>
  <si>
    <t>a sporulation-specific homologue of the yeast CDC3101112 family of bud neck microfilament genes, regulated by ABFI, septin protein involved in sporulation</t>
  </si>
  <si>
    <t>YGR058W</t>
  </si>
  <si>
    <t>YGR057C</t>
  </si>
  <si>
    <t>LST7</t>
  </si>
  <si>
    <t>YGR056W</t>
  </si>
  <si>
    <t>RSC1</t>
  </si>
  <si>
    <t>YGR055W</t>
  </si>
  <si>
    <t>MUP1</t>
  </si>
  <si>
    <t>High affinity methionine permease, integral membrane protein with 13 putative membrane-spanning regions, also involved in cysteine uptake</t>
  </si>
  <si>
    <t>YGR054W</t>
  </si>
  <si>
    <t>yeast homolog of mammalian eIF2A</t>
  </si>
  <si>
    <t>YGR053C</t>
  </si>
  <si>
    <t>YGR052W</t>
  </si>
  <si>
    <t>YGR049W</t>
  </si>
  <si>
    <t>SCM4</t>
  </si>
  <si>
    <t>Putative hexose transporter, expressed at low levels and expression is repressed by glucose</t>
  </si>
  <si>
    <t>YFL010W-A</t>
  </si>
  <si>
    <t>AUA1</t>
  </si>
  <si>
    <t>Protein required for the negative regulation by ammonia of Gap1p, which is a general amino acid permease</t>
  </si>
  <si>
    <t>YFL010C</t>
  </si>
  <si>
    <t>WWM1</t>
  </si>
  <si>
    <t>WW domain containing protein of unknown function, binds to Mca1p, a caspase-related protease that regulates H2O2-induced apoptosis, overexpression causes Gi phase growth arrest and clonal death that is suppressed by overexpression of MCA1</t>
  </si>
  <si>
    <t>YFL009W</t>
  </si>
  <si>
    <t>CDC4</t>
  </si>
  <si>
    <t>F-box protein required for G1S and G2M transition, associates with Skp1p and Cdc53p to form a complex, SCFCdc4, which acts as ubiquitin-protein ligase directing ubiquitination of the phosphorylated CDK inhibitor Sic1p</t>
  </si>
  <si>
    <t>YFL008W</t>
  </si>
  <si>
    <t>SMC1</t>
  </si>
  <si>
    <t>Subunit of the multiprotein cohesin complex, essential protein involved in chromosome segregation and in double-strand DNA break repair, SMC chromosomal ATPase family member, binds DNA with a preference for DNA with secondary structure</t>
  </si>
  <si>
    <t>YFL007W</t>
  </si>
  <si>
    <t>BLM3</t>
  </si>
  <si>
    <t>Protein involved in assembly of proteasomal core particles in the nucleus, required for normal resistance to bleomycin, may be involved in protection against oxidative damage</t>
  </si>
  <si>
    <t>YFL005W</t>
  </si>
  <si>
    <t>SEC4</t>
  </si>
  <si>
    <t>Secretory vesicle-associated Rab GTPase essential for exocytosis, associates with the exocyst component Sec15p and may regulate polarized delivery of transport vesicles to the exocyst at the plasma membrane</t>
  </si>
  <si>
    <t>YFL004W</t>
  </si>
  <si>
    <t>VTC2</t>
  </si>
  <si>
    <t>Vacuolar membrane protein involved in vacuolar polyphosphate accumulation, functions as a regulator of vacuolar H+-ATPase activity and vacuolar transporter chaperones, involved in protein localization and non-autophagic vacuolar fusion</t>
  </si>
  <si>
    <t>YFL003C</t>
  </si>
  <si>
    <t>MSH4</t>
  </si>
  <si>
    <t>Protein involved in meiotic recombination, required for normal levels of crossing over, colocalizes with Zip2p to discrete foci on meiotic chromosomes, has homology to bacterial MutS protein</t>
  </si>
  <si>
    <t>YFL002C</t>
  </si>
  <si>
    <t>SPB4</t>
  </si>
  <si>
    <t>Putative ATP-dependent RNA helicase, nucleolar protein required for synthesis of 60S ribosomal subunits at a late step in the pathway, sediments with 66S pre-ribosomes in sucrose gradients</t>
  </si>
  <si>
    <t>YFL001W</t>
  </si>
  <si>
    <t>DEG1</t>
  </si>
  <si>
    <t>Non-essential tRNA:pseudouridine synthase, introduces pseudouridines at position 38 or 39 in tRNA, important for maintenance of translation efficiency and normal cell growth, localizes to both the nucleus and cytoplasm</t>
  </si>
  <si>
    <t>YER188C-A</t>
  </si>
  <si>
    <t>Identified by gene-trapping, microarray-based expression analysis, and genome-wide homology searching  Identified by gene-trapping, microarray-based expression analysis, and genome-wide homology searching    Identified by fungal homology and RT-PCR</t>
  </si>
  <si>
    <t>YER187W</t>
  </si>
  <si>
    <t>YER186C</t>
  </si>
  <si>
    <t>YER185W</t>
  </si>
  <si>
    <t>YER184C</t>
  </si>
  <si>
    <t>YER183C</t>
  </si>
  <si>
    <t>FAU1</t>
  </si>
  <si>
    <t>5,10-methenyltetrahydrofolate synthetase, involved in folic acid biosynthesis</t>
  </si>
  <si>
    <t>YER182W</t>
  </si>
  <si>
    <t>YER180C-A</t>
  </si>
  <si>
    <t>SLO1</t>
  </si>
  <si>
    <t>SCOCO like ORF</t>
  </si>
  <si>
    <t>YER180C</t>
  </si>
  <si>
    <t>ISC10</t>
  </si>
  <si>
    <t>Protein required for sporulation, transcript is induced 7.5 hours after induction of meiosis, expected to play significant role in the formation of reproductive cells</t>
  </si>
  <si>
    <t>YER179W</t>
  </si>
  <si>
    <t>DMC1</t>
  </si>
  <si>
    <t>Meiosis-specific protein required for repair of double-strand breaks and pairing between homologous chromosomes, homolog of Rad51p and the bacterial RecA protein</t>
  </si>
  <si>
    <t>YER178W</t>
  </si>
  <si>
    <t>PDA1</t>
  </si>
  <si>
    <t>E1 alpha subunit of the pyruvate dehydrogenase (PDH) complex, catalyzes the direct oxidative decarboxylation of pyruvate to acetyl-CoA, regulated by glucose</t>
  </si>
  <si>
    <t>YER177W</t>
  </si>
  <si>
    <t>BMH1</t>
  </si>
  <si>
    <t>14-3-3 protein, major isoform, binds proteins and DNA, involved in regulation of many processes including exocytosis and vesicle transport, RasMAPK signaling during pseudohyphal development, rapamycin-sensitive signaling, and others</t>
  </si>
  <si>
    <t>YER176W</t>
  </si>
  <si>
    <t>ECM32</t>
  </si>
  <si>
    <t>DNA dependent ATPaseDNA helicase belonging to the Dna2p- and Nam7p-like family of helicases that is involved in modulating translation termination, interacts with the translation termination factors, localized to polysomes</t>
  </si>
  <si>
    <t>YER175W-A</t>
  </si>
  <si>
    <t>YER175C</t>
  </si>
  <si>
    <t>TMT1</t>
  </si>
  <si>
    <t>Trans-aconitate methyltransferase, cytosolic enzyme that catalyzes the methyl esterification of 3-isopropylmalate, an intermediate of the leucine biosynthetic pathway, and trans-aconitate, which inhibits the citric acid cycle</t>
  </si>
  <si>
    <t>tRNAHis guanylyltransferase, adds a guanosine residue to the 5 end of tRNAHis after transcription and RNase P cleavage, couples nuclear division and migration to cell budding and cytokinesis, essential enzyme conserved among eukaryotes</t>
  </si>
  <si>
    <t>YGR023W</t>
  </si>
  <si>
    <t>MTL1</t>
  </si>
  <si>
    <t>Protein with both structural and functional similarity to Mid2p, which is a plasma membrane sensor required for cell integrity signaling during pheromone-induced morphogenesis, suppresses rgd1 null mutations</t>
  </si>
  <si>
    <t>YGR021W</t>
  </si>
  <si>
    <t>YGR020C</t>
  </si>
  <si>
    <t>VMA7</t>
  </si>
  <si>
    <t>Subunit F of the eight-subunit V1 peripheral membrane domain of vacuolar H+-ATPase (V-ATPase), an electrogenic proton pump found throughout the endomembrane system, required for the V1 domain to assemble onto the vacuolar membrane</t>
  </si>
  <si>
    <t>YGR019W</t>
  </si>
  <si>
    <t>UGA1</t>
  </si>
  <si>
    <t>Gamma-aminobutyrate (GABA) transaminase (4-aminobutyrate aminotransferase) involved in the 4-aminobutyrate and glutamate degradation pathways, required for normal oxidative stress tolerance and nitrogen utilization</t>
  </si>
  <si>
    <t>YGR017W</t>
  </si>
  <si>
    <t>YGR016W</t>
  </si>
  <si>
    <t>YGR015C</t>
  </si>
  <si>
    <t>YGR014W</t>
  </si>
  <si>
    <t>MSB2</t>
  </si>
  <si>
    <t>Mucin family member at the head of the Cdc42p- and MAP kinase-dependent filamentous growth signaling pathway, also functions as an osmosensor in parallel to the Sho1p-mediated pathway, potential Cdc28p substrate</t>
  </si>
  <si>
    <t>YGR013W</t>
  </si>
  <si>
    <t>SNU71</t>
  </si>
  <si>
    <t>associated with U1 snRNP (no counterpart in mammalian U1 snRNP, contains few SR-, RE- and RD-dipeptides, U1 snRNP protein</t>
  </si>
  <si>
    <t>YGR012W</t>
  </si>
  <si>
    <t>YGR010W</t>
  </si>
  <si>
    <t>NMA2</t>
  </si>
  <si>
    <t>YGR009C</t>
  </si>
  <si>
    <t>SEC9</t>
  </si>
  <si>
    <t>t-SNARE protein important for fusion of secretory vesicles with the plasma membrane, similar to but not functionally redundant with Spo20p, SNAP-25 homolog</t>
  </si>
  <si>
    <t>YGR008C</t>
  </si>
  <si>
    <t>STF2</t>
  </si>
  <si>
    <t>Protein involved in regulation of the mitochondrial F1F0-ATP synthase, Stf1p and Stf2p act as stabilizing factors that enhance inhibitory action of the Inh1p protein</t>
  </si>
  <si>
    <t>YGR007W</t>
  </si>
  <si>
    <t>MUQ1</t>
  </si>
  <si>
    <t>Poly(A) binding protein, part of the 3-end RNA-processing complex, mediates interactions between the 5 cap structure and the 3 mRNA poly(A) tail, involved in control of poly(A) tail length, interacts with translation factor eIF-4G</t>
  </si>
  <si>
    <t>YER164W</t>
  </si>
  <si>
    <t>CHD1</t>
  </si>
  <si>
    <t>Sole S. cerevisiae member of CHD gene family containing Chromodomain, Helicase domain, and DNA-binding domain, transcriptional regulator</t>
  </si>
  <si>
    <t>YER163C</t>
  </si>
  <si>
    <t>YER162C</t>
  </si>
  <si>
    <t>RAD4</t>
  </si>
  <si>
    <t>Protein that recognizes and binds damaged DNA (with Rad23p) during nucleotide excision repair, subunit of Nuclear Excision Repair Factor 2 (NEF2), homolog of human XPC protein</t>
  </si>
  <si>
    <t>YER161C</t>
  </si>
  <si>
    <t>SPT2</t>
  </si>
  <si>
    <t>Protein involved in negative regulation of transcription, exhibits regulated interactions with both histones and SWI-SNF components, has similarity to mammalian HMG1 proteins</t>
  </si>
  <si>
    <t>YER159C</t>
  </si>
  <si>
    <t>BUR6</t>
  </si>
  <si>
    <t>Protein that forms a heterodimeric histone-fold NC2 general transcription regulator complex with Ydr1p that binds to TBP and represses RNA pol II transcription during assembly of the preinitiation complex, homologous to human NC2alpha</t>
  </si>
  <si>
    <t>YER158C</t>
  </si>
  <si>
    <t>Protein of unknown function, has similarity to Afr1p, potentially phosphorylated by Cdc28p</t>
  </si>
  <si>
    <t>YER157W</t>
  </si>
  <si>
    <t>COG3</t>
  </si>
  <si>
    <t>YER156C</t>
  </si>
  <si>
    <t>YER155C</t>
  </si>
  <si>
    <t>BEM2</t>
  </si>
  <si>
    <t>Rho GTPase activating protein (RhoGAP) involved in the control of cytoskeleton organization and cellular morphogenesis, required for bud emergence</t>
  </si>
  <si>
    <t>YER154W</t>
  </si>
  <si>
    <t>OXA1</t>
  </si>
  <si>
    <t>Translocase of the mitochondrial inner membrane, mediates the insertion of both mitochondrial- and nuclear-encoded proteins from the matrix into the inner membrane, interacts with mitochondrial ribosomes, null is respiratory deficient</t>
  </si>
  <si>
    <t>YER153C</t>
  </si>
  <si>
    <t>PET122</t>
  </si>
  <si>
    <t>Specific translational activator for the COX3 mRNA that acts together with Pet54p and Pet494p, located in the mitochondrial inner membrane</t>
  </si>
  <si>
    <t>YER152C</t>
  </si>
  <si>
    <t>YER151C</t>
  </si>
  <si>
    <t>UBP3</t>
  </si>
  <si>
    <t>High-affinity zinc transporter of the plasma membrane, responsible for the majority of zinc uptake, transcription is induced under low-zinc conditions by the Zap1p transcription factor</t>
  </si>
  <si>
    <t>YGL254W</t>
  </si>
  <si>
    <t>FZF1</t>
  </si>
  <si>
    <t>Transcription factor involved in sulfite metabolism, sole identified regulatory target is SSU1, overexpression suppresses sulfite-sensitivity of many unrelated mutants due to hyperactivation of SSU1, contains five zinc fingers</t>
  </si>
  <si>
    <t>YGL253W</t>
  </si>
  <si>
    <t>HXK2</t>
  </si>
  <si>
    <t>Hexokinase isoenzyme 2 that catalyzes phosphorylation of glucose in the cytosol, predominant hexokinase during growth on glucose, functions in the nucleus to repress expression of HXK1 and GLK1 and to induce expression of its own gene</t>
  </si>
  <si>
    <t>YGL252C</t>
  </si>
  <si>
    <t>RTG2</t>
  </si>
  <si>
    <t>Sensor of mitochondrial dysfunction, regulates the subcellular location of Rtg1p and Rtg3p, transcriptional activators of the retrograde (RTG) and TOR pathways, Rtg2p is inhibited by the phosphorylated form of Mks1p</t>
  </si>
  <si>
    <t>YGL251C</t>
  </si>
  <si>
    <t>HFM1</t>
  </si>
  <si>
    <t>Meiosis specific DNA helicase involved in the conversion of double-stranded breaks to later recombination intermediates and in crossover control, catalyzes the unwinding of Holliday junctions, has ssDNA and dsDNA stimulated ATPase activity</t>
  </si>
  <si>
    <t>YGL250W</t>
  </si>
  <si>
    <t>YGL249W</t>
  </si>
  <si>
    <t>ZIP2</t>
  </si>
  <si>
    <t>Required for ZIPpering up meiotic chromosomes during chromosome synapsis, involved in meiotic recombination and disjunction</t>
  </si>
  <si>
    <t>YGL248W</t>
  </si>
  <si>
    <t>PDE1</t>
  </si>
  <si>
    <t>Low-affinity cyclic AMP phosphodiesterase, controls glucose and intracellular acidification-induced cAMP signaling, target of the cAMP-protein kinase A (PKA) pathway, glucose induces transcription and inhibits translation</t>
  </si>
  <si>
    <t>YGL247W</t>
  </si>
  <si>
    <t>BRR6</t>
  </si>
  <si>
    <t>Essential nuclear envelope integral membrane protein required for nuclear transport, depletion alters nucleoporin distribution and nuclear envelope morphology, suggesting a role in the spatial organization of nuclear pores</t>
  </si>
  <si>
    <t>YGL246C</t>
  </si>
  <si>
    <t>RAI1</t>
  </si>
  <si>
    <t>Nuclear protein that binds to and stabilizes the exoribonuclease Rat1p, required for pre-rRNA processing</t>
  </si>
  <si>
    <t>YGL245W</t>
  </si>
  <si>
    <t>GUS1</t>
  </si>
  <si>
    <t>Glutamyl-tRNA synthetase (GluRS), forms a complex with methionyl-tRNA synthetase (Mes1p) and Arc1p, complex formation increases the catalytic efficiency of both tRNA synthetases and ensures their correct localization to the cytoplasm</t>
  </si>
  <si>
    <t>YGL244W</t>
  </si>
  <si>
    <t>RTF1</t>
  </si>
  <si>
    <t>Subunit of the RNA polymerase II-associated Paf1 complex, directly or indirectly regulates DNA-binding properties of Spt15p (TATA box-binding protein) and relative activities of different TATA elements</t>
  </si>
  <si>
    <t>YGL243W</t>
  </si>
  <si>
    <t>TAD1</t>
  </si>
  <si>
    <t>tRNA-specific adenosine deaminase, deaminates adenosine-37 to inosine in tRNA-Ala</t>
  </si>
  <si>
    <t>YGL242C</t>
  </si>
  <si>
    <t>YGL241W</t>
  </si>
  <si>
    <t>KAP114</t>
  </si>
  <si>
    <t>Karyopherin, responsible for nuclear import of Spt15p, histones H2A and H2B, and Nap1p, amino terminus shows similarity to those of other importins, particularly Cse1p, localization is primarily nuclear</t>
  </si>
  <si>
    <t>YGL240W</t>
  </si>
  <si>
    <t>DOC1</t>
  </si>
  <si>
    <t>Processivity factor required for the ubiquitination activity of the anaphase promoting complex (APC), mediates the activity of the APC by contributing to substrate recognition, involved in cyclin proteolysis</t>
  </si>
  <si>
    <t>YGL238W</t>
  </si>
  <si>
    <t>CSE1</t>
  </si>
  <si>
    <t>Nuclear envelope protein that mediates the nuclear export of importin alpha (Srp1p), homolog of metazoan CAS protein, required for accurate chromosome segregation</t>
  </si>
  <si>
    <t>YGL237C</t>
  </si>
  <si>
    <t>HAP2</t>
  </si>
  <si>
    <t>Subunit of the heme-activated, glucose-repressed Hap2p3p4p5p CCAAT-binding complex, a transcriptional activator and global regulator of respiratory gene expression, contains sequences sufficient for both complex assembly and DNA binding</t>
  </si>
  <si>
    <t>YGL236C</t>
  </si>
  <si>
    <t>MTO1</t>
  </si>
  <si>
    <t>Mitochondrial protein, forms a heterodimer complex with Mss1p that performs the 5-carboxymethylaminomethyl modification of the wobble uridine base in mitochondrial tRNAs, required for respiration in paromomycin-resistant 15S rRNA mutants</t>
  </si>
  <si>
    <t>YGL235W</t>
  </si>
  <si>
    <t>YGL234W</t>
  </si>
  <si>
    <t>ADE5,7</t>
  </si>
  <si>
    <t>Bifunctional enzyme of the de novo purine nucleotide biosynthetic pathway, contains aminoimidazole ribotide synthetase and glycinamide ribotide synthetase activities</t>
  </si>
  <si>
    <t>YGL233W</t>
  </si>
  <si>
    <t>SEC15</t>
  </si>
  <si>
    <t>Essential 113kDa subunit of the exocyst complex (Sec3p, Sec5p, Sec6p, Sec8p, Sec10p, Sec15p, Exo70p, and Exo84p), which mediates polarized targeting of vesicles to active sites of exocytosis, Sec15p associates with Sec4p and vesicles</t>
  </si>
  <si>
    <t>YGL232W</t>
  </si>
  <si>
    <t>TAN1</t>
  </si>
  <si>
    <t>Putative tRNA acetyltransferase, RNA-binding protein required for the formation of the modified nucleoside N(4)-acetylcytidine in serine and leucine tRNAs but not required for the same modification in 18S rRNA</t>
  </si>
  <si>
    <t>YGL231C</t>
  </si>
  <si>
    <t>YGL230C</t>
  </si>
  <si>
    <t>YGL229C</t>
  </si>
  <si>
    <t>SAP4</t>
  </si>
  <si>
    <t>Protein required for function of the Sit4p protein phosphatase, member of a family of similar proteins that form complexes with Sit4p, including Sap155p, Sap185p, and Sap190p</t>
  </si>
  <si>
    <t>YGL228W</t>
  </si>
  <si>
    <t>SHE10</t>
  </si>
  <si>
    <t>Putative glycosylphosphatidylinositol (GPI)-anchored protein of unknown function, overexpression causes growth arrest</t>
  </si>
  <si>
    <t>YGL227W</t>
  </si>
  <si>
    <t>VID30</t>
  </si>
  <si>
    <t>Protein involved in proteasome-dependent catabolite degradation of fructose-1,6-bisphosphatase (FBPase), shifts the balance of nitrogen metabolism toward the production of glutamate, localized to the nucleus and the cytoplasm</t>
  </si>
  <si>
    <t>YGL226W</t>
  </si>
  <si>
    <t>YGL226C-A</t>
  </si>
  <si>
    <t>OST5</t>
  </si>
  <si>
    <t>Zeta subunit of the oligosaccharyltransferase complex of the ER lumen, which catalyzes asparagine-linked glycosylation of newly synthesized proteins</t>
  </si>
  <si>
    <t>YGL225W</t>
  </si>
  <si>
    <t>VRG4</t>
  </si>
  <si>
    <t>Golgi GDP-mannose transporter, regulates Golgi function and glycosylation in Golgi</t>
  </si>
  <si>
    <t>YGL224C</t>
  </si>
  <si>
    <t>SDT1</t>
  </si>
  <si>
    <t>Pyrimidine nucleotidase, overexpression suppresses the 6-AU sensitivity of transcription elongation factor S-II, as well as resistance to other pyrimidine derivatives</t>
  </si>
  <si>
    <t>YGL223C</t>
  </si>
  <si>
    <t>COG1</t>
  </si>
  <si>
    <t>YGL222C</t>
  </si>
  <si>
    <t>EDC1</t>
  </si>
  <si>
    <t>RNA-binding protein, activates mRNA decapping directly by binding to the mRNA substrate and enhancing the activity of the decapping proteins Dcp1p and Dcp2p</t>
  </si>
  <si>
    <t>YGL221C</t>
  </si>
  <si>
    <t>NIF3</t>
  </si>
  <si>
    <t>Protein of unknown function, similar to Listeria monocytogenes major sigma factor (rpoD gene product)</t>
  </si>
  <si>
    <t>YGL220W</t>
  </si>
  <si>
    <t>YGL219C</t>
  </si>
  <si>
    <t>MDM34</t>
  </si>
  <si>
    <t>Transmembrane osmosensor, participates in activation of both the Cdc42p- and MAP kinase-dependent filamentous growth pathway and the high-osmolarity glycerol response pathway</t>
  </si>
  <si>
    <t>YER117W</t>
  </si>
  <si>
    <t>RPL23B</t>
  </si>
  <si>
    <t>Protein component of the large (60S) ribosomal subunit, identical to Rpl23Ap and has similarity to E. coli L14 and rat L23 ribosomal proteins</t>
  </si>
  <si>
    <t>YER116C</t>
  </si>
  <si>
    <t>SLX8</t>
  </si>
  <si>
    <t>Protein containing a RING finger domain that forms a complex with Hex3p, mutant phenotypes and genetic interactions suggest a possible role in resolving recombination intermediates during DNA replication or repair</t>
  </si>
  <si>
    <t>YER115C</t>
  </si>
  <si>
    <t>SPR6</t>
  </si>
  <si>
    <t>Protein of unknown function, expressed during sporulation, not required for sporulation, but gene exhibits genetic interactions with other genes required for sporulation</t>
  </si>
  <si>
    <t>YER114C</t>
  </si>
  <si>
    <t>BOI2</t>
  </si>
  <si>
    <t>Protein implicated in polar growth, functionally redundant with Boi1p, interacts with bud-emergence protein Bem1p, contains an SH3 (src homology 3) domain and a PH (pleckstrin homology) domain</t>
  </si>
  <si>
    <t>YER113C</t>
  </si>
  <si>
    <t>YER112W</t>
  </si>
  <si>
    <t>LSM4</t>
  </si>
  <si>
    <t>YER111C</t>
  </si>
  <si>
    <t>SWI4</t>
  </si>
  <si>
    <t>DNA binding component of the SBF complex (Swi4p-Swi6p), a transcriptional activator that in concert with MBF (Mbp1-Swi6p) regulates late G1-specific transcription of targets including cyclins and genes required for DNA synthesis and repair</t>
  </si>
  <si>
    <t>YER110C</t>
  </si>
  <si>
    <t>KAP123</t>
  </si>
  <si>
    <t>Karyopherin beta, mediates nuclear import of ribosomal proteins prior to assembly into ribosomes and import of histones H3 and H4, localizes to the nuclear pore, nucleus, and cytoplasm, exhibits genetic interactions with RAI1</t>
  </si>
  <si>
    <t>YER109C</t>
  </si>
  <si>
    <t>FLO8</t>
  </si>
  <si>
    <t>Transcription factor required for flocculation, diploid filamentous growth, and haploid invasive growth, genome reference strain S288C and most laboratory strains have a mutation in this gene</t>
  </si>
  <si>
    <t>YER107C</t>
  </si>
  <si>
    <t>GLE2</t>
  </si>
  <si>
    <t>Component of the nuclear pore complex required for polyadenylated RNA export but not for protein import, homologous to S. pombe Rae1p</t>
  </si>
  <si>
    <t>YER106W</t>
  </si>
  <si>
    <t>MAM1</t>
  </si>
  <si>
    <t>Protease involved in the processing of killer toxin and alpha factor precursor, cleaves Lys and Arg residues from the C-terminus of peptides and proteins</t>
  </si>
  <si>
    <t>YGL202W</t>
  </si>
  <si>
    <t>ARO8</t>
  </si>
  <si>
    <t>Aromatic aminotransferase, expression is regulated by general control of amino acid biosynthesis</t>
  </si>
  <si>
    <t>YGL201C</t>
  </si>
  <si>
    <t>MCM6</t>
  </si>
  <si>
    <t>Protein involved in DNA replication, component of the Mcm2-7 hexameric complex that binds chromatin as a part of the pre-replicative complex</t>
  </si>
  <si>
    <t>YGL200C</t>
  </si>
  <si>
    <t>EMP24</t>
  </si>
  <si>
    <t>YGL198W</t>
  </si>
  <si>
    <t>YIP4</t>
  </si>
  <si>
    <t>Protein that interacts with Rab GTPases, computational analysis of large-scale protein-protein interaction data suggests a possible role in vesicle-mediated transport</t>
  </si>
  <si>
    <t>YGL197W</t>
  </si>
  <si>
    <t>MDS3</t>
  </si>
  <si>
    <t>Protein with an N-terminal kelch-like domain, putative negative regulator of early meiotic gene expression, required, with Pmd1p, for growth under alkaline conditions</t>
  </si>
  <si>
    <t>YGL196W</t>
  </si>
  <si>
    <t>YGL195W</t>
  </si>
  <si>
    <t>GCN1</t>
  </si>
  <si>
    <t>Positive regulator of the Gcn2p kinase activity, forms a complex with Gcn20p, proposed to stimulate Gcn2p activation by an uncharged tRNA</t>
  </si>
  <si>
    <t>YGL194C</t>
  </si>
  <si>
    <t>HOS2</t>
  </si>
  <si>
    <t>Histone deacetylase required for gene activation via specific deacetylation of lysines in H3 and H4 histone tails, subunit of the Set3 complex, a meiotic-specific repressor of sporulation specific genes that contains deacetylase activity</t>
  </si>
  <si>
    <t>YGL192W</t>
  </si>
  <si>
    <t>IME4</t>
  </si>
  <si>
    <t>Probable mRNA N6-adenosine methyltransferase that is required for IME1 transcript accumulation and for sporulation, expression is induced in starved MATaMAT alpha diploid cells</t>
  </si>
  <si>
    <t>YGL191W</t>
  </si>
  <si>
    <t>COX13</t>
  </si>
  <si>
    <t>Subunit VIa of cytochrome c oxidase, which is the terminal member of the mitochondrial inner membrane electron transport chain, not essential for cytochrome c oxidase activity but may modulate activity in response to ATP</t>
  </si>
  <si>
    <t>YGL190C</t>
  </si>
  <si>
    <t>CDC55</t>
  </si>
  <si>
    <t>Non-essential regulatory subunit B of protein phosphatase 2A, has multiple roles in mitosis and protein biosynthesis, found in the nucleus of most cells but also at the bud neck (large-budded cells) and at the bud tip (small-budded cells)</t>
  </si>
  <si>
    <t>YGL189C</t>
  </si>
  <si>
    <t>RPS26A</t>
  </si>
  <si>
    <t>Subunit of TORC2 (Tor2p-Lst8p-Avo1-Avo2-Tsc11p-Bit61p), a membrane-associated complex that regulates actin cytoskeletal dynamics during polarized growth and cell wall integrity, involved in sphingolipid metabolism, contains a RasGEFN domain</t>
  </si>
  <si>
    <t>YER092W</t>
  </si>
  <si>
    <t>IES5</t>
  </si>
  <si>
    <t>YER091C</t>
  </si>
  <si>
    <t>MET6</t>
  </si>
  <si>
    <t>Cobalamin-independent methionine synthase, involved in amino acid biosynthesis, also called N5-methyltetrahydrofolate homocysteine methyltransferase or 5-methyltetrahydropteroyltriglutamate homocysteine methyltransferase</t>
  </si>
  <si>
    <t>YER090W</t>
  </si>
  <si>
    <t>TRP2</t>
  </si>
  <si>
    <t>Anthranilate synthase, catalyzes the initial step of tryptophan biosynthesis, forms multifunctional hetero-oligomeric anthranilate synthase:indole-3-glycerol phosphate synthase enzyme complex with Trp3p</t>
  </si>
  <si>
    <t>YER089C</t>
  </si>
  <si>
    <t>PTC2</t>
  </si>
  <si>
    <t>Type 2C protein phosphatase, dephosphorylates Hog1p to limit maximal osmostress induced kinase activity, dephosphorylates Ire1p to downregulate the unfolded protein response, dephosphorylates Cdc28p, role in DNA checkpoint inactivation</t>
  </si>
  <si>
    <t>YER088C</t>
  </si>
  <si>
    <t>DOT6</t>
  </si>
  <si>
    <t>Protein of unknown function, involved in telomeric gene silencing and filamentation</t>
  </si>
  <si>
    <t>YER087W</t>
  </si>
  <si>
    <t>YER087C-B</t>
  </si>
  <si>
    <t>SBH1</t>
  </si>
  <si>
    <t>Beta subunit of the Sec61p ER translocation complex (Sec61p-Sss1p-Sbh1p), involved in protein translocation into the endoplasmic reticulum, homologous to Sbh2p</t>
  </si>
  <si>
    <t>YER086W</t>
  </si>
  <si>
    <t>ILV1</t>
  </si>
  <si>
    <t>Threonine deaminase, catalyzes the first step in isoleucine biosynthesis, expression is under general amino acid control, ILV1 locus exhibits highly positioned nucleosomes whose organization is independent of known ILV1 regulation</t>
  </si>
  <si>
    <t>YER085C</t>
  </si>
  <si>
    <t>YER083C</t>
  </si>
  <si>
    <t>RMD7</t>
  </si>
  <si>
    <t>Protein required for meiotic nuclear division, appears to function in DNA replication and damage response, may be involved in cell wall function</t>
  </si>
  <si>
    <t>YER082C</t>
  </si>
  <si>
    <t>UTP7</t>
  </si>
  <si>
    <t>YER081W</t>
  </si>
  <si>
    <t>SER3</t>
  </si>
  <si>
    <t>3-phosphoglycerate dehydrogenase, catalyzes the first step in serine and glycine biosynthesis, isozyme of Ser33p</t>
  </si>
  <si>
    <t>YER080W</t>
  </si>
  <si>
    <t>YER079W</t>
  </si>
  <si>
    <t>YER078W-A</t>
  </si>
  <si>
    <t>YER078C</t>
  </si>
  <si>
    <t>Metallopeptidase, localized to the mitochondrial matrix</t>
  </si>
  <si>
    <t>YER077C</t>
  </si>
  <si>
    <t>YER076C</t>
  </si>
  <si>
    <t>YER075C</t>
  </si>
  <si>
    <t>PTP3</t>
  </si>
  <si>
    <t>Phosphotyrosine-specific protein phosphatase involved in the inactivation of mitogen-activated protein kinase (MAPK) during osmolarity sensing, dephosporylates Hog1p MAPK and regulates its localization, localized to the cytoplasm</t>
  </si>
  <si>
    <t>YER074W-A</t>
  </si>
  <si>
    <t>YOS1</t>
  </si>
  <si>
    <t>Integral membrane protein required for ER to Golgi transport, localized to the Golgi, the ER, and COPII vesicles, interacts with Yip1p and Yif1p</t>
  </si>
  <si>
    <t>YER074W</t>
  </si>
  <si>
    <t>YER073W</t>
  </si>
  <si>
    <t>ALD5</t>
  </si>
  <si>
    <t>Mitochondrial aldehyde dehydrogenase, involved in regulation or biosynthesis of electron transport chain components and acetate formation, activated by K+, utilizes NADP+ as the preferred coenzyme, constitutively expressed</t>
  </si>
  <si>
    <t>YER072W</t>
  </si>
  <si>
    <t>VTC1</t>
  </si>
  <si>
    <t>Vacuolar transporter chaperon (VTC) involved in distributing V-ATPase and other membrane proteins, together with other VTC proteins, forms a heterotetrameric complex that associates with the SNARE Nyv1p and the V0 sector of the V-ATPase</t>
  </si>
  <si>
    <t>YER071C</t>
  </si>
  <si>
    <t>YER070W</t>
  </si>
  <si>
    <t>RNR1</t>
  </si>
  <si>
    <t>YER069W</t>
  </si>
  <si>
    <t>ARG5,6</t>
  </si>
  <si>
    <t>Protein that is processed in the mitochondrion to yield acetylglutamate kinase and N-acetyl-gamma-glutamyl-phosphate reductase, which catalyze the 2nd and 3rd steps in arginine biosynthesis, enzymes form a complex with Arg2p</t>
  </si>
  <si>
    <t>YER068W</t>
  </si>
  <si>
    <t>MOT2</t>
  </si>
  <si>
    <t>Component of the CCR4-NOT transcription regulatory complex, which represses transcription, at least in part, by inhibiting functional TBP-DNA interactions and also aids in transcription elongation, interacts with C-terminal region of Not1p</t>
  </si>
  <si>
    <t>YER067W</t>
  </si>
  <si>
    <t>YER066W</t>
  </si>
  <si>
    <t>YER065C</t>
  </si>
  <si>
    <t>ICL1</t>
  </si>
  <si>
    <t>Isocitrate lyase, catalyzes the formation of succinate and glyoxylate from isocitrate, a key reaction of the glyoxylate cycle, expression of ICL1 is induced by growth on ethanol and repressed by growth on glucose</t>
  </si>
  <si>
    <t>YER064C</t>
  </si>
  <si>
    <t>Non-essential nuclear protein, null mutation has global effects on transcription</t>
  </si>
  <si>
    <t>YER063W</t>
  </si>
  <si>
    <t>THO1</t>
  </si>
  <si>
    <t>Protein of unknown function, overproduction suppresses the transcriptional defect caused by an hpr1 mutation</t>
  </si>
  <si>
    <t>YER062C</t>
  </si>
  <si>
    <t>HOR2</t>
  </si>
  <si>
    <t>One of two redundant DL-glycerol-3-phosphatases (RHR2GPP1 encodes the other) involved in glycerol biosynthesis, induced in response to hyperosmotic stress and oxidative stress, and during the diauxic transition</t>
  </si>
  <si>
    <t>YER061C</t>
  </si>
  <si>
    <t>CEM1</t>
  </si>
  <si>
    <t>Mitochondrial beta-keto-acyl synthase with possible role in fatty acid synthesis, required for mitochondrial respiration</t>
  </si>
  <si>
    <t>YER060W-A</t>
  </si>
  <si>
    <t>FCY22</t>
  </si>
  <si>
    <t>Putative purine-cytosine permease, very similar to Fcy2p but cannot substitute for its function</t>
  </si>
  <si>
    <t>YER060W</t>
  </si>
  <si>
    <t>FCY21</t>
  </si>
  <si>
    <t>YER059W</t>
  </si>
  <si>
    <t>PCL6</t>
  </si>
  <si>
    <t>Pho85p cyclin of the Pho80p subfamily, forms the major Glc8p kinase together with Pcl7p and Pho85p, involved in the control of glycogen storage by Pho85p, stabilized by Elongin C binding</t>
  </si>
  <si>
    <t>YER058W</t>
  </si>
  <si>
    <t>PET117</t>
  </si>
  <si>
    <t>YER057C</t>
  </si>
  <si>
    <t>HMF1</t>
  </si>
  <si>
    <t>Member of the p14.5 protein family with similarity to Mmf1p, functionally complements Mmf1p function when targeted to mitochondria, heat shock inducible, high-dosage growth inhibitor, forms a homotrimer in vitro</t>
  </si>
  <si>
    <t>YER056C-A</t>
  </si>
  <si>
    <t>RPL34A</t>
  </si>
  <si>
    <t>Protein component of the large (60S) ribosomal subunit, nearly identical to Rpl34Bp and has similarity to rat L34 ribosomal protein</t>
  </si>
  <si>
    <t>YER056C</t>
  </si>
  <si>
    <t>FCY2</t>
  </si>
  <si>
    <t>Purine-cytosine permease, mediates purine (adenine, guanine, and hypoxanthine) and cytosine accumulation</t>
  </si>
  <si>
    <t>YER055C</t>
  </si>
  <si>
    <t>HIS1</t>
  </si>
  <si>
    <t>ATP phosphoribosyltransferase, a hexameric enzyme, catalyzes the first step in histidine biosynthesis, mutations cause histidine auxotrophy and sensitivity to Cu, Co, and Ni salts, transcription is regulated by general amino acid control</t>
  </si>
  <si>
    <t>YER054C</t>
  </si>
  <si>
    <t>GIP2</t>
  </si>
  <si>
    <t>Putative regulatory subunit of the protein phosphatase Glc7p, proposed to be involved in glycogen metabolism, contains a conserved motif (GVNK motif) that is also found in Gac1p, Pig1p, and Pig2p</t>
  </si>
  <si>
    <t>YER053C-A</t>
  </si>
  <si>
    <t>YER053C</t>
  </si>
  <si>
    <t>PIC2</t>
  </si>
  <si>
    <t>Mitochondrial phosphate carrier, imports inorganic phosphate into mitochondria, functionally redundant with Mir1p but less abundant than Mir1p under normal conditions, expression is induced at high temperature</t>
  </si>
  <si>
    <t>YER052C</t>
  </si>
  <si>
    <t>HOM3</t>
  </si>
  <si>
    <t>Aspartate kinase (L-aspartate 4-P-transferase), cytoplasmic enzyme that catalyzes the first step in the common pathway for methionine and threonine biosynthesis, expression regulated by Gcn4p and the general control of amino acid synthesis</t>
  </si>
  <si>
    <t>YER051W</t>
  </si>
  <si>
    <t>YER050C</t>
  </si>
  <si>
    <t>RSM18</t>
  </si>
  <si>
    <t>Mitochondrial ribosomal protein of the small subunit, has similarity to E. coli S18 ribosomal protein</t>
  </si>
  <si>
    <t>YER049W</t>
  </si>
  <si>
    <t>YER048W-A</t>
  </si>
  <si>
    <t>Similar to D. melanogaster protein, weaker homology to C. elegans protein with similarity to human cdk7cyclin H assembly factor</t>
  </si>
  <si>
    <t>YER048C</t>
  </si>
  <si>
    <t>CAJ1</t>
  </si>
  <si>
    <t>Bifunctional chorismate synthase and flavin reductase, catalyzes the conversion of 5-enolpyruvylshikimate 3-phosphate (EPSP) to form chorismate, which is a precursor to aromatic amino acids</t>
  </si>
  <si>
    <t>YGL147C</t>
  </si>
  <si>
    <t>YGL146C</t>
  </si>
  <si>
    <t>YGL145W</t>
  </si>
  <si>
    <t>TIP20</t>
  </si>
  <si>
    <t>Peripheral membrane protein required for fusion of COPI vesicles with the ER, prohibits back-fusion of COPII vesicles with the ER, may act as a sensor for vesicles at the ER membrane</t>
  </si>
  <si>
    <t>YGL144C</t>
  </si>
  <si>
    <t>ROG1</t>
  </si>
  <si>
    <t>Protein with putative serine active lipase domain</t>
  </si>
  <si>
    <t>YGL143C</t>
  </si>
  <si>
    <t>MRF1</t>
  </si>
  <si>
    <t xml:space="preserve">Mitochondrial polypeptide chain release factor, involved in stop codon recognition and hydrolysis of the peptidyl-tRNA bond during mitochondrial translation, lack of MRF1 causes mitochondrial genome instability   </t>
  </si>
  <si>
    <t>YGL142C</t>
  </si>
  <si>
    <t>Identified by expression profiling and mass spectrometry  Integral membrane protein involved in glycosylphosphatidylinositol (GPI) anchor synthesis, putative alpha 1,2 mannosyltransferase required for addition of the third mannose onto the GPI core structure, human PIG-Bp is a functional homolog</t>
  </si>
  <si>
    <t>YGL141W</t>
  </si>
  <si>
    <t>HUL5</t>
  </si>
  <si>
    <t>YGL140C</t>
  </si>
  <si>
    <t>YGL139W</t>
  </si>
  <si>
    <t>YGL138C</t>
  </si>
  <si>
    <t>YGL137W</t>
  </si>
  <si>
    <t>SEC27</t>
  </si>
  <si>
    <t>Essential beta-coat protein of the COPI coatomer, involved in ER-to-Golgi and Golgi-to-ER transport, contains WD40 domains that mediate cargo selective interactions, 45% sequence identity to mammalian beta-COP</t>
  </si>
  <si>
    <t>YGL136C</t>
  </si>
  <si>
    <t>MRM2</t>
  </si>
  <si>
    <t>YDR368W</t>
  </si>
  <si>
    <t>YPR1</t>
  </si>
  <si>
    <t>2-methylbutyraldehyde reductase, may be involved in isoleucine catabolism</t>
  </si>
  <si>
    <t>YDR367W</t>
  </si>
  <si>
    <t>YDR366C</t>
  </si>
  <si>
    <t>YDR365C</t>
  </si>
  <si>
    <t>ESF1</t>
  </si>
  <si>
    <t>Nucleolar protein involved in pre-rRNA processing, depletion causes severely decreased 18S rRNA levels</t>
  </si>
  <si>
    <t>YDR364C</t>
  </si>
  <si>
    <t>CDC40</t>
  </si>
  <si>
    <t>Pre-mRNA splicing factor, important for catalytic step II of pre-mRNA splicing and plays a role in cell cycle progression, required for DNA synthesis during mitosis and meiosis, has WD repeats</t>
  </si>
  <si>
    <t>YDR363W-A</t>
  </si>
  <si>
    <t>SEM1</t>
  </si>
  <si>
    <t>Component of the lid subcomplex of the regulatory subunit of the 26S proteasome, ortholog of human DSS1</t>
  </si>
  <si>
    <t>YDR363W</t>
  </si>
  <si>
    <t>ESC2</t>
  </si>
  <si>
    <t>Protein involved in mating-type locus silencing, interacts with Sir2p, probably functions to recruit or stabilize Sir proteins</t>
  </si>
  <si>
    <t>YDR362C</t>
  </si>
  <si>
    <t>TFC6</t>
  </si>
  <si>
    <t>One of six subunits of RNA polymerase III transcription initiation factor complex (TFIIIC), part of TFIIIC TauB domain that binds BoxB promoter sites of tRNA and other genes, cooperates with Tfc3p in DNA binding, human homolog is TFIIIC-110</t>
  </si>
  <si>
    <t>YDR361C</t>
  </si>
  <si>
    <t>BCP1</t>
  </si>
  <si>
    <t>Essential protein involved in nuclear export of Mss4p, which is a lipid kinase that generates phosphatidylinositol 4,5-biphosphate and plays a role in actin cytoskeleton organization and vesicular transport</t>
  </si>
  <si>
    <t>YDR359C</t>
  </si>
  <si>
    <t>VID21</t>
  </si>
  <si>
    <t>Component of the NuA4 histone acetyltransferase complex</t>
  </si>
  <si>
    <t>YDR358W</t>
  </si>
  <si>
    <t>GGA1</t>
  </si>
  <si>
    <t>YDR357C</t>
  </si>
  <si>
    <t>YDR356W</t>
  </si>
  <si>
    <t>SPC110</t>
  </si>
  <si>
    <t>Inner plaque spindle pole body (SPB) component, ortholog of human kendrin, involved in connecting nuclear microtubules to SPB, interacts with Tub4p-complex and calmodulin, phosphorylated by Mps1p in cell cycle-dependent manner</t>
  </si>
  <si>
    <t>YDR354W</t>
  </si>
  <si>
    <t>TRP4</t>
  </si>
  <si>
    <t>Protein required for inositol prototrophy, appears to be involved in the synthesis of inositol phospholipids from inositol but not in the control of inositol synthesis</t>
  </si>
  <si>
    <t>YGL125W</t>
  </si>
  <si>
    <t>MET13</t>
  </si>
  <si>
    <t>YGL124C</t>
  </si>
  <si>
    <t>MON1</t>
  </si>
  <si>
    <t>Protein required for fusion of cvt-vesicles and autophagosomes with the vacuole, associates, as a complex with Ccz1p, with a perivacuolar compartment, potential Cdc28p substrate</t>
  </si>
  <si>
    <t>YGL123W</t>
  </si>
  <si>
    <t>RPS2</t>
  </si>
  <si>
    <t>Protein component of the small (40S) subunit, essential for control of translational accuracy, has similarity to E. coli S5 and rat S2 ribosomal proteins</t>
  </si>
  <si>
    <t>YGL122C</t>
  </si>
  <si>
    <t>NAB2</t>
  </si>
  <si>
    <t>Nuclear polyadenylated RNA-binding protein, autoregulates mRNA levels, related to human hnRNPs, has nuclear localization signal sequence that binds to Kap104p, required for poly(A) tail length control and nuclear mRNA export</t>
  </si>
  <si>
    <t>YGL121C</t>
  </si>
  <si>
    <t>GPG1</t>
  </si>
  <si>
    <t>Proposed gamma subunit of the heterotrimeric G protein that interacts with the receptor Grp1p, involved in regulation of pseudohyphal growth, requires Gpb1p or Gpb2p to interact with Gpa2p</t>
  </si>
  <si>
    <t>YGL120C</t>
  </si>
  <si>
    <t>PRP43</t>
  </si>
  <si>
    <t>RNA helicase in the DEAH-box family, involved in release of the lariat-intron from the spliceosome</t>
  </si>
  <si>
    <t>YGL119W</t>
  </si>
  <si>
    <t>ABC1</t>
  </si>
  <si>
    <t>Protein required for ubiquinone (coenzyme Q) biosynthesis, which in turn is required for respiratory growth, has similarity to prokaryotic proteins involved in early steps of ubiquinone biosynthesis</t>
  </si>
  <si>
    <t>YGL117W</t>
  </si>
  <si>
    <t>YGL116W</t>
  </si>
  <si>
    <t>CDC20</t>
  </si>
  <si>
    <t>Cell-cycle regulated activator of anaphase-promoting complexcyclosome (APCC), which is required for metaphaseanaphase transition, directs ubiquitination of mitotic cyclins, Pds1p, and other anaphase inhibitors, potential Cdc28p substrate</t>
  </si>
  <si>
    <t>YGL115W</t>
  </si>
  <si>
    <t>SNF4</t>
  </si>
  <si>
    <t>Protein kinase activator found in a complex containing Snf1p and members of the Sip1pSip2pGal83p family, activates the Snf1p protein kinase, involved in expression of glucose-repressed genes, sporulation, and peroxisome biogenesis</t>
  </si>
  <si>
    <t>YGL114W</t>
  </si>
  <si>
    <t>Putative member of the oligopeptide transporter (OPT) family of membrane transporters</t>
  </si>
  <si>
    <t>YGL113W</t>
  </si>
  <si>
    <t>SLD3</t>
  </si>
  <si>
    <t>Protein involved in the initiation of DNA replication, required for proper assembly of replication proteins at the origins of replication, interacts with Cdc45p</t>
  </si>
  <si>
    <t>YGL112C</t>
  </si>
  <si>
    <t>TAF6</t>
  </si>
  <si>
    <t>Subunit (60 kDa) of TFIID and SAGA complexes, involved in transcription initiation of RNA polymerase II and in chromatin modification, similar to histone H4</t>
  </si>
  <si>
    <t>YGL111W</t>
  </si>
  <si>
    <t>NSA1</t>
  </si>
  <si>
    <t>Constituent of 66S pre-ribosomal particles, involved in 60S ribosomal subunit biogenesis</t>
  </si>
  <si>
    <t>YGL110C</t>
  </si>
  <si>
    <t>CUE3</t>
  </si>
  <si>
    <t>YGL108C</t>
  </si>
  <si>
    <t>YGL107C</t>
  </si>
  <si>
    <t>RMD9</t>
  </si>
  <si>
    <t>Mitochondrial protein required for sporulation</t>
  </si>
  <si>
    <t>YGL106W</t>
  </si>
  <si>
    <t>MLC1</t>
  </si>
  <si>
    <t>Essential light chain for myosin Myo2p, may stabilize Myo2p by binding to the neck region, may interact with Myo1p, Iqg1p, and Myo2p to coordinate formation and contraction of the actomyosin ring with targeted membrane deposition</t>
  </si>
  <si>
    <t>YGL105W</t>
  </si>
  <si>
    <t>ARC1</t>
  </si>
  <si>
    <t>Protein that binds tRNA and methionyl- and glutamyl-tRNA synthetases (Mes1p and Gus1p), delivering tRNA to them, stimulating catalysis, and ensuring their localization to the cytoplasm, also binds quadruplex nucleic acids</t>
  </si>
  <si>
    <t>YGL104C</t>
  </si>
  <si>
    <t>VPS73</t>
  </si>
  <si>
    <t>Mitochondrial protein of unknown function involved in vacuolar protein sorting</t>
  </si>
  <si>
    <t>YGL103W</t>
  </si>
  <si>
    <t>RPL28</t>
  </si>
  <si>
    <t>Ribosomal protein L29 of the large (60S) ribosomal subunit, has similarity to E. coli L15 and rat L27a ribosomal proteins, may have peptidyl transferase activity, can mutate to cycloheximide resistance</t>
  </si>
  <si>
    <t>YGL101W</t>
  </si>
  <si>
    <t>YGL100W</t>
  </si>
  <si>
    <t>SEH1</t>
  </si>
  <si>
    <t>Nuclear pore protein that is part of the evolutionarily conserved Nup84p complex (Nup84p, Nup85p, Nup120p, Nup145p, and Seh1p), homologous to Sec13p</t>
  </si>
  <si>
    <t>YGL099W</t>
  </si>
  <si>
    <t>LSG1</t>
  </si>
  <si>
    <t>Putative GTPase involved in 60S ribosomal subunit biogenesis, required for the release of Nmd3p from 60S subunits in the cytoplasm</t>
  </si>
  <si>
    <t>YGL098W</t>
  </si>
  <si>
    <t>USE1</t>
  </si>
  <si>
    <t>Essential SNARE protein localized to the ER, involved in retrograde traffic from the Golgi to the ER, forms a complex with the SNAREs Sec22p, Sec20p and Ufe1p</t>
  </si>
  <si>
    <t>YGL097W</t>
  </si>
  <si>
    <t>SRM1</t>
  </si>
  <si>
    <t>Nucleotide exchange factor for Gsp1p, localizes to the nucleus, required for nucleocytoplasmic trafficking of macromolecules, potentially phosphorylated by Cdc28p</t>
  </si>
  <si>
    <t>YGL096W</t>
  </si>
  <si>
    <t>TOS8</t>
  </si>
  <si>
    <t>Hypothetical protein  Helicase encoded by the Y element of subtelomeric regions, highly expressed in the mutants lacking the telomerase component TLC1, potentially phosphorylated by Cdc28p  Helicase encoded by the Y element of subtelomeric regions, highly expressed in the mutants lacking the telomerase component TLC1, potentially phosphorylated by Cdc28p  Hypothetical protein  Hypothetical protein  Helicase encoded by the Y element of subtelomeric regions, highly expressed in the mutants lacking the telomerase component TLC1, potentially phosphorylated by Cdc28p  Helicase encoded by the Y element of subtelomeric regions, highly expressed in the mutants lacking the telomerase component TLC1, potentially phosphorylated by Cdc28p  Hypothetical protein  Hypothetical protein  Hypothetical protein  Hypothetical protein  Hypothetical protein  Hypothetical protein  Helicase encoded by the Y element of subtelomeric regions, highly expressed in the mutants lacking the telomerase component TLC1, potentially phosphorylated by Cdc28p  Hypothetical protein  Helicase encoded by the Y element of subtelomeric regions, highly expressed in the mutants lacking the telomerase component TLC1, potentially phosphorylated by Cdc28p  Hypothetical protein  Hypothetical protein  Helicase encoded by the Y element of subtelomeric regions, highly expressed in the mutants lacking the telomerase component TLC1, potentially phosphorylated by Cdc28p  Hypothetical protein</t>
  </si>
  <si>
    <t>YEL076C</t>
  </si>
  <si>
    <t>YEL075C</t>
  </si>
  <si>
    <t>Hypothetical protein  Helicase encoded by the Y element of subtelomeric regions, highly expressed in the mutants lacking the telomerase component TLC1, potentially phosphorylated by Cdc28p  Hypothetical protein  similar to other subtelomerically-encoded proteins  Helicase encoded by the Y element of subtelomeric regions, highly expressed in the mutants lacking the telomerase component TLC1, potentially phosphorylated by Cdc28p  Helicase encoded by the Y element of subtelomeric regions, highly expressed in the mutants lacking the telomerase component TLC1, potentially phosphorylated by Cdc28p  Hypothetical protein  Hypothetical protein  Hypothetical protein  Hypothetical protein  Helicase encoded by the Y element of subtelomeric regions, highly expressed in the mutants lacking the telomerase component TLC1, potentially phosphorylated by Cdc28p  Hypothetical protein  Helicase encoded by the Y element of subtelomeric regions, highly expressed in the mutants lacking the telomerase component TLC1, potentially phosphorylated by Cdc28p  Hypothetical protein  Hypothetical protein  Helicase encoded by the Y element of subtelomeric regions, highly expressed in the mutants lacking the telomerase component TLC1, potentially phosphorylated by Cdc28p  Hypothetical protein</t>
  </si>
  <si>
    <t>YEL073C</t>
  </si>
  <si>
    <t>YEL072W</t>
  </si>
  <si>
    <t>RMD6</t>
  </si>
  <si>
    <t>YEL071W</t>
  </si>
  <si>
    <t>DLD3</t>
  </si>
  <si>
    <t>D-lactate dehydrogenase, part of the retrograde regulon which consists of genes whose expression is stimulated by damage to mitochondria and reduced in cells grown with glutamate as the sole nitrogen source, located in the cytoplasm</t>
  </si>
  <si>
    <t>YEL070W</t>
  </si>
  <si>
    <t xml:space="preserve">Hypothetical protein  </t>
  </si>
  <si>
    <t>YEL069C</t>
  </si>
  <si>
    <t>YEL066W</t>
  </si>
  <si>
    <t>HPA3</t>
  </si>
  <si>
    <t>D-Amino acid N-acetyltransferase, catalyzes N-acetylation of D-amino acids through ordered bi-bi mechanism in which acetyl-CoA is first substrate bound and CoA is last product liberated, similar to Hpa2p, acetylates histones weakly in vitro</t>
  </si>
  <si>
    <t>YEL065W</t>
  </si>
  <si>
    <t>SIT1</t>
  </si>
  <si>
    <t>YGL066W</t>
  </si>
  <si>
    <t>SGF73</t>
  </si>
  <si>
    <t>Probable 73 kDa subunit of SAGA histone acetyltransferase complex</t>
  </si>
  <si>
    <t>YGL065C</t>
  </si>
  <si>
    <t>ALG2</t>
  </si>
  <si>
    <t>Presumed early mannosyltransferase involved in the N-linked glycosylation pathway, alg2 mutants exhibit temperature-sensitive growth and abnormal accumulation of the lipid-linked oligosaccharide Man2GlcNAc2-PP-Dol</t>
  </si>
  <si>
    <t>YGL064C</t>
  </si>
  <si>
    <t>MRH4</t>
  </si>
  <si>
    <t>Mitochondrial RNA helicase, plays an essential role in mitochondrial function</t>
  </si>
  <si>
    <t>YGL063W</t>
  </si>
  <si>
    <t>PUS2</t>
  </si>
  <si>
    <t>Putative pseudouridine synthase</t>
  </si>
  <si>
    <t>YGL062W</t>
  </si>
  <si>
    <t>PYC1</t>
  </si>
  <si>
    <t>Pyruvate carboxylase isoform, cytoplasmic enzyme that converts pyruvate to oxaloacetate, highly similar to isoform Pyc2p but differentially regulated, mutations in the human homolog are associated with lactic acidosis</t>
  </si>
  <si>
    <t>YGL061C</t>
  </si>
  <si>
    <t>DUO1</t>
  </si>
  <si>
    <t>Essential mitotic spindle protein required to maintain spindle integrity and kinetochore function, part of the multisubunit DASH complex which binds microtubules and is transferred to the kinetochore prior to mitosis</t>
  </si>
  <si>
    <t>YGL060W</t>
  </si>
  <si>
    <t>YBP2</t>
  </si>
  <si>
    <t>Protein with a role in resistance to oxidative stress, has similarity to Ybp1p, which is involved in regulation of the transcription factor Yap1p via oxidation of specific cysteine residues</t>
  </si>
  <si>
    <t>YGL059W</t>
  </si>
  <si>
    <t>YGL058W</t>
  </si>
  <si>
    <t>RAD6</t>
  </si>
  <si>
    <t>Ubiquitin-conjugating enzyme (E2), involved in postreplication repair (with Rad18p), sporulation, telomere silencing, and ubiquitin-mediated N-end rule protein degradation (with Ubr1p)</t>
  </si>
  <si>
    <t>YGL057C</t>
  </si>
  <si>
    <t>YGL056C</t>
  </si>
  <si>
    <t>SDS23</t>
  </si>
  <si>
    <t>One of two S. cerevisiae homologs (Sds23p and Sds24p) of the Schizosaccharomyces pombe Sds23 protein, which genetic studies have implicated in APCcyclosome regulation</t>
  </si>
  <si>
    <t>YGL055W</t>
  </si>
  <si>
    <t>OLE1</t>
  </si>
  <si>
    <t>Fatty acid desaturase, required for monounsaturated fatty acid synthesis and for normal distribution of mitochondria</t>
  </si>
  <si>
    <t>YGL054C</t>
  </si>
  <si>
    <t>ERV14</t>
  </si>
  <si>
    <t>Protein localized to COPII-coated vesicles, involved in vesicle formation and incorporation of specific secretory cargo, required for the delivery of bud-site selection protein Axl2p to cell surface, related to Drosophila cornichon</t>
  </si>
  <si>
    <t>YGL053W</t>
  </si>
  <si>
    <t>Protein component of the large (60S) ribosomal subunit, nearly identical to Rpl12Bp, rpl12a rpl12b double mutant exhibits slow growth and slow translation, has similarity to E. coli L11 and rat L12 ribosomal proteins  Protein component of the large (60S) ribosomal subunit, nearly identical to Rpl12Ap, rpl12a rpl12b double mutant exhibits slow growth and slow translation, has similarity to E. coli L11 and rat L12 ribosomal proteins</t>
  </si>
  <si>
    <t>YEL053C</t>
  </si>
  <si>
    <t>MAK10</t>
  </si>
  <si>
    <t>Non-catalytic subunit of N-terminal acetyltransferase of the NatC type, required for replication of dsRNA virus, expression is glucose-repressible</t>
  </si>
  <si>
    <t>YEL052W</t>
  </si>
  <si>
    <t>AFG1</t>
  </si>
  <si>
    <t>Putative ATPase of the CDC48PAS1SEC18 (AAA) family, localized to mitochondria</t>
  </si>
  <si>
    <t>YEL051W</t>
  </si>
  <si>
    <t>VMA8</t>
  </si>
  <si>
    <t>Subunit D of the eight-subunit V1 peripheral membrane domain of the vacuolar H+-ATPase (V-ATPase), an electrogenic proton pump found throughout the endomembrane system, plays a role in the coupling of proton transport and ATP hydrolysis</t>
  </si>
  <si>
    <t>YEL050C</t>
  </si>
  <si>
    <t>RML2</t>
  </si>
  <si>
    <t>Mitochondrial ribosomal protein of the large subunit, has similarity to E. coli L2 ribosomal protein, fat21 mutant allele causes inability to utilize oleate and may interfere with activity of the Adr1p transcription factor</t>
  </si>
  <si>
    <t>YEL049W</t>
  </si>
  <si>
    <t>YEL048C</t>
  </si>
  <si>
    <t>YEL047C</t>
  </si>
  <si>
    <t>Fumurate ReDuctase Soluble</t>
  </si>
  <si>
    <t>YEL046C</t>
  </si>
  <si>
    <t>GLY1</t>
  </si>
  <si>
    <t>Threonine aldolase, catalyzes the cleavage of L-allo-threonine and L-threonine to glycine, involved in glycine biosynthesis</t>
  </si>
  <si>
    <t>YEL044W</t>
  </si>
  <si>
    <t>IES6</t>
  </si>
  <si>
    <t>YEL043W</t>
  </si>
  <si>
    <t>YEL042W</t>
  </si>
  <si>
    <t>GDA1</t>
  </si>
  <si>
    <t>Guanosine diphosphatase located in the Golgi, involved in the transport of GDP-mannose into the Golgi lumen by converting GDP to GMP after mannose is transferred its substrate</t>
  </si>
  <si>
    <t>YEL041W</t>
  </si>
  <si>
    <t>YEL040W</t>
  </si>
  <si>
    <t>UTR2</t>
  </si>
  <si>
    <t>Putative glycosidase, glycosylphosphatidylinositol (GPI)-anchored protein localized to the bud neck, has a role in cell wall maintenance</t>
  </si>
  <si>
    <t>YEL039C</t>
  </si>
  <si>
    <t>CYC7</t>
  </si>
  <si>
    <t>Cleavage and polyadenylation factor I (CF I) component involved in cleavage and polyadenylation of mRNA 3 ends, interacts with the A-rich polyadenylation signal in complex with Rna14p and Hrp1p</t>
  </si>
  <si>
    <t>YGL043W</t>
  </si>
  <si>
    <t>DST1</t>
  </si>
  <si>
    <t>General transcription elongation factor TFIIS, enables RNA polymerase II to read through blocks to elongation by stimulating cleavage of nascent transcripts stalled at transcription arrest sites</t>
  </si>
  <si>
    <t>YGL041C-B</t>
  </si>
  <si>
    <t>YGL040C</t>
  </si>
  <si>
    <t>HEM2</t>
  </si>
  <si>
    <t>Delta-aminolevulinate dehydratase, a homo-octameric enzyme, catalyzes the conversion of delta-aminolevulinic acid to porphobilinogen, the second step in the heme biosynthetic pathway, localizes to both the cytoplasm and nucleus</t>
  </si>
  <si>
    <t>YGL039W</t>
  </si>
  <si>
    <t>YGL038C</t>
  </si>
  <si>
    <t>OCH1</t>
  </si>
  <si>
    <t>Mannosyltransferase of the cis-Golgi apparatus, initiates the polymannose outer chain elongation of N-linked oligosaccharides of glycoproteins</t>
  </si>
  <si>
    <t>YGL037C</t>
  </si>
  <si>
    <t>PNC1</t>
  </si>
  <si>
    <t>Nicotinamidase that converts nicotinamide to nicotinic acid as part of the NAD(+) salvage pathway, required for life span extension by calorie restriction, PNC1 expression responds to all known stimuli that extend replicative life span</t>
  </si>
  <si>
    <t>YGL036W</t>
  </si>
  <si>
    <t>Mtf1 Two Hybrid Clone 2</t>
  </si>
  <si>
    <t>YGL035C</t>
  </si>
  <si>
    <t>MIG1</t>
  </si>
  <si>
    <t>Transcription factor involved in glucose repression, C2H2 zinc finger protein similar to mammalian Egr and Wilms tumor proteins</t>
  </si>
  <si>
    <t>YGL033W</t>
  </si>
  <si>
    <t>HOP2</t>
  </si>
  <si>
    <t>Meiosis-specific protein that localizes to chromosomes, preventing synapsis between nonhomologous chromosomes and ensuring synapsis between homologs, complexes with Mnd1p to promote homolog pairing and meiotic double-strand break repair</t>
  </si>
  <si>
    <t>YGL032C</t>
  </si>
  <si>
    <t>AGA2</t>
  </si>
  <si>
    <t>Adhesion subunit of a-agglutinin of a-cells, C-terminal sequence acts as a ligand for alpha-agglutinin (Sag1p) during agglutination, modified with O-linked oligomannosyl chains, linked to anchorage subunit Aga1p via two disulfide bonds</t>
  </si>
  <si>
    <t>YGL031C</t>
  </si>
  <si>
    <t>RPL24A</t>
  </si>
  <si>
    <t>Ribosomal protein L30 of the large (60S) ribosomal subunit, nearly identical to Rpl24Bp and has similarity to rat L24 ribosomal protein, not essential for translation but may be required for normal translation rate</t>
  </si>
  <si>
    <t>YGL030W</t>
  </si>
  <si>
    <t>RPL30</t>
  </si>
  <si>
    <t>Protein component of the large (60S) ribosomal subunit, has similarity to rat L30 ribosomal protein, involved in pre-rRNA processing in the nucleolus, autoregulates splicing of its transcript</t>
  </si>
  <si>
    <t>YGL029W</t>
  </si>
  <si>
    <t>CGR1</t>
  </si>
  <si>
    <t>Protein involved in nucleolar integrity and processing of the pre-rRNA for the 60S ribosome subunit, transcript is induced in response to cytotoxic stress but not genotoxic stress</t>
  </si>
  <si>
    <t>YGL028C</t>
  </si>
  <si>
    <t>SCW11</t>
  </si>
  <si>
    <t>Cell wall protein with similarity to glucanases, may play a role in conjugation during mating based on its regulation by Ste12p</t>
  </si>
  <si>
    <t>YGL027C</t>
  </si>
  <si>
    <t>CWH41</t>
  </si>
  <si>
    <t>Processing alpha glucosidase I, ER type II integral membrane N-glycoprotein involved in assembly of cell wall beta 1,6 glucan and asparagine-linked protein glycosylation, also involved in ER protein quality control and sensing of ER stress</t>
  </si>
  <si>
    <t>YGL026C</t>
  </si>
  <si>
    <t>TRP5</t>
  </si>
  <si>
    <t>Tryptophan synthase involved in tryptophan biosynthesis, regulated by the general control system of amino acid biosynthesis</t>
  </si>
  <si>
    <t>YGL025C</t>
  </si>
  <si>
    <t>PGD1</t>
  </si>
  <si>
    <t>Subunit of the Mediator global transcriptional cofactor complex, which is part of the RNA polymerase II holoenzyme and plays an essential role in basal and activated transcription, direct target of the Cyc8p-Tup1p transcriptional corepressor</t>
  </si>
  <si>
    <t>YGL023C</t>
  </si>
  <si>
    <t>PIB2</t>
  </si>
  <si>
    <t>Protein binding phosphatidylinositol 3-phosphate, involved in telomere-proximal repression of gene expression, similar to Fab1 and Vps27</t>
  </si>
  <si>
    <t>YGL022W</t>
  </si>
  <si>
    <t>STT3</t>
  </si>
  <si>
    <t>Subunit of the oligosaccharyltransferase complex of the ER lumen, which catalyzes asparagine-linked glycosylation of newly synthesized proteins, forms a subcomplex with Ost3p and Ost4p and is directly involved in catalysis</t>
  </si>
  <si>
    <t>YGL021W</t>
  </si>
  <si>
    <t>ALK1</t>
  </si>
  <si>
    <t>Putative Ser-Thr protein kinase, belongs to the haspin family of kinases, contains a leucine zipper motif, may function in mitosis</t>
  </si>
  <si>
    <t>YGL020C</t>
  </si>
  <si>
    <t>MDM39</t>
  </si>
  <si>
    <t>YGL019W</t>
  </si>
  <si>
    <t>CKB1</t>
  </si>
  <si>
    <t>beta (38kDa) subunit of protein kinase CK2</t>
  </si>
  <si>
    <t>YGL018C</t>
  </si>
  <si>
    <t>JAC1</t>
  </si>
  <si>
    <t>Molecular chaperone involved, with partner Ssq1p, in assembly of FeS clusters and in mitochondrial iron metabolism, contains a J domain typical to J-type chaperones, localizes to the mitochondrial matrix</t>
  </si>
  <si>
    <t>YGL017W</t>
  </si>
  <si>
    <t>ATE1</t>
  </si>
  <si>
    <t>Arginyl-tRNA-protein transferase, catalyzes post-translational conjugation of arginine to the amino termini of acceptor proteins which are then subject to degradation via the N-end rule pathway</t>
  </si>
  <si>
    <t>YGL016W</t>
  </si>
  <si>
    <t>KAP122</t>
  </si>
  <si>
    <t>Karyopherin beta, responsible for import of the Toa1p-Toa2p complex into the nucleus, binds to nucleoporins Nup1p and Nup2p, may play a role in regulation of pleiotropic drug resistance</t>
  </si>
  <si>
    <t>YGL015C</t>
  </si>
  <si>
    <t>YGL014W</t>
  </si>
  <si>
    <t>PUF4</t>
  </si>
  <si>
    <t>Member of the PUF protein family, which is defined by the presence of Pumilio homology domains that confer RNA binding activity, preferentially binds mRNAs encoding nucleolar ribosomal RNA-processing factors</t>
  </si>
  <si>
    <t>YGL013C</t>
  </si>
  <si>
    <t>PDR1</t>
  </si>
  <si>
    <t>Zinc cluster protein that is a master regulator involved in recruiting other zinc cluster proteins to pleiotropic drug response elements (PDREs) to fine tune the regulation of multidrug resistance genes</t>
  </si>
  <si>
    <t>YGL012W</t>
  </si>
  <si>
    <t>ERG4</t>
  </si>
  <si>
    <t>C-24(28) sterol reductase, catalyzes the final step in ergosterol biosynthesis, mutants are viable, but lack ergosterol</t>
  </si>
  <si>
    <t>YGL011C</t>
  </si>
  <si>
    <t>SCL1</t>
  </si>
  <si>
    <t>Alpha subunit of the 20S core complex of the 26S proteasome involved in the degradation of ubiquitinated substrates, essential for growth, detected in the mitochondria</t>
  </si>
  <si>
    <t>YGL010W</t>
  </si>
  <si>
    <t>YGL009C</t>
  </si>
  <si>
    <t>LEU1</t>
  </si>
  <si>
    <t>Isopropylmalate isomerase, catalyzes the second step in the leucine biosynthesis pathway</t>
  </si>
  <si>
    <t>YGL008C</t>
  </si>
  <si>
    <t>PMA1</t>
  </si>
  <si>
    <t>Plasma membrane H+-ATPase, pumps protons out of the cell, major regulator of cytoplasmic pH and plasma membrane potential, part of the P2 subgroup of cation-transporting ATPases</t>
  </si>
  <si>
    <t>Gamma subunit of the translation initiation factor eIF2, involved in the identification of the start codon, binds GTP when forming the ternary complex with GTP and tRNAi-Met</t>
  </si>
  <si>
    <t>YER024W</t>
  </si>
  <si>
    <t>YAT2</t>
  </si>
  <si>
    <t>Carnitine acetyltransferase, has similarity to Yat1p, which is a carnitine acetyltransferase associated with the mitochondrial outer membrane</t>
  </si>
  <si>
    <t>YER023W</t>
  </si>
  <si>
    <t>PRO3</t>
  </si>
  <si>
    <t>Delta 1-pyrroline-5-carboxylate reductase, catalyzes the last step in proline biosynthesis</t>
  </si>
  <si>
    <t>YER021W</t>
  </si>
  <si>
    <t>RPN3</t>
  </si>
  <si>
    <t>Essential, non-ATPase regulatory subunit of the 26S proteasome lid, similar to the p58 subunit of the human 26S proteasome, temperature-sensitive alleles cause metaphase arrest, suggesting a role for the proteasome in cell cycle control</t>
  </si>
  <si>
    <t>YER020W</t>
  </si>
  <si>
    <t>GPA2</t>
  </si>
  <si>
    <t>Nucleotide binding alpha subunit of the heterotrimeric G protein that interacts with the receptor Gpr1p, has signaling role in response to nutrients, green fluorescent protein (GFP)-fusion protein localizes to the cell periphery</t>
  </si>
  <si>
    <t>YER019W</t>
  </si>
  <si>
    <t>ISC1</t>
  </si>
  <si>
    <t>Inositol phosphosphingolipid phospholipase C, hydrolyzes inositolphosphosphingolipids, activated by phosphatidylserine, cardiolipin, and phosphatidylglycerol, mediates Na+ and Li+ halotolerance, contains a P loop-like domain</t>
  </si>
  <si>
    <t>YER019C-A</t>
  </si>
  <si>
    <t>SBH2</t>
  </si>
  <si>
    <t>Ssh1p-Sss1p-Sbh2p complex component, involved in protein translocation into the endoplasmic reticulum, homologous to Sbh1p</t>
  </si>
  <si>
    <t>YER018C</t>
  </si>
  <si>
    <t>SPC25</t>
  </si>
  <si>
    <t>YER017C</t>
  </si>
  <si>
    <t>AFG3</t>
  </si>
  <si>
    <t>Component, with Yta12p, of the mitochondrial inner membrane m-AAA protease that mediates degradation of misfolded or unassembled proteins and is also required for correct assembly of mitochondrial enzyme complexes</t>
  </si>
  <si>
    <t>YER016W</t>
  </si>
  <si>
    <t>BIM1</t>
  </si>
  <si>
    <t>Microtubule-binding protein that together with Kar9p makes up the cortical microtubule capture site and delays the exit from mitosis when the spindle is oriented abnormally</t>
  </si>
  <si>
    <t>YER015W</t>
  </si>
  <si>
    <t>FAA2</t>
  </si>
  <si>
    <t>Endoplasmic reticulum protein that may function as a cochaperone, as suggested by the presence of a DnaJ-like domain</t>
  </si>
  <si>
    <t>YFR040W</t>
  </si>
  <si>
    <t>SAP155</t>
  </si>
  <si>
    <t>Protein that forms a complex with the Sit4p protein phosphatase and is required for its function, member of a family of similar proteins including Sap4p, Sap185p, and Sap190p</t>
  </si>
  <si>
    <t>YFR039C</t>
  </si>
  <si>
    <t>YFR038W</t>
  </si>
  <si>
    <t>YFR037C</t>
  </si>
  <si>
    <t>RSC8</t>
  </si>
  <si>
    <t>One of 15 subunits of the Remodel the Structure of Chromatin (RSC) complex, essential for viability and mitotic growth, homolog of SWISNF subunit Swi3p, but unlike Swi3p, does not activate transcription of reporters</t>
  </si>
  <si>
    <t>YFR036W</t>
  </si>
  <si>
    <t>CDC26</t>
  </si>
  <si>
    <t>YFR035C</t>
  </si>
  <si>
    <t>YFR034C</t>
  </si>
  <si>
    <t>PHO4</t>
  </si>
  <si>
    <t>Basic helix-loop-helix (bHLH) transcription factor, binds cooperatively with Pho2p to the PHO5 promoter, function is regulated by phosphorylation at multiple sites and by phosphate availability</t>
  </si>
  <si>
    <t>YFR033C</t>
  </si>
  <si>
    <t>QCR6</t>
  </si>
  <si>
    <t>Subunit 6 of the ubiquinol cytochrome-c reductase complex, which is a component of the mitochondrial inner membrane electron transport chain, highly acidic protein, required for maturation of cytochrome c1</t>
  </si>
  <si>
    <t>YFR032C-B</t>
  </si>
  <si>
    <t>YFR032C-A</t>
  </si>
  <si>
    <t>RPL29</t>
  </si>
  <si>
    <t>Protein component of the large (60S) ribosomal subunit, has similarity to rat L29 ribosomal protein, not essential for translation, but required for proper joining of the large and small ribosomal subunits and for normal translation rate</t>
  </si>
  <si>
    <t>YFR032C</t>
  </si>
  <si>
    <t>YFR031C-A</t>
  </si>
  <si>
    <t>YFR031C</t>
  </si>
  <si>
    <t>SMC2</t>
  </si>
  <si>
    <t>Component of the condensin complex, essential SMC chromosomal ATPase family member that forms a complex with Smc4p to form the active ATPase, Smc2pSmc4p complex binds DNA, possibly in the cleft formed by the coiled-coil of the folded dimer</t>
  </si>
  <si>
    <t>YFR030W</t>
  </si>
  <si>
    <t>MET10</t>
  </si>
  <si>
    <t>Subunit alpha of assimilatory sulfite reductase, which is responsible for the conversion of sulfite into sulfide</t>
  </si>
  <si>
    <t>YFR029W</t>
  </si>
  <si>
    <t>PTR3</t>
  </si>
  <si>
    <t>YFR028C</t>
  </si>
  <si>
    <t>CDC14</t>
  </si>
  <si>
    <t>Golgi localized protein component of the spindle assembly checkpoint, homolog of human GRASP65, which functions in postmitotic reassembly of Golgi stacks</t>
  </si>
  <si>
    <t>YDR516C</t>
  </si>
  <si>
    <t>EMI2</t>
  </si>
  <si>
    <t>YDR515W</t>
  </si>
  <si>
    <t>SLF1</t>
  </si>
  <si>
    <t>RNA binding protein that associates with polysomes, proposed to be involved in regulating mRNA translation, involved in the copper-dependent mineralization of copper sulfide complexes on cell surface in cells cultured in copper salts</t>
  </si>
  <si>
    <t>YDR514C</t>
  </si>
  <si>
    <t>YDR513W</t>
  </si>
  <si>
    <t>TTR1</t>
  </si>
  <si>
    <t>Cytoplasmic glutaredoxin, thioltransferase, glutathione-dependent disulfide oxidoreductase involved in maintaining redox state of target proteins, also exhibits glutathione peroxidase activity, expression induced in response to stress</t>
  </si>
  <si>
    <t>YDR512C</t>
  </si>
  <si>
    <t>EMI1</t>
  </si>
  <si>
    <t>YDR511W</t>
  </si>
  <si>
    <t>ACN9</t>
  </si>
  <si>
    <t>Protein of the mitochondrial intermembrane space, required for acetate utilization and gluconeogenesis, has orthologs in higher eukaryotes</t>
  </si>
  <si>
    <t>YDR510W</t>
  </si>
  <si>
    <t>SMT3</t>
  </si>
  <si>
    <t>Ubiquitin-like protein of the SUMO family, conjugated to lysine residues of target proteins, regulates chromatid cohesion, chromosome segregation, APC-mediated proteolysis, DNA replication and septin ring dynamics</t>
  </si>
  <si>
    <t>YDR508C</t>
  </si>
  <si>
    <t>GNP1</t>
  </si>
  <si>
    <t>High-affinity glutamine permease, also transports Leu, Ser, Thr, Cys, Met and Asn, expression is fully dependent on Grr1p and modulated by the Ssy1p-Ptr3p-Ssy5p (SPS) sensor of extracellular amino acids</t>
  </si>
  <si>
    <t>YDR507C</t>
  </si>
  <si>
    <t>GIN4</t>
  </si>
  <si>
    <t>Protein kinase involved in bud growth and assembly of the septin ring, proposed to have kinase-dependent and kinase-independent activities, undergoes autophosphorylation, similar to Kcc4p and Hsl1p</t>
  </si>
  <si>
    <t>YDR506C</t>
  </si>
  <si>
    <t>YDR505C</t>
  </si>
  <si>
    <t>PSP1</t>
  </si>
  <si>
    <t>Asn and gln rich protein of unknown function, high-copy suppressor of POL1 (DNA polymerase alpha) and partial suppressor of CDC2 (polymerase delta) and CDC6 (pre-RC loading factor) mutations, overexpression results in growth inhibition</t>
  </si>
  <si>
    <t>YDR504C</t>
  </si>
  <si>
    <t>SPG3</t>
  </si>
  <si>
    <t>YDR503C</t>
  </si>
  <si>
    <t>LPP1</t>
  </si>
  <si>
    <t>Lipid phosphate phosphatase, catalyzes Mg(2+)-independent dephosphorylation of phosphatidic acid (PA), lysophosphatidic acid, and diacylglycerol pyrophosphate, involved in control of the cellular levels of phosphatidylinositol and PA</t>
  </si>
  <si>
    <t>YDR502C</t>
  </si>
  <si>
    <t>SAM2</t>
  </si>
  <si>
    <t>YDR501W</t>
  </si>
  <si>
    <t>PLM2</t>
  </si>
  <si>
    <t>Protein required for partitioning of the 2-micron plasmid</t>
  </si>
  <si>
    <t>YDR500C</t>
  </si>
  <si>
    <t>RPL37B</t>
  </si>
  <si>
    <t>Protein component of the large (60S) ribosomal subunit, has similarity to Rpl37Ap and to rat L37 ribosomal protein</t>
  </si>
  <si>
    <t>YDR499W</t>
  </si>
  <si>
    <t>LCD1</t>
  </si>
  <si>
    <t>Essential protein required for the DNA integrity checkpoint pathways, interacts physically with Mec1p, putative homolog of S. pombe Rad26 and human ATRIP</t>
  </si>
  <si>
    <t>YDR498C</t>
  </si>
  <si>
    <t>SEC20</t>
  </si>
  <si>
    <t>Membrane glycoprotein v-SNARE involved in retrograde transport from the Golgi to the ER, required for N- and O-glycosylation in the Golgi but not in the ER, forms a complex with the cytosolic Tip20p</t>
  </si>
  <si>
    <t>YDR497C</t>
  </si>
  <si>
    <t>ITR1</t>
  </si>
  <si>
    <t xml:space="preserve">Myo-inositol transporter with strong similarity to the minor myo-inositol transporter Itr2p, member of the sugar transporter superfamily, expression is repressed by inositol and choline via Opi1p and derepressed via Ino2p and Ino4p </t>
  </si>
  <si>
    <t>YDR496C</t>
  </si>
  <si>
    <t>PUF6</t>
  </si>
  <si>
    <t>Pumilio-homology domain protein that binds ASH1 mRNA at PUF consensus sequences in the 3 UTR and represses its translation, resulting in proper asymmetric localization of ASH1 mRNA</t>
  </si>
  <si>
    <t>YDR495C</t>
  </si>
  <si>
    <t>VPS3</t>
  </si>
  <si>
    <t>Cytoplasmic protein required for the sorting and processing of soluble vacuolar proteins, acidification of the vacuolar lumen, and assembly of the vacuolar H+-ATPase</t>
  </si>
  <si>
    <t>YDR494W</t>
  </si>
  <si>
    <t>RSM28</t>
  </si>
  <si>
    <t>Mitochondrial ribosomal protein of the small subunit, genetic interactions suggest a possible role in promoting translation initiation</t>
  </si>
  <si>
    <t>YDR493W</t>
  </si>
  <si>
    <t>YDR492W</t>
  </si>
  <si>
    <t>IZH1</t>
  </si>
  <si>
    <t>Membrane protein involved in zinc metabolism, member of the four-protein IZH family, transcription is regulated directly by Zap1p, expression induced by zinc deficiency and fatty acids, deletion increases sensitivity to elevated zinc</t>
  </si>
  <si>
    <t>YDR490C</t>
  </si>
  <si>
    <t>PKH1</t>
  </si>
  <si>
    <t>Serinethreonine protein kinase involved in sphingolipid-mediated signaling pathway that controls endocytosis, activates Ypk1p and Ykr2p, components of signaling cascade required for maintenance of cell wall integrity, redundant with Pkh2p</t>
  </si>
  <si>
    <t>YDR489W</t>
  </si>
  <si>
    <t>SLD5</t>
  </si>
  <si>
    <t>YDR488C</t>
  </si>
  <si>
    <t>PAC11</t>
  </si>
  <si>
    <t>Dynein intermediate chain, acts in the cytoplasmic dynein pathway, forms cortical cytoplasmic microtubule capture site with Num1p, null mutant is defective in nuclear migration, essential in the absence of CIN8</t>
  </si>
  <si>
    <t>YDR487C</t>
  </si>
  <si>
    <t>RIB3</t>
  </si>
  <si>
    <t>3,4-dihydroxy-2-butanone-4-phosphate synthase (DHBP synthase), required for riboflavin biosynthesis from ribulose-5-phosphate, also has an unrelated function in mitochondrial respiration</t>
  </si>
  <si>
    <t>YDR486C</t>
  </si>
  <si>
    <t>VPS60</t>
  </si>
  <si>
    <t>Cytoplasmic and vacuolar membrane protein involved in late endosome to vacuole transport, required for normal filament maturation during pseudohyphal growth, may function in targeting specific cargo proteins for degradation</t>
  </si>
  <si>
    <t>YDR485C</t>
  </si>
  <si>
    <t>VPS72</t>
  </si>
  <si>
    <t>YDR484W</t>
  </si>
  <si>
    <t>VPS52</t>
  </si>
  <si>
    <t>Component of the GARP (Golgi-associated retrograde protein) complex, Vps51p-Vps52p-Vps53p-Vps54p, which is required for the recycling of proteins from endosomes to the late Golgi, involved in localization of actin and chitin</t>
  </si>
  <si>
    <t>YDR483W</t>
  </si>
  <si>
    <t>KRE2</t>
  </si>
  <si>
    <t>Alpha1,2-mannosyltransferase of the Golgi involved in protein mannosylation</t>
  </si>
  <si>
    <t>YDR482C</t>
  </si>
  <si>
    <t>CWC21</t>
  </si>
  <si>
    <t>Component of a complex containing Cef1p, putatively involved in pre-mRNA splicing, may bind RNA, has similarity to S. pombe Cwf21p</t>
  </si>
  <si>
    <t>YDR481C</t>
  </si>
  <si>
    <t>PHO8</t>
  </si>
  <si>
    <t>Repressible alkaline phosphatase, a glycoprotein localized to the vacuole, regulated by levels of inorganic phosphate and by a system consisting of Pho4p, Pho9p, Pho80p, Pho81p and Pho85p, dephosphorylates phosphotyrosyl peptides</t>
  </si>
  <si>
    <t>YDR480W</t>
  </si>
  <si>
    <t>DIG2</t>
  </si>
  <si>
    <t>Regulatory protein of unknown function, pheromone-inducible, involved in the regulation of mating-specific genes and the invasive growth pathway, required for MAP-kinase imposed repression, inhibits pheromone-responsive transcription</t>
  </si>
  <si>
    <t>YDR479C</t>
  </si>
  <si>
    <t>PEX29</t>
  </si>
  <si>
    <t>YDR478W</t>
  </si>
  <si>
    <t>SNM1</t>
  </si>
  <si>
    <t>Subunit of RNase MRP, which cleaves pre-rRNA, not shared between Rnase MRP and nuclear Rnase P, in contrast to all other Rnase MRP protein subunits, binds to the NME1 RNA subunit of Rnase MRP</t>
  </si>
  <si>
    <t>YDR477W</t>
  </si>
  <si>
    <t>SNF1</t>
  </si>
  <si>
    <t>AMP-activated serinethreonine protein kinase found in a complex containing Snf4p and members of the Sip1pSip2pGal83p family, required for transcription of glucose-repressed genes, thermotolerance, sporulation, and peroxisome biogenesis</t>
  </si>
  <si>
    <t>YDR476C</t>
  </si>
  <si>
    <t>YDR475C</t>
  </si>
  <si>
    <t>Protein of unknown function, previously annotated as two separate ORFs, YDR474C and YDR475C, which were merged as a result of corrections to the systematic reference sequence</t>
  </si>
  <si>
    <t>YDR473C</t>
  </si>
  <si>
    <t>PRP3</t>
  </si>
  <si>
    <t>YDR472W</t>
  </si>
  <si>
    <t>TRS31</t>
  </si>
  <si>
    <t>YDR471W</t>
  </si>
  <si>
    <t>Protein of unknown function, nearly identical to Sno3p, expression is induced before the diauxic shift and also in the absence of thiamin  Protein of unknown function, nearly identical to Sno2p, expression is induced before the diauxic shift and also in the absence of thiamin</t>
  </si>
  <si>
    <t>YFL059W</t>
  </si>
  <si>
    <t>Member of a stationary phase-induced gene family, transcription of SNZ2 is induced prior to diauxic shift, and also in the absence of thiamin in a Thi2p-dependent manner, forms a coregulated gene pair with SNO2, interacts with Thi11p  Member of a stationary phase-induced gene family, transcription of SNZ2 is induced prior to diauxic shift, and also in the absence of thiamin in a Thi2p-dependent manner, forms a coregulated gene pair with SNO3</t>
  </si>
  <si>
    <t>YFL056C</t>
  </si>
  <si>
    <t>AAD6</t>
  </si>
  <si>
    <t>Putative aryl-alcohol dehydrogenase with similarity to P. chrysosporium aryl-alcohol dehydrogenase, involved in the oxidative stress response</t>
  </si>
  <si>
    <t>YFL055W</t>
  </si>
  <si>
    <t>AGP3</t>
  </si>
  <si>
    <t>Low-affinity amino acid permease, may act to supply the cell with amino acids as nitrogen source in nitrogen-poor conditions, transcription is induced under conditions of sulfur limitation</t>
  </si>
  <si>
    <t>YFL054C</t>
  </si>
  <si>
    <t>YFL053W</t>
  </si>
  <si>
    <t>DAK2</t>
  </si>
  <si>
    <t>YFL052W</t>
  </si>
  <si>
    <t>YFL051C</t>
  </si>
  <si>
    <t>YFL050C</t>
  </si>
  <si>
    <t>ALR2</t>
  </si>
  <si>
    <t>Probable Mg(2+) transporter, overexpression confers increased tolerance to Al(3+) and Ga(3+) ions</t>
  </si>
  <si>
    <t>YFL049W</t>
  </si>
  <si>
    <t>YFL048C</t>
  </si>
  <si>
    <t>EMP47</t>
  </si>
  <si>
    <t>YFL047W</t>
  </si>
  <si>
    <t>RGD2</t>
  </si>
  <si>
    <t>GTPase-activating protein (RhoGAP) for Cdc42p and Rho5p</t>
  </si>
  <si>
    <t>YFL046W</t>
  </si>
  <si>
    <t>YFL045C</t>
  </si>
  <si>
    <t>SEC53</t>
  </si>
  <si>
    <t>Long chain fatty acyl-CoA synthetase, accepts a wider range of acyl chain lengths than Faa1p, preferring C9:0-C13:0, involved in the activation of endogenous pools of fatty acids</t>
  </si>
  <si>
    <t>YER014W</t>
  </si>
  <si>
    <t>HEM14</t>
  </si>
  <si>
    <t>Protoporphyrinogen oxidase, a mitochondrial enzyme that catalyzes the seventh step in the heme biosynthetic pathway, converting protoporphyrinogen IX to protoporphyrin IX</t>
  </si>
  <si>
    <t>YER014C-A</t>
  </si>
  <si>
    <t>BUD25</t>
  </si>
  <si>
    <t>YER013W</t>
  </si>
  <si>
    <t>PRP22</t>
  </si>
  <si>
    <t>DEAH-box RNA-dependent ATPaseATP-dependent RNA helicase, associates with lariat intermediates before the second catalytic step of splicing, mediates ATP-dependent mRNA release from the spliceosome and unwinds RNA duplexes</t>
  </si>
  <si>
    <t>YER012W</t>
  </si>
  <si>
    <t>PRE1</t>
  </si>
  <si>
    <t>20S proteasome beta-type subunit, localizes to the nucleus throughout the cell cycle</t>
  </si>
  <si>
    <t>YER011W</t>
  </si>
  <si>
    <t>TIR1</t>
  </si>
  <si>
    <t>Cell wall mannoprotein of the Srp1pTip1p family of serine-alanine-rich proteins, expression is downregulated at acidic pH and induced by cold shock and anaerobiosis, abundance is increased in cells cultured without shaking</t>
  </si>
  <si>
    <t>YER010C</t>
  </si>
  <si>
    <t>YER009W</t>
  </si>
  <si>
    <t>NTF2</t>
  </si>
  <si>
    <t>Nuclear envelope protein, interacts with GDP-bound Gsp1p and with proteins of the nuclear pore to transport Gsp1p into the nucleus where it is an essential player in nucleocytoplasmic transport</t>
  </si>
  <si>
    <t>YER008C</t>
  </si>
  <si>
    <t>SEC3</t>
  </si>
  <si>
    <t>Non-essential subunit of the exocyst complex (Sec3p, Sec5p, Sec6p, Sec8p, Sec10p, Sec15p, Exo70p, Exo84p) which mediates targeting of post-Golgi vesicles to sites of active exocytosis, Sec3p specifically is a spatial landmark for secretion</t>
  </si>
  <si>
    <t>YER007W</t>
  </si>
  <si>
    <t>PAC2</t>
  </si>
  <si>
    <t>Microtubule effector required for tubulin heterodimer formation, binds alpha-tubulin, required for normal microtubule function, null mutant exhibits cold-sensitive microtubules and sensitivity to benomyl</t>
  </si>
  <si>
    <t>YER007C-A</t>
  </si>
  <si>
    <t>YER006W</t>
  </si>
  <si>
    <t>NUG1</t>
  </si>
  <si>
    <t>GTPase that associates with nuclear 60S pre-ribosomes, required for export of 60S ribosomal subunits from the nucleus</t>
  </si>
  <si>
    <t>YER005W</t>
  </si>
  <si>
    <t>YND1</t>
  </si>
  <si>
    <t>Apyrase with wide substrate specificity, involved in preventing the inhibition of glycosylation by hydrolyzing nucleoside tri- and diphosphates which are inhibitors of glycotransferases, partially redundant with Gda1p</t>
  </si>
  <si>
    <t>YER004W</t>
  </si>
  <si>
    <t>YER003C</t>
  </si>
  <si>
    <t>PMI40</t>
  </si>
  <si>
    <t>Mannose-6-phosphate isomerase, catalyzes the interconversion of fructose-6-P and mannose-6-P, required for early steps in protein mannosylation</t>
  </si>
  <si>
    <t>YER002W</t>
  </si>
  <si>
    <t>NOP16</t>
  </si>
  <si>
    <t>YER001W</t>
  </si>
  <si>
    <t>MNN1</t>
  </si>
  <si>
    <t>Alpha-1,3-mannosyltransferase, integral membrane glycoprotein of the Golgi complex, required for addition of alpha1,3-mannose linkages to N-linked and O-linked oligosaccharides, one of five S. cerevisiae proteins of the MNN1 family</t>
  </si>
  <si>
    <t>YEL076C-A</t>
  </si>
  <si>
    <t>Cytochrome c isoform 2, expressed under hypoxic conditions, electron carrier of the mitochondrial intermembrane space that transfers electrons from ubiquinone-cytochrome c oxidoreductase to cytochrome c oxidase during cellular respiration</t>
  </si>
  <si>
    <t>YEL038W</t>
  </si>
  <si>
    <t>UTR4</t>
  </si>
  <si>
    <t>Protein of unknown function, found in both the cytoplasm and nucleus</t>
  </si>
  <si>
    <t>YEL037C</t>
  </si>
  <si>
    <t>RAD23</t>
  </si>
  <si>
    <t>Protein with ubiquitin-like N terminus, recognizes and binds damaged DNA (with Rad4p) during nucleotide excision repair, regulates Rad4p levels, subunit of Nuclear Excision Repair Factor 2 (NEF2), homolog of human HR23A and HR23B proteins</t>
  </si>
  <si>
    <t>YEL036C</t>
  </si>
  <si>
    <t>ANP1</t>
  </si>
  <si>
    <t>Subunit of the alpha-1,6 mannosyltransferase complex, type II membrane protein, has a role in retention of glycosyltransferases in the Golgi, involved in osmotic sensitivity and resistance to aminonitrophenyl propanediol</t>
  </si>
  <si>
    <t>YEL035C</t>
  </si>
  <si>
    <t>UTR5</t>
  </si>
  <si>
    <t>Protein of unknown function, transcription may be regulated by Gcr1p</t>
  </si>
  <si>
    <t>YEL034W</t>
  </si>
  <si>
    <t>HYP2</t>
  </si>
  <si>
    <t>Translation initiation factor eIF-5A, promotes formation of the first peptide bond, similar to and functionally redundant with Anb1p, undergoes an essential hypusination modification, expressed under aerobic conditions</t>
  </si>
  <si>
    <t>YEL032W</t>
  </si>
  <si>
    <t>MCM3</t>
  </si>
  <si>
    <t>YEL031W</t>
  </si>
  <si>
    <t>SPF1</t>
  </si>
  <si>
    <t>P-type ATPase, ion transporter of the ER membrane involved in ER function and Ca2+ homeostasis, required for regulating Hmg2p degradation, confers sensitivity to a killer toxin (SMKT) produced by Pichia farinosa KK1</t>
  </si>
  <si>
    <t>YEL030W</t>
  </si>
  <si>
    <t>ECM10</t>
  </si>
  <si>
    <t>Heat shock protein of the Hsp70 family, localized in mitochondrial nucleoids, plays a role in protein translocation, interacts with Mge1p in an ATP-dependent manner, overexpression induces extensive mitochondrial DNA aggregations</t>
  </si>
  <si>
    <t>YEL029C</t>
  </si>
  <si>
    <t>BUD16</t>
  </si>
  <si>
    <t>Protein involved in bud-site selection, diploid mutants display a random budding pattern instead of the wild-type bipolar pattern, has similarity to pyridoxal kinases</t>
  </si>
  <si>
    <t>YEL027W</t>
  </si>
  <si>
    <t>CUP5</t>
  </si>
  <si>
    <t>Proteolipid subunit of the vacuolar H(+)-ATPase V0 sector (subunit c, dicyclohexylcarbodiimide binding subunit), required for vacuolar acidification and important for copper and iron metal ion homeostasis</t>
  </si>
  <si>
    <t>YEL026W</t>
  </si>
  <si>
    <t>SNU13</t>
  </si>
  <si>
    <t>RNA binding protein, part of U3 snoRNP involved in rRNA processing, part of U4U6-U5 tri-snRNP involved in mRNA splicing, similar to human 15.5K protein</t>
  </si>
  <si>
    <t>YEL025C</t>
  </si>
  <si>
    <t>SWISNF and RSC interacting protein 1</t>
  </si>
  <si>
    <t>YEL024W</t>
  </si>
  <si>
    <t>RIP1</t>
  </si>
  <si>
    <t>Ubiquinol-cytochrome-c reductase, a Rieske iron-sulfur protein of the mitochondrial cytochrome bc1 complex, transfers electrons from ubiquinol to cytochrome c1 during respiration</t>
  </si>
  <si>
    <t>YEL023C</t>
  </si>
  <si>
    <t>YEL022W</t>
  </si>
  <si>
    <t>GEA2</t>
  </si>
  <si>
    <t>Guanine nucleotide exchange factor for ADP ribosylation factors (ARFs), involved in vesicular transport between the Golgi and ER, Golgi organization, and actin cytoskeleton organization, similar to but not functionally redundant with Gea1p</t>
  </si>
  <si>
    <t>YEL021W</t>
  </si>
  <si>
    <t>URA3</t>
  </si>
  <si>
    <t>Orotidine-5-phosphate (OMP) decarboxylase, catalyzes the sixth enzymatic step in the de novo biosynthesis of pyrimidines, converting OMP into uridine monophosphate (UMP), converts 5-FOA into 5-fluorouracil, a toxic compound</t>
  </si>
  <si>
    <t>YEL020W-A</t>
  </si>
  <si>
    <t>TIM9</t>
  </si>
  <si>
    <t>Mitochondrial intermembrane space protein mediating import and insertion of polytopic inner membrane proteins</t>
  </si>
  <si>
    <t>YEL020C</t>
  </si>
  <si>
    <t>YEL019C</t>
  </si>
  <si>
    <t>MMS21</t>
  </si>
  <si>
    <t>SUMO ligase involved in chromosomal organization and DNA repair, forms a complex with Smc5p, Rhc18p, and Nse1p, mutants are sensitive to methyl methanesulfonate and show increased spontaneous mutation and mitotic recombination</t>
  </si>
  <si>
    <t>YEL018W</t>
  </si>
  <si>
    <t>EAF5</t>
  </si>
  <si>
    <t>YEL017W</t>
  </si>
  <si>
    <t>GTT3</t>
  </si>
  <si>
    <t>Protein of unknown function with a possible role in glutathione metabolism, as suggested by computational analysis of large-scale protein-protein interaction data, GFP-fusion protein localizes to the nuclear periphery</t>
  </si>
  <si>
    <t>YEL017C-A</t>
  </si>
  <si>
    <t>PMP2</t>
  </si>
  <si>
    <t>May regulate plasma membrane H(+)-ATPase, nearly identical to PMP1, Proteolipid associated with plasma membrane H(+)-ATPase (Pma1p)</t>
  </si>
  <si>
    <t>YEL016C</t>
  </si>
  <si>
    <t>YEL015W</t>
  </si>
  <si>
    <t>EDC3</t>
  </si>
  <si>
    <t>Non-essential conserved protein of unknown function, plays a role in mRNA decapping by specifically affecting the function of the decapping enzyme Dcp1p, localizes to cytoplasmic mRNA processing bodies</t>
  </si>
  <si>
    <t>YEL013W</t>
  </si>
  <si>
    <t>VAC8</t>
  </si>
  <si>
    <t>Phosphorylated vacuolar membrane protein that interacts with Atg13p, required for the cytoplasm-to-vacuole targeting (Cvt) pathway, interacts with Nvj1p to form nucleus-vacuole junctions</t>
  </si>
  <si>
    <t>YEL012W</t>
  </si>
  <si>
    <t>UBC8</t>
  </si>
  <si>
    <t>Ubiquitin-conjugating enzyme that negatively regulates gluconeogenesis by mediating the glucose-induced ubiquitination of fructose-1,6-bisphosphatase (FBPase), cytoplasmic enzyme that catalyzes the ubiquitination of histones in vitro</t>
  </si>
  <si>
    <t>YEL011W</t>
  </si>
  <si>
    <t>GLC3</t>
  </si>
  <si>
    <t>Glycogen branching enzyme, involved in glycogen accumulation, green fluorescent protein (GFP)-fusion protein localizes to the cytoplasm in a punctate pattern</t>
  </si>
  <si>
    <t>YEL009C</t>
  </si>
  <si>
    <t>GCN4</t>
  </si>
  <si>
    <t>Transcriptional activator of amino acid biosynthetic genes in response to amino acid starvation, expression is tightly regulated at both the transcriptional and translational levels</t>
  </si>
  <si>
    <t>YEL007W</t>
  </si>
  <si>
    <t>YEL006W</t>
  </si>
  <si>
    <t>YEL005C</t>
  </si>
  <si>
    <t>VAB2</t>
  </si>
  <si>
    <t>Protein with a potential role in vacuolar function, as suggested by its ability to bind Vac8p, green fluorescent protein (GFP)-fusion protein localizes to the cytoplasm in a punctate pattern</t>
  </si>
  <si>
    <t>YEL004W</t>
  </si>
  <si>
    <t>YEA4</t>
  </si>
  <si>
    <t>Uridine diphosphate-N-acetylglucosamine (UDP-GlcNAc) transporter required for cell wall chitin synthesis, localized to the ER</t>
  </si>
  <si>
    <t>YEL003W</t>
  </si>
  <si>
    <t>GIM4</t>
  </si>
  <si>
    <t>YEL002C</t>
  </si>
  <si>
    <t>WBP1</t>
  </si>
  <si>
    <t>Beta subunit of the oligosaccharyl transferase (OST) glycoprotein complex, required for N-linked glycosylation of proteins in the endoplasmic reticulum</t>
  </si>
  <si>
    <t>YEL001C</t>
  </si>
  <si>
    <t>YDR541C</t>
  </si>
  <si>
    <t>YDR540C</t>
  </si>
  <si>
    <t>YDR539W</t>
  </si>
  <si>
    <t>YDR538W</t>
  </si>
  <si>
    <t>PAD1</t>
  </si>
  <si>
    <t>Phenylacrylic acid decarboxylase, confers resistance to cinnamic acid, decarboxylates aromatic carboxylic acids to the corresponding vinyl derivatives</t>
  </si>
  <si>
    <t>YDR536W</t>
  </si>
  <si>
    <t>STL1</t>
  </si>
  <si>
    <t>Glycerol proton symporter of the plasma membrane, subject to glucose-induced inactivation, strongly but transiently induced when cells are subjected to osmotic shock</t>
  </si>
  <si>
    <t>YDR534C</t>
  </si>
  <si>
    <t>FIT1</t>
  </si>
  <si>
    <t>YDR533C</t>
  </si>
  <si>
    <t>HSP31</t>
  </si>
  <si>
    <t>Possible chaperone and cysteine protease with similarity to E. coli Hsp31 and S. cerevisiae Hsp32p, Hsp33p, and Sno4p, member of the DJ-1ThiJPfpI superfamily, which includes human DJ-1 involved in Parkinsons disease, exists as a dimer</t>
  </si>
  <si>
    <t>YDR532C</t>
  </si>
  <si>
    <t>Protein of unknown function that localizes to the nuclear side of the spindle pole body and along short spindles, forms a complex with Spc105p</t>
  </si>
  <si>
    <t>YDR531W</t>
  </si>
  <si>
    <t>Pantothenate kinase (ATP:D-pantothenate 4-phosphotransferase, EC 2.7.1.33) catalyzes the first committed step in the universal biosynthetic pathway leading to CoA.</t>
  </si>
  <si>
    <t>YDR530C</t>
  </si>
  <si>
    <t>APA2</t>
  </si>
  <si>
    <t>Diadenosine 5,5-P1,P4-tetraphosphate phosphorylase II (AP4A phosphorylase), involved in catabolism of bis(5-nucleosidyl) tetraphosphates, has similarity to Apa1p</t>
  </si>
  <si>
    <t>YDR529C</t>
  </si>
  <si>
    <t>QCR7</t>
  </si>
  <si>
    <t>Subunit 7 of the ubiquinol cytochrome-c reductase complex, which is a component of the mitochondrial inner membrane electron transport chain, oriented facing the mitochondrial matrix, N-terminus appears to play a role in complex assembly</t>
  </si>
  <si>
    <t>YDR528W</t>
  </si>
  <si>
    <t>HLR1</t>
  </si>
  <si>
    <t>YER174C</t>
  </si>
  <si>
    <t>GRX4</t>
  </si>
  <si>
    <t>Hydroperoxide and superoxide-radical responsive glutathione-dependent oxidoreductase, monothiol glutaredoxin subfamily member along with Grx3p and Grx5p, protects cells from oxidative damage</t>
  </si>
  <si>
    <t>YER173W</t>
  </si>
  <si>
    <t>RAD24</t>
  </si>
  <si>
    <t>Checkpoint protein, involved in the activation of the DNA damage and meiotic pachytene checkpoints, subunit of a clamp loader that loads Rad17p-Mec3p-Ddc1p onto DNA, homolog of human and S. pombe Rad17 protein</t>
  </si>
  <si>
    <t>YER172C</t>
  </si>
  <si>
    <t>BRR2</t>
  </si>
  <si>
    <t>RNA-dependent ATPase RNA helicase involved in the facilitation and disruption of snRNA interactions, required for disruption of U4U6 base-pairing in native snRNPs to activate the spliceosome for catalysis</t>
  </si>
  <si>
    <t>YER171W</t>
  </si>
  <si>
    <t>RAD3</t>
  </si>
  <si>
    <t>5 to 3 DNA helicase, involved in nucleotide excision repair and transcription, subunit of RNA polymerase II transcription initiation factor TFIIH, subunit of Nucleotide Excision Repair Factor 3 (NEF3), homolog of human XPD protein</t>
  </si>
  <si>
    <t>YER170W</t>
  </si>
  <si>
    <t>ADK2</t>
  </si>
  <si>
    <t>Mitochondrial adenylate kinase, catalyzes the reversible synthesis of GTP and AMP from GDP and ADP, may serve as a back-up for synthesizing GTP or ADP depending on metabolic conditions, 3 sequence of ADK2 varies with strain background</t>
  </si>
  <si>
    <t>YER169W</t>
  </si>
  <si>
    <t>RPH1</t>
  </si>
  <si>
    <t>Transcriptional repressor of PHR1, which is a photolyase induced by DNA damage, binds to AG(4) (C(4)T) sequence upstream of PHR1, Rph1p phosphorylation during DNA damage is under control of the MEC1-RAD53 pathway</t>
  </si>
  <si>
    <t>YER168C</t>
  </si>
  <si>
    <t>CCA1</t>
  </si>
  <si>
    <t>tRNA nucleotidyltransferase (tRNA CCA-pyrophosphorylase)</t>
  </si>
  <si>
    <t>YER167W</t>
  </si>
  <si>
    <t>BCK2</t>
  </si>
  <si>
    <t>Protein rich in serine and threonine residues involved in protein kinase C signaling pathway, which controls cell integrity, overproduction suppresses pkc1 mutations</t>
  </si>
  <si>
    <t>YER166W</t>
  </si>
  <si>
    <t>DNF1</t>
  </si>
  <si>
    <t>Non-essential P-type ATPase that is a potential aminophospholipid translocase, localizes to the plasma membrane and late exocytic or early endocytic membranes, likely involved in protein transport</t>
  </si>
  <si>
    <t>YER165W</t>
  </si>
  <si>
    <t>PAB1</t>
  </si>
  <si>
    <t>Transmembrane protein subunit of the glycosylphosphatidylinositol transamidase complex that adds GPIs to newly synthesized proteins, human PIG-Sp homolog</t>
  </si>
  <si>
    <t>YDR432W</t>
  </si>
  <si>
    <t>NPL3</t>
  </si>
  <si>
    <t>RNA-binding protein that carries poly(A)+ mRNA from the nucleus into the cytoplasm, phosphorylation by Sky1p in the cytoplasm may promote release of mRNAs</t>
  </si>
  <si>
    <t>YDR430C</t>
  </si>
  <si>
    <t>CYM1</t>
  </si>
  <si>
    <t>Lysine-specific metalloprotease of the mitochondrial intermembrane space, member of the pitrilysin family, degrades proteins and presequence peptides cleaved from imported proteins, required for normal mitochondrial morphology</t>
  </si>
  <si>
    <t>YDR429C</t>
  </si>
  <si>
    <t>TIF35</t>
  </si>
  <si>
    <t>YDR428C</t>
  </si>
  <si>
    <t>YDR427W</t>
  </si>
  <si>
    <t>RPN9</t>
  </si>
  <si>
    <t>Non-ATPase regulatory subunit of the 26S proteasome, has similarity to putative proteasomal subunits in other species, null mutant is temperature sensitive and exhibits cell cycle and proteasome assembly defects</t>
  </si>
  <si>
    <t>YDR425W</t>
  </si>
  <si>
    <t>SNX41</t>
  </si>
  <si>
    <t>Sorting nexin, involved in the retrieval of late-Golgi SNAREs from the post-Golgi endosome to the trans-Golgi network, forms a complex with Snx4p and Atg20p</t>
  </si>
  <si>
    <t>YDR424C</t>
  </si>
  <si>
    <t>AP-1-like bZIP transcriptional activator involved in multiple stress responses, iron metabolism, and pleiotropic drug resistance, controls a set of genes involved in stabilizing proteins, binds consensus sequence TTACTAA, 5 UTR contains uORFs  Cytoplasmic light chain dynein, microtubule motor protein</t>
  </si>
  <si>
    <t>YDR423C</t>
  </si>
  <si>
    <t>CAD1</t>
  </si>
  <si>
    <t>AP-1-like bZIP transcriptional activator involved in multiple stress responses, iron metabolism, and pleiotropic drug resistance, controls a set of genes involved in stabilizing proteins, binds consensus sequence TTACTAA, 5 UTR contains uORFs</t>
  </si>
  <si>
    <t>YDR422C</t>
  </si>
  <si>
    <t>AP-1-like bZIP transcriptional activator involved in multiple stress responses, iron metabolism, and pleiotropic drug resistance, controls a set of genes involved in stabilizing proteins, binds consensus sequence TTACTAA, 5 UTR contains uORFs  Alternate beta-subunit of the Snf1p kinase complex, may confer substrate specificity, vacuolar protein containing KIS (Kinase-Interacting Sequence) and ASC (Association with Snf1 kinase Complex) domains involved in protein interactions</t>
  </si>
  <si>
    <t>YDR421W</t>
  </si>
  <si>
    <t>ARO80</t>
  </si>
  <si>
    <t>Zinc finger transcriptional activator of the Zn2Cys6 family, activates transcription of aromatic amino acid catabolic genes in the presence of aromatic amino acids</t>
  </si>
  <si>
    <t>YDR420W</t>
  </si>
  <si>
    <t>HKR1</t>
  </si>
  <si>
    <t>Serinethreonine rich cell surface protein that contains an EF hand motif, involved in the regulation of cell wall beta-1,3 glucan synthesis and bud site selection, overexpression confers resistance to Hansenula mrakii killer toxin, HM-1</t>
  </si>
  <si>
    <t>YDR419W</t>
  </si>
  <si>
    <t>RAD30</t>
  </si>
  <si>
    <t>Ubiquitin-specific protease that interacts with Bre5p to co-regulate anterograde and retrograde transport between endoplasmic reticulum and Golgi compartments, inhibitor of gene silencing, cleaves ubiquitin fusions but not polyubiquitin</t>
  </si>
  <si>
    <t>YER150W</t>
  </si>
  <si>
    <t>SPI1</t>
  </si>
  <si>
    <t>GPI-anchored, serinethreonine rich cell wall protein of unknown function, basal expression requires Msn2pMsn4p, expression is induced under conditions of stress and during the diauxic shift, similar to Sed1p</t>
  </si>
  <si>
    <t>YER149C</t>
  </si>
  <si>
    <t>PEA2</t>
  </si>
  <si>
    <t>Coiled-coil polarisome protein required for polarized morphogenesis, cell fusion, and low affinity Ca2+ influx, forms polarisome complex with Bni1p, Bud6p, and Spa2p, localizes to sites of polarized growth</t>
  </si>
  <si>
    <t>YER148W</t>
  </si>
  <si>
    <t>SPT15</t>
  </si>
  <si>
    <t>TATA-binding protein, general transcription factor that interacts with other factors to form the preinitiation complex at promoters, essential for viability</t>
  </si>
  <si>
    <t>YER147C</t>
  </si>
  <si>
    <t>SCC4</t>
  </si>
  <si>
    <t>Subunit of cohesin loading factor (Scc2p-Scc4p), a complex required for the loading of cohesin complexes onto chromosomes, involved in establishing sister chromatid cohesion during double-strand break repair via phosphorylated histone H2AX</t>
  </si>
  <si>
    <t>YER146W</t>
  </si>
  <si>
    <t>LSM5</t>
  </si>
  <si>
    <t>YER145C</t>
  </si>
  <si>
    <t>FTR1</t>
  </si>
  <si>
    <t>High affinity iron permease involved in the transport of iron across the plasma membrane, forms complex with Fet3p, expression is regulated by iron</t>
  </si>
  <si>
    <t>YER144C</t>
  </si>
  <si>
    <t>UBP5</t>
  </si>
  <si>
    <t>Putative ubiquitin-specific protease that does not associate with the proteasome</t>
  </si>
  <si>
    <t>YER143W</t>
  </si>
  <si>
    <t>DDI1</t>
  </si>
  <si>
    <t>DNA damage-inducible v-SNARE binding protein, contains a ubiquitin-associated (UBA) domain, may act as a negative regulator of constitutive exocytosis, may play a role in S-phase checkpoint control</t>
  </si>
  <si>
    <t>YER142C</t>
  </si>
  <si>
    <t>MAG1</t>
  </si>
  <si>
    <t>3-methyl-adenine DNA glycosylase involved in protecting DNA against alkylating agents, initiates base excision repair by removing damaged bases to create abasic sites that are subsequently repaired</t>
  </si>
  <si>
    <t>YER141W</t>
  </si>
  <si>
    <t>COX15</t>
  </si>
  <si>
    <t>Protein required for the hydroxylation of heme O to form heme A, which is an essential prosthetic group for cytochrome c oxidase</t>
  </si>
  <si>
    <t>YER140W</t>
  </si>
  <si>
    <t>YER139C</t>
  </si>
  <si>
    <t>YER138W-A</t>
  </si>
  <si>
    <t>Identified by expression profiling and mass spectrometry  Similar to TyB and TyA</t>
  </si>
  <si>
    <t>YER137C</t>
  </si>
  <si>
    <t>YER136W</t>
  </si>
  <si>
    <t>GDI1</t>
  </si>
  <si>
    <t>GDP dissociation inhibitor, regulates vesicle traffic in secretory pathways by regulating the dissociation of GDP from the Sec4Yptrab family of GTP binding proteins</t>
  </si>
  <si>
    <t>YER134C</t>
  </si>
  <si>
    <t>YER133W</t>
  </si>
  <si>
    <t>GLC7</t>
  </si>
  <si>
    <t>Catalytic subunit of type 1 serinethreonine protein phosphatase, involved in many processes including glycogen metabolism, sporulation, and mitosis, interacts with multiple regulatory subunits, predominantly isolated with Sds22p</t>
  </si>
  <si>
    <t>YER132C</t>
  </si>
  <si>
    <t>PMD1</t>
  </si>
  <si>
    <t>Protein with an N-terminal kelch-like domain, putative negative regulator of early meiotic gene expression, required, with Mds3p, for growth under alkaline conditions</t>
  </si>
  <si>
    <t>YER131W</t>
  </si>
  <si>
    <t>RPS26B</t>
  </si>
  <si>
    <t>Protein component of the small (40S) ribosomal subunit, nearly identical to Rps26Ap and has similarity to rat S26 ribosomal protein</t>
  </si>
  <si>
    <t>YER130C</t>
  </si>
  <si>
    <t>YER129W</t>
  </si>
  <si>
    <t>Upstream kinase for the SNF1 complex, partially redundant function with Elm1p and Tos3p, members of this family of kinases have functional orthology with LKB1, a mammalian kinase associated with Peutz-Jeghers cancer-susceptibility syndrome</t>
  </si>
  <si>
    <t>YER128W</t>
  </si>
  <si>
    <t>YER127W</t>
  </si>
  <si>
    <t>LCP5</t>
  </si>
  <si>
    <t>Essential protein involved in maturation of 18S rRNA, depletion leads to inhibited pre-rRNA processing and reduced polysome levels, localizes primarily to the nucleolus</t>
  </si>
  <si>
    <t>YER126C</t>
  </si>
  <si>
    <t>NSA2</t>
  </si>
  <si>
    <t>YER125W</t>
  </si>
  <si>
    <t>RSP5</t>
  </si>
  <si>
    <t>Ubiquitin-protein ligase involved in ubiquitin-mediated protein degradation, plays a role in heat shock element (HSE)-mediated gene expression and multivesicular body sorting, contains a hect (homologous to E6-AP carboxyl terminus) domain</t>
  </si>
  <si>
    <t>YER124C</t>
  </si>
  <si>
    <t>DSE1</t>
  </si>
  <si>
    <t>Daughter cell-specific protein, may participate in pathways regulating cell wall metabolism, deletion affects cell separation after division and sensitivity to drugs targeted against the cell wall</t>
  </si>
  <si>
    <t>YER123W</t>
  </si>
  <si>
    <t>YCK3</t>
  </si>
  <si>
    <t>Palmitoylated, vacuolar membrane-localized casein kinase I isoform, negatively regulates vacuole fusion during hypertonic stress via phosphorylation of the HOPS complex subunit, Vps41p, shares overlapping essential functions with Hrr25p</t>
  </si>
  <si>
    <t>YER122C</t>
  </si>
  <si>
    <t>GLO3</t>
  </si>
  <si>
    <t>ADP-ribosylation factor GTPase activating protein (ARF GAP), involved in ER-Golgi transport, shares functional similarity with Gcs1p</t>
  </si>
  <si>
    <t>YER120W</t>
  </si>
  <si>
    <t>SCS2</t>
  </si>
  <si>
    <t>Integral ER membrane protein that regulates phospholipid metabolism via an interaction with the FFAT motif of Opi1p, also involved in telomeric silencing, disruption causes inositol auxotrophy above 34 degrees C, VAP homolog</t>
  </si>
  <si>
    <t>YER119C</t>
  </si>
  <si>
    <t>AVT6</t>
  </si>
  <si>
    <t>Vacuolar transporter, exports aspartate and glutamate from the vacuole, member of a family of seven S. cerevisiae genes (AVT1-7) related to vesicular GABA-glycine transporters</t>
  </si>
  <si>
    <t>YER118C</t>
  </si>
  <si>
    <t>SHO1</t>
  </si>
  <si>
    <t>Protein involved in regulation of cell wall composition and integrity and response to osmotic stress, overproduction suppresses a lysis sensitive PKC mutation, similar to Lre1p, which functions antagonistically to protein kinase A</t>
  </si>
  <si>
    <t>YDR527W</t>
  </si>
  <si>
    <t>RBA50</t>
  </si>
  <si>
    <t>Protein involved in transcription, interacts with RNA polymerase II subunits Rpb2p, Rpb3, and Rpb11p, has similarity to human RPAP1</t>
  </si>
  <si>
    <t>YDR525W-A</t>
  </si>
  <si>
    <t>SNA2</t>
  </si>
  <si>
    <t>Protein of unknown function, has similarity to Pmp3p, which is involved in cation transport, green fluorescent protein (GFP)-fusion protein localizes to the cytoplasm in a punctate pattern</t>
  </si>
  <si>
    <t>YDR524W-A</t>
  </si>
  <si>
    <t>YDR524C-B</t>
  </si>
  <si>
    <t>YDR524C</t>
  </si>
  <si>
    <t>AGE1</t>
  </si>
  <si>
    <t>ADP-ribosylation factor (ARF) GTPase activating protein (GAP) effector, involved in the secretory and endocytic pathways, contains C2C2H2 cysteinehistidine motif</t>
  </si>
  <si>
    <t>YDR523C</t>
  </si>
  <si>
    <t>SPS1</t>
  </si>
  <si>
    <t>Putative protein serinethreonine kinase expressed at the end of meiosis and localized to the prospore membrane, required for correct localization of enzymes involved in spore wall synthesis</t>
  </si>
  <si>
    <t>YDR522C</t>
  </si>
  <si>
    <t>SPS2</t>
  </si>
  <si>
    <t>Protein expressed during sporulation, redundant with Sps22p for organization of the beta-glucan layer of the spore wall, S. pombe ortholog is a spore wall component</t>
  </si>
  <si>
    <t>YDR520C</t>
  </si>
  <si>
    <t>YDR519W</t>
  </si>
  <si>
    <t>FPR2</t>
  </si>
  <si>
    <t>Membrane-bound peptidyl-prolyl cis-trans isomerase (PPIase), binds to the drugs FK506 and rapamycin, expression pattern suggests possible involvement in ER protein trafficking</t>
  </si>
  <si>
    <t>YDR518W</t>
  </si>
  <si>
    <t>EUG1</t>
  </si>
  <si>
    <t>Protein disulfide isomerase of the endoplasmic reticulum lumen, function overlaps with that of Pdi1p, may interact with nascent polypeptides in the ER</t>
  </si>
  <si>
    <t>YDR517W</t>
  </si>
  <si>
    <t>GRH1</t>
  </si>
  <si>
    <t>Glucose-repressible protein kinase involved in signal transduction during cell proliferation in response to nutrients, specifically the establishment of stationary phase, originally identified as a regulator of IME2</t>
  </si>
  <si>
    <t>YFL031W</t>
  </si>
  <si>
    <t>HAC1</t>
  </si>
  <si>
    <t>bZIP transcription factor (ATFCREB1 homolog) that regulates the unfolded protein response, via UPRE binding, and membrane biogenesis, ER stress-induced splicing pathway utilizing Ire1p, Trl1p and Ada5p facilitates efficient Hac1p synthesis</t>
  </si>
  <si>
    <t>YFL030W</t>
  </si>
  <si>
    <t>AGX1</t>
  </si>
  <si>
    <t>Alanine : glyoxylate aminotransferase, catalyzes the synthesis of glycine from glyoxylate, which is one of three pathways for glycine biosynthesis in yeast, has similarity to mammalian and plant alanine : glyoxylate aminotransferases</t>
  </si>
  <si>
    <t>YFL029C</t>
  </si>
  <si>
    <t>CAK1</t>
  </si>
  <si>
    <t>Cyclin-dependent kinase-activating kinase required for passage through the cell cycle, phosphorylates and activates Cdc28p, nucleotide-binding pocket differs significantly from those of most other protein kinases</t>
  </si>
  <si>
    <t>YFL028C</t>
  </si>
  <si>
    <t>CAF16</t>
  </si>
  <si>
    <t>Part of the evolutionarily-conserved CCR4-NOT transcriptional regulatory complex involved in controlling mRNA initiation, elongation, and degradation, putative ABC ATPase, interacts with Ssn2p, Ssn3p, and Ssn8p</t>
  </si>
  <si>
    <t>YFL027C</t>
  </si>
  <si>
    <t>GYP8</t>
  </si>
  <si>
    <t>GTPase-activating protein for yeast Rab family members, Ypt1p is the preferred in vitro substrate but also acts on Sec4p, Ypt31p and Ypt32p, involved in the regulation of ER to Golgi vesicle transport</t>
  </si>
  <si>
    <t>YFL026W</t>
  </si>
  <si>
    <t>STE2</t>
  </si>
  <si>
    <t>Receptor for alpha-factor pheromone, seven transmembrane-domain GPCR that interacts with both pheromone and a heterotrimeric G protein to initiate the signaling response that leads to mating between haploid a and alpha cells</t>
  </si>
  <si>
    <t>YFL025C</t>
  </si>
  <si>
    <t>BST1</t>
  </si>
  <si>
    <t>GPI inositol deacylase of the ER that negatively regulates COPII vesicle formation, prevents production of vesicles with defective subunits, required for proper discrimination between resident ER proteins and Golgi-bound cargo molecules</t>
  </si>
  <si>
    <t>YFL024C</t>
  </si>
  <si>
    <t>EPL1</t>
  </si>
  <si>
    <t>Component of NuA4, which is an essential histone H4H2A acetyltransferase complex, homologous to Drosophila Enhancer of Polycomb</t>
  </si>
  <si>
    <t>YFL023W</t>
  </si>
  <si>
    <t>BUD27</t>
  </si>
  <si>
    <t>Protein involved in bud-site selection, nutrient signaling, and gene expression controlled by the TOR kinase, diploid mutants display a random budding pattern instead of the wild-type bipolar pattern</t>
  </si>
  <si>
    <t>YFL022C</t>
  </si>
  <si>
    <t>FRS2</t>
  </si>
  <si>
    <t>Alpha subunit of cytoplasmic phenylalanyl-tRNA synthetase, forms a tetramer with Frs1p to form active enzyme, evolutionarily distant from mitochondrial phenylalanyl-tRNA synthetase based on protein sequence, but substrate binding is similar</t>
  </si>
  <si>
    <t>YFL021W</t>
  </si>
  <si>
    <t>GAT1</t>
  </si>
  <si>
    <t>Transcriptional activator of genes involved in nitrogen catabolite repression, member of the GATA family of DNA binding proteins, activity and localization regulated by nitrogen limitation and Ure2p</t>
  </si>
  <si>
    <t>YFL020C</t>
  </si>
  <si>
    <t>Part of 23-member seripauperin multigene family encoded mainly in subtelomeric regions, active during alcoholic fermentation, regulated by anaerobiosis, negatively regulated by oxygen, repressed by heme  Part of 23-member seripauperin multigene family, active during alcoholic fermentation, regulated by anaerobiosis, inhibited by oxygen, repressed by heme  Hypothetical protein identified by homology. See FEBS Letters [2000] 487:31-36.</t>
  </si>
  <si>
    <t>YFL018C</t>
  </si>
  <si>
    <t>LPD1</t>
  </si>
  <si>
    <t>Dihydrolipoamide dehydrogenase, the lipoamide dehydrogenase component (E3) of the pyruvate dehydrogenase and 2-oxoglutarate dehydrogenase multi-enzyme complexes</t>
  </si>
  <si>
    <t>YFL017W-A</t>
  </si>
  <si>
    <t>SMX2</t>
  </si>
  <si>
    <t>snRNP G protein (the homologue of the human Sm-G)</t>
  </si>
  <si>
    <t>YFL017C</t>
  </si>
  <si>
    <t>GNA1</t>
  </si>
  <si>
    <t xml:space="preserve">Evolutionarily conserved glucosamine-6-phosphate acetyltransferase required for multiple cell cycle events including passage through START, DNA synthesis, and mitosis, involved in UDP-N-acetylglucosamine synthesis, forms GlcNAc6P from AcCoA </t>
  </si>
  <si>
    <t>YFL016C</t>
  </si>
  <si>
    <t>MDJ1</t>
  </si>
  <si>
    <t>Protein involved in folding of mitochondrially synthesized proteins in the mitochondrial matrix, localizes to the mitochondrial inner membrane, member of the DnaJ family of molecular chaperones</t>
  </si>
  <si>
    <t>YFL014W</t>
  </si>
  <si>
    <t>HSP12</t>
  </si>
  <si>
    <t>Plasma membrane localized protein that protects membranes from desiccation, induced by heat shock, oxidative stress, osmostress, stationary phase entry, glucose depletion, oleate and alcohol, regulated by the HOG and Ras-Pka pathways</t>
  </si>
  <si>
    <t>YFL013C</t>
  </si>
  <si>
    <t>IES1</t>
  </si>
  <si>
    <t>YFL012W</t>
  </si>
  <si>
    <t>YFL011W</t>
  </si>
  <si>
    <t>HXT10</t>
  </si>
  <si>
    <t>RPL27B</t>
  </si>
  <si>
    <t>Protein component of the large (60S) ribosomal subunit, nearly identical to Rpl27Ap and has similarity to rat L27 ribosomal protein</t>
  </si>
  <si>
    <t>YDR470C</t>
  </si>
  <si>
    <t>UGO1</t>
  </si>
  <si>
    <t>Protein of unknown function, outer membrane component of the mitochondrial fusion machinery, Ugo1p bind directly to Fzo1p and Mgm1p and thereby link these two GTPases during mitochondrial fusion</t>
  </si>
  <si>
    <t>YDR469W</t>
  </si>
  <si>
    <t>SDC1</t>
  </si>
  <si>
    <t>Subunit of the COMPASS (Set1C) complex, which methylates Rad6p ubiquitinated histone H3 on lysine 4 and is required in transcriptional silencing near telomeres, has similarity to C. elegans Dpy-30</t>
  </si>
  <si>
    <t>YDR468C</t>
  </si>
  <si>
    <t>TLG1</t>
  </si>
  <si>
    <t>Essential t-SNARE that forms a complex with Tlg2p and Vti1p and mediates fusion of endosome-derived vesicles with the late Golgi, binds the docking complex VFT (Vps fifty-three) through interaction with Vps51p</t>
  </si>
  <si>
    <t>YDR466W</t>
  </si>
  <si>
    <t>PKH3</t>
  </si>
  <si>
    <t>Protein kinase with similarity to mammalian phosphoinositide-dependent kinase 1 (PDK1) and yeast Pkh1p and Pkh2p, two redundant upstream activators of Pkc1p, identified as a multicopy suppressor of a pkh1 pkh2 double mutant</t>
  </si>
  <si>
    <t>YDR465C</t>
  </si>
  <si>
    <t>RMT2</t>
  </si>
  <si>
    <t>Arginine methyltransferase, ribosomal protein L12 is a substrate</t>
  </si>
  <si>
    <t>YDR464W</t>
  </si>
  <si>
    <t>SPP41</t>
  </si>
  <si>
    <t>appears to control expression of spliceosome components PRP4 and PRP3, negative regulator of prp genes</t>
  </si>
  <si>
    <t>YDR463W</t>
  </si>
  <si>
    <t>STP1</t>
  </si>
  <si>
    <t>Transcription factor, activated by proteolytic processing in response to signals from the SPS sensor system for external amino acids, activates transcription of amino acid permease genes and may have a role in tRNA processing</t>
  </si>
  <si>
    <t>YDR462W</t>
  </si>
  <si>
    <t>MRPL28</t>
  </si>
  <si>
    <t>YDR461W</t>
  </si>
  <si>
    <t>MFA1</t>
  </si>
  <si>
    <t>Mating pheromone a-factor, made by a cells, interacts with alpha cells to induce cell cycle arrest and other responses leading to mating, biogenesis involves C-terminal modification, N-terminal proteolysis, and export, also encoded by MFA2</t>
  </si>
  <si>
    <t>YDR460W</t>
  </si>
  <si>
    <t>TFB3</t>
  </si>
  <si>
    <t>Subunit of TFIIH and nucleotide excision repair factor 3 complexes, involved in transcription initiation, required for nucleotide excision repair, ring finger protein similar to mammalian CAK and TFIIH subunit</t>
  </si>
  <si>
    <t>YDR459C</t>
  </si>
  <si>
    <t>likely functions in pathway(s) outside Ras</t>
  </si>
  <si>
    <t>YDR458C</t>
  </si>
  <si>
    <t>YDR457W</t>
  </si>
  <si>
    <t>TOM1</t>
  </si>
  <si>
    <t>Temperature dependent Organization in Mitotic nucleus, hect-domain-containing protein, containing kinase motifs, similar to Rsp5</t>
  </si>
  <si>
    <t>YDR456W</t>
  </si>
  <si>
    <t>NHX1</t>
  </si>
  <si>
    <t>Endosomal Na+H+ exchanger, required for intracellular sequestration of Na+, required for osmotolerance to acute hypertonic shock</t>
  </si>
  <si>
    <t>YDR454C</t>
  </si>
  <si>
    <t>GUK1</t>
  </si>
  <si>
    <t>Guanylate kinase, converts GMP to GDP, required for growth and mannose outer chain elongation of cell wall N-linked glycoproteins</t>
  </si>
  <si>
    <t>YDR453C</t>
  </si>
  <si>
    <t>TSA2</t>
  </si>
  <si>
    <t xml:space="preserve">Stress inducible cytoplasmic thioredoxin peroxidase, cooperates with Tsa1p in the removal of reactive oxygen, nitrogen and sulfur species using thioredoxin as hydrogen donor, deletion enhances the mutator phenotype of tsa1 mutants </t>
  </si>
  <si>
    <t>YDR452W</t>
  </si>
  <si>
    <t>PPN1</t>
  </si>
  <si>
    <t>Vacuolar endopolyphosphatase with a role in phosphate metabolism, functions as a homodimer</t>
  </si>
  <si>
    <t>YDR451C</t>
  </si>
  <si>
    <t>YHP1</t>
  </si>
  <si>
    <t>One of two homeobox transcriptional repressors (see also Yox1p), that bind to Mcm1p and to early cell cycle box (ECB) elements of cell cycle regulated genes, thereby restricting ECB-mediated transcription to the MG1 interval</t>
  </si>
  <si>
    <t>YDR450W</t>
  </si>
  <si>
    <t>YDR449C</t>
  </si>
  <si>
    <t>UTP6</t>
  </si>
  <si>
    <t>YDR448W</t>
  </si>
  <si>
    <t>ADA2</t>
  </si>
  <si>
    <t>Transcription coactivator, component of the ADA and SAGA transcriptional adaptorHAT (histone acetyltransferase) complexes</t>
  </si>
  <si>
    <t>YDR447C</t>
  </si>
  <si>
    <t>YDR446W</t>
  </si>
  <si>
    <t>ECM11</t>
  </si>
  <si>
    <t>Non-essential protein of unknown function, GFP fusion protein is present in discrete clusters in the nucleus throughout mitosis, may be involved in maintaining chromatin structure</t>
  </si>
  <si>
    <t>YDR444W</t>
  </si>
  <si>
    <t>YDR443C</t>
  </si>
  <si>
    <t>SSN2</t>
  </si>
  <si>
    <t>Required for stable association of Srb10p-Srb11p kinase with RNA polymerase holoenzyme, regulates YGP1 epxression, component of RNA polymerase II holoenzyme and Kornbergs mediator (SRB) subcomplex, transcription factor</t>
  </si>
  <si>
    <t>YDR441C</t>
  </si>
  <si>
    <t>APT2</t>
  </si>
  <si>
    <t>Apparent pseudogene, not transcribed or translated under normal conditions, encodes a protein with similarity to adenine phosphoribosyltransferase, but artificially expressed protein exhibits no enzymatic activity</t>
  </si>
  <si>
    <t>YDR440W</t>
  </si>
  <si>
    <t>DOT1</t>
  </si>
  <si>
    <t>Nucleosomal histone H3-Lys79 methylase, associates with transcriptionally active genes, functions in gene silencing at telomeres, most likely by directly modulating chromatin structure and Sir protein localization</t>
  </si>
  <si>
    <t>YDR439W</t>
  </si>
  <si>
    <t>LRS4</t>
  </si>
  <si>
    <t>Protein involved in rDNA silencing, positively charged coiled-coil protein with limited similarity to myosin</t>
  </si>
  <si>
    <t>YDR438W</t>
  </si>
  <si>
    <t>YDR437W</t>
  </si>
  <si>
    <t>Subunit of GPI-GlcNAc transferase involved in synthesis of N-acetylglucosaminyl phosphatidylinositol (GlcNAc-PI), which is the first intermediate in glycosylphosphatidylinositol (GPI) anchor synthesis, shares similarity with mammalian PIG-P</t>
  </si>
  <si>
    <t>YDR436W</t>
  </si>
  <si>
    <t>PPZ2</t>
  </si>
  <si>
    <t>Serinethreonine protein phosphatase Z, isoform of Ppz1p, involved in regulation of potassium transport, which affects osmotic stability, cell cycle progression, and halotolerance</t>
  </si>
  <si>
    <t>YDR435C</t>
  </si>
  <si>
    <t>PPM1</t>
  </si>
  <si>
    <t>Carboxyl methyl transferase, methylates the C terminus of the protein phosphatase 2A catalytic subunit (Pph21p or Pph22p), which is important for complex formation with regulatory subunits</t>
  </si>
  <si>
    <t>YDR434W</t>
  </si>
  <si>
    <t>GPI17</t>
  </si>
  <si>
    <t>Monopolin, kinetochore associated protein involved in chromosome attachment to meiotic spindle</t>
  </si>
  <si>
    <t>YER105C</t>
  </si>
  <si>
    <t>NUP157</t>
  </si>
  <si>
    <t>Abundant subunit of the nuclear pore complex (NPC), present on both sides of the NPC, has similarity to Nup170p</t>
  </si>
  <si>
    <t>YER104W</t>
  </si>
  <si>
    <t>RTT105</t>
  </si>
  <si>
    <t>YER103W</t>
  </si>
  <si>
    <t>SSA4</t>
  </si>
  <si>
    <t>Heat shock protein that is highly induced upon stress, plays a role in SRP-dependent cotranslational protein-membrane targeting and translocation, member of the HSP70 family, cytoplasmic protein that concentrates in nuclei upon starvation</t>
  </si>
  <si>
    <t>YER102W</t>
  </si>
  <si>
    <t>Protein component of the small (40S) ribosomal subunit, identical to Rps8Bp and has similarity to rat S8 ribosomal protein  Protein component of the small (40S) ribosomal subunit, identical to Rps8Ap and has similarity to rat S8 ribosomal protein</t>
  </si>
  <si>
    <t>YER101C</t>
  </si>
  <si>
    <t>AST2</t>
  </si>
  <si>
    <t>Protein that may have a role in targeting of plasma membrane [H+]ATPase (Pma1p) to the plasma membrane, as suggested by analysis of genetic interactions</t>
  </si>
  <si>
    <t>YER100W</t>
  </si>
  <si>
    <t>UBC6</t>
  </si>
  <si>
    <t>Ubiquitin-conjugating enzyme involved in ER-associated protein degradation, located at the cytosolic side of the ER membrane, tail region contains a transmembrane segment at the C-terminus, substrate of the ubiquitin-proteasome pathway</t>
  </si>
  <si>
    <t>YER099C</t>
  </si>
  <si>
    <t>PRS2</t>
  </si>
  <si>
    <t>YER098W</t>
  </si>
  <si>
    <t>UBP9</t>
  </si>
  <si>
    <t>YER096W</t>
  </si>
  <si>
    <t>SHC1</t>
  </si>
  <si>
    <t>Sporulation-specific activator of Chs3p (chitin synthase III), required for the synthesis of the chitosan layer of ascospores, has similarity to Skt5p, which activates Chs3p during vegetative growth, transcriptionally induced at alkaline pH</t>
  </si>
  <si>
    <t>YER095W</t>
  </si>
  <si>
    <t>RAD51</t>
  </si>
  <si>
    <t>Strand exchange protein, forms a helical filament with DNA that searches for homology, involved in the recombinational repair of double-strand breaks in DNA during vegetative growth and meiosis, homolog of Dmc1p and bacterial RecA protein</t>
  </si>
  <si>
    <t>YER094C</t>
  </si>
  <si>
    <t>PUP3</t>
  </si>
  <si>
    <t>Beta subunit of the 20S proteasome involved in ubiquitin-dependent catabolism, human homolog is subunit C10</t>
  </si>
  <si>
    <t>YER093C-A</t>
  </si>
  <si>
    <t>YER093C</t>
  </si>
  <si>
    <t>TSC11</t>
  </si>
  <si>
    <t>DNA polymerase eta, involved in the predominantly error-free bypass replication of DNA lesions, catalyzes the efficient and accurate synthesis of DNA opposite cyclobutane pyrimidine dimers, homolog of human POLH and bacterial DinB proteins</t>
  </si>
  <si>
    <t>YDR418W</t>
  </si>
  <si>
    <t>YDR416W</t>
  </si>
  <si>
    <t>SYF1</t>
  </si>
  <si>
    <t>Component of the spliceosome complex involved in pre-mRNA splicing, involved in regulation of cell cycle progression, similar to Drosophila crooked neck protein</t>
  </si>
  <si>
    <t>YDR415C</t>
  </si>
  <si>
    <t>YDR414C</t>
  </si>
  <si>
    <t>ERD1</t>
  </si>
  <si>
    <t>Predicted membrane protein required for the retention of lumenal endoplasmic reticulum proteins, mutants secrete the endogenous ER protein, BiP (Kar2p)</t>
  </si>
  <si>
    <t>YDR412W</t>
  </si>
  <si>
    <t>YDR411C</t>
  </si>
  <si>
    <t>DFM1</t>
  </si>
  <si>
    <t>Protein of unknown function, localizes to the ER, contains four transmembrane domains, member of the Der1p-like family</t>
  </si>
  <si>
    <t>YDR410C</t>
  </si>
  <si>
    <t>STE14</t>
  </si>
  <si>
    <t xml:space="preserve">Farnesyl cysteine-carboxyl methyltransferase, mediates the carboxyl methylation step during C-terminal CAAX motif processing of a-factor and RAS proteins in the endoplasmic reticulum, localizes to the ER membrane </t>
  </si>
  <si>
    <t>YDR409W</t>
  </si>
  <si>
    <t>SIZ1</t>
  </si>
  <si>
    <t>SUMO ligase that promotes the attachment of sumo (Smt3p, small ubiquitin-related modifier) to proteins, binds Ubc9p and may bind septins, specifically required for sumoylation of septins in vivo, localized to the septin ring</t>
  </si>
  <si>
    <t>YDR408C</t>
  </si>
  <si>
    <t>ADE8</t>
  </si>
  <si>
    <t>Phosphoribosyl-glycinamide transformylase, catalyzes a step in the de novo purine nucleotide biosynthetic pathway</t>
  </si>
  <si>
    <t>YDR407C</t>
  </si>
  <si>
    <t>TRS120</t>
  </si>
  <si>
    <t>YDR406W</t>
  </si>
  <si>
    <t>PDR15</t>
  </si>
  <si>
    <t>ATP binding cassette (ABC) transporter of the plasma membrane, general stress response factor implicated in cellular detoxification, target of Pdr1p, Pdr3p and Pdr8p transcription regulators, promoter contains a PDR responsive element</t>
  </si>
  <si>
    <t>YDR405W</t>
  </si>
  <si>
    <t>MRP20</t>
  </si>
  <si>
    <t>YDR404C</t>
  </si>
  <si>
    <t>RPB7</t>
  </si>
  <si>
    <t>RNA polymerase II subunit B16, forms two subunit dissociable complex with Rpb4p</t>
  </si>
  <si>
    <t>YDR403W</t>
  </si>
  <si>
    <t>DIT1</t>
  </si>
  <si>
    <t>Sporulation-specific enzyme required for spore wall maturation, involved in the production of a soluble LL-dityrosine-containing precursor of the spore wall, transcripts accumulate at the time of prospore enclosure</t>
  </si>
  <si>
    <t>YDR402C</t>
  </si>
  <si>
    <t>DIT2</t>
  </si>
  <si>
    <t>N-formyltyrosine oxidase, sporulation-specific microsomal enzyme required for spore wall maturation, involved in the production of a soluble LL-dityrosine-containing precursor of the spore wall, homologous to cytochrome P-450s</t>
  </si>
  <si>
    <t>YDR400W</t>
  </si>
  <si>
    <t>URH1</t>
  </si>
  <si>
    <t>Uridine nucleosidase (uridine-cytidine N-ribohydrolase), cleaves N-glycosidic bonds in nucleosides, involved in recycling pyrimidine deoxy- and ribonucleosides via the pyrimidine salvage pathway</t>
  </si>
  <si>
    <t>YDR399W</t>
  </si>
  <si>
    <t>HPT1</t>
  </si>
  <si>
    <t>Dimeric hypoxanthine-guanine phosphoribosyltransferase, catalyzes the formation of both inosine monophosphate and guanosine monophosphate, mutations in the human homolog HPRT1 can cause Lesch-Nyhan syndrome and Kelley-Seegmiller syndrome</t>
  </si>
  <si>
    <t>YDR398W</t>
  </si>
  <si>
    <t>UTP5</t>
  </si>
  <si>
    <t>YDR397C</t>
  </si>
  <si>
    <t>NCB2</t>
  </si>
  <si>
    <t>Beta subunit of the NC2 dimeric histone-fold complex, represses RNA polymerase II transcription through binding to TBP and inhibition of TFIIA and TFIIB, homologous to the Dr1 subunit of the mammalian NC2 (negative cofactor2)</t>
  </si>
  <si>
    <t>YDR395W</t>
  </si>
  <si>
    <t>SXM1</t>
  </si>
  <si>
    <t>Nuclear transport factor (karyopherin) involved in protein transport between the cytoplasm and nucleoplasm, similar to Nmd5p, Cse1p, Lph2p, and the human cellular apoptosis susceptibility protein, CAS1</t>
  </si>
  <si>
    <t>YDR394W</t>
  </si>
  <si>
    <t>RPT3</t>
  </si>
  <si>
    <t>One of six ATPases of the 19S regulatory particle of the 26S proteasome involved in the degradation of ubiquitinated substrates, substrate of N-acetyltransferase B</t>
  </si>
  <si>
    <t>YDR393W</t>
  </si>
  <si>
    <t>SHE9</t>
  </si>
  <si>
    <t>Mitochondrial inner membrane protein required for normal mitochondrial morphology, may be involved in fission of the inner membrane, forms a homo-oligomeric complex</t>
  </si>
  <si>
    <t>YDR392W</t>
  </si>
  <si>
    <t>SPT3</t>
  </si>
  <si>
    <t>Subunit of the SAGA and SAGA-like transcriptional regulatory complexes, interacts with Spt15p to activate transcription of some RNA polymerase II-dependent genes, also functions to inhibit transcription at some promoters</t>
  </si>
  <si>
    <t>YDR391C</t>
  </si>
  <si>
    <t>YDR390C</t>
  </si>
  <si>
    <t>UBA2</t>
  </si>
  <si>
    <t>Nuclear protein that acts as a heterodimer with Aos1p to activate Smt3p (SUMO) before its conjugation to proteins (sumoylation), which may play a role in protein targeting, essential for viability</t>
  </si>
  <si>
    <t>YDR389W</t>
  </si>
  <si>
    <t>SAC7</t>
  </si>
  <si>
    <t>GTPase activating protein (GAP) for Rho1p, involved in signaling to the actin cytoskeleton, null mutations suppress tor2 mutations and temperature sensitive mutations in actin, potential Cdc28p substrate</t>
  </si>
  <si>
    <t>YDR388W</t>
  </si>
  <si>
    <t>RVS167</t>
  </si>
  <si>
    <t>Actin-associated protein, subunit of a complex (Rvs161p-Rvs167p) involved in regulation of actin cytoskeleton, endocytosis, and viability following starvation or osmotic stress, homolog of mammalian amphiphysin</t>
  </si>
  <si>
    <t>YDR387C</t>
  </si>
  <si>
    <t>YDR386W</t>
  </si>
  <si>
    <t>MUS81</t>
  </si>
  <si>
    <t>Helix-hairpin-helix protein, involved in DNA repair and replication fork stability, functions as an endonuclease in complex with Mms4p, interacts with Rad54p</t>
  </si>
  <si>
    <t>YDR385W</t>
  </si>
  <si>
    <t>Elongation factor 2 (EF-2), also encoded by EFT2, catalyzes ribosomal translocation during protein synthesis, contains diphthamide, the unique posttranslationally modified histidine residue specifically ADP-ribosylated by diphtheria toxin  Elongation factor 2 (EF-2), also encoded by EFT1, catalyzes ribosomal translocation during protein synthesis, contains diphthamide, the unique posttranslationally modified histidine residue specifically ADP-ribosylated by diphtheria toxin</t>
  </si>
  <si>
    <t>YDR384C</t>
  </si>
  <si>
    <t>ATO3</t>
  </si>
  <si>
    <t>Plasma membrane protein, regulation pattern suggests a possible role in export of ammonia from the cell, member of the TC 9.B.33 YaaH family of putative transporters</t>
  </si>
  <si>
    <t>YDR383C</t>
  </si>
  <si>
    <t>NKP1</t>
  </si>
  <si>
    <t>YDR382W</t>
  </si>
  <si>
    <t>RPP2B</t>
  </si>
  <si>
    <t>Ribosomal protein P2 beta, a component of the ribosomal stalk, which is involved in the interaction between translational elongation factors and the ribosome, regulates the accumulation of P1 (Rpp1Ap and Rpp1Bp) in the cytoplasm</t>
  </si>
  <si>
    <t>YDR381W</t>
  </si>
  <si>
    <t>YRA1</t>
  </si>
  <si>
    <t>Nuclear protein that binds to RNA and to Mex67p, required for export of poly(A)+ mRNA from the nucleus, member of the REF (RNA and export factor binding proteins) family, another family member, Yra2p, can substitute for Yra1p function</t>
  </si>
  <si>
    <t>YDR381C-A</t>
  </si>
  <si>
    <t>Hypothetical protein identified by homology. See FEBS Letters [2000]487:31-36.</t>
  </si>
  <si>
    <t>YDR380W</t>
  </si>
  <si>
    <t>ARO10</t>
  </si>
  <si>
    <t>Phenylpyruvate decarboxylase, catalyzes decarboxylation of phenylpyruvate to phenylacetaldehyde, which is the first specific step in the Ehrlich pathway</t>
  </si>
  <si>
    <t>YDR379W</t>
  </si>
  <si>
    <t>RGA2</t>
  </si>
  <si>
    <t>YDR379C-A</t>
  </si>
  <si>
    <t>YDR378C</t>
  </si>
  <si>
    <t>LSM6</t>
  </si>
  <si>
    <t>YDR377W</t>
  </si>
  <si>
    <t>ATP17</t>
  </si>
  <si>
    <t>Subunit f of the F0 sector of mitochondrial F1F0 ATP synthase, which is a large, evolutionarily conserved enzyme complex required for ATP synthesis</t>
  </si>
  <si>
    <t>YDR376W</t>
  </si>
  <si>
    <t>ARH1</t>
  </si>
  <si>
    <t>Oxidoreductase of the mitochondrial inner membrane, involved in cytoplasmic and mitochondrial iron homeostasis and required for activity of Fe-S cluster-containing enzymes, one of the few mitochondrial proteins essential for viability</t>
  </si>
  <si>
    <t>YDR375C</t>
  </si>
  <si>
    <t>BCS1</t>
  </si>
  <si>
    <t>Protein of the mitochondrial inner membrane that functions as an ATP-dependent chaperone, required for the assembly of the cytochrome bc(1) complex from the Rip1p and Qcr10p proteins, member of the CDC48PAS1SEC18 ATPase family</t>
  </si>
  <si>
    <t>YDR374C</t>
  </si>
  <si>
    <t>YDR373W</t>
  </si>
  <si>
    <t>FRQ1</t>
  </si>
  <si>
    <t>N-myristoylated calcium-binding protein that may have a role in intracellular signaling through its regulation of the phosphatidylinositol 4-kinase Pik1p, member of the recoverinfrequenin branch of the EF-hand superfamily</t>
  </si>
  <si>
    <t>YDR372C</t>
  </si>
  <si>
    <t>VPS74</t>
  </si>
  <si>
    <t>Non-essential protein of unknown function involved in vacuolar protein sorting, belongs to a family of cytosolic Golgi-associated proteins suggesting that it may play a role in secretion, also detected in the nucleus</t>
  </si>
  <si>
    <t>YDR371W</t>
  </si>
  <si>
    <t>CTS2</t>
  </si>
  <si>
    <t>Sporulation-specific chitinase</t>
  </si>
  <si>
    <t>YDR370C</t>
  </si>
  <si>
    <t>YDR369C</t>
  </si>
  <si>
    <t>XRS2</t>
  </si>
  <si>
    <t>Protein required for DNA repair, component of the Mre11 complex, which is involved in double strand breaks, meiotic recombination, telomere maintenance, and checkpoint signaling</t>
  </si>
  <si>
    <t>Ferrioxamine B transporter, member of the ARN family of transporters that specifically recognize siderophore-iron chelates, transcription is induced during iron deprivation and diauxic shift, potentially phosphorylated by Cdc28p</t>
  </si>
  <si>
    <t>YEL064C</t>
  </si>
  <si>
    <t>AVT2</t>
  </si>
  <si>
    <t>YEL063C</t>
  </si>
  <si>
    <t>CAN1</t>
  </si>
  <si>
    <t>Plasma membrane arginine permease, requires phosphatidyl ethanolamine (PE) for localization, exclusively associated with lipid rafts, mutation confers canavanine resistance</t>
  </si>
  <si>
    <t>YEL062W</t>
  </si>
  <si>
    <t>NPR2</t>
  </si>
  <si>
    <t>Regulator of nitrogen permeases, transcription is induced in response to proline and urea, contains two PEST sequences</t>
  </si>
  <si>
    <t>YEL061C</t>
  </si>
  <si>
    <t>CIN8</t>
  </si>
  <si>
    <t>Kinesin motor protein involved in mitotic spindle assembly and chromosome segregation</t>
  </si>
  <si>
    <t>YEL060C</t>
  </si>
  <si>
    <t>PRB1</t>
  </si>
  <si>
    <t>Vacuolar proteinase B (yscB), a serine protease of the subtilisin family, involved in protein degradation in the vacuole and required for full protein degradation during sporulation</t>
  </si>
  <si>
    <t>YEL059C-A</t>
  </si>
  <si>
    <t>SOM1</t>
  </si>
  <si>
    <t>Protein whose overexpression suppresses the imp1 mutation, may be required for the function of the Imp1p mitochondrial inner membrane peptidase andor the protein sorting machinery</t>
  </si>
  <si>
    <t>YEL058W</t>
  </si>
  <si>
    <t>PCM1</t>
  </si>
  <si>
    <t>Essential N-acetylglucosamine-phosphate mutase, a hexosephosphate mutase involved in the biosynthesis of chitin</t>
  </si>
  <si>
    <t>YEL057C</t>
  </si>
  <si>
    <t>YEL056W</t>
  </si>
  <si>
    <t>HAT2</t>
  </si>
  <si>
    <t>Subunit of the Hat1p-Hat2p histone acetyltransferase complex, required for high affinity binding of the complex to free histone H4, thereby enhancing Hat1p activity, similar to human RbAp46 and 48, has a role in telomeric silencing</t>
  </si>
  <si>
    <t>YEL055C</t>
  </si>
  <si>
    <t>POL5</t>
  </si>
  <si>
    <t>Protein with sequence similarity to the human MybBP1A and weak sequence similar to B-type DNA polymerases, not required for chromosomal DNA replication, required for the synthesis of rRNA</t>
  </si>
  <si>
    <t>YEL054C</t>
  </si>
  <si>
    <t>Anthranilate phosphoribosyl transferase of the tryptophan biosynthetic pathway, catalyzes the phosphoribosylation of anthranilate, subject to the general control system of amino acid biosynthesis</t>
  </si>
  <si>
    <t>YDR353W</t>
  </si>
  <si>
    <t>TRR1</t>
  </si>
  <si>
    <t>Cytoplasmic thioredoxin reductase, key regulatory enzyme that determines the redox state of the thioredoxin system, which acts as a disulfide reductase system and protects cells against both oxidative and reductive stress</t>
  </si>
  <si>
    <t>YDR352W</t>
  </si>
  <si>
    <t>YDR351W</t>
  </si>
  <si>
    <t>SBE2</t>
  </si>
  <si>
    <t>Protein involved in the transport of cell wall components from the Golgi to the cell surface, required for bud growth</t>
  </si>
  <si>
    <t>YDR350C</t>
  </si>
  <si>
    <t>TCM10</t>
  </si>
  <si>
    <t>Mitochondrial inner membrane protein required for assembly of the F0 sector of mitochondrial F1F0 ATP synthase, which is a large, evolutionarily conserved enzyme complex required for ATP synthesis</t>
  </si>
  <si>
    <t>YDR349C</t>
  </si>
  <si>
    <t>YPS7</t>
  </si>
  <si>
    <t>Putative GPI-anchored aspartic protease, located in the cytoplasm and endoplasmic reticulum</t>
  </si>
  <si>
    <t>YDR348C</t>
  </si>
  <si>
    <t>Protein of unknown function, green fluorescent protein (GFP)-fusion protein localizes to the cell periphery and bud neck, potential Cdc28p substrate</t>
  </si>
  <si>
    <t>YDR347W</t>
  </si>
  <si>
    <t>MRP1</t>
  </si>
  <si>
    <t>Mitochondrial ribosomal protein of the small subunit, MRP1 exhibits genetic interactions with PET122, encoding a COX3-specific translational activator, and with PET123, encoding a small subunit mitochondrial ribosomal protein</t>
  </si>
  <si>
    <t>YDR346C</t>
  </si>
  <si>
    <t>SVF1</t>
  </si>
  <si>
    <t>Protein with a potential role in cell survival pathways, required for the diauxic growth shift, expression in mammalian cells increases survival under conditions inducing apoptosis</t>
  </si>
  <si>
    <t>YDR345C</t>
  </si>
  <si>
    <t>HXT3</t>
  </si>
  <si>
    <t>Low affinity glucose transporter of the major facilitator superfamily, expression is induced in low or high glucose conditions</t>
  </si>
  <si>
    <t>YDR342C</t>
  </si>
  <si>
    <t>High-affinity glucose transporter of the major facilitator superfamily, nearly identical to Hxt6p, expressed at high basal levels relative to other HXTs, expression repressed by high glucose levels  High-affinity glucose transporter of the major facilitator superfamily, nearly identical to Hxt7p, expressed at high basal levels relative to other HXTs, repression of expression by high glucose requires SNF3</t>
  </si>
  <si>
    <t>YDR341C</t>
  </si>
  <si>
    <t>Cytoplasmic arginyl-tRNA synthetase</t>
  </si>
  <si>
    <t>YDR339C</t>
  </si>
  <si>
    <t>YDR338C</t>
  </si>
  <si>
    <t>YDR337W</t>
  </si>
  <si>
    <t>MRPS28</t>
  </si>
  <si>
    <t>YDR336W</t>
  </si>
  <si>
    <t>YDR335W</t>
  </si>
  <si>
    <t>MSN5</t>
  </si>
  <si>
    <t>Karyopherin involved in nuclear import and export, shown to be responsible for nuclear import of replication protein A and for export of several proteins including Swi6p, Far1p, and Pho4p, cargo dissociation involves binding to RanGTP</t>
  </si>
  <si>
    <t>YDR334W</t>
  </si>
  <si>
    <t>SWR1</t>
  </si>
  <si>
    <t>Swi2Snf2-related ATPase, component of the SWR1 complex, required for the incorporation of Htz1p into chromatin</t>
  </si>
  <si>
    <t>YDR333C</t>
  </si>
  <si>
    <t>YDR332W</t>
  </si>
  <si>
    <t>YDR331W</t>
  </si>
  <si>
    <t>GPI8</t>
  </si>
  <si>
    <t>ER membrane glycoprotein subunit of the glycosylphosphatidylinositol transamidase complex that adds glycosylphosphatidylinositol (GPI) anchors to newly synthesized proteins, human PIG-K protein is a functional homolog</t>
  </si>
  <si>
    <t>YDR330W</t>
  </si>
  <si>
    <t>UBX5</t>
  </si>
  <si>
    <t>YDR329C</t>
  </si>
  <si>
    <t>PEX3</t>
  </si>
  <si>
    <t>Peroxisomal membrane protein (PMP) required to recruit Pex19p chaperone to peroxisomes, plays selective, essential, direct role in PMP import as a docking factor for Pex19p</t>
  </si>
  <si>
    <t>YDR328C</t>
  </si>
  <si>
    <t>SKP1</t>
  </si>
  <si>
    <t>Evolutionarily conserved kinetochore protein that is part of multiple protein complexes, including the SCF ubiquitin ligase complex, the CBF3 complex that binds centromeric DNA, and the RAVE complex that regulates assembly of the V-ATPase</t>
  </si>
  <si>
    <t>YDR326C</t>
  </si>
  <si>
    <t>YDR325W</t>
  </si>
  <si>
    <t>YCG1</t>
  </si>
  <si>
    <t>Non-SMC subunit of the condensin complex (Smc2p-Smc4p-Ycs4p-Brn1p-Ycg1p), required for establishment and maintenance of chromosome condensation, chromosome segregation and for chromatin binding of the condensin complex</t>
  </si>
  <si>
    <t>YDR324C</t>
  </si>
  <si>
    <t>UTP4</t>
  </si>
  <si>
    <t>YDR323C</t>
  </si>
  <si>
    <t>PEP7</t>
  </si>
  <si>
    <t>Multivalent adaptor protein that facilitates vesicle-mediated vacuolar protein sorting by ensuring high-fidelity vesicle docking and fusion, which are essential for targeting of vesicles to the endosome, required for vacuole inheritance</t>
  </si>
  <si>
    <t>YDR322W</t>
  </si>
  <si>
    <t>MRPL35</t>
  </si>
  <si>
    <t>YDR322C-A</t>
  </si>
  <si>
    <t>TIM11</t>
  </si>
  <si>
    <t>Subunit e of mitochondrial F1F0-ATPase, which is a large, evolutionarily conserved enzyme complex required for ATP synthesis, essential for the dimeric state of ATP synthase</t>
  </si>
  <si>
    <t>YDR321W</t>
  </si>
  <si>
    <t>ASP1</t>
  </si>
  <si>
    <t>Cytosolic L-asparaginase, involved in asparagine catabolism</t>
  </si>
  <si>
    <t>YDR320C-A</t>
  </si>
  <si>
    <t>DAD4</t>
  </si>
  <si>
    <t>YDR320C</t>
  </si>
  <si>
    <t>SWA2</t>
  </si>
  <si>
    <t>Auxilin-like protein involved in vesicular transport, clathrin-binding protein required for uncoating of clathrin-coated vesicles</t>
  </si>
  <si>
    <t>YDR319C</t>
  </si>
  <si>
    <t>YDR318W</t>
  </si>
  <si>
    <t>MCM21</t>
  </si>
  <si>
    <t>Protein involved in minichromosome maintenance, component of the COMA complex that bridges kinetochore subunits that are in contact with centromeric DNA and the subunits bound to microtubules</t>
  </si>
  <si>
    <t>YDR317W</t>
  </si>
  <si>
    <t>HIM1</t>
  </si>
  <si>
    <t>Protein of unknown function involved in DNA repair</t>
  </si>
  <si>
    <t>YDR316W-B</t>
  </si>
  <si>
    <t>Nuclear type II J heat shock protein of the E. coli dnaJ family, contains a leucine zipper-like motif, binds to non-native substrates for presentation to Ssa3p, may function during protein translocation, assembly and disassembly</t>
  </si>
  <si>
    <t>YER047C</t>
  </si>
  <si>
    <t>SAP1</t>
  </si>
  <si>
    <t>Putative ATPase of the AAA family, interacts with the Sin1p transcriptional repressor in the two-hybrid system</t>
  </si>
  <si>
    <t>YER046W</t>
  </si>
  <si>
    <t>SPO73</t>
  </si>
  <si>
    <t>Meiosis-specific protein of unknown function, required for spore wall formation during sporulation, dispensible for both nuclear divisions during meiosis</t>
  </si>
  <si>
    <t>YER045C</t>
  </si>
  <si>
    <t>ACA1</t>
  </si>
  <si>
    <t>Basic leucine zipper (bZIP) transcription factor of the ATFCREB family, may regulate transcription of genes involved in utilization of non-optimal carbon sources</t>
  </si>
  <si>
    <t>YER044C-A</t>
  </si>
  <si>
    <t>MEI4</t>
  </si>
  <si>
    <t>Functions in early recombination, mRNA is meiosis-specific and has 88 bp intron at 5 end spliced independently of MER1.</t>
  </si>
  <si>
    <t>YER044C</t>
  </si>
  <si>
    <t>ERG28</t>
  </si>
  <si>
    <t>Endoplasmic reticulum membrane protein, may facilitate protein-protein interactions between the Erg26p dehydrogenase and the Erg27p 3-ketoreductase andor tether these enzymes to the ER, also interacts with Erg6p</t>
  </si>
  <si>
    <t>YER043C</t>
  </si>
  <si>
    <t>SAH1</t>
  </si>
  <si>
    <t>S-adenosyl-L-homocysteine hydrolase, catabolizes S-adenosyl-L-homocysteine which is formed after donation of the activated methyl group of S-adenosyl-L-methionine (AdoMet) to an acceptor</t>
  </si>
  <si>
    <t>YER042W</t>
  </si>
  <si>
    <t>MXR1</t>
  </si>
  <si>
    <t>Peptide methionine sulfoxide reductase, reverses the oxidation of methionine residues, involved in oxidative damage repair, providing resistance to oxidative stress and regulation of lifespan</t>
  </si>
  <si>
    <t>YER041W</t>
  </si>
  <si>
    <t>YEN1</t>
  </si>
  <si>
    <t>Protein of unknown function, has similarity to endonuclease Rth1p, potentially phosphorylated by Cdc28p</t>
  </si>
  <si>
    <t>YER040W</t>
  </si>
  <si>
    <t>GLN3</t>
  </si>
  <si>
    <t>Transcriptional activator of genes regulated by nitrogen catabolite repression (NCR), localization and activity regulated by quality of nitrogen source</t>
  </si>
  <si>
    <t>YER039C-A</t>
  </si>
  <si>
    <t>YER039C</t>
  </si>
  <si>
    <t>HVG1</t>
  </si>
  <si>
    <t>Protein of unknown function, has homology to Vrg4p</t>
  </si>
  <si>
    <t>YER038C</t>
  </si>
  <si>
    <t>KRE29</t>
  </si>
  <si>
    <t>YER037W</t>
  </si>
  <si>
    <t>PHM8</t>
  </si>
  <si>
    <t>Protein of unknown function, expression is induced by low phosphate levels and by inactivation of Pho85p</t>
  </si>
  <si>
    <t>YER036C</t>
  </si>
  <si>
    <t>ATPase of the ATP-binding cassette (ABC) family involved in ribosome biogenesis, has similarity to Gcn20p</t>
  </si>
  <si>
    <t>YER035W</t>
  </si>
  <si>
    <t>EDC2</t>
  </si>
  <si>
    <t>YER034W</t>
  </si>
  <si>
    <t>YER033C</t>
  </si>
  <si>
    <t>ZRG8</t>
  </si>
  <si>
    <t>Cytoplasmic protein of unknown function, transcription is induced under conditions of zinc deficiency</t>
  </si>
  <si>
    <t>YER032W</t>
  </si>
  <si>
    <t>FIR1</t>
  </si>
  <si>
    <t>Protein involved in 3 mRNA processing, interacts with Ref2p, potential Cdc28p substrate</t>
  </si>
  <si>
    <t>YER031C</t>
  </si>
  <si>
    <t>YPT31</t>
  </si>
  <si>
    <t>GTPase of the YptRab family, very similar to Ypt32p, involved in the exocytic pathway, mediates intra-Golgi traffic or the budding of post-Golgi vesicles from the trans-Golgi</t>
  </si>
  <si>
    <t>YER030W</t>
  </si>
  <si>
    <t>YER029C</t>
  </si>
  <si>
    <t>SMB1</t>
  </si>
  <si>
    <t>associated with U1, U2, U4, and U5 snRNPs as part of the Sm-core that is common to all spliceosomal snRNPs, U1 snRNP protein</t>
  </si>
  <si>
    <t>YER028C</t>
  </si>
  <si>
    <t>MIG3</t>
  </si>
  <si>
    <t>Probable transcriptional repressor involved in response to toxic agents such as hydroxyurea that inhibit ribonucleotide reductase, phosphorylation by Snf1p or the Mec1p pathway inactivates Mig3p, allowing induction of damage response genes</t>
  </si>
  <si>
    <t>YER027C</t>
  </si>
  <si>
    <t>GAL83</t>
  </si>
  <si>
    <t>One of three possible beta-subunits of the Snf1 kinase complex, allows nuclear localization of the Snf1 kinase complex in the presence of a nonfermentable carbon source, contains glycogen-binding domain</t>
  </si>
  <si>
    <t>YER026C</t>
  </si>
  <si>
    <t>CHO1</t>
  </si>
  <si>
    <t>phosphatidylserine synthase</t>
  </si>
  <si>
    <t>YER025W</t>
  </si>
  <si>
    <t>GCD11</t>
  </si>
  <si>
    <t>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TyA Gag protein, the main structural constituent of virus-like particles (VLPs)  TyA Gag protein, the main structural constituent of virus-like particles (VLPs)  TyB Gag-Pol protein, proteolytically processed to make the Gag, RT, PR, and IN proteins that are required for retrotransposition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TyA Gag protein, the main structural constituent of virus-like particles (VLPs)  TyA Gag protein, the main structural constituent of virus-like particles (VLPs)  TyB Gag-Pol protein, proteolytically processed to make the Gag, RT, PR, and IN proteins that are required for retrotransposition  TyA Gag protein, the main structural constituent of virus-like particles (VLPs)  TyA Gag protein, the main structural constituent of virus-like particles (VLPs)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 ORF  Ty ORF  TyB Gag-Pol protein, proteolytically processed to make the Gag, RT, PR, and IN proteins that are required for retrotransposition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TyA Gag protein, the main structural constituent of virus-like particles (VLPs)  TyA Gag protein, the main structural constituent of virus-like particles (VLPs)  TyB Gag-Pol protein, proteolytically processed to make the Gag, RT, PR, and IN proteins that are required for retrotransposition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TyA Gag protein, the main structural constituent of virus-like particles (VLPs)  TyA Gag protein, the main structural constituent of virus-like particles (VLPs)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t>
  </si>
  <si>
    <t>YDR316W</t>
  </si>
  <si>
    <t>OMS1</t>
  </si>
  <si>
    <t>Protein integral to the mitochondrial membrane, has a conserved methyltransferase motif, multicopy suppressor of respiratory defects caused by OXA1 mutations</t>
  </si>
  <si>
    <t>YDR315C</t>
  </si>
  <si>
    <t>IPK1</t>
  </si>
  <si>
    <t>Inositol 1,3,4,5,6-pentakisphosphate 2-kinase, nuclear protein required for synthesis of 1,2,3,4,5,6-hexakisphosphate (phytate), which is integral to cell function, has 2 motifs conserved in other fungi, ipk1 gle1 double mutant is inviable</t>
  </si>
  <si>
    <t>YDR314C</t>
  </si>
  <si>
    <t>YDR313C</t>
  </si>
  <si>
    <t>PIB1</t>
  </si>
  <si>
    <t>RING-type ubiquitin ligase of the endosomal and vacuolar membranes, binds phosphatidylinositol(3)-phosphate, contains a FYVE finger domain</t>
  </si>
  <si>
    <t>YDR312W</t>
  </si>
  <si>
    <t>SSF2</t>
  </si>
  <si>
    <t>Protein required for ribosomal large subunit maturation, functionally redundant with Ssf1p, member of the Brix family</t>
  </si>
  <si>
    <t>YDR311W</t>
  </si>
  <si>
    <t>TFB1</t>
  </si>
  <si>
    <t>Subunit of TFIIH and nucleotide excision repair factor 3 complexes, required for nucleotide excision repair, target for transcriptional activators</t>
  </si>
  <si>
    <t>YDR310C</t>
  </si>
  <si>
    <t>SUM1</t>
  </si>
  <si>
    <t>Transcriptional repressor required for repression of middle sporulation-specific genes during mitosis, regulated by the pachytene checkpoint, a dominant mutation acts as a suppressor of silencing defects of SIR2 mutations</t>
  </si>
  <si>
    <t>YDR309C</t>
  </si>
  <si>
    <t>GIC2</t>
  </si>
  <si>
    <t>YDR308C</t>
  </si>
  <si>
    <t>SRB7</t>
  </si>
  <si>
    <t>RNA polymerase II holoenzyme component</t>
  </si>
  <si>
    <t>YDR307W</t>
  </si>
  <si>
    <t>YDR306C</t>
  </si>
  <si>
    <t>YDR305C</t>
  </si>
  <si>
    <t>HNT2</t>
  </si>
  <si>
    <t>Dinucleoside triphosphate hydrolase, has similarity to the tumor suppressor FHIT and belongs to the histidine triad (HIT) superfamily of nucleotide-binding proteins</t>
  </si>
  <si>
    <t>YDR304C</t>
  </si>
  <si>
    <t>CPR5</t>
  </si>
  <si>
    <t>Peptidyl-prolyl cis-trans isomerase (cyclophilin) of the endoplasmic reticulum, catalyzes the cis-trans isomerization of peptide bonds N-terminal to proline residues, transcriptionally induced in response to unfolded proteins in the ER</t>
  </si>
  <si>
    <t>YDR303C</t>
  </si>
  <si>
    <t>RSC3</t>
  </si>
  <si>
    <t>One of 15 subunits of the Remodel the Structure of Chromatin (RSC) complex, essential gene required for regulation of ribosomal protein genes and the cell wallstress response, highly similar to Rsc30p</t>
  </si>
  <si>
    <t>YDR302W</t>
  </si>
  <si>
    <t>GPI11</t>
  </si>
  <si>
    <t>ER membrane protein involved in a late step of glycosylphosphatidylinositol (GPI) anchor assembly, involved in the addition of phosphoethanolamine to the multiply mannosylated GPI intermediate, human PIG-Fp is a functional homolog</t>
  </si>
  <si>
    <t>YDR301W</t>
  </si>
  <si>
    <t>CFT1</t>
  </si>
  <si>
    <t>RNA-binding subunit of the mRNA cleavage and polyadenylation factor, involved in poly(A) site recognition and required for both pre-mRNA cleavage and polyadenylation, 51% sequence similarity with mammalian AAUAA-binding subunit of CPSF</t>
  </si>
  <si>
    <t>YDR300C</t>
  </si>
  <si>
    <t>PRO1</t>
  </si>
  <si>
    <t>Gamma-glutamyl kinase, catalyzes the first step in proline biosynthesis</t>
  </si>
  <si>
    <t>YDR299W</t>
  </si>
  <si>
    <t>BFR2</t>
  </si>
  <si>
    <t>Essential protein possibly involved in secretion, multicopy suppressor of sensitivity to Brefeldin A</t>
  </si>
  <si>
    <t>YDR298C</t>
  </si>
  <si>
    <t>ATP5</t>
  </si>
  <si>
    <t>Subunit 5 of the stator stalk of mitochondrial F1F0 ATP synthase, which is a large, evolutionarily conserved enzyme complex required for ATP synthesis, homologous to bovine subunit OSCP (oligomycin sensitivity-conferring protein)</t>
  </si>
  <si>
    <t>YDR297W</t>
  </si>
  <si>
    <t>SUR2</t>
  </si>
  <si>
    <t>Sphinganine C4-hydroxylase, catalyses the conversion of sphinganine to phytosphingosine in sphingolipid biosyntheis</t>
  </si>
  <si>
    <t>YDR296W</t>
  </si>
  <si>
    <t>MHR1</t>
  </si>
  <si>
    <t>Protein involved in homologous recombination in mitochondria and in transcription regulation in nucleus, binds to activation domains of acidic activators, required for recombination-dependent mtDNA partitioning</t>
  </si>
  <si>
    <t>YDR295C</t>
  </si>
  <si>
    <t>HDA2</t>
  </si>
  <si>
    <t>Subunit of a possibly tetrameric trichostatin A-sensitive class II histone deacetylase complex that contains an Hda1p homodimer and an Hda2p-Hda3p heterodimer, required for the activity of the complex, has similarity to Hda3p, Ploidy-related</t>
  </si>
  <si>
    <t>YDR294C</t>
  </si>
  <si>
    <t>DPL1</t>
  </si>
  <si>
    <t>Dihydrosphingosine phosphate lyase, regulates intracellular levels of sphingolipid long-chain base phosphates (LCBPs), degrades phosphorylated long chain bases, prefers C16 dihydrosphingosine-l-phosphate as a substrate</t>
  </si>
  <si>
    <t>YDR293C</t>
  </si>
  <si>
    <t>SSD1</t>
  </si>
  <si>
    <t>Protein with a role in maintenance of cellular integrity, interacts with components of the TOR pathway, ssd1 mutant of a clinical S. cerevisiae strain displays elevated virulence</t>
  </si>
  <si>
    <t>YDR292C</t>
  </si>
  <si>
    <t>SRP101</t>
  </si>
  <si>
    <t>Signal recognition particle (SRP) receptor - alpha subunit, contain GTPase domains, involved in SRP-dependent protein targeting, interacts with SRP102p</t>
  </si>
  <si>
    <t>YDR291W</t>
  </si>
  <si>
    <t>YDR289C</t>
  </si>
  <si>
    <t>RTT103</t>
  </si>
  <si>
    <t>Protein that interacts with exonuclease Rat1p and Rai1p and plays a role in transcription termination by RNA polymerase II, has an RPR domain (carboxy-terminal domain interacting domain), also involved in regulation of Ty1 transposition</t>
  </si>
  <si>
    <t>YDR288W</t>
  </si>
  <si>
    <t>NSE3</t>
  </si>
  <si>
    <t>Essential protein of unknown function, interacts with Nse4p, which is a component of the Smc56 DNA repair complex</t>
  </si>
  <si>
    <t>YDR287W</t>
  </si>
  <si>
    <t>&lt;u&gt;in&lt;U&gt;ositol &lt;u&gt;m&lt;U&gt;onophosphatase</t>
  </si>
  <si>
    <t>YDR286C</t>
  </si>
  <si>
    <t>YDR285W</t>
  </si>
  <si>
    <t>ZIP1</t>
  </si>
  <si>
    <t>Synaptonemal complex (SC) protein that connects homologous chromosomes partially during zygotene and entirely during pachytene, potential Cdc28p substrate, synaptonemal complex protein</t>
  </si>
  <si>
    <t>YDR284C</t>
  </si>
  <si>
    <t>DPP1</t>
  </si>
  <si>
    <t>Diacylglycerol pyrophosphate (DGPP) phosphatase, zinc-regulated vacuolar membrane-associated lipid phosphatase, dephosphorylates DGPP to phosphatidate (PA) and Pi, then PA to diacylglycerol, involved in lipid signaling and cell metabolism</t>
  </si>
  <si>
    <t>YDR283C</t>
  </si>
  <si>
    <t>GCN2</t>
  </si>
  <si>
    <t>Protein kinase, phosphorylates the alpha-subunit of translation initiation factor eIF2 (Sui2p) in response to starvation, activated by uncharged tRNAs and the Gcn1p-Gcn20p complex</t>
  </si>
  <si>
    <t>YDR282C</t>
  </si>
  <si>
    <t>YDR281C</t>
  </si>
  <si>
    <t>PHM6</t>
  </si>
  <si>
    <t>Protein of unknown function, expression is regulated by phosphate levels</t>
  </si>
  <si>
    <t>YDR280W</t>
  </si>
  <si>
    <t>RRP45</t>
  </si>
  <si>
    <t>YDR279W</t>
  </si>
  <si>
    <t>RNH202</t>
  </si>
  <si>
    <t>YDR277C</t>
  </si>
  <si>
    <t>MTH1</t>
  </si>
  <si>
    <t>Negative regulator of the glucose-sensing signal transduction pathway, required for repression of transcription by Rgt1p, interacts with Rgt1p and the Snf3p and Rgt2p glucose sensors, phosphorylated by Yck1p, triggering Mth1p degradation</t>
  </si>
  <si>
    <t>YDR276C</t>
  </si>
  <si>
    <t>PMP3</t>
  </si>
  <si>
    <t>Small plasma membrane protein related to a family of plant polypeptides that are overexpressed under high salt concentration or low temperature, not essential for viability, deletion causes hyperpolarization of the plasma membrane potential</t>
  </si>
  <si>
    <t>YDR275W</t>
  </si>
  <si>
    <t>BSC2</t>
  </si>
  <si>
    <t>YDR273W</t>
  </si>
  <si>
    <t>DON1</t>
  </si>
  <si>
    <t>Meiosis-specific component of the spindle pole body, part of the leading edge protein (LEP) coat, forms a ring-like structure at the leading edge of the prospore membrane during meiosis II</t>
  </si>
  <si>
    <t>YDR272W</t>
  </si>
  <si>
    <t>GLO2</t>
  </si>
  <si>
    <t>Cytoplasmic glyoxalase II, catalyzes the hydrolysis of S-D-lactoylglutathione into glutathione and D-lactate</t>
  </si>
  <si>
    <t>YDR270W</t>
  </si>
  <si>
    <t>CCC2</t>
  </si>
  <si>
    <t>copper-transporting P-type ATPase with similarity to human Menkes and Wilsons genes, Cu(2+)-transporting ATPase</t>
  </si>
  <si>
    <t>YDR268W</t>
  </si>
  <si>
    <t>MSW1</t>
  </si>
  <si>
    <t>Mitochondrial tryptophanyl-tRNA synthetase</t>
  </si>
  <si>
    <t>YDR267C</t>
  </si>
  <si>
    <t>Essential protein involved in assembly of cytosolic and nuclear iron-sulfur proteins</t>
  </si>
  <si>
    <t>YDR266C</t>
  </si>
  <si>
    <t>YDR265W</t>
  </si>
  <si>
    <t>PEX10</t>
  </si>
  <si>
    <t>RING finger peroxisomal membrane peroxin required for peroxisomal matrix protein import, interacts with Pex12p, links ubiquitin-conjugating Pex4p to protein import machinery, mutations in human homolog cause a variety of peroxisomal disorders</t>
  </si>
  <si>
    <t>YDR264C</t>
  </si>
  <si>
    <t>AKR1</t>
  </si>
  <si>
    <t>Palmitoyl transferase involved in protein palmitoylation, acts as a negative regulator of pheromone response pathway, required for endocytosis of pheromone receptors, involved in cell shape control, contains ankyrin repeats</t>
  </si>
  <si>
    <t>YDR263C</t>
  </si>
  <si>
    <t>DIN7</t>
  </si>
  <si>
    <t>Mitochondrial nuclease functioning in DNA repair and replication, modulates the stability of the mitochondrial genome, induced by exposure to mutagens, also induced during meiosis at a time nearly coincident with commitment to recombination</t>
  </si>
  <si>
    <t>YDR262W</t>
  </si>
  <si>
    <t>YDR261W-B</t>
  </si>
  <si>
    <t>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Identified by expression profiling and mass spectrometry  TyA Gag protein, the main structural constituent of virus-like particles (VLPs)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 ORF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TyA Gag protein, the main structural constituent of virus-like particles (VLPs)  TyA Gag protein, the main structural constituent of virus-like particles (VLPs)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TyB Gag-Pol protein, proteolytically processed to make the Gag, RT, PR, and IN proteins that are required for retrotransposition</t>
  </si>
  <si>
    <t>YDR261C-D</t>
  </si>
  <si>
    <t>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TyA Gag protein, the main structural constituent of virus-like particles (VLPs)  TyA Gag protein, the main structural constituent of virus-like particles (VLPs)  TyB Gag-Pol protein, proteolytically processed to make the Gag, RT, PR, and IN proteins that are required for retrotransposition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Identified by expression profiling and mass spectrometry  TyB Gag-Pol protein, proteolytically processed to make the Gag, RT, PR, and IN proteins that are required for retrotransposition  TyB Gag-Pol protein, proteolytically processed to make the Gag, RT, PR, and IN proteins that are required for retrotransposition  TyA Gag protein, the main structural constituent of virus-like particles (VLPs)  TyA Gag protein, the main structural constituent of virus-like particles (VLPs)  TyB Gag-Pol protein, proteolytically processed to make the Gag, RT, PR, and IN proteins that are required for retrotransposition  TyA Gag protein, the main structural constituent of virus-like particles (VLPs)  TyA Gag protein, the main structural constituent of virus-like particles (VLPs)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 ORF  Ty ORF  TyB Gag-Pol protein, proteolytically processed to make the Gag, RT, PR, and IN proteins that are required for retrotransposition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TyA Gag protein, the main structural constituent of virus-like particles (VLPs)  TyA Gag protein, the main structural constituent of virus-like particles (VLPs)  TyB Gag-Pol protein, proteolytically processed to make the Gag, RT, PR, and IN proteins that are required for retrotransposition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TyA Gag protein, the main structural constituent of virus-like particles (VLPs)  TyA Gag protein, the main structural constituent of virus-like particles (VLPs)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t>
  </si>
  <si>
    <t>GUD1</t>
  </si>
  <si>
    <t>Guanine deaminase, a catabolic enzyme of the guanine salvage pathway producing xanthine and ammonia from guanine, activity is low in exponentially-growing cultures but expression is increased in post-diauxic and stationary-phase cultures</t>
  </si>
  <si>
    <t>YDL237W</t>
  </si>
  <si>
    <t>YDL236W</t>
  </si>
  <si>
    <t>PHO13</t>
  </si>
  <si>
    <t>Alkaline phosphatase specific for p-nitrophenyl phosphate, involved in dephosphorylation of histone II-A and casein</t>
  </si>
  <si>
    <t>YDL235C</t>
  </si>
  <si>
    <t>YPD1</t>
  </si>
  <si>
    <t>Phosphorelay intermediate protein, phosphorylated by the plasma membrane sensor Sln1p in response to osmotic stress and then in turn phosphorylates the response regulators Ssk1p in the cytosol and Skn7p in the nucleus</t>
  </si>
  <si>
    <t>YDL234C</t>
  </si>
  <si>
    <t>GYP7</t>
  </si>
  <si>
    <t>GTPase-activating protein for yeast Rab family members including: Ypt7p (most effective), Ypt1p, Ypt31p, and Ypt32p (in vitro), involved in vesicle mediated protein trafficking</t>
  </si>
  <si>
    <t>YDL233W</t>
  </si>
  <si>
    <t>YDL232W</t>
  </si>
  <si>
    <t>OST4</t>
  </si>
  <si>
    <t>Subunit of the oligosaccharyltransferase complex of the ER lumen, which catalyzes asparagine-linked glycosylation of newly synthesized proteins, type I membrane protein of 36 residues that binds Stt3p and Ost3p together in a subcomplex</t>
  </si>
  <si>
    <t>YDL231C</t>
  </si>
  <si>
    <t>BRE4</t>
  </si>
  <si>
    <t>Zinc finger protein containing five transmembrane domains, null mutant exhibits strongly fragmented vacuoles and sensitivity to brefeldin A, a drug which is known to affect intracellular transport</t>
  </si>
  <si>
    <t>YDL230W</t>
  </si>
  <si>
    <t>PTP1</t>
  </si>
  <si>
    <t>Phosphotyrosine-specific protein phosphatase that dephosphorylates a broad range of substrates in vivo, including Fpr3p, localized to the cytoplasm and the mitochondria</t>
  </si>
  <si>
    <t>YDL229W</t>
  </si>
  <si>
    <t>YDL227C</t>
  </si>
  <si>
    <t>HO</t>
  </si>
  <si>
    <t>Site-specific endonuclease required for gene conversion at the MAT locus (homothallic switching) through the generation of a ds DNA break, expression restricted to mother cells in late G1 as controlled by Swi4p-Swi6p, Swi5p and Ash1p</t>
  </si>
  <si>
    <t>YDL226C</t>
  </si>
  <si>
    <t>GCS1</t>
  </si>
  <si>
    <t>ADP-ribosylation factor GTPase activating protein (ARF GAP), involved in ER-Golgi transport, shares functional similarity with Glo3p</t>
  </si>
  <si>
    <t>YDL225W</t>
  </si>
  <si>
    <t>SHS1</t>
  </si>
  <si>
    <t>One of five related septins (Cdc3p, Cdc10p, Cdc11p, Cdc12p, Shs1p) that form a cortical filamentous collar at the mother-bud neck which is necessary for normal morphogenesis and cytokinesis</t>
  </si>
  <si>
    <t>YDL224C</t>
  </si>
  <si>
    <t>WHI4</t>
  </si>
  <si>
    <t>Putative RNA binding protein and partially redundant Whi3p homolog that regulates the cell size requirement for passage through Start and commitment to cell division</t>
  </si>
  <si>
    <t>YDL223C</t>
  </si>
  <si>
    <t>HBT1</t>
  </si>
  <si>
    <t>Ribosomal protein L47 of the large (60S) ribosomal subunit, identical to Rpl41Bp and has similarity to rat L41 ribosomal protein, comprised of only 25 amino acids, rpl41a rpl41b double null mutant is viable  Ribosomal protein L47 of the large (60S) ribosomal subunit, identical to Rpl41Ap and has similarity to rat L41 ribosomal protein, comprised of only 25 amino acids, rpl41a rpl41b double null mutant is viable</t>
  </si>
  <si>
    <t>YDL183C</t>
  </si>
  <si>
    <t>YDL182W</t>
  </si>
  <si>
    <t>LYS20</t>
  </si>
  <si>
    <t>Homocitrate synthase isozyme, catalyzes the condensation of acetyl-CoA and alpha-ketoglutarate to form homocitrate, which is the first step in the lysine biosynthesis pathway, highly similar to the other isozyme, Lys21p</t>
  </si>
  <si>
    <t>YDL181W</t>
  </si>
  <si>
    <t>INH1</t>
  </si>
  <si>
    <t>Protein that inhibits ATP hydrolysis by the F1F0-ATP synthase, inhibitory function is enhanced by stabilizing proteins Stf1p and Stf2p, has similarity to Stf1p and both Inh1p and Stf1p exhibit the potential to form coiled-coil structures</t>
  </si>
  <si>
    <t>YDL180W</t>
  </si>
  <si>
    <t>YDL179W</t>
  </si>
  <si>
    <t>PCL9</t>
  </si>
  <si>
    <t>Cyclin, forms a functional kinase complex with Pho85p cyclin-dependent kinase (Cdk), expressed in late Mearly G1 phase, activated by Swi5p</t>
  </si>
  <si>
    <t>YDL178W</t>
  </si>
  <si>
    <t>DLD2</t>
  </si>
  <si>
    <t>D-lactate dehydrogenase, located in the mitochondrial matrix</t>
  </si>
  <si>
    <t>YDL177C</t>
  </si>
  <si>
    <t>YDL176W</t>
  </si>
  <si>
    <t>YDL175C</t>
  </si>
  <si>
    <t>AIR2</t>
  </si>
  <si>
    <t>RING finger protein that interacts with the arginine methyltransferase Hmt1p, may regulate methylation of Npl3p, which modulates Npl3p function in mRNA processing and export, has similarity to Air1p</t>
  </si>
  <si>
    <t>YDL174C</t>
  </si>
  <si>
    <t>DLD1</t>
  </si>
  <si>
    <t>D-lactate dehydrogenase, oxidizes D-lactate to pyruvate, transcription is heme-dependent, repressed by glucose, and derepressed in ethanol or lactate, located in the mitochondrial inner membrane</t>
  </si>
  <si>
    <t>YDL173W</t>
  </si>
  <si>
    <t>YDL171C</t>
  </si>
  <si>
    <t>GLT1</t>
  </si>
  <si>
    <t>NAD(+)-dependent glutamate synthase (GOGAT), synthesizes glutamate from glutamine and alpha-ketoglutarate, with Gln1p, forms the secondary pathway for glutamate biosynthesis from ammonia, expression regulated by nitrogen source</t>
  </si>
  <si>
    <t>YDL170W</t>
  </si>
  <si>
    <t>UGA3</t>
  </si>
  <si>
    <t>Transcriptional activator necessary for gamma-aminobutyrate (GABA)-dependent induction of GABA genes (such as UGA1, UGA2, UGA4), zinc-finger transcription factor of the Zn(2)-Cys(6) binuclear cluster domain type, localized to the nucleus</t>
  </si>
  <si>
    <t>YDL169C</t>
  </si>
  <si>
    <t>UGX2</t>
  </si>
  <si>
    <t>YDL168W</t>
  </si>
  <si>
    <t>SFA1</t>
  </si>
  <si>
    <t>Bifunctional enzyme containing both alcohol dehydrogenase and glutathione-dependent formaldehyde dehydrogenase activities, functions in formaldehyde detoxification and formation of long chain and complex alcohols, regulated by Hog1p-Sko1p</t>
  </si>
  <si>
    <t>YDL167C</t>
  </si>
  <si>
    <t>NRP1</t>
  </si>
  <si>
    <t>Protein of unknown function, rich in asparagine residues</t>
  </si>
  <si>
    <t>YDL166C</t>
  </si>
  <si>
    <t>FAP7</t>
  </si>
  <si>
    <t>Essential nuclear protein, involved in the oxidative stress response</t>
  </si>
  <si>
    <t>YDL165W</t>
  </si>
  <si>
    <t>CDC36</t>
  </si>
  <si>
    <t>Component of the CCR4-NOT complex, which has multiple roles in regulating mRNA levels including regulation of transcription and destabilizing mRNAs by deadenylation, basal transcription factor</t>
  </si>
  <si>
    <t>YDL164C</t>
  </si>
  <si>
    <t>CDC9</t>
  </si>
  <si>
    <t>DNA ligase found in the nucleus and mitochondria, an essential enzyme that joins Okazaki fragments during DNA replication, also acts in nucleotide excision repair, base excision repair, and recombination</t>
  </si>
  <si>
    <t>YDL161W</t>
  </si>
  <si>
    <t>ENT1</t>
  </si>
  <si>
    <t>Epsin-like protein involved in endocytosis and actin patch assembly and functionally redundant with Ent2p, binds clathrin via a clathrin-binding domain motif at C-terminus</t>
  </si>
  <si>
    <t>YDL160C-A</t>
  </si>
  <si>
    <t>YDL160C</t>
  </si>
  <si>
    <t>DHH1</t>
  </si>
  <si>
    <t>Cytoplasmic DExDH-box helicase, stimulates mRNA decapping, coordinates distinct steps in mRNA function and decay, interacts with both the decapping and deadenylase complexes, may have a role in mRNA export and translation</t>
  </si>
  <si>
    <t>YDL159W-A</t>
  </si>
  <si>
    <t>YDL159W</t>
  </si>
  <si>
    <t>STE7</t>
  </si>
  <si>
    <t>Signal transducing MAP kinase kinase involved in pheromone response, where it phosphorylates Fus3p, and in the pseudohyphalinvasive growth pathway, through phosphorylation of Kss1p, phosphorylated by Ste11p, degraded by ubiquitin pathway</t>
  </si>
  <si>
    <t>YDL157C</t>
  </si>
  <si>
    <t>YDL156W</t>
  </si>
  <si>
    <t>YDL155W</t>
  </si>
  <si>
    <t>CLB3</t>
  </si>
  <si>
    <t>YDL154W</t>
  </si>
  <si>
    <t>MSH5</t>
  </si>
  <si>
    <t>Protein of the MutS family, forms a dimer with Msh4p that facilitates crossovers between homologs during meiosis, msh5-Y823H mutation confers tolerance to DNA alkylating agents, homologs present in C. elegans and humans</t>
  </si>
  <si>
    <t>YDL153C</t>
  </si>
  <si>
    <t>SAS10</t>
  </si>
  <si>
    <t>Component of the small (ribosomal) subunit (SSU) processosome required for pre-18S rRNa processing, essential nucleolar protein that, when overproduced, disrupts silencing</t>
  </si>
  <si>
    <t>YDL150W</t>
  </si>
  <si>
    <t>RPC53</t>
  </si>
  <si>
    <t>RNA polymerase III subunit C53</t>
  </si>
  <si>
    <t>YDL149W</t>
  </si>
  <si>
    <t>ATG9</t>
  </si>
  <si>
    <t>Transmembrane protein involved in formation of Cvt and autophagic vesicles, cycles between the pre-autophagosomal structure and other cytosolic punctate structures, not found in autophagosomes</t>
  </si>
  <si>
    <t>YDL148C</t>
  </si>
  <si>
    <t>NOP14</t>
  </si>
  <si>
    <t>Nucleolar protein, forms a complex with Noc4p that mediates maturation and nuclear export of 40S ribosomal subunits, also present in the small subunit processome complex, which is required for processing of pre-18S rRNA</t>
  </si>
  <si>
    <t>YDL147W</t>
  </si>
  <si>
    <t>RPN5</t>
  </si>
  <si>
    <t>Essential, non-ATPase regulatory subunit of the 26S proteasome lid, similar to mammalian p55 subunit and to another S. cerevisiae regulatory subunit, Rpn7p</t>
  </si>
  <si>
    <t>YDL146W</t>
  </si>
  <si>
    <t>YDL145C</t>
  </si>
  <si>
    <t>COP1</t>
  </si>
  <si>
    <t>Alpha subunit of COPI vesicle coatomer complex, which surrounds transport vesicles in the early secretory pathway</t>
  </si>
  <si>
    <t>YDL144C</t>
  </si>
  <si>
    <t>YDL143W</t>
  </si>
  <si>
    <t>CCT4</t>
  </si>
  <si>
    <t>YDL142C</t>
  </si>
  <si>
    <t>CRD1</t>
  </si>
  <si>
    <t>Cardiolipin synthase, produces cardiolipin, which is an important constituent of mitochondrial membranes, required for normal mitochondrial membrane potential and function</t>
  </si>
  <si>
    <t>YDL141W</t>
  </si>
  <si>
    <t>BPL1</t>
  </si>
  <si>
    <t>Biotin:apoprotein ligase, covalently modifies proteins with the addition of biotin, required for acetyl-CoA carboxylase (Acc1p) holoenzyme formation</t>
  </si>
  <si>
    <t>YDL140C</t>
  </si>
  <si>
    <t>RPO21</t>
  </si>
  <si>
    <t>RNA polymerase II largest subunit B220, part of central core, phosphorylation of C-terminal heptapeptide repeat domain regulates association with transcription and splicing factors, similar to bacterial beta-prime</t>
  </si>
  <si>
    <t>YDL139C</t>
  </si>
  <si>
    <t>SCM3</t>
  </si>
  <si>
    <t>23 kD U4U6.U5 snRNP associated protein, Putative RNA binding zinc finger protein</t>
  </si>
  <si>
    <t>YDL097C</t>
  </si>
  <si>
    <t>RPN6</t>
  </si>
  <si>
    <t>Essential, non-ATPase regulatory subunit of the 26S proteasome lid required for the assembly and activity of the 26S proteasome, the human homolog (S9 protein) partially rescues Rpn6p depletion</t>
  </si>
  <si>
    <t>YDL095W</t>
  </si>
  <si>
    <t>PMT1</t>
  </si>
  <si>
    <t>Protein O-mannosyltransferase, transfers mannose residues from dolichyl phosphate-D-mannose to protein serinethreonine residues, acts in a complex with Pmt2p, can instead interact with Pmt3p in some conditions, target for new antifungals</t>
  </si>
  <si>
    <t>YDL093W</t>
  </si>
  <si>
    <t>PMT5</t>
  </si>
  <si>
    <t>Protein O-mannosyltransferase, transfers mannose residues from dolichyl phosphate-D-mannose to protein serinethreonine residues, acts in a complex with Pmt3p, can instead interact with Pmt2p in some conditions, target for new antifungals</t>
  </si>
  <si>
    <t>YDL092W</t>
  </si>
  <si>
    <t>YDR261C</t>
  </si>
  <si>
    <t>EXG2</t>
  </si>
  <si>
    <t>Exo-1,3-beta-glucanase, involved in cell wall beta-glucan assembly, may be anchored to the plasma membrane via a glycosylphosphatidylinositol (GPI) anchor</t>
  </si>
  <si>
    <t>YDR260C</t>
  </si>
  <si>
    <t>SWM1</t>
  </si>
  <si>
    <t>Subunit of the anaphase-promoting complex, which is an E3 ubiquitin ligase that regulates the metaphase-anaphase transition and exit from mitosis, required for activation of the daughter-specific gene expression and spore wall maturation</t>
  </si>
  <si>
    <t>YDR259C</t>
  </si>
  <si>
    <t>YAP6</t>
  </si>
  <si>
    <t>Putative basic leucine zipper (bZIP) transcription factor, overexpression increases sodium and lithium tolerance</t>
  </si>
  <si>
    <t>YDR258C</t>
  </si>
  <si>
    <t>HSP78</t>
  </si>
  <si>
    <t>Oligomeric mitochondrial matrix chaperone that cooperates with Ssc1p in mitochondrial thermotolerance after heat shock, prevents the aggregation of misfolded matrix proteins, component of the mitochondrial proteolysis system</t>
  </si>
  <si>
    <t>YDR257C</t>
  </si>
  <si>
    <t>SET7</t>
  </si>
  <si>
    <t>Nuclear protein that contains a SET-domain, which have been shown to mediate methyltransferase activity in other proteins</t>
  </si>
  <si>
    <t>YDR256C</t>
  </si>
  <si>
    <t>CTA1</t>
  </si>
  <si>
    <t>Catalase A, breaks down hydrogen peroxide in the peroxisomal matrix formed by acyl-CoA oxidase (Pox1p) during fatty acid beta-oxidation</t>
  </si>
  <si>
    <t>YDR255C</t>
  </si>
  <si>
    <t>RMD5</t>
  </si>
  <si>
    <t>Cytosolic protein required for sporulation, also required for the ubiquitination of the gluconeogenetic enzyme fructose-1,6-bisphosphatase, which is degraded rapidly after the switch from gluconeogenesis to glycolysis</t>
  </si>
  <si>
    <t>YDR254W</t>
  </si>
  <si>
    <t>CHL4</t>
  </si>
  <si>
    <t>Outer kinetochore protein required for chromosome stability, interacts with kinetochore proteins Ctf19p, Ctf3p, and Iml3p, exhibits a two-hybrid interaction with Mif2p, association with CEN DNA requires Ctf19p</t>
  </si>
  <si>
    <t>YDR253C</t>
  </si>
  <si>
    <t>MET32</t>
  </si>
  <si>
    <t>Zinc-finger DNA-binding protein, involved in regulating expression of the methionine biosynthetic genes, similar to Met31p</t>
  </si>
  <si>
    <t>YDR252W</t>
  </si>
  <si>
    <t>BTT1</t>
  </si>
  <si>
    <t>Beta3 subunit of the heterotrimeric nascent polypeptide-associated complex (alpha, beta1, beta3) which binds ribosomes via its beta-subunits in close proximity to nascent polypeptides</t>
  </si>
  <si>
    <t>YDR251W</t>
  </si>
  <si>
    <t>PAM1</t>
  </si>
  <si>
    <t>Essential protein of unknown function, exhibits variable expression during colony morphogenesis, overexpression permits survival without protein phosphatase 2A, inhibits growth, and induces a filamentous phenotype</t>
  </si>
  <si>
    <t>YDR249C</t>
  </si>
  <si>
    <t>YDR248C</t>
  </si>
  <si>
    <t>YDR247W</t>
  </si>
  <si>
    <t>VHS1</t>
  </si>
  <si>
    <t>Cytoplasmic serinethreonine protein kinase, identified as a high-copy suppressor of the synthetic lethality of a sis2 sit4 double mutant, suggesting a role in G1S phase progression, homolog of Sks1p</t>
  </si>
  <si>
    <t>YDR246W-A</t>
  </si>
  <si>
    <t>YDR246W</t>
  </si>
  <si>
    <t>TRS23</t>
  </si>
  <si>
    <t>One of 10 subunits of the transport protein particle (TRAPP) complex of the cis-Golgi which mediates vesicle docking and fusion, involved in endoplasmic reticulum (ER) to Golgi membrane traffic, human homolog is TRAPPC4</t>
  </si>
  <si>
    <t>YDR245W</t>
  </si>
  <si>
    <t>MNN10</t>
  </si>
  <si>
    <t>Subunit of a Golgi mannosyltransferase complex also containing Anp1p, Mnn9p, Mnn11p, and Hoc1p that mediates elongation of the polysaccharide mannan backbone, membrane protein of the mannosyltransferase family</t>
  </si>
  <si>
    <t>YDR244W</t>
  </si>
  <si>
    <t>PEX5</t>
  </si>
  <si>
    <t>Peroxisomal membrane signal receptor for C-terminal tripeptide signal sequence (PTS1) of peroxisomal matrix proteins, required for peroxisomal matrix protein import, tetratricopeptide repeat protein, also involved in PTS1-independent import</t>
  </si>
  <si>
    <t>YDR243C</t>
  </si>
  <si>
    <t>PRP28</t>
  </si>
  <si>
    <t>RNA helicase in the DEAD-box family, involved in RNA isomerization at the 5 splice site</t>
  </si>
  <si>
    <t>YDR242W</t>
  </si>
  <si>
    <t>AMD2</t>
  </si>
  <si>
    <t>Putative amidase</t>
  </si>
  <si>
    <t>YDR240C</t>
  </si>
  <si>
    <t>SNU56</t>
  </si>
  <si>
    <t>U1 snRNP protein, serine-rich, has no counterpart in mammalian U1 snRNP</t>
  </si>
  <si>
    <t>YDR239C</t>
  </si>
  <si>
    <t>YDR238C</t>
  </si>
  <si>
    <t>SEC26</t>
  </si>
  <si>
    <t>Essential subunit of the COP II vesicle coat, involved in endoplasmic-to-Golgi protein trafficking and maintenance of normal ER morphology, similar to mammalian beta-coat protein (beta-COP)</t>
  </si>
  <si>
    <t>YDR237W</t>
  </si>
  <si>
    <t>MRPL7</t>
  </si>
  <si>
    <t>YDR236C</t>
  </si>
  <si>
    <t>FMN1</t>
  </si>
  <si>
    <t>Riboflavin kinase, phosphorylates riboflavin to form riboflavin monophosphate (FMN), which is a necessary cofactor for many enzymes, localizes to microsomes and to the mitochondrial inner membrane</t>
  </si>
  <si>
    <t>YDR235W</t>
  </si>
  <si>
    <t>PRP42</t>
  </si>
  <si>
    <t>U1 snRNP protein involved in splicing, required for U1 snRNP biogenesis, contains multiple tetriatricopeptide repeats</t>
  </si>
  <si>
    <t>YDR234W</t>
  </si>
  <si>
    <t>LYS4</t>
  </si>
  <si>
    <t>Homoaconitase, catalyzes the conversion of homocitrate to homoisocitrate, which is a step in the lysine biosynthesis pathway</t>
  </si>
  <si>
    <t>YDR233C</t>
  </si>
  <si>
    <t>RTN1</t>
  </si>
  <si>
    <t>Protein of unknown function, has similarity to mammalian reticulon proteins, member of the RTNLA (reticulon-like A) subfamily</t>
  </si>
  <si>
    <t>YDR232W</t>
  </si>
  <si>
    <t>HEM1</t>
  </si>
  <si>
    <t>5-aminolevulinate synthase, catalyzes the first step in the heme biosynthetic pathway, an N-terminal signal sequence is required for localization to the mitochondrial matrix, expression is regulated by Hap2p-Hap3p</t>
  </si>
  <si>
    <t>YDR231C</t>
  </si>
  <si>
    <t>COX20</t>
  </si>
  <si>
    <t>Mitochondrial inner membrane protein, required for proteolytic processing of Cox2p and its assembly into cytochrome c oxidase</t>
  </si>
  <si>
    <t>YDR229W</t>
  </si>
  <si>
    <t>IVY1</t>
  </si>
  <si>
    <t>Phospholipid-binding protein that interacts with both Ypt7p and Vps33p, may partially counteract the action of Vps33p and vice versa, localizes to the rim of the vacuole as cells approach stationary phase</t>
  </si>
  <si>
    <t>YDR228C</t>
  </si>
  <si>
    <t>PCF11</t>
  </si>
  <si>
    <t>mRNA 3 end processing factor, essential component of cleavage and polyadenylation factor IA (CF IA), involved in pre-mRNA 3 end processing and in transcription termination, binds C-terminal domain of largest subunit of RNA pol II (Rpo21p)</t>
  </si>
  <si>
    <t>YDR227W</t>
  </si>
  <si>
    <t>SIR4</t>
  </si>
  <si>
    <t>Silent information regulator that, together with SIR2 and SIR3, is involved in assembly of silent chromatin domains at telomeres and the silent mating-type loci, potentially phosphorylated by Cdc28p, some alleles of SIR4 prolong lifespan</t>
  </si>
  <si>
    <t>YDR226W</t>
  </si>
  <si>
    <t>ADK1</t>
  </si>
  <si>
    <t>Adenylate kinase, required for purine metabolism, localized to the cytoplasm and the mitochondria, lacks cleavable signal sequence</t>
  </si>
  <si>
    <t>YDR225W</t>
  </si>
  <si>
    <t>Catalytic epsilon subunit of the translation initiation factor eIF2B, the guanine-nucleotide exchange factor for eIF2, activity subsequently regulated by phosphorylated eIF2, first identified as a negative regulator of GCN4 expression</t>
  </si>
  <si>
    <t>YDR210W</t>
  </si>
  <si>
    <t>YDR208W</t>
  </si>
  <si>
    <t>MSS4</t>
  </si>
  <si>
    <t>Phosphatidylinositol-4-phosphate 5-kinase, involved in actin cytoskeleton organization and cell morphogenesis, multicopy suppressor of stt4 mutation</t>
  </si>
  <si>
    <t>YDR207C</t>
  </si>
  <si>
    <t>UME6</t>
  </si>
  <si>
    <t>Key transcriptional regulator of early meiotic genes, binds URS1 upstream regulatory sequence, couples metabolic responses to nutritional cues with initiation and progression of meiosis, forms complex with Ime1p, and also with Sin3p-Rpd3p</t>
  </si>
  <si>
    <t>YDR206W</t>
  </si>
  <si>
    <t>EBS1</t>
  </si>
  <si>
    <t>Protein of unknown function, contains a putative RNA recognition motif, deletion results in short telomeres, similar to Est1p, may be partially redundant with Est1p for telomere maintenance</t>
  </si>
  <si>
    <t>YDR205W</t>
  </si>
  <si>
    <t>MSC2</t>
  </si>
  <si>
    <t>Member of the cation diffusion facilitator family, localizes to the endoplasmic reticulum and nucleus, mutations affect the cellular distribution of zinc and also confer defects in meiotic recombination between homologous chromatids</t>
  </si>
  <si>
    <t>YDR204W</t>
  </si>
  <si>
    <t>COQ4</t>
  </si>
  <si>
    <t>Protein with a role in ubiquinone (Coenzyme Q) biosynthesis, possibly functioning in stabilization of Coq7p, located on the matrix face of the mitochondrial inner membrane, component of a mitochondrial ubiquinone-synthesizing complex</t>
  </si>
  <si>
    <t>YDR202C</t>
  </si>
  <si>
    <t>RAV2</t>
  </si>
  <si>
    <t>Subunit of RAVE (Rav1p, Rav2p, Skp1p), a complex that associates with the V1 domain of the vacuolar membrane (H+)-ATPase (V-ATPase) and promotes assembly and reassembly of the holoenzyme</t>
  </si>
  <si>
    <t>YDR201W</t>
  </si>
  <si>
    <t>SPC19</t>
  </si>
  <si>
    <t>YDR200C</t>
  </si>
  <si>
    <t>VPS64</t>
  </si>
  <si>
    <t>Cytoplasmic protein required for cytoplasm to vacuole targeting of proteins, forms a complex with Far3p, Far7p, Far10p, and Far11p that is involved in pheromone-induced cell cycle arrest, also localized to the endoplasmic reticulum membrane</t>
  </si>
  <si>
    <t>YDR198C</t>
  </si>
  <si>
    <t>YDR197W</t>
  </si>
  <si>
    <t>CBS2</t>
  </si>
  <si>
    <t>Translational activator of COB mRNA, soluble protein, cytochrome b translational activator</t>
  </si>
  <si>
    <t>YDR196C</t>
  </si>
  <si>
    <t>predicted to catalyze the final step in synthesis of Coenzyme A</t>
  </si>
  <si>
    <t>YDR195W</t>
  </si>
  <si>
    <t>REF2</t>
  </si>
  <si>
    <t>RNA-binding protein involved in the cleavage step of mRNA 3-end formation prior to polyadenylation, also involved in snoRNA maturation</t>
  </si>
  <si>
    <t>YDR194W-A</t>
  </si>
  <si>
    <t>YDR194C</t>
  </si>
  <si>
    <t>MSS116</t>
  </si>
  <si>
    <t>DEAD-box protein required for efficient splicing of mitochondrial Group I and II introns, presumed RNA helicase due to DEAD-box motif</t>
  </si>
  <si>
    <t>YDR192C</t>
  </si>
  <si>
    <t>NUP42</t>
  </si>
  <si>
    <t>Subunit of the nuclear pore complex (NPC) that localizes exclusively to the cytoplasmic side, involved in RNA export, most likely at a terminal step, interacts with Gle1p</t>
  </si>
  <si>
    <t>YDR191W</t>
  </si>
  <si>
    <t>HST4</t>
  </si>
  <si>
    <t>Member of the Sir2 family of NAD(+)-dependent protein deacetylases, involved along with Hst3p in silencing at telomeres, cell cycle progression, radiation resistance, genomic stability and short-chain fatty acid metabolism</t>
  </si>
  <si>
    <t>YDR190C</t>
  </si>
  <si>
    <t>RVB1</t>
  </si>
  <si>
    <t>YDR189W</t>
  </si>
  <si>
    <t>SLY1</t>
  </si>
  <si>
    <t>Hydrophilic protein involved in vesicle trafficking between the ER and Golgi, SM (Sec1Munc-18) family protein that binds the tSNARE Sed5p and stimulates its assembly into a trans-SNARE membrane-protein complex</t>
  </si>
  <si>
    <t>YDR188W</t>
  </si>
  <si>
    <t>CCT6</t>
  </si>
  <si>
    <t>Subunit of the cytosolic chaperonin Cct ring complex, related to Tcp1p, essential protein that is required for the assembly of actin and tubulins in vivo, contains an ATP-binding motif</t>
  </si>
  <si>
    <t>YDR186C</t>
  </si>
  <si>
    <t>YDR185C</t>
  </si>
  <si>
    <t>YDR184C</t>
  </si>
  <si>
    <t>ATC1</t>
  </si>
  <si>
    <t>Nuclear protein, possibly involved in regulation of cation stress responses andor in the establishment of bipolar budding pattern</t>
  </si>
  <si>
    <t>YDR183W</t>
  </si>
  <si>
    <t>PLP1</t>
  </si>
  <si>
    <t>Protein with a possible role in folding of beta-tubulin, has similarity to phosducins, which are GTPase inhibitors</t>
  </si>
  <si>
    <t>YDR182W-A</t>
  </si>
  <si>
    <t>YDR182W</t>
  </si>
  <si>
    <t>CDC1</t>
  </si>
  <si>
    <t>Putative membrane protein of unknown function involved in Mn2+ homeostasis, mutants display actin and general growth defects, heterogeneous cell cycle arrests, and pleiotropic defects in cell cycle progression and organelle distribution</t>
  </si>
  <si>
    <t>YDR181C</t>
  </si>
  <si>
    <t>Threonine synthase, conserved protein that catalyzes formation of threonine from 0-phosphohomoserine, expression is regulated by the GCN4-mediated general amino acid control pathway</t>
  </si>
  <si>
    <t>YCR052W</t>
  </si>
  <si>
    <t>RSC6</t>
  </si>
  <si>
    <t>One of 15 subunits of the Remodel the Structure of Chromatin (RSC) complex, essential for mitotic growth, homolog of SWISNF subunit Swp73p</t>
  </si>
  <si>
    <t>YCR051W</t>
  </si>
  <si>
    <t>YCR048W</t>
  </si>
  <si>
    <t>ARE1</t>
  </si>
  <si>
    <t>Acyl-CoA:sterol acyltransferase, isozyme of Are2p, endoplasmic reticulum enzyme that contributes the major sterol esterification activity in the absence of oxygen</t>
  </si>
  <si>
    <t>YCR047C</t>
  </si>
  <si>
    <t>BUD23</t>
  </si>
  <si>
    <t>YCR046C</t>
  </si>
  <si>
    <t>IMG1</t>
  </si>
  <si>
    <t>Mitochondrial ribosomal protein of the small subunit, required for respiration and for maintenance of the mitochondrial genome</t>
  </si>
  <si>
    <t>YCR045C</t>
  </si>
  <si>
    <t>YCR044C</t>
  </si>
  <si>
    <t>PER1</t>
  </si>
  <si>
    <t>Vacuolar membrane protein that seems to be involved in Mn2+ homeostasis, mutant is dependent on activation of the unfolded protein response pathway for viability</t>
  </si>
  <si>
    <t>YCR043C</t>
  </si>
  <si>
    <t>YCR042C</t>
  </si>
  <si>
    <t>TAF2</t>
  </si>
  <si>
    <t>TFIID subunit (150 kDa), involved in RNA polymerase II transcription initiation</t>
  </si>
  <si>
    <t>YCR038C</t>
  </si>
  <si>
    <t>Silenced copy of A2, encoding a protein of with similarity to Alpha2p that is required along with A1p for inhibiting expression of the HO endonuclease in aalpha HOHO diploid cells with an active mating-type interconversion system  GTPGDP exchange factor for Rsr1p (Bud1p) required for both axial and bipolar budding patterns, mutants exhibit random budding in all cell types  Homeobox-domain containing protein which acts with Mcm1p in haploid cells to repress a-specific genes, in diploid cells Alpha2p acts together with A1p to repress transcription of haploid-specific genes  Silenced copy of ALPHA2, encoding a homeobox-domain containing protein that associates with Mcm1p in haploid cells to repress a-specific gene expression and interacts with A1p in diploid cells to repress haploid-specific gene expression  Hypothetical protein</t>
  </si>
  <si>
    <t>YCR037C</t>
  </si>
  <si>
    <t>PHO87</t>
  </si>
  <si>
    <t>Low-affinity inorganic phosphate (Pi) transporter, involved in activation of PHO pathway, expression is independent of Pi concentration and Pho4p activity, contains 12 membrane-spanning segments</t>
  </si>
  <si>
    <t>YCR036W</t>
  </si>
  <si>
    <t>RBK1</t>
  </si>
  <si>
    <t>Putative ribokinase</t>
  </si>
  <si>
    <t>YCR035C</t>
  </si>
  <si>
    <t>RRP43</t>
  </si>
  <si>
    <t>Protein involved in rRNA processing, component of the exosome 3-&gt;5 exonuclease complex with Rrp41p, Rrp42p, Rrp4p and Dis3p, required for efficient maturation of 5.8S, 18S and 25S rRNA</t>
  </si>
  <si>
    <t>YCR034W</t>
  </si>
  <si>
    <t>FEN1</t>
  </si>
  <si>
    <t>Fatty acid elongase, involved in sphingolipid biosynthesis, acts on fatty acids of up to 24 carbons in length, mutations have regulatory effects on 1,3-beta-glucan synthase, vacuolar ATPase, and the secretory pathway</t>
  </si>
  <si>
    <t>YCR033W</t>
  </si>
  <si>
    <t>SNT1</t>
  </si>
  <si>
    <t>Subunit of the Set3C deacetylase complex, putative DNA-binding protein</t>
  </si>
  <si>
    <t>YCR032W</t>
  </si>
  <si>
    <t>BPH1</t>
  </si>
  <si>
    <t>Protein homologous to human Chediak-Higashi syndrome protein and murine beige gene, which are implicated in disease syndromes due to defective lysosomal trafficking</t>
  </si>
  <si>
    <t>YCR031C</t>
  </si>
  <si>
    <t>YCR030C</t>
  </si>
  <si>
    <t>SYP1</t>
  </si>
  <si>
    <t>Protein with a potential role in actin cytoskeletal organization, overexpression suppresses a pfy1 (profilin) null mutation</t>
  </si>
  <si>
    <t>YCR028C-A</t>
  </si>
  <si>
    <t>RIM1</t>
  </si>
  <si>
    <t>Single-stranded DNA-binding protein that is essential for mitochondrial genome maintenance, Single-stranded zinc finger DNA-binding protein</t>
  </si>
  <si>
    <t>YCR028C</t>
  </si>
  <si>
    <t>FEN2</t>
  </si>
  <si>
    <t>Plasma membrane H+-pantothenate symporter, confers sensitivity to the antifungal agent fenpropimorph</t>
  </si>
  <si>
    <t>YCR027C</t>
  </si>
  <si>
    <t>RHB1</t>
  </si>
  <si>
    <t>Putative Rheb-related GTPase involved in regulating canavanine resistance and arginine uptake, member of the Ras superfamily of G-proteins</t>
  </si>
  <si>
    <t>YCR026C</t>
  </si>
  <si>
    <t>YCR024C-B</t>
  </si>
  <si>
    <t>YCR024C-A</t>
  </si>
  <si>
    <t>PMP1</t>
  </si>
  <si>
    <t>May regulate plasma membrane H(+)-ATPase, Proteolipid associated with plasma membrane H(+)-ATPase (Pma1p)</t>
  </si>
  <si>
    <t>YCR024C</t>
  </si>
  <si>
    <t>SLM5</t>
  </si>
  <si>
    <t>Mitochondrial asparaginyl-tRNA synthetase</t>
  </si>
  <si>
    <t>YCR023C</t>
  </si>
  <si>
    <t>YCR021C</t>
  </si>
  <si>
    <t>HSP30</t>
  </si>
  <si>
    <t>Hydrophobic plasma membrane localized, stress-responsive protein that negatively regulates the H(+)-ATPase Pma1p, induced by heat shock, ethanol treatment, weak organic acid, glucose limitation, and entry into stationary phase</t>
  </si>
  <si>
    <t>YCR020W-B</t>
  </si>
  <si>
    <t>HTL1</t>
  </si>
  <si>
    <t>Subunit of the RSC chromatin remodeling complex, a multisubunit complex that functions in transcriptional regulation, chromosome stability and establishing sister chromatid cohesion</t>
  </si>
  <si>
    <t>YCR020C-A</t>
  </si>
  <si>
    <t>MAK31</t>
  </si>
  <si>
    <t>Non-catalytic subunit of N-terminal acetyltransferase of the NatC type, required for replication of dsRNA virus, member of the Sm protein family</t>
  </si>
  <si>
    <t>YCR020C</t>
  </si>
  <si>
    <t>PET18</t>
  </si>
  <si>
    <t>YCR019W</t>
  </si>
  <si>
    <t>MAK32</t>
  </si>
  <si>
    <t>Protein necessary for structural stability of L-A double-stranded RNA-containing particles</t>
  </si>
  <si>
    <t>YCR018C</t>
  </si>
  <si>
    <t>SRD1</t>
  </si>
  <si>
    <t>Protein involved in the processing of pre-rRNA to mature rRNA, contains a C2C2 zinc finger motif, srd1 mutation suppresses defects caused by the rrp1-1 mutation</t>
  </si>
  <si>
    <t>YCR017C</t>
  </si>
  <si>
    <t>CWH43</t>
  </si>
  <si>
    <t>Cytoplasmic RNA-binding protein that associates with translating ribosomes, involved in heme regulation of Hap1p as a component of the HMC complex, also involved in the organization of actin filaments, contains a La motif</t>
  </si>
  <si>
    <t>YCL036W</t>
  </si>
  <si>
    <t>GFD2</t>
  </si>
  <si>
    <t>Protein of unknown function, identified as a high-copy suppressor of a dbp5 mutation</t>
  </si>
  <si>
    <t>YCL035C</t>
  </si>
  <si>
    <t>GRX1</t>
  </si>
  <si>
    <t>Hydroperoxide and superoxide-radical responsive heat-stable glutathione-dependent disulfide oxidoreductase with active site cysteine pair, protects cells from oxidative damage</t>
  </si>
  <si>
    <t>YCL034W</t>
  </si>
  <si>
    <t>LSB5</t>
  </si>
  <si>
    <t>Protein of unknown function, binds Las17p, which is a homolog of human Wiskott-Aldrich Syndrome protein involved in actin patch assembly and actin polymerization</t>
  </si>
  <si>
    <t>YCL033C</t>
  </si>
  <si>
    <t>YCL032W</t>
  </si>
  <si>
    <t>STE50</t>
  </si>
  <si>
    <t>Protein involved in mating response, invasivefilamentous growth, and osmotolerance, acts as an adaptor that links G protein-associated Cdc42p-Ste20p complex to the effector Ste11p to modulate signal transduction</t>
  </si>
  <si>
    <t>YCL031C</t>
  </si>
  <si>
    <t>RRP7</t>
  </si>
  <si>
    <t>Glycoprotein of the ER membrane involved in ER-to-Golgi transport of glycosylphosphatidylinositol (GPI)-anchored proteins, mutants are defective in ER-associated glycoprotein degradation</t>
  </si>
  <si>
    <t>YDR056C</t>
  </si>
  <si>
    <t>YDR055W</t>
  </si>
  <si>
    <t>PST1</t>
  </si>
  <si>
    <t>Cell wall protein that contains a putative GPI-attachment site, secreted by regenerating protoplasts, up-regulated by activation of the cell integrity pathway, as mediated by Rlm1p, upregulated by cell wall damage via disruption of FKS1</t>
  </si>
  <si>
    <t>YDR054C</t>
  </si>
  <si>
    <t>CDC34</t>
  </si>
  <si>
    <t>Ubiquitin-conjugating enzyme or E2, together with Skp1p, Rbx1p, Cdc53p, and an F-box protein, forms a ubiquitin-protein ligase called the SCF complex which regulates cell cycle progression by targeting key substrates for degradation</t>
  </si>
  <si>
    <t>YDR052C</t>
  </si>
  <si>
    <t>DBF4</t>
  </si>
  <si>
    <t>Regulatory subunit of Cdc7p-Dbf4p kinase complex, required for Cdc7p kinase activity and initiation of DNA replication, phosphorylates the Mcm2-7 family of proteins, cell cycle regulated</t>
  </si>
  <si>
    <t>YDR051C</t>
  </si>
  <si>
    <t>YDR050C</t>
  </si>
  <si>
    <t>TPI1</t>
  </si>
  <si>
    <t>Triose phosphate isomerase, abundant glycolytic enzyme, mRNA half-life is regulated by iron availability, transcription is controlled by activators Reb1p, Gcr1p, and Rap1p through binding sites in the 5 non-coding region</t>
  </si>
  <si>
    <t>YDR049W</t>
  </si>
  <si>
    <t>YDR047W</t>
  </si>
  <si>
    <t>HEM12</t>
  </si>
  <si>
    <t>Uroporphyrinogen decarboxylase, catalyzes the fifth step in the heme biosynthetic pathway, localizes to both the cytoplasm and nucleus, activity inhibited by Cu2+, Zn2+, Fe2+, Fe3+ and sulfhydryl-specific reagents</t>
  </si>
  <si>
    <t>YDR046C</t>
  </si>
  <si>
    <t>BAP3</t>
  </si>
  <si>
    <t>Amino acid permease involved in the uptake of cysteine, leucine, isoleucine and valine</t>
  </si>
  <si>
    <t>YDR045C</t>
  </si>
  <si>
    <t>RPC11</t>
  </si>
  <si>
    <t>RNA polymerase III subunit C11, mediates pol III RNA cleavage activity and is important for termination of transcription</t>
  </si>
  <si>
    <t>YDR044W</t>
  </si>
  <si>
    <t>HEM13</t>
  </si>
  <si>
    <t>Coproporphyrinogen III oxidase, an oxygen requiring enzyme that catalyzes the sixth step in the heme biosynthetic pathway, localizes to the mitochondrial inner membrane, transcription is repressed by oxygen and heme (via Rox1p and Hap1p)</t>
  </si>
  <si>
    <t>YDR043C</t>
  </si>
  <si>
    <t>NRG1</t>
  </si>
  <si>
    <t>Transcriptional repressor that recruits the Cyc8p-Tup1p complex to promoters, mediates glucose repression and negatively regulates a variety of processes including filamentous growth and alkaline pH response</t>
  </si>
  <si>
    <t>YDR042C</t>
  </si>
  <si>
    <t>YDR041W</t>
  </si>
  <si>
    <t>RSM10</t>
  </si>
  <si>
    <t>Mitochondrial ribosomal protein of the small subunit, has similarity to E. coli S10 ribosomal protein, essential for viability, unlike most other mitoribosomal proteins</t>
  </si>
  <si>
    <t>YDR038C</t>
  </si>
  <si>
    <t>P-type ATPase sodium pump, involved in Na+ and Li+ efflux to allow salt tolerance  P-type ATPase sodium pump, involved in Na+ efflux to allow salt tolerance, likely not involved in Li+ efflux  Protein with similarity to P-type ATPase sodium pumps</t>
  </si>
  <si>
    <t>YDR037W</t>
  </si>
  <si>
    <t>KRS1</t>
  </si>
  <si>
    <t xml:space="preserve">Lysyl-tRNA synthetase, also identified as a negative regulator of general control of amino acid biosynthesis </t>
  </si>
  <si>
    <t>YDR036C</t>
  </si>
  <si>
    <t>EHD3</t>
  </si>
  <si>
    <t>Protein of unconfirmed function, plays an indirect role in endocytic membrane trafficking, member of a family of enoyl-CoA hydrataseisomerases</t>
  </si>
  <si>
    <t>YDR035W</t>
  </si>
  <si>
    <t>ARO3</t>
  </si>
  <si>
    <t>3-deoxy-D-arabino-heptulosonate-7-phosphate (DAHP) synthase, catalyzes the first step in aromatic amino acid biosynthesis and is feedback-inhibited by phenylalanine</t>
  </si>
  <si>
    <t>YDR034W-B</t>
  </si>
  <si>
    <t>YDR034C-A</t>
  </si>
  <si>
    <t>Protein of unknown function, mutant phenotype suggests a potential role in vacuolar function, green fluorescent protein (GFP)-fusion protein localizes to the cell periphery, cytoplasm, bud, and bud neck  TyB Gag-Pol protein, proteolytically processed to make the Gag, RT, PR, and IN proteins that are required for retrotransposition  TyA Gag protein, the main structural constituent of virus-like particles (VLPs)  Similar to probable membrane protein YLR334C and ORF YOL106W</t>
  </si>
  <si>
    <t>YDR034C</t>
  </si>
  <si>
    <t>LYS14</t>
  </si>
  <si>
    <t>Transcriptional activator involved in regulation of genes of the lysine biosynthesis pathway, requires 2-aminoadipate semialdehyde as co-inducer</t>
  </si>
  <si>
    <t>YDR033W</t>
  </si>
  <si>
    <t>MRH1</t>
  </si>
  <si>
    <t>Protein that localizes primarily to the plasma membrane, also found at the nuclear envelope, has similarity to Hsp30p and Yro2p, which are induced during heat shock</t>
  </si>
  <si>
    <t>YDR032C</t>
  </si>
  <si>
    <t>PST2</t>
  </si>
  <si>
    <t>Protein of unknown function with similarity to members of a family of flavodoxin-like proteins, induced by oxidative stress in a Yap1p dependent manner, GFP-fusion protein localizes to the cytoplasm in a punctate pattern</t>
  </si>
  <si>
    <t>YDR031W</t>
  </si>
  <si>
    <t>YDR030C</t>
  </si>
  <si>
    <t>RAD28</t>
  </si>
  <si>
    <t>Protein involved in transcription-coupled repair nucleotide excision repair of UV-induced DNA lesions, homolog of human CSA protein</t>
  </si>
  <si>
    <t>YDR028C</t>
  </si>
  <si>
    <t>REG1</t>
  </si>
  <si>
    <t>Regulatory subunit of type 1 protein phosphatase Glc7p, involved in negative regulation of glucose-repressible genes, involved in RNA processing</t>
  </si>
  <si>
    <t>YDR027C</t>
  </si>
  <si>
    <t>VPS54</t>
  </si>
  <si>
    <t>Component of the GARP (Golgi-associated retrograde protein) complex, Vps51p-Vps52p-Vps53p-Vps54p, which is required for the recycling of proteins from endosomes to the late Golgi, potentially phosphorylated by Cdc28p</t>
  </si>
  <si>
    <t>YDR026C</t>
  </si>
  <si>
    <t>YDR025W</t>
  </si>
  <si>
    <t>Protein component of the small (40S) ribosomal subunit, identical to Rps11Bp and has similarity to E. coli S17 and rat S11 ribosomal proteins  Protein component of the small (40S) ribosomal subunit, identical to Rps11Ap and has similarity to E. coli S17 and rat S11 ribosomal proteins</t>
  </si>
  <si>
    <t>YDR023W</t>
  </si>
  <si>
    <t>SES1</t>
  </si>
  <si>
    <t>Ubiquitin-protein ligase, controls turnover of a specific class of unstable nuclear proteins including Sir4p but not Sir2p or Sir3p, san1 mutations suppress sir4, spt16, and cdc68 mutations, suggesting a role in chromatin silencing</t>
  </si>
  <si>
    <t>YDR142C</t>
  </si>
  <si>
    <t>PEX7</t>
  </si>
  <si>
    <t>Peroxisomal signal receptor for the N-terminal nonapeptide signal (PTS2) of peroxisomal matrix proteins, WD repeat protein, defects in human homolog cause lethal rhizomelic chondrodysplasia punctata (RCDP)</t>
  </si>
  <si>
    <t>YDR141C</t>
  </si>
  <si>
    <t>DOP1</t>
  </si>
  <si>
    <t>Protein of unknown function, essential for viability, involved in establishing cellular polarity and morphogenesis, green fluorescent protein (GFP)-fusion protein localizes to the cytoplasm in a punctate pattern</t>
  </si>
  <si>
    <t>YDR140W</t>
  </si>
  <si>
    <t>Putative S-adenosylmethionine-dependent methyltransferase of the seven beta-strand family, methylates release factor eRF1 (Sup45p) in vitro</t>
  </si>
  <si>
    <t>YDR139C</t>
  </si>
  <si>
    <t>RUB1</t>
  </si>
  <si>
    <t>Ubiquitin-like protein with similarity to mammalian NEDD8, conjugation (neddylation) substrates include the cullins Cdc53p, Rtt101p, and Cul3p, activated by Ula1p and Uba3p (E1 enzyme pair), conjugation mediated by Ubc12p (E2 enzyme)</t>
  </si>
  <si>
    <t>YDR138W</t>
  </si>
  <si>
    <t>HPR1</t>
  </si>
  <si>
    <t>Subunit of THOTREX, related complexes that couple transcription elongation with mitotic recombination and elongation with mRNA metabolism and export, subunit of an RNA Pol II complex, regulates lifespan, similar to Top1p</t>
  </si>
  <si>
    <t>YDR137W</t>
  </si>
  <si>
    <t>RGP1</t>
  </si>
  <si>
    <t>Subunit of a Golgi membrane exchange factor (Ric1p-Rgp1p) that catalyzes nucleotide exchange on Ypt6p</t>
  </si>
  <si>
    <t>YDR135C</t>
  </si>
  <si>
    <t>YCF1</t>
  </si>
  <si>
    <t>Vacuolar glutathione S-conjugate transporter of the ATP-binding cassette family, has a role in detoxifying metals such as cadmium, mercury, and arsenite, also transports unconjugated bilirubin, similar to human cystic fibrosis protein CFTR</t>
  </si>
  <si>
    <t>YDR132C</t>
  </si>
  <si>
    <t>YDR131C</t>
  </si>
  <si>
    <t>YDR130C</t>
  </si>
  <si>
    <t>FIN1</t>
  </si>
  <si>
    <t>Basic protein with putative coiled-coil regions that comprises a filament between spindle pole bodies, self-assembles into filaments with a diameter of approximately 10 nm, potential Cdc28p substrate</t>
  </si>
  <si>
    <t>YDR129C</t>
  </si>
  <si>
    <t>SAC6</t>
  </si>
  <si>
    <t>Fimbrin, actin-bundling protein, cooperates with Scp1p (calponintransgelin) in the organization and maintenance of the actin cytoskeleton</t>
  </si>
  <si>
    <t>YDR128W</t>
  </si>
  <si>
    <t>YDR127W</t>
  </si>
  <si>
    <t>ARO1</t>
  </si>
  <si>
    <t>Pentafunctional arom protein, catalyzes steps 2 through 6 in the biosynthesis of chorismate, which is a precursor to aromatic amino acids</t>
  </si>
  <si>
    <t>YDR126W</t>
  </si>
  <si>
    <t>SWF1</t>
  </si>
  <si>
    <t>Protein essential for spore wall formation</t>
  </si>
  <si>
    <t>YDR125C</t>
  </si>
  <si>
    <t>ECM18</t>
  </si>
  <si>
    <t>Protein of unknown function, similar to Rlp24p</t>
  </si>
  <si>
    <t>YDR124W</t>
  </si>
  <si>
    <t>YDR123C</t>
  </si>
  <si>
    <t>INO2</t>
  </si>
  <si>
    <t>Component of the heteromeric Ino2pIno4p basic helix-loop-helix transcription activator that binds inositolcholine-responsive elements (ICREs), required for derepression of phospholipid biosynthetic genes in response to inositol depletion</t>
  </si>
  <si>
    <t>YDR122W</t>
  </si>
  <si>
    <t>KIN1</t>
  </si>
  <si>
    <t>Serinethreonine protein kinase involved in regulation of exocytosis, localizes to the cytoplasmic face of the plasma membrane, closely related to Kin2p</t>
  </si>
  <si>
    <t>YDR121W</t>
  </si>
  <si>
    <t>DPB4</t>
  </si>
  <si>
    <t>Shared subunit of DNA polymerase epsilon and of ISW2yCHRAC chromatin accessibility complex, involved in both chromosomal DNA replication and in inheritance of telomeric silencing</t>
  </si>
  <si>
    <t>YDR120C</t>
  </si>
  <si>
    <t>TRM1</t>
  </si>
  <si>
    <t>tRNA methyltransferase, localizes to both the nucleus and mitochondrion to produce the modified base N2,N2-dimethylguanosine in tRNAs in both compartments</t>
  </si>
  <si>
    <t>YDR119W</t>
  </si>
  <si>
    <t>YDR118W</t>
  </si>
  <si>
    <t>APC4</t>
  </si>
  <si>
    <t>YDR117C</t>
  </si>
  <si>
    <t>YDR116C</t>
  </si>
  <si>
    <t>MRPL1</t>
  </si>
  <si>
    <t>YDR115W</t>
  </si>
  <si>
    <t>Putative mitochondrial ribosomal protein of the large subunit, has similarity to E. coli L34 ribosomal protein, required for respiratory growth, as are most mitochondrial ribosomal proteins</t>
  </si>
  <si>
    <t>YDR113C</t>
  </si>
  <si>
    <t>PDS1</t>
  </si>
  <si>
    <t>Securin that inhibits anaphase by binding separin Esp1p, also blocks cyclin destruction and mitotic exit, essential for cell cycle arrest in mitosis in the presence of DNA damage or aberrant mitotic spindles, also present in meiotic nuclei</t>
  </si>
  <si>
    <t>YDR111C</t>
  </si>
  <si>
    <t>YDR110W</t>
  </si>
  <si>
    <t>FOB1</t>
  </si>
  <si>
    <t>Nucleolar protein required for DNA replication fork blocking and recombinational hotspot activities, binds to the replication fork barrier site in the rDNA region, related to retroviral integrases</t>
  </si>
  <si>
    <t>YDR109C</t>
  </si>
  <si>
    <t>YDR108W</t>
  </si>
  <si>
    <t>GSG1</t>
  </si>
  <si>
    <t>Subunit of TRAPP (transport protein particle), a multi-subunit complex involved in targeting andor fusion of ER-to-Golgi transport vesicles with their acceptor compartment, protein has late meiotic role, following DNA replication</t>
  </si>
  <si>
    <t>YDR107C</t>
  </si>
  <si>
    <t>multispanning membrane protein</t>
  </si>
  <si>
    <t>YDR106W</t>
  </si>
  <si>
    <t>ARP10</t>
  </si>
  <si>
    <t>Actin-related protein</t>
  </si>
  <si>
    <t>YDR105C</t>
  </si>
  <si>
    <t>TMS1</t>
  </si>
  <si>
    <t>Vacuolar membrane protein of unknown function that is conserved in mammals, predicted to contain eleven transmembrane helices, interacts with Pdr5p, a protein involved in multidrug resistance</t>
  </si>
  <si>
    <t>YDR104C</t>
  </si>
  <si>
    <t>SPO71</t>
  </si>
  <si>
    <t>YDR103W</t>
  </si>
  <si>
    <t>STE5</t>
  </si>
  <si>
    <t>Scaffold protein that, in response to pheromone, shuttles from the nucleus to the plasma membrane and assembles kinases Ste11p, Ste7p, and Fus3p into a specific signaling complex, active oligomeric form interacts with Ste4p-Ste18p complex</t>
  </si>
  <si>
    <t>YDR101C</t>
  </si>
  <si>
    <t>ARX1</t>
  </si>
  <si>
    <t>Protein associated with the ribosomal export complex</t>
  </si>
  <si>
    <t>YDR100W</t>
  </si>
  <si>
    <t>Tlg2-Vesicle Protein of 15 kDa, integral membrane vesicle protein</t>
  </si>
  <si>
    <t>YDR099W</t>
  </si>
  <si>
    <t>BMH2</t>
  </si>
  <si>
    <t>14-3-3 protein, minor isoform, binds proteins and DNA, involved in regulation of many processes including exocytosis and vesicle transport, RasMAPK signaling during pseudohyphal development, rapamycin-sensitive signaling, and others</t>
  </si>
  <si>
    <t>YDR098C</t>
  </si>
  <si>
    <t>GRX3</t>
  </si>
  <si>
    <t>Hydroperoxide and superoxide-radical responsive glutathione-dependent oxidoreductase, monothiol glutaredoxin subfamily member along with Grx4p and Grx5p, protects cells from oxidative damage</t>
  </si>
  <si>
    <t>YDR097C</t>
  </si>
  <si>
    <t>MSH6</t>
  </si>
  <si>
    <t>Protein required for mismatch repair in mitosis and meiosis, forms a complex with Msh2p to repair both single-base &amp; insertion-deletion mispairs, potentially phosphorylated by Cdc28p</t>
  </si>
  <si>
    <t>YDR096W</t>
  </si>
  <si>
    <t>GIS1</t>
  </si>
  <si>
    <t>Transcriptional factor, involved in the expression of genes during nutrient limitation, also involved in the negative regulation of DPP1 and PHR1</t>
  </si>
  <si>
    <t>YDR093W</t>
  </si>
  <si>
    <t>DNF2</t>
  </si>
  <si>
    <t>Non-essential P-type ATPase that is a potential aminophospholipid translocase, localizes to the plasma membrane and late exocytic or early endocytic membranes, likely involved in protein transport, potential Cdc28p substrate</t>
  </si>
  <si>
    <t>YDR092W</t>
  </si>
  <si>
    <t>UBC13</t>
  </si>
  <si>
    <t>Ubiquitin-conjugating enzyme involved in the error-free DNA postreplication repair pathway, interacts with Mms2p to assemble ubiquitin chains at the Ub Lys-63 residue, DNA damage triggers redistribution from the cytoplasm to the nucleus</t>
  </si>
  <si>
    <t>YDR091C</t>
  </si>
  <si>
    <t>RLI1</t>
  </si>
  <si>
    <t>Essential iron-sulfur protein required for ribosome biogenesis and translation initiation, facilitates binding of a multifactor complex (MFC) of translation initiation factors to the small ribosomal subunit, predicted ABC family ATPase</t>
  </si>
  <si>
    <t>YDR090C</t>
  </si>
  <si>
    <t>YDR089W</t>
  </si>
  <si>
    <t>YDR088C</t>
  </si>
  <si>
    <t>SLU7</t>
  </si>
  <si>
    <t>Protein involved in 3 splice site choices, acts in concert with Prp18p during the 2nd step of splicing</t>
  </si>
  <si>
    <t>YDR087C</t>
  </si>
  <si>
    <t>RRP1</t>
  </si>
  <si>
    <t>Essential evolutionarily conserved nucleolar protein necessary for biogenesis of 60S ribosomal subunits and processing of pre-rRNAs to mature rRNAs, associated with several distinct 66S pre-ribosomal particles</t>
  </si>
  <si>
    <t>YDR086C</t>
  </si>
  <si>
    <t>SSS1</t>
  </si>
  <si>
    <t>Subunit of the Sec61p translocation complex (Sec61p-Sss1p-Sbh1p) that forms a channel for passage of secretory proteins through the endoplasmic reticulum membrane, and of the Ssh1p complex (Ssh1p-Sbh2p-Sss1p), interacts with Ost4p and Wbp1p</t>
  </si>
  <si>
    <t>YDR085C</t>
  </si>
  <si>
    <t>AFR1</t>
  </si>
  <si>
    <t>Alpha-factor pheromone receptor regulator, negatively regulates pheromone receptor signaling, required for normal mating projection (shmoo) formation, interacts with Cdc12p</t>
  </si>
  <si>
    <t>YDR084C</t>
  </si>
  <si>
    <t>YDR083W</t>
  </si>
  <si>
    <t>RRP8</t>
  </si>
  <si>
    <t>Protein involved in rRNA processing, involved in pre-rRNA cleavage at site A2, mutation is synthetically lethal with a gar1 mutation</t>
  </si>
  <si>
    <t>YDR082W</t>
  </si>
  <si>
    <t>STN1</t>
  </si>
  <si>
    <t>Telomere end-binding and capping protein, plays a key role with Pol12p in linking telomerase action with completion of lagging strand synthesis, and in a regulatory step required for telomere capping</t>
  </si>
  <si>
    <t>YDR081C</t>
  </si>
  <si>
    <t>PDC2</t>
  </si>
  <si>
    <t>Transcription factor required for the synthesis of the glycolytic enzyme pyruvate decarboxylase, required for high level expression of both the THI and the PDC genes</t>
  </si>
  <si>
    <t>YDR080W</t>
  </si>
  <si>
    <t>VPS41</t>
  </si>
  <si>
    <t>Vacuolar membrane protein that is a subunit of the homotypic vacuole fusion and vacuole protein sorting (HOPS) complex, essential for membrane docking and fusion at the Golgi-to-endosome and endosome-to-vacuole stages of protein transport</t>
  </si>
  <si>
    <t>YDR079W</t>
  </si>
  <si>
    <t>PET100</t>
  </si>
  <si>
    <t>Chaperone that specifically facilitates the assembly of cytochrome c oxidase, located in the mitochondrial inner membrane</t>
  </si>
  <si>
    <t>YDR079C-A</t>
  </si>
  <si>
    <t>TFB5</t>
  </si>
  <si>
    <t>NAD(+)-dependent glutamate dehydrogenase, degrades glutamate to ammonia and alpha-ketoglutarate, expression sensitive to nitrogen catabolite repression and intracellular ammonia levels</t>
  </si>
  <si>
    <t>YDL214C</t>
  </si>
  <si>
    <t>PRR2</t>
  </si>
  <si>
    <t>YDL213C</t>
  </si>
  <si>
    <t>NOP6</t>
  </si>
  <si>
    <t>Protein with similarity to hydrophilins, which are involved in the adaptive response to hyperosmotic conditions, computational analysis of large-scale protein-protein interaction data suggests a possible role in rRNA processing</t>
  </si>
  <si>
    <t>YDL212W</t>
  </si>
  <si>
    <t>SHR3</t>
  </si>
  <si>
    <t>Endoplasmic reticulum packaging chaperone, required for incorporation of amino acid permeases into COPII coated vesicles for transport to the cell surface</t>
  </si>
  <si>
    <t>YDL211C</t>
  </si>
  <si>
    <t>YDL210W</t>
  </si>
  <si>
    <t>UGA4</t>
  </si>
  <si>
    <t>Permease that serves as a gamma-aminobutyrate (GABA) transport protein involved in the utilization of GABA as a nitrogen source, catalyzes the transport of putrescine and delta-aminolevulinic acid (ALA), localized to the vacuolar membrane</t>
  </si>
  <si>
    <t>YDL209C</t>
  </si>
  <si>
    <t>CWC2</t>
  </si>
  <si>
    <t>Protein involved in pre-mRNA splicing, component of a complex containing Cef1p, interacts with Prp19p, contains an RNA recognition motif, has similarity to S. pombe Cwf2p</t>
  </si>
  <si>
    <t>YDL208W</t>
  </si>
  <si>
    <t>NHP2</t>
  </si>
  <si>
    <t>Nuclear protein related to mammalian high mobility group (HMG) proteins, essential for function of HACA-type snoRNPs, which are involved in 18S rRNA processing</t>
  </si>
  <si>
    <t>YDL207W</t>
  </si>
  <si>
    <t>GLE1</t>
  </si>
  <si>
    <t>Cytoplasmic nucleoporin required for polyadenylated RNA export but not for protein import, component of Nup82p nuclear pore subcomplex, contains a nuclear export signal</t>
  </si>
  <si>
    <t>YDL206W</t>
  </si>
  <si>
    <t>YDL205C</t>
  </si>
  <si>
    <t>HEM3</t>
  </si>
  <si>
    <t>Phorphobilinogen deaminase, catalyzes the conversion of 4-porphobilinogen to hydroxymethylbilane, the third step in the heme biosynthetic pathway, localizes to both the cytoplasm and nucleus, expression is regulated by Hap2p-Hap3p</t>
  </si>
  <si>
    <t>YDL204W</t>
  </si>
  <si>
    <t>RTN2</t>
  </si>
  <si>
    <t>YDL203C</t>
  </si>
  <si>
    <t>YDL202W</t>
  </si>
  <si>
    <t>MRPL11</t>
  </si>
  <si>
    <t>YDL201W</t>
  </si>
  <si>
    <t>TRM8</t>
  </si>
  <si>
    <t>YDL200C</t>
  </si>
  <si>
    <t>MGT1</t>
  </si>
  <si>
    <t>DNA repair methyltransferase (6-O-methylguanine-DNA methylase) involved in protection against DNA alkylation damage</t>
  </si>
  <si>
    <t>YDL199C</t>
  </si>
  <si>
    <t>YDL198C</t>
  </si>
  <si>
    <t>GGC1</t>
  </si>
  <si>
    <t>Mitochondrial GTPGDP transporter, essential for mitochondrial genome maintenance, has a role in mitochondrial iron transport, member of the mitochondrial carrier family, (putative) mitochondrial carrier protein</t>
  </si>
  <si>
    <t>YDL197C</t>
  </si>
  <si>
    <t>ASF2</t>
  </si>
  <si>
    <t>Anti-silencing protein that causes derepression of silent loci when overexpressed</t>
  </si>
  <si>
    <t>YDL195W</t>
  </si>
  <si>
    <t>SEC31</t>
  </si>
  <si>
    <t>Essential phosphoprotein component (p150) of the COPII coat of secretory pathway vesicles, in complex with Sec13p, required for ER-derived transport vesicle formation</t>
  </si>
  <si>
    <t>YDL194W</t>
  </si>
  <si>
    <t>SNF3</t>
  </si>
  <si>
    <t>Plasma membrane glucose sensor that regulates glucose transport, has 12 predicted transmembrane segments, long cytoplasmic C-terminal tail is required for low glucose induction of hexose transporter genes HXT2 and HXT4</t>
  </si>
  <si>
    <t>YDL193W</t>
  </si>
  <si>
    <t>YDL192W</t>
  </si>
  <si>
    <t>ARF1</t>
  </si>
  <si>
    <t>ADP-ribosylation factor, GTPase of the Ras superfamily involved in regulation of coated formation vesicles in intracellular trafficking within the Golgi, functionally interchangeable with Arf2p</t>
  </si>
  <si>
    <t>YDL191W</t>
  </si>
  <si>
    <t>Protein component of the large (60S) ribosomal subunit, identical to Rpl35Bp and has similarity to rat L35 ribosomal protein  Protein component of the large (60S) ribosomal subunit, identical to Rpl35Ap and has similarity to rat L35 ribosomal protein</t>
  </si>
  <si>
    <t>YDL190C</t>
  </si>
  <si>
    <t>UFD2</t>
  </si>
  <si>
    <t>Ubiquitin chain assembly factor (E4) that cooperates with a ubiquitin-activating enzyme (E1), a ubiquitin-conjugating enzyme (E2), and a ubiquitin protein ligase (E3) to conjugate ubiquitin to substrates, also functions as an E3</t>
  </si>
  <si>
    <t>YDL189W</t>
  </si>
  <si>
    <t>RBS1</t>
  </si>
  <si>
    <t>Protein of unknown function, identified as a high copy suppressor of psk1 psk2 mutations that confer temperature-sensitivity for galactose utilization, proposed to bind single-stranded nucleic acids via its R3H domain</t>
  </si>
  <si>
    <t>YDL188C</t>
  </si>
  <si>
    <t>PPH22</t>
  </si>
  <si>
    <t>Catalytic subunit of protein phosphatase 2A, functionally redundant with Pph21p, methylated at C terminus, forms alternate complexes with several regulatory subunits, involved in signal transduction and regulation of mitosis</t>
  </si>
  <si>
    <t>YDL186W</t>
  </si>
  <si>
    <t>YDL185W</t>
  </si>
  <si>
    <t>TFP1</t>
  </si>
  <si>
    <t>Vacuolar ATPase V1 domain subunit A containing the catalytic nucleotide binding sites, protein precursor undergoes self-catalyzed splicing to yield the extein Tfp1p and the intein Vde (PI-SceI), which is a site-specific endonuclease</t>
  </si>
  <si>
    <t>YDL184C</t>
  </si>
  <si>
    <t>Ketopantoate hydroxymethyltransferase, required for pantothenic acid biosynthesis, converts 2-oxoisovalerate into 2-dehydropantoate</t>
  </si>
  <si>
    <t>YBR175W</t>
  </si>
  <si>
    <t>SWD3</t>
  </si>
  <si>
    <t>Essential subunit of the COMPASS (Set1C) complex, which methylates Rad6p ubiquitinated histone H3 on lysine 4 and is required in transcriptional silencing near telomeres, WD40 beta propeller superfamily member and ortholog of mammalian WDR5</t>
  </si>
  <si>
    <t>YBR173C</t>
  </si>
  <si>
    <t>UMP1</t>
  </si>
  <si>
    <t>Short-lived chaperone required for correct maturation of the 20S proteasome, degraded by proteasome upon completion of its assembly, involved in ubiquitin-mediated proteolysis, mutant defective in degradation of short-lived proteins</t>
  </si>
  <si>
    <t>YBR172C</t>
  </si>
  <si>
    <t>SMY2</t>
  </si>
  <si>
    <t>Protein of unknown function that interacts with Myo2p, has similarity to S. pombe Mpd2</t>
  </si>
  <si>
    <t>YBR171W</t>
  </si>
  <si>
    <t>SEC66</t>
  </si>
  <si>
    <t>YBR170C</t>
  </si>
  <si>
    <t>NPL4</t>
  </si>
  <si>
    <t>Endoplasmic reticulum and nuclear membrane protein, forms a complex with Cdc48p and Ufd1p that recognizes ubiquitinated proteins in the endoplasmic reticulum and delivers them to the proteasome for degradation</t>
  </si>
  <si>
    <t>YBR169C</t>
  </si>
  <si>
    <t>SSE2</t>
  </si>
  <si>
    <t>Member of the heat shock protein 70 (HSP70) family, may be involved in protein folding, localized to the cytoplasm, highly homologous to the heat shock protein Sse1p</t>
  </si>
  <si>
    <t>YBR168W</t>
  </si>
  <si>
    <t>PEX32</t>
  </si>
  <si>
    <t>Peroxisomal integral membrane protein, involved in negative regulation of peroxisome size, partially functionally redundant with Pex31p, genetic interactions suggest action at a step downstream of steps mediated by Pex28p and Pex29p</t>
  </si>
  <si>
    <t>YBR167C</t>
  </si>
  <si>
    <t>POP7</t>
  </si>
  <si>
    <t>YBR166C</t>
  </si>
  <si>
    <t>TYR1</t>
  </si>
  <si>
    <t>Prephenate dehydrogenase involved in tyrosine biosynthesis, expression is dependent on phenylalanine levels</t>
  </si>
  <si>
    <t>YBR165W</t>
  </si>
  <si>
    <t>UBS1</t>
  </si>
  <si>
    <t>Ubiquitin-conjugating enzyme suppressor that functions as a general positive regulator of Cdc34p activity, nuclear protein that may represent a link between nucleocytoplasmic transport and ubiquitin ligase activity</t>
  </si>
  <si>
    <t>YBR164C</t>
  </si>
  <si>
    <t>ARL1</t>
  </si>
  <si>
    <t>Soluble GTPase with a role in regulation of membrane traffic, regulates potassium influx, G protein of the Ras superfamily, similar to ADP-ribosylation factor</t>
  </si>
  <si>
    <t>YBR163W</t>
  </si>
  <si>
    <t>DEM1</t>
  </si>
  <si>
    <t>Protein of unknown function, shows similarity to RNA-processing protein Pta1p</t>
  </si>
  <si>
    <t>YBR162W-A</t>
  </si>
  <si>
    <t>YSY6</t>
  </si>
  <si>
    <t>Protein that participates in secretory pathway</t>
  </si>
  <si>
    <t>YBR162C</t>
  </si>
  <si>
    <t>TOS1</t>
  </si>
  <si>
    <t>Covalently-bound cell wall protein of unknown function, identified as a cell cycle regulated SBF target gene, deletion mutants are highly resistant to treatment with beta-1,3-glucanase, has sequence similarity to YJL171C</t>
  </si>
  <si>
    <t>YBR161W</t>
  </si>
  <si>
    <t>CSH1</t>
  </si>
  <si>
    <t>Probable catalytic subunit of a mannosylinositol phosphorylceramide (MIPC) synthase, forms a complex with probable regulatory subunit Csg2p, function in sphingolipid biosynthesis is overlapping with that of Sur1p</t>
  </si>
  <si>
    <t>YBR160W</t>
  </si>
  <si>
    <t>CDC28</t>
  </si>
  <si>
    <t>Catalytic subunit of the main cell cycle cyclin-dependent kinase (CDK), alternately associates with G1 cyclins (CLNs) and G2M cyclins (CLBs) which direct the CDK to specific substrates</t>
  </si>
  <si>
    <t>YBR159W</t>
  </si>
  <si>
    <t>microsomal beta-keto-reductase</t>
  </si>
  <si>
    <t>YBR158W</t>
  </si>
  <si>
    <t>AMN1</t>
  </si>
  <si>
    <t>Protein required for daughter cell separation, multiple mitotic checkpoints, and chromosome stability, contains 12 degenerate leucine-rich repeat motifs, expression is induced by the Mitotic Exit Network (MEN)</t>
  </si>
  <si>
    <t>YBR157C</t>
  </si>
  <si>
    <t>ICS2</t>
  </si>
  <si>
    <t>Protein of unknown function, null mutation does not confer any obvious defects in growth, spore germination, viability, or carbohydrate utilization</t>
  </si>
  <si>
    <t>YBR156C</t>
  </si>
  <si>
    <t>SLI15</t>
  </si>
  <si>
    <t>Subunit of the Ipl1p-Sli15p-Bir1p complex that regulates kinetochore-microtubule attachments, activation of the spindle tension checkpoint, and mitotic spindle disassembly, regulates the activity and localization of the Ipl1p aurora kinase</t>
  </si>
  <si>
    <t>YBR155W</t>
  </si>
  <si>
    <t>CNS1</t>
  </si>
  <si>
    <t>TPR-containing co-chaperone, binds both Hsp82p (Hsp90) and Ssa1p (Hsp70) and stimulates the ATPase activity of SSA1, ts mutants reduce Hsp82p function while over expression suppresses the phenotypes of an HSP82 ts allele and a cpr7 deletion</t>
  </si>
  <si>
    <t>YBR154C</t>
  </si>
  <si>
    <t>RPB5</t>
  </si>
  <si>
    <t>RNA polymerase subunit ABC27, common to RNA polymerases I, II, and III, contacts DNA and affects transactivation</t>
  </si>
  <si>
    <t>YBR153W</t>
  </si>
  <si>
    <t>RIB7</t>
  </si>
  <si>
    <t>Diaminohydroxyphoshoribosylaminopyrimidine deaminase, catalyzes the second step of the riboflavin biosynthesis pathway</t>
  </si>
  <si>
    <t>YBR152W</t>
  </si>
  <si>
    <t>Component of the RNA polymerase II general transcription and DNA repair factor TFIIH, involved in transcription initiation, homolog of the Chlamydomonas reinhardtii REX1-S protein which is involved in DNA repair</t>
  </si>
  <si>
    <t>YDR078C</t>
  </si>
  <si>
    <t>SHU2</t>
  </si>
  <si>
    <t>Protein of unassigned function involved in mutation suppression, important for error-free repair of spontaneous and induced DNA lesions to protect the genome from mutation, associates with Shu1p, Psy3p, and Csm2p</t>
  </si>
  <si>
    <t>YDR077W</t>
  </si>
  <si>
    <t>SED1</t>
  </si>
  <si>
    <t>Major stress-induced structural GPI-cell wall glycoprotein in stationary-phase cells, associates with translating ribosomes, possible role in mitochondrial genome maintenance, ORF contains two distinct variable minisatellites</t>
  </si>
  <si>
    <t>YDR076W</t>
  </si>
  <si>
    <t>RAD55</t>
  </si>
  <si>
    <t>Protein that stimulates strand exchange by stabilizing the binding of Rad51p to single-stranded DNA, involved in the recombinational repair of double-strand breaks in DNA during vegetative growth and meiosis, forms heterodimer with Rad57p</t>
  </si>
  <si>
    <t>YDR075W</t>
  </si>
  <si>
    <t>PPH3</t>
  </si>
  <si>
    <t>Catalytic subunit of protein phosphatase, involved in activation of Gln3p, which is a transcription factor with a role in nitrogen utilization</t>
  </si>
  <si>
    <t>YDR074W</t>
  </si>
  <si>
    <t>TPS2</t>
  </si>
  <si>
    <t>Phosphatase subunit of the trehalose-6-phosphate synthasephosphatase complex, which synthesizes the storage carbohydrate trehalose, expression is induced by stress conditions and repressed by the Ras-cAMP pathway</t>
  </si>
  <si>
    <t>YDR073W</t>
  </si>
  <si>
    <t>SNF11</t>
  </si>
  <si>
    <t>One of 11 subunits of the SWISNF chromatin remodeling complex involved in transcriptional regulation, interacts with a highly conserved 40-residue sequence of Snf2p</t>
  </si>
  <si>
    <t>YDR072C</t>
  </si>
  <si>
    <t>IPT1</t>
  </si>
  <si>
    <t>Inositolphosphotransferase 1, involved in synthesis of mannose-(inositol-P)2-ceramide (M(IP)2C), which is the most abundant sphingolipid in cells, mutation confers resistance to the antifungals syringomycin E and DmAMP1 in some growth media</t>
  </si>
  <si>
    <t>YDR071C</t>
  </si>
  <si>
    <t>PAA1</t>
  </si>
  <si>
    <t>Polyamine acetyltransferase, acetylates polyamines such as putrescine, spermidine and spermine, may be involved in transcription andor DNA replication via regulation of levels of polyamines bound to chromosomal DNA</t>
  </si>
  <si>
    <t>YDR070C</t>
  </si>
  <si>
    <t>YDR069C</t>
  </si>
  <si>
    <t>DOA4</t>
  </si>
  <si>
    <t>Ubiquitin hydrolase, required for recycling ubiquitin from proteasome-bound ubiquitinated intermediates, acts at the late endosomeprevacuolar compartment to recover ubiquitin from ubiquitinated membrane proteins en route to the vacuole</t>
  </si>
  <si>
    <t>YDR068W</t>
  </si>
  <si>
    <t>DOS2</t>
  </si>
  <si>
    <t>Protein of unknown function, green fluorescent protein (GFP)-fusion protein localizes to the cytoplasm</t>
  </si>
  <si>
    <t>YDR067C</t>
  </si>
  <si>
    <t>YDR066C</t>
  </si>
  <si>
    <t>YDR065W</t>
  </si>
  <si>
    <t>YDR064W</t>
  </si>
  <si>
    <t>RPS13</t>
  </si>
  <si>
    <t>Protein component of the small (40S) ribosomal subunit, has similarity to E. coli S15 and rat S13 ribosomal proteins</t>
  </si>
  <si>
    <t>YDR063W</t>
  </si>
  <si>
    <t>YDR062W</t>
  </si>
  <si>
    <t>LCB2</t>
  </si>
  <si>
    <t>Component of serine palmitoyltransferase, responsible along with Lcb1p for the first committed step in sphingolipid synthesis, which is the condensation of serine with palmitoyl-CoA to form 3-ketosphinganine</t>
  </si>
  <si>
    <t>YDR061W</t>
  </si>
  <si>
    <t>Mitochondrial protein, member of the ATP-binding cassette (ABC) transporter family, transcriptionally activated by Yrm1p along with genes involved in multidrug resistance</t>
  </si>
  <si>
    <t>YDR060W</t>
  </si>
  <si>
    <t>MAK21</t>
  </si>
  <si>
    <t>Constituent of 66S pre-ribosomal particles, required for large (60S) ribosomal subunit biogenesis, involved in nuclear export of pre-ribosomes, required for maintenance of dsRNA virus, homolog of human CAATT-binding protein</t>
  </si>
  <si>
    <t>YDR059C</t>
  </si>
  <si>
    <t>UBC5</t>
  </si>
  <si>
    <t>Ubiquitin-conjugating enzyme that mediates selective degradation of short-lived and abnormal proteins, central component of the cellular stress response, expression is heat inducible</t>
  </si>
  <si>
    <t>YDR058C</t>
  </si>
  <si>
    <t>TGL2</t>
  </si>
  <si>
    <t>Protein with lipolytic activity towards triacylglycerols and diacylglycerols when expressed in E. coli, role in yeast lipid degradation is unclear</t>
  </si>
  <si>
    <t>YDR057W</t>
  </si>
  <si>
    <t>YOS9</t>
  </si>
  <si>
    <t>Protein component of the large (60S) ribosomal subunit, nearly identical to Rpl4Ap and has similarity to E. coli L4 and rat L4 ribosomal proteins</t>
  </si>
  <si>
    <t>YDR011W</t>
  </si>
  <si>
    <t>SNQ2</t>
  </si>
  <si>
    <t>ABC transporter protein involved in multidrug resistance and resistance to singlet oxygen species</t>
  </si>
  <si>
    <t>YDR009W</t>
  </si>
  <si>
    <t>GAL3</t>
  </si>
  <si>
    <t>Transcriptional regulator involved in activation of the GAL genes in response to galactose, forms a complex with Gal80p and Gal4p to relieve inhibition by Gal80p, binds galactose and ATP but does not have galactokinase activity</t>
  </si>
  <si>
    <t>YDR006C</t>
  </si>
  <si>
    <t>SOK1</t>
  </si>
  <si>
    <t>Protein whose overexpression suppresses the growth defect of mutants lacking protein kinase A activity, involved in cAMP-mediated signaling, localized to the nucleus, similar to the mouse testis-specific protein PBS13</t>
  </si>
  <si>
    <t>YDR005C</t>
  </si>
  <si>
    <t>MAF1</t>
  </si>
  <si>
    <t>Negative regulator of RNA polymerase III, component of several signaling pathways that repress polymerase III transcription in response to changes in cellular environment, targets the initiation factor TFIIIB</t>
  </si>
  <si>
    <t>YDR004W</t>
  </si>
  <si>
    <t>RAD57</t>
  </si>
  <si>
    <t>Protein that stimulates strand exchange by stabilizing the binding of Rad51p to single-stranded DNA, involved in the recombinational repair of double-strand breaks in DNA during vegetative growth and meiosis, forms heterodimer with Rad55p</t>
  </si>
  <si>
    <t>YDR003W-A</t>
  </si>
  <si>
    <t>YDR003W</t>
  </si>
  <si>
    <t>RCR2</t>
  </si>
  <si>
    <t>Endoplasmic reticulum membrane protein with similarity to Rcr1p, C-terminal region can functionally replace the corresponding region of Rcr1p in conferring Congo Red resistance when overexpressed</t>
  </si>
  <si>
    <t>YDR002W</t>
  </si>
  <si>
    <t>YRB1</t>
  </si>
  <si>
    <t>Yeast Ran Binder 1, suppressor of FUS1, homolog of mouse HTF9a and human RanBP1, nuclear GTPase-activating protein for Ran</t>
  </si>
  <si>
    <t>YDR001C</t>
  </si>
  <si>
    <t>NTH1</t>
  </si>
  <si>
    <t>Neutral trehalase, degrades trehalose, required for thermotolerance and may mediate resistance to other cellular stresses, may be phosphorylated by Cdc28p</t>
  </si>
  <si>
    <t>YDL248W</t>
  </si>
  <si>
    <t>Protein of unknown function, member of a family of conserved, often subtelomerically-encoded proteins  Hypothetical protein  Protein of unknown function, member of a family of conserved, often subtelomerically-encoded proteins</t>
  </si>
  <si>
    <t>YDL247W</t>
  </si>
  <si>
    <t>MPH2</t>
  </si>
  <si>
    <t>Alpha-glucoside permease, transports maltose, maltotriose, alpha-methylglucoside, and turanose, identical to Mph3p, encoded in a subtelomeric position in a region likely to have undergone duplication</t>
  </si>
  <si>
    <t>YDL246C</t>
  </si>
  <si>
    <t>Sorbitol dehydrogenase, expression is induced in the presence of sorbitol  Protein of unknown function, computational analysis of large-scale protein-protein interaction data suggests a possible role in fructose or mannose metabolism</t>
  </si>
  <si>
    <t>YDL245C</t>
  </si>
  <si>
    <t>YDL244W</t>
  </si>
  <si>
    <t>Protein involved in synthesis of the thiamine precursor hydroxymethylpyrimidine (HMP), member of a subtelomeric gene family including THI5, THI11, THI12, and THI13  Protein involved in synthesis of the thiamine precursor hydroxymethylpyrimidine (HMP), member of a subtelomeric gene family including THI5, THI11, THI12, and THI13  Protein involved in synthesis of the thiamine precursor hydroxymethylpyrimidine (HMP), member of a subtelomeric gene family including THI5, THI11, THI12, and THI13  Protein involved in synthesis of the thiamine precursor hydroxymethylpyrimidine (HMP), member of a subtelomeric gene family including THI5, THI11, THI12, and THI13</t>
  </si>
  <si>
    <t>YDL243C</t>
  </si>
  <si>
    <t>Putative aryl-alcohol dehydrogenase with similarity to P. chrysosporium aryl-alcohol dehydrogenase, mutational analysis has not yet revealed a physiological role  Putative aryl-alcohol dehydrogenase with similarity to P. chrysosporium aryl-alcohol dehydrogenase, involved in the oxidative stress response</t>
  </si>
  <si>
    <t>YDL241W</t>
  </si>
  <si>
    <t>YDL240W</t>
  </si>
  <si>
    <t>LRG1</t>
  </si>
  <si>
    <t>Putative GTPase-activating protein (GAP) involved in the Pkc1p-mediated signaling pathway that controls cell wall integrity, appears to specifically regulate 1,3-beta-glucan synthesis</t>
  </si>
  <si>
    <t>YDL239C</t>
  </si>
  <si>
    <t>ADY3</t>
  </si>
  <si>
    <t>Protein required for spore wall formation, thought to mediate assembly of a Don1p-containing structure at the leading edge of the prospore membrane via interaction with spindle pole body components, potentially phosphorylated by Cdc28p</t>
  </si>
  <si>
    <t>YDL238C</t>
  </si>
  <si>
    <t>Hsp70 (Ssa1p) nucleotide exchange factor, cytosolic homolog of Sil1p, which is the nucleotide exchange factor for BiP (Kar2p) in the endoplasmic reticulum</t>
  </si>
  <si>
    <t>YBR098W</t>
  </si>
  <si>
    <t>MMS4</t>
  </si>
  <si>
    <t>Subunit of the structure-specific Mms4p-Mus81p endonuclease that cleaves branched DNA, involved in recombination and DNA repair</t>
  </si>
  <si>
    <t>YBR097W</t>
  </si>
  <si>
    <t>VPS15</t>
  </si>
  <si>
    <t>Myristoylated serinethreonine protein kinase involved in vacuolar protein sorting, functions as a membrane-associated complex with Vps34p, active form recruits Vps34p to the Golgi membrane, also detected in mitochondria</t>
  </si>
  <si>
    <t>YBR096W</t>
  </si>
  <si>
    <t>YBR095C</t>
  </si>
  <si>
    <t>Protein possibly involved in cell fusion and invasive growth</t>
  </si>
  <si>
    <t>YBR094W</t>
  </si>
  <si>
    <t>YBR093C</t>
  </si>
  <si>
    <t>PHO5</t>
  </si>
  <si>
    <t>One of three repressible acid phosphatases, a glycoprotein that is transported to the cell surface by the secretory pathway, induced by phosphate starvation and coordinately regulated by PHO4 and PHO2</t>
  </si>
  <si>
    <t>SRP14</t>
  </si>
  <si>
    <t>Signal recognition particle (SRP) subunit, interacts with the RNA component of SRP to form the Alu domain, which is the region of SRP responsible for arrest of nascent chain elongation during membrane targeting, homolog of mammalian SRP14</t>
  </si>
  <si>
    <t>YDL091C</t>
  </si>
  <si>
    <t>UBX3</t>
  </si>
  <si>
    <t>UBX (ubiquitin regulatory X) domain-containing protein that interacts with Cdc48p, green fluorescent protein (GFP)-fusion protein localizes to the cytoplasm in a punctate pattern</t>
  </si>
  <si>
    <t>YDL090C</t>
  </si>
  <si>
    <t>RAM1</t>
  </si>
  <si>
    <t>Beta subunit of the CAAX farnesyltransferase (FTase) that prenylates the a-factor mating pheromone and Ras proteins, required for the membrane localization of Ras proteins and a-factor, homolog of the mammalian FTase beta subunit</t>
  </si>
  <si>
    <t>YDL089W</t>
  </si>
  <si>
    <t>Protein of unknown function, interacts with meiotic division protein Csm1p, green fluorescent protein (GFP)-fusion protein localizes to the nuclear periphery, potential Cdc28p substrate</t>
  </si>
  <si>
    <t>YDL088C</t>
  </si>
  <si>
    <t>ASM4</t>
  </si>
  <si>
    <t>Nuclear pore complex subunit, part of a subcomplex also containing Nup53p, Nup170p, and Pse1p</t>
  </si>
  <si>
    <t>YDL087C</t>
  </si>
  <si>
    <t>LUC7</t>
  </si>
  <si>
    <t xml:space="preserve">Essential protein associated with the U1 snRNP complex, splicing factor involved in recognition of 5 splice site </t>
  </si>
  <si>
    <t>YDL086W</t>
  </si>
  <si>
    <t>YDL085W</t>
  </si>
  <si>
    <t>NDE2</t>
  </si>
  <si>
    <t>YDL085C-A</t>
  </si>
  <si>
    <t>YDL084W</t>
  </si>
  <si>
    <t>SUB2</t>
  </si>
  <si>
    <t>Component of the TREX complex required for nuclear mRNA export, DEAD-box RNA helicase involved in early and late steps of spliceosome assembly, homolog of the human splicing factor hUAP56</t>
  </si>
  <si>
    <t>YDL083C</t>
  </si>
  <si>
    <t>RPS16B</t>
  </si>
  <si>
    <t>Protein component of the small (40S) ribosomal subunit, identical to Rps16Ap and has similarity to E. coli S9 and rat S16 ribosomal proteins</t>
  </si>
  <si>
    <t>YDL082W</t>
  </si>
  <si>
    <t>YDL081C</t>
  </si>
  <si>
    <t>RPP1A</t>
  </si>
  <si>
    <t>Ribosomal protein P1 alpha, a component of the ribosomal stalk, which is involved in the interaction between translational elongation factors and the ribosome, accumulation of P1 in the cytoplasm is regulated by phosphorylation and interaction with the P2 stalk component</t>
  </si>
  <si>
    <t>YDL080C</t>
  </si>
  <si>
    <t>THI3</t>
  </si>
  <si>
    <t>Probable decarboxylase, required for expression of enzymes involved in thiamine biosynthesis, may have a role in catabolism of amino acids to long-chain and complex alcohols</t>
  </si>
  <si>
    <t>YDL079C</t>
  </si>
  <si>
    <t>MRK1</t>
  </si>
  <si>
    <t>Glycogen synthase kinase 3 (GSK-3) homolog, one of four GSK-3 homologs in S. cerevisiae that function to activate Msn2p-dependent transcription of stress responsive genes and that function in protein degradation</t>
  </si>
  <si>
    <t>YDL078C</t>
  </si>
  <si>
    <t>MDH3</t>
  </si>
  <si>
    <t>Cytoplasmic malate dehydrogenase, catalyzes interconversion of malate and oxaloacetate, involved in the glyoxylate cycle</t>
  </si>
  <si>
    <t>YDL077C</t>
  </si>
  <si>
    <t>VAM6</t>
  </si>
  <si>
    <t>Vacuolar protein that plays a critical role in the tethering steps of vacuolar membrane fusion by facilitating guanine nucleotide exchange on small guanosine triphosphatase Ypt7p</t>
  </si>
  <si>
    <t>YDL076C</t>
  </si>
  <si>
    <t>RXT3</t>
  </si>
  <si>
    <t>Protein of unknown function, may be involved in chromatin silencing</t>
  </si>
  <si>
    <t>YDL075W</t>
  </si>
  <si>
    <t>YDL074C</t>
  </si>
  <si>
    <t>BRE1</t>
  </si>
  <si>
    <t>E3 ubiquitin ligase for Rad6p, required for the ubiquitination of histone H2B, recruitment of Rad6p to promoter chromatin and subsequent methylation of histone H3 (on L4 and L79), contains RING finger domain</t>
  </si>
  <si>
    <t>YDL073W</t>
  </si>
  <si>
    <t>YDL072C</t>
  </si>
  <si>
    <t>YDL070W</t>
  </si>
  <si>
    <t>BDF2</t>
  </si>
  <si>
    <t>Protein involved in transcription initiation at TATA-containing promoters, associates with the basal transcription factor TFIID, contains two bromodomains, corresponds to the C-terminal region of mammalian TAF1, redundant with Bdf1p</t>
  </si>
  <si>
    <t>YDL069C</t>
  </si>
  <si>
    <t>CBS1</t>
  </si>
  <si>
    <t>translational activator of cytochrome b</t>
  </si>
  <si>
    <t>YDL067C</t>
  </si>
  <si>
    <t>COX9</t>
  </si>
  <si>
    <t>Subunit VIIa of cytochrome c oxidase, which is the terminal member of the mitochondrial inner membrane electron transport chain</t>
  </si>
  <si>
    <t>YDL066W</t>
  </si>
  <si>
    <t>IDP1</t>
  </si>
  <si>
    <t>Mitochondrial NADP-specific isocitrate dehydrogenase, catalyzes the oxidation of isocitrate to alpha-ketoglutarate, not required for mitochondrial respiration and may function to divert alpha-ketoglutarate to biosynthetic processes</t>
  </si>
  <si>
    <t>YDL065C</t>
  </si>
  <si>
    <t>PEX19</t>
  </si>
  <si>
    <t>Chaperone and import receptor for newly-synthesized class I peroxisomal membrane proteins (PMPs), binds PMPs in the cytoplasm and delivers them to the peroxisome for subsequent insertion into the peroxisomal membrane</t>
  </si>
  <si>
    <t>YDL064W</t>
  </si>
  <si>
    <t>UBC9</t>
  </si>
  <si>
    <t>SUMO-conjugating enzyme involved in the Smt3p conjugation pathway, nuclear protein required for S- and M-phase cyclin degradation and mitotic control, involved in proteolysis mediated by the anaphase-promoting complex cyclosome (APCC)</t>
  </si>
  <si>
    <t>YDL063C</t>
  </si>
  <si>
    <t>YDL061C</t>
  </si>
  <si>
    <t>YDL060W</t>
  </si>
  <si>
    <t>TSR1</t>
  </si>
  <si>
    <t>Protein required for processing of 20S pre-rRNA in the cytoplasm, associates with pre-40S ribosomal particles</t>
  </si>
  <si>
    <t>YDL059C</t>
  </si>
  <si>
    <t>RAD59</t>
  </si>
  <si>
    <t>Protein involved in the repair of double-strand breaks in DNA during vegetative growth via recombination and single-strand annealing, anneals complementary single-stranded DNA, homologous to Rad52p</t>
  </si>
  <si>
    <t>YDL058W</t>
  </si>
  <si>
    <t>USO1</t>
  </si>
  <si>
    <t>Essential protein involved in intracellular protein transport, coiled-coil protein necessary for transport from ER to Golgi, required for assembly of the ER-to-Golgi SNARE complex</t>
  </si>
  <si>
    <t>YDL057W</t>
  </si>
  <si>
    <t>YDL056W</t>
  </si>
  <si>
    <t>MBP1</t>
  </si>
  <si>
    <t>Transcription factor involved in regulation of cell cycle progression from G1 to S phase, forms a complex with Swi6p that binds to MluI cell cycle box regulatory element in promoters of DNA synthesis genes</t>
  </si>
  <si>
    <t>YDL055C</t>
  </si>
  <si>
    <t>PSA1</t>
  </si>
  <si>
    <t>GDP-mannose pyrophosphorylase (mannose-1-phosphate guanyltransferase), synthesizes GDP-mannose from GTP and mannose-1-phosphate in cell wall biosynthesis, required for normal cell wall structure</t>
  </si>
  <si>
    <t>YDL054C</t>
  </si>
  <si>
    <t>MCH1</t>
  </si>
  <si>
    <t>YDL053C</t>
  </si>
  <si>
    <t>PBP4</t>
  </si>
  <si>
    <t>Pbp1p binding protein, interacts strongly with Pab1p-binding protein 1 (Pbp1p) in the yeast two-hybrid system</t>
  </si>
  <si>
    <t>YDL052C</t>
  </si>
  <si>
    <t>SLC1</t>
  </si>
  <si>
    <t xml:space="preserve">One of two nearly identical (see also HTA2) histone H2A subtypes, core histone required for chromatin assembly and chromosome function, DNA damage-dependent phosphorylation by Mec1p facilitates DNA repair, acetylated by Nat4p   One of two nearly identical (see also HTA1) histone H2A subtypes, core histone required for chromatin assembly and chromosome function, DNA damage-dependent phosphorylation by Mec1p facilitates DNA repair, acetylated by Nat4p </t>
  </si>
  <si>
    <t>YDR224C</t>
  </si>
  <si>
    <t>HTB1</t>
  </si>
  <si>
    <t>FAD1</t>
  </si>
  <si>
    <t>Flavin adenine dinucleotide (FAD) synthetase, performs the second step in synthesis of FAD from riboflavin</t>
  </si>
  <si>
    <t>YDL044C</t>
  </si>
  <si>
    <t>MTF2</t>
  </si>
  <si>
    <t>Mitochondrial matrix protein that interacts with an N-terminal region of mitochondrial RNA polymerase (Rpo41p) and couples RNA processing and translation to transcription</t>
  </si>
  <si>
    <t>YDL043C</t>
  </si>
  <si>
    <t>PRP11</t>
  </si>
  <si>
    <t>YDL042C</t>
  </si>
  <si>
    <t>SIR2</t>
  </si>
  <si>
    <t>Conserved NAD+ dependent histone deacetylase of the Sirtuin family involved in regulation of lifespan,  plays roles in silencing at HML, HMR, telomeres, and the rDNA locus, negatively regulates initiation of DNA replication</t>
  </si>
  <si>
    <t>YDL040C</t>
  </si>
  <si>
    <t>NAT1</t>
  </si>
  <si>
    <t>YDL039C</t>
  </si>
  <si>
    <t>PRM7</t>
  </si>
  <si>
    <t>Hypothetical protein  Pheromone-regulated protein, predicted to have one transmembrane segment, promoter contains Gcn4p binding elements</t>
  </si>
  <si>
    <t>YDL038C</t>
  </si>
  <si>
    <t>YDL037C</t>
  </si>
  <si>
    <t>BSC1</t>
  </si>
  <si>
    <t>Protein of unconfirmed function, similar to cell surface flocculin Muc1p, ORF exhibits genomic organization compatible with a translational readthrough-dependent mode of expression</t>
  </si>
  <si>
    <t>YDL036C</t>
  </si>
  <si>
    <t>YDL035C</t>
  </si>
  <si>
    <t>GPR1</t>
  </si>
  <si>
    <t>Plasma membrane G protein coupled receptor (GPCR) that interacts with the heterotrimeric G protein alpha subunit, Gpa2p, and with Plc1p, sensor that integrates nutritional signals with the modulation of cell fate via PKA and cAMP synthesis</t>
  </si>
  <si>
    <t>YDL033C</t>
  </si>
  <si>
    <t>SLM3</t>
  </si>
  <si>
    <t>tRNA-specific 2-thiouridylase, responsible for 2-thiolation of the wobble base of mitochondrial tRNAs, human ortholog is implicated in myoclonus epilepsy associated with ragged red fibers (MERRF)</t>
  </si>
  <si>
    <t>YDL031W</t>
  </si>
  <si>
    <t>DBP10</t>
  </si>
  <si>
    <t>Putative ATP-dependent RNA helicase of the DEAD-box protein family, constituent of 66S pre-ribosomal particles, essential protein involved in ribosome biogenesis</t>
  </si>
  <si>
    <t>YDL030W</t>
  </si>
  <si>
    <t>PRP9</t>
  </si>
  <si>
    <t>Subunit of the SF3a splicing factor complex, required for spliceosome assembly, acts after the formation of the U1 snRNP-pre-mRNA complex</t>
  </si>
  <si>
    <t>YDL029W</t>
  </si>
  <si>
    <t>ARP2</t>
  </si>
  <si>
    <t>YDL028C</t>
  </si>
  <si>
    <t>MPS1</t>
  </si>
  <si>
    <t>Dual-specificity kinase required for spindle pole body (SPB) duplication and spindle checkpoint function, substrates include SPB proteins Spc42p, Spc110p, and Spc98p, mitotic exit network protein Mob1p, and checkpoint protein Mad1p</t>
  </si>
  <si>
    <t>YDL027C</t>
  </si>
  <si>
    <t>YDL025C</t>
  </si>
  <si>
    <t>Protein of unknown function, potentially phosphorylated by Cdc28p</t>
  </si>
  <si>
    <t>YDL024C</t>
  </si>
  <si>
    <t>DIA3</t>
  </si>
  <si>
    <t>YDL022W</t>
  </si>
  <si>
    <t>GPD1</t>
  </si>
  <si>
    <t>NAD-dependent glycerol-3-phosphate dehydrogenase, key enzyme of glycerol synthesis, essential for growth under osmotic stress, expression regulated by high-osmolarity glycerol response pathway, homolog of Gpd2p</t>
  </si>
  <si>
    <t>YDL021W</t>
  </si>
  <si>
    <t>GPM2</t>
  </si>
  <si>
    <t>YDL020C</t>
  </si>
  <si>
    <t>RPN4</t>
  </si>
  <si>
    <t>Transcription factor that stimulates expression of proteasome genes, Rpn4p levels are in turn regulated by the 26S proteasome in a negative feedback control mechanism, RPN4 is transcriptionally regulated by various stress responses</t>
  </si>
  <si>
    <t>YDL019C</t>
  </si>
  <si>
    <t>OSH2</t>
  </si>
  <si>
    <t>YDL018C</t>
  </si>
  <si>
    <t>ERP3</t>
  </si>
  <si>
    <t>YDL017W</t>
  </si>
  <si>
    <t>CDC7</t>
  </si>
  <si>
    <t>DDK (Dbf4-dependent kinase) catalytic subunit required for firing origins and replication fork progression in mitosis through phosphorylation of Mcm2-7p complexes and Cdc45p, kinase activity correlates with cyclical DBF4 expression</t>
  </si>
  <si>
    <t>YDL015C</t>
  </si>
  <si>
    <t>TSC13</t>
  </si>
  <si>
    <t>Enoyl reductase that catalyzes the last step in each cycle of very long chain fatty acid elongation, localizes to the ER, highly enriched in a structure marking nuclear-vacuolar junctions, coimmunoprecipitates with elongases Fen1p and Sur4p</t>
  </si>
  <si>
    <t>YDL014W</t>
  </si>
  <si>
    <t>NOP1</t>
  </si>
  <si>
    <t>Nucleolar protein, component of the small subunit processome complex, which is required for processing of pre-18S rRNA, has similarity to mammalian fibrillarin</t>
  </si>
  <si>
    <t>YDL013W</t>
  </si>
  <si>
    <t>HEX3</t>
  </si>
  <si>
    <t>Ring finger protein involved in the DNA damage response with possible recombination role, genetically identified by synthetic lethality with SGS1 (DNA helicase) and TOP3 (DNA topoisomerase), sporulation role, interacts with Slx8p and Lin1p</t>
  </si>
  <si>
    <t>YDL012C</t>
  </si>
  <si>
    <t>Plasma membrane protein of unknown function</t>
  </si>
  <si>
    <t>YDL010W</t>
  </si>
  <si>
    <t>YDL008W</t>
  </si>
  <si>
    <t>APC11</t>
  </si>
  <si>
    <t>Catalytic core subunit of the Anaphase-Promoting ComplexCyclosome (APCC), which is a ubiquitin-protein ligase required for degradation of anaphase inhibitors, including mitotic cyclins, during the metaphaseanaphase transition</t>
  </si>
  <si>
    <t>YDL007W</t>
  </si>
  <si>
    <t>RPT2</t>
  </si>
  <si>
    <t>One of six ATPases of the 19S regulatory particle of the 26S proteasome involved in the degradation of ubiquitinated substrates, required for normal peptide hydrolysis by the core 20S particle</t>
  </si>
  <si>
    <t>YDL006W</t>
  </si>
  <si>
    <t>PTC1</t>
  </si>
  <si>
    <t>Type 2C protein phosphatase (PP2C), inactivates the osmosensing MAPK cascade by dephosphorylating Hog1p, mutation delays mitochondrial inheritance, deletion reveals defects in precursor tRNA splicing, sporulation and cell separation</t>
  </si>
  <si>
    <t>YDL005C</t>
  </si>
  <si>
    <t>MED2</t>
  </si>
  <si>
    <t>RNA Polymerase II transcriptional regulation mediator, Stoichiometric member of mediator complex</t>
  </si>
  <si>
    <t>YDL004W</t>
  </si>
  <si>
    <t>ATP16</t>
  </si>
  <si>
    <t>Delta subunit of the central stalk of mitochondrial F1F0 ATP synthase, which is a large, evolutionarily conserved enzyme complex required for ATP synthesis</t>
  </si>
  <si>
    <t>YDL003W</t>
  </si>
  <si>
    <t>MCD1</t>
  </si>
  <si>
    <t xml:space="preserve">Essential protein required for sister chromatid cohesion in mitosis and meiosis, subunit of the cohesin complex, expression is cell cycle regulated and peaks in S phase </t>
  </si>
  <si>
    <t>YDL002C</t>
  </si>
  <si>
    <t>NHP10</t>
  </si>
  <si>
    <t>Protein related to mammalian high mobility group proteins, likely component of the INO80 complex, which is an ATP-dependent chromatin-remodeling complex</t>
  </si>
  <si>
    <t>YDL001W</t>
  </si>
  <si>
    <t>RMD1</t>
  </si>
  <si>
    <t>Cytoplasmic protein required for sporulation</t>
  </si>
  <si>
    <t>YCR108C</t>
  </si>
  <si>
    <t>YCR107W</t>
  </si>
  <si>
    <t>Putative aryl-alcohol dehydrogenase with similarity to P. chrysosporium aryl-alcohol dehydrogenase, mutational analysis has not yet revealed a physiological role  Putative aryl-alcohol dehydrogenase with similarity to P. chrysosporium aryl-alcohol dehydrogenase, mutational analysis has not yet revealed a physiological role</t>
  </si>
  <si>
    <t>YCR106W</t>
  </si>
  <si>
    <t>RDS1</t>
  </si>
  <si>
    <t>Zinc cluster protein involved in conferring resistance to cycloheximide</t>
  </si>
  <si>
    <t>YCR105W</t>
  </si>
  <si>
    <t>ADH7</t>
  </si>
  <si>
    <t>NADPH-dependent cinnamyl alcohol dehydrogenase family member with broad substrate specificity, may be involved in fusel alcohol synthesis</t>
  </si>
  <si>
    <t>YCR104W</t>
  </si>
  <si>
    <t>YCR102C</t>
  </si>
  <si>
    <t>YCR101C</t>
  </si>
  <si>
    <t>YCR100C</t>
  </si>
  <si>
    <t>YCR099C</t>
  </si>
  <si>
    <t>YCR098C</t>
  </si>
  <si>
    <t>GIT1</t>
  </si>
  <si>
    <t xml:space="preserve">One of two nearly identical (see HTB2) histone H2B subtypes required for chromatin assembly and chromosome function, Rad6p-Bre1p-Lge1p mediated ubiquitination regulates transcriptional activation, meiotic DSB formation and H3 methylation </t>
  </si>
  <si>
    <t>YDR223W</t>
  </si>
  <si>
    <t>CRF1</t>
  </si>
  <si>
    <t>Transcriptional corepressor involved in the regulation of ribosomal protein gene transcription via the TOR signaling pathway and protein kinase A, phosphorylated by activated Yak1p which promotes accumulation of Crf1p in the nucleus</t>
  </si>
  <si>
    <t>YDR222W</t>
  </si>
  <si>
    <t>YDR221W</t>
  </si>
  <si>
    <t>YDR219C</t>
  </si>
  <si>
    <t>YDR218C</t>
  </si>
  <si>
    <t>SPR28</t>
  </si>
  <si>
    <t>Septin-related protein expressed during sporulation</t>
  </si>
  <si>
    <t>YDR217C</t>
  </si>
  <si>
    <t>RAD9</t>
  </si>
  <si>
    <t>DNA damage-dependent checkpoint protein, required for cell-cycle arrest in G1S, intra-S, and G2M, transmits checkpoint signal by activating Rad53p and Chk1p, hyperphosphorylated by Mec1p and Tel1p, potential Cdc28p substrate</t>
  </si>
  <si>
    <t>YDR216W</t>
  </si>
  <si>
    <t>ADR1</t>
  </si>
  <si>
    <t>Carbon source-responsive zinc-finger transcription factor, required for transcription of the glucose-repressed gene ADH2, of peroxisomal protein genes, and of genes required for ethanol, glycerol, and fatty acid utilization</t>
  </si>
  <si>
    <t>YDR214W</t>
  </si>
  <si>
    <t>AHA1</t>
  </si>
  <si>
    <t>Co-chaperone that binds to Hsp82p and activates its ATPase activity, similar to Hch1p, expression is regulated by stresses such as heat shock</t>
  </si>
  <si>
    <t>YDR213W</t>
  </si>
  <si>
    <t>UPC2</t>
  </si>
  <si>
    <t>Sterol regulatory element binding protein, induces transcription of sterol transport and biosynthetic genes, involved in the anaerobic induction of DANTIR mannoproteins and seripauperins, binucleate zinc cluster protein, Ecm22p homolog</t>
  </si>
  <si>
    <t>YDR212W</t>
  </si>
  <si>
    <t>TCP1</t>
  </si>
  <si>
    <t>Alpha subunit of chaperonin-containing T-complex, which mediates protein folding in the cytosol, involved in maintenance of actin cytoskeleton, homolog to Drosophila melanogaster and mouse tailless complex polypeptide</t>
  </si>
  <si>
    <t>YDR211W</t>
  </si>
  <si>
    <t>GCD6</t>
  </si>
  <si>
    <t>Silenced copy of A2, encoding a protein of with similarity to Alpha2p that is required along with A1p for inhibiting expression of the HO endonuclease in aalpha HOHO diploid cells with an active mating-type interconversion system  GTPGDP exchange factor for Rsr1p (Bud1p) required for both axial and bipolar budding patterns, mutants exhibit random budding in all cell types  Homeobox-domain containing protein which acts with Mcm1p in haploid cells to repress a-specific genes, in diploid cells Alpha2p acts together with A1p to repress transcription of haploid-specific genes  Silenced copy of ALPHA2, encoding a homeobox-domain containing protein that associates with Mcm1p in haploid cells to repress a-specific gene expression and interacts with A1p in diploid cells to repress haploid-specific gene expression</t>
  </si>
  <si>
    <t>YCR095C</t>
  </si>
  <si>
    <t>YCR094W</t>
  </si>
  <si>
    <t>CDC50</t>
  </si>
  <si>
    <t>Endosomal protein that regulates cell polarity, similar to Ynr048wp and Lem3p</t>
  </si>
  <si>
    <t>YCR093W</t>
  </si>
  <si>
    <t>CDC39</t>
  </si>
  <si>
    <t>YCR092C</t>
  </si>
  <si>
    <t>MSH3</t>
  </si>
  <si>
    <t>Mismatch repair protein, forms dimers with Msh2p that mediate repair of insertion or deletion mutations and removal of nonhomologous DNA ends, contains a PCNA (Pol30p) binding motif required for genome stability</t>
  </si>
  <si>
    <t>YCR091W</t>
  </si>
  <si>
    <t>KIN82</t>
  </si>
  <si>
    <t>Putative serinethreonine protein kinase, most similar to cyclic nucleotide-dependent protein kinase subfamily and the protein kinase C subfamily</t>
  </si>
  <si>
    <t>YCR090C</t>
  </si>
  <si>
    <t>YCR089W</t>
  </si>
  <si>
    <t>FIG2</t>
  </si>
  <si>
    <t>Cell wall adhesin, expressed specifically during mating, may be involved in maintenance of cell wall integrity during mating</t>
  </si>
  <si>
    <t>YCR088W</t>
  </si>
  <si>
    <t>ABP1</t>
  </si>
  <si>
    <t>Actin-binding protein of the cortical actin cytoskeleton, important for activation of the Arp23 complex that plays a key role actin in cytoskeleton organization</t>
  </si>
  <si>
    <t>YCR087C-A</t>
  </si>
  <si>
    <t>YCR086W</t>
  </si>
  <si>
    <t>CSM1</t>
  </si>
  <si>
    <t>Protein that forms a complex with Lrs4p, located in the nucleolus, Lrs4p-Csm1p heterodimer binds to Mam1p at kinetochores during meiosis I to mediate accurate chromosome segregation, may be involved in premeiotic DNA replication</t>
  </si>
  <si>
    <t>YCR084C</t>
  </si>
  <si>
    <t>TUP1</t>
  </si>
  <si>
    <t>General repressor of transcription, forms complex with Cyc8p, involved in the establishment of repressive chromatin structure through interactions with histones H3 and H4, appears to enhance expression of some genes</t>
  </si>
  <si>
    <t>YCR083W</t>
  </si>
  <si>
    <t>TRX3</t>
  </si>
  <si>
    <t>Mitochondrial thioredoxin, highly conserved oxidoreductase required to maintain the redox homeostasis of the cell, forms the mitochondrial thioredoxin system with Trr2p, redox state is maintained by both Trr2p and Glr1p</t>
  </si>
  <si>
    <t>YCR082W</t>
  </si>
  <si>
    <t>Protein of unknown function, proposed to be a Ada Histone acetyltransferase complex component, GFP tagged protein is localized to the cytoplasm and nucleus</t>
  </si>
  <si>
    <t>YCR081W</t>
  </si>
  <si>
    <t>SRB8</t>
  </si>
  <si>
    <t>RNA polymerase II mediator complex subunit</t>
  </si>
  <si>
    <t>YCR079W</t>
  </si>
  <si>
    <t>YCR077C</t>
  </si>
  <si>
    <t>PAT1</t>
  </si>
  <si>
    <t>Topoisomerase II-associated deadenylation-dependent mRNA-decapping factor, also required for faithful chromosome transmission, maintenance of rDNA locus stability, and protection of mRNA 3-UTRs from trimming, functionally linked to Pab1p</t>
  </si>
  <si>
    <t>YCR076C</t>
  </si>
  <si>
    <t>YCR075W-A</t>
  </si>
  <si>
    <t>YCR075C</t>
  </si>
  <si>
    <t>ERS1</t>
  </si>
  <si>
    <t>Protein with similarity to human cystinosin, which is a H(+)-driven transporter involved in L-cystine export from lysosomes and implicated in the disease cystinosis, contains seven transmembrane domains</t>
  </si>
  <si>
    <t>YCR073W-A</t>
  </si>
  <si>
    <t>SOL2</t>
  </si>
  <si>
    <t>Protein with a possible role in tRNA export, shows similarity to glucose-6-phosphate dehydrogenase non-catalytic domains but does not exhibit this enzymatic activity, homologous to Sol1p, Sol3p, and Sol4p</t>
  </si>
  <si>
    <t>YCR073C</t>
  </si>
  <si>
    <t>SSK22</t>
  </si>
  <si>
    <t>MAP kinase kinase kinase of the HOG1 mitogen-activated signaling pathway, functionally redundant with, and homologous to, Ssk2p, interacts with and is activated by Ssk1p, phosphorylates Pbs2p</t>
  </si>
  <si>
    <t>YCR072C</t>
  </si>
  <si>
    <t>YCR071C</t>
  </si>
  <si>
    <t>IMG2</t>
  </si>
  <si>
    <t>YCR069W</t>
  </si>
  <si>
    <t>CPR4</t>
  </si>
  <si>
    <t>YCR068W</t>
  </si>
  <si>
    <t>ATG15</t>
  </si>
  <si>
    <t>Lipase, required for intravacuolar lysis of autophagic bodies, located in the endoplasmic reticulum membrane and targeted to intravacuolar vesicles during autophagy via the multivesicular body (MVB) pathway</t>
  </si>
  <si>
    <t>YCR067C</t>
  </si>
  <si>
    <t>SED4</t>
  </si>
  <si>
    <t>Integral endoplasmic reticulum membrane protein, functions as a positive regulator of Sar1p probably through inhibition of GTPase activation by Sec23p, binds Sec16p, participates in vesicle formation, similar to Sec12p</t>
  </si>
  <si>
    <t>YCR066W</t>
  </si>
  <si>
    <t>RAD18</t>
  </si>
  <si>
    <t>Protein involved in postreplication repair, binds single-stranded DNA and has single-stranded DNA dependent ATPase activity, forms heterodimer with Rad6p, contains RING-finger motif</t>
  </si>
  <si>
    <t>YCR065W</t>
  </si>
  <si>
    <t>HCM1</t>
  </si>
  <si>
    <t>Forkhead transcription factor involved in cell cycle specific transcription of SPC110, encoding a spindle pole body (SPB) calmodulin binding protein, dosage-dependent suppressor of calmodulin mutants with specific defects in SPB assembly</t>
  </si>
  <si>
    <t>YCR063W</t>
  </si>
  <si>
    <t>BUD31</t>
  </si>
  <si>
    <t>YCR061W</t>
  </si>
  <si>
    <t>YCR060W</t>
  </si>
  <si>
    <t>TAH1</t>
  </si>
  <si>
    <t>HSP90 cofactor, interacts with Hsp82p, Pih1p, Rvb1 and Rvb2, contains a single TPR domain with at least two TPR motifs</t>
  </si>
  <si>
    <t>YCR059C</t>
  </si>
  <si>
    <t>YIH1</t>
  </si>
  <si>
    <t>Protein that inhibits activation of Gcn2p, an eIF2 alpha subunit protein kinase, by competing for Gcn1p binding, thus impacting gene expression in response to starvation, has sequence and functional similarity to the mouse IMPACT gene</t>
  </si>
  <si>
    <t>YCR057C</t>
  </si>
  <si>
    <t>PWP2</t>
  </si>
  <si>
    <t>Conserved 90S pre-ribosomal component essential for proper endonucleolytic cleavage of the 35 S rRNA precursor at A0, A1, and A2 sites, contains eight WD-repeats, PWP2 deletion leads to defects in cell cycle and bud morphogenesis</t>
  </si>
  <si>
    <t>YCR054C</t>
  </si>
  <si>
    <t>CTR86</t>
  </si>
  <si>
    <t>YCR053W</t>
  </si>
  <si>
    <t>THR4</t>
  </si>
  <si>
    <t>UBP14</t>
  </si>
  <si>
    <t>Ubiquitin-specific protease that specifically disassembles unanchored ubiquitin chains, involved in fructose-1,6-bisphosphatase (Fbp1p) degradation, similar to human isopeptidase T</t>
  </si>
  <si>
    <t>YBR057C</t>
  </si>
  <si>
    <t>MUM2</t>
  </si>
  <si>
    <t>Cytoplasmic protein essential for meiotic DNA replication and sporulation, interacts with Orc2p, which is a component of the origin recognition complex</t>
  </si>
  <si>
    <t>YBR056W-A</t>
  </si>
  <si>
    <t>YBR056W</t>
  </si>
  <si>
    <t>YBR055C</t>
  </si>
  <si>
    <t>PRP6</t>
  </si>
  <si>
    <t>YBR054W</t>
  </si>
  <si>
    <t>YRO2</t>
  </si>
  <si>
    <t>Putative plasma membrane protein of unknown function, transcriptionally regulated by Haa1p, green fluorescent protein (GFP)-fusion protein localizes to the cell periphery and bud</t>
  </si>
  <si>
    <t>YBR053C</t>
  </si>
  <si>
    <t>YBR052C</t>
  </si>
  <si>
    <t>Protein of unknown function, member of a flavodoxin-like fold protein family that includes Pst2p and Ycp4p, green fluorescent protein (GFP)-fusion protein localizes to the cytoplasm in a punctate pattern</t>
  </si>
  <si>
    <t>YBR050C</t>
  </si>
  <si>
    <t>REG2</t>
  </si>
  <si>
    <t>Protein that binds type 1 protein phosphatase Glc7p, involved with Reg1p, Glc7p, and Snf1p in regulation of glucose-repressible genes</t>
  </si>
  <si>
    <t>YBR049C</t>
  </si>
  <si>
    <t>REB1</t>
  </si>
  <si>
    <t>RNA polymerase I enhancer binding protein, DNA binding protein which binds to genes transcribed by both RNA polymerase I and RNA polymerase II, required for termination of RNA polymerase I transcription</t>
  </si>
  <si>
    <t>YBR048W</t>
  </si>
  <si>
    <t>YBR047W</t>
  </si>
  <si>
    <t>YBR046C</t>
  </si>
  <si>
    <t>ZTA1</t>
  </si>
  <si>
    <t>Zeta-crystallin homolog, found in the cytoplasm and nucleus, has similarity to E. coli quinone oxidoreductase and to human zeta-crystallin, which has quinone oxidoreductase activity</t>
  </si>
  <si>
    <t>YBR045C</t>
  </si>
  <si>
    <t>GIP1</t>
  </si>
  <si>
    <t>Meiosis-specific protein proposed to be a regulatory subunit of the protein phosphatase Glc7p, required for spore wall formation and proper septin organization</t>
  </si>
  <si>
    <t>YBR044C</t>
  </si>
  <si>
    <t>TCM62</t>
  </si>
  <si>
    <t>Protein involved in the assembly of the mitochondrial succinate dehydrogenase complex, putative chaperone</t>
  </si>
  <si>
    <t>YBR043C</t>
  </si>
  <si>
    <t>QDR3</t>
  </si>
  <si>
    <t>YBR042C</t>
  </si>
  <si>
    <t>YBR041W</t>
  </si>
  <si>
    <t>FAT1</t>
  </si>
  <si>
    <t>Fatty acid transporter and very long-chain fatty acyl-CoA synthetase, may form a complex with Faa1p or Faa4p that imports and activates exogenous fatty acids</t>
  </si>
  <si>
    <t>YBR040W</t>
  </si>
  <si>
    <t>FIG1</t>
  </si>
  <si>
    <t>Integral membrane protein required for efficient mating, may participate in or regulate the low affinity Ca2+ influx system, which affects intracellular signaling and cell-cell fusion during mating</t>
  </si>
  <si>
    <t>YBR039W</t>
  </si>
  <si>
    <t>ATP3</t>
  </si>
  <si>
    <t>Gamma subunit of the F1 sector of mitochondrial F1F0 ATP synthase, which is a large, evolutionarily conserved enzyme complex required for ATP synthesis</t>
  </si>
  <si>
    <t>YBR038W</t>
  </si>
  <si>
    <t>CHS2</t>
  </si>
  <si>
    <t>Chitin synthase II, requires activation from zymogenic form in order to catalyze the transfer of N-acetylglucosamine (GlcNAc) to chitin, required for the synthesis of chitin in the primary septum during cytokinesis</t>
  </si>
  <si>
    <t>YBR037C</t>
  </si>
  <si>
    <t>SCO1</t>
  </si>
  <si>
    <t>Copper-binding protein of the mitochondrial inner membrane, required for cytochrome c oxidase activity and respiration, may function to deliver copper to cytochrome c oxidase, has similarity to thioredoxins</t>
  </si>
  <si>
    <t>YBR036C</t>
  </si>
  <si>
    <t>CSG2</t>
  </si>
  <si>
    <t>Endoplasmic reticulum membrane protein, required for mannosylation of inositolphosphorylceramide and for growth at high calcium concentrations</t>
  </si>
  <si>
    <t>YBR035C</t>
  </si>
  <si>
    <t>PDX3</t>
  </si>
  <si>
    <t xml:space="preserve">Pyridoxine (pyridoxamine) phosphate oxidase, has homologs in E. coli and Myxococcus xanthus, transcription is under the general control of nitrogen metabolism </t>
  </si>
  <si>
    <t>YBR034C</t>
  </si>
  <si>
    <t>HMT1</t>
  </si>
  <si>
    <t>Putative sensortransporter protein involved in cell wall biogenesis, contains 14-16 transmembrane segments and several putative glycosylation and phosphorylation sites, null mutation is synthetically lethal with pkc1 deletion</t>
  </si>
  <si>
    <t>YCR016W</t>
  </si>
  <si>
    <t>YCR015C</t>
  </si>
  <si>
    <t>YCR014C</t>
  </si>
  <si>
    <t>POL4</t>
  </si>
  <si>
    <t>DNA polymerase IV, undergoes pair-wise interactions with Dnl4p-Lif1p and Rad27p to mediate repair of DNA double-strand breaks by non-homologous end joining (NHEJ), homologous to mammalian DNA polymerase beta</t>
  </si>
  <si>
    <t>YCR012W</t>
  </si>
  <si>
    <t>PGK1</t>
  </si>
  <si>
    <t>3-phosphoglycerate kinase, catalyzes transfer of high-energy phosphoryl groups from the acyl phosphate of 1,3-bisphosphoglycerate to ADP to produce ATP, key enzyme in glycolysis and gluconeogenesis</t>
  </si>
  <si>
    <t>YCR011C</t>
  </si>
  <si>
    <t>ADP1</t>
  </si>
  <si>
    <t>Putative ATP-dependent permease of the ABC transporter family of proteins</t>
  </si>
  <si>
    <t>YCR010C</t>
  </si>
  <si>
    <t>ADY2</t>
  </si>
  <si>
    <t>Acetate transporter required for normal sporulation</t>
  </si>
  <si>
    <t>YCR009C</t>
  </si>
  <si>
    <t>RVS161</t>
  </si>
  <si>
    <t>SAS4</t>
  </si>
  <si>
    <t>Subunit of the SAS complex (Sas2p, Sas4p, Sas5p), which  acetylates free histones and nucleosomes and regulates transcriptional silencing, required for the HAT activity of Sas2p</t>
  </si>
  <si>
    <t>YDR180W</t>
  </si>
  <si>
    <t>SCC2</t>
  </si>
  <si>
    <t>Putative protein kinase and subunit of cohesin loading factor (Scc2p-Scc4p), a complex required for the loading of cohesin complexes onto chromosomes, involved in establishing sister chromatid cohesion during DSB repair via histone H2AX</t>
  </si>
  <si>
    <t>YDR179W-A</t>
  </si>
  <si>
    <t>YDR179C</t>
  </si>
  <si>
    <t>CSN9</t>
  </si>
  <si>
    <t>YDR178W</t>
  </si>
  <si>
    <t>SDH4</t>
  </si>
  <si>
    <t>Membrane anchor subunit of succinate dehydrogenase (Sdh1p, Sdh2p, Sdh3p, Sdh4p), which couples the oxidation of succinate to the transfer of electrons to ubiquinone</t>
  </si>
  <si>
    <t>YDR177W</t>
  </si>
  <si>
    <t>UBC1</t>
  </si>
  <si>
    <t>Ubiquitin-conjugating enzyme that mediates selective degradation of short-lived and abnormal proteins, plays a role in vesicle biogenesis and ER-associated protein degradation (ERAD), component of the cellular stress response</t>
  </si>
  <si>
    <t>YDR176W</t>
  </si>
  <si>
    <t>NGG1</t>
  </si>
  <si>
    <t>Transcriptional regulator involved in glucose repression of Gal4p-regulated genes, component of transcriptional adaptor and histone acetyltransferase complexes, the ADA complex, the SAGA complex, and the SLIK complex</t>
  </si>
  <si>
    <t>YDR175C</t>
  </si>
  <si>
    <t>RSM24</t>
  </si>
  <si>
    <t>YDR174W</t>
  </si>
  <si>
    <t>HMO1</t>
  </si>
  <si>
    <t>Chromatin associated high mobility group (HMG) family member involved in genome maintenance, rDNA-binding component of the Pol I transcription system, associates with a 5-3 DNA helicase and Fpr1p, a prolyl isomerase</t>
  </si>
  <si>
    <t>YDR173C</t>
  </si>
  <si>
    <t>ARG82</t>
  </si>
  <si>
    <t>Protein involved in regulation of arginine-responsive and Mcm1p-dependent genes, has a dual-specificity inositol polyphosphate kinase activity required for regulation of phosphate- and nitrogen-responsive genes</t>
  </si>
  <si>
    <t>YDR172W</t>
  </si>
  <si>
    <t>SUP35</t>
  </si>
  <si>
    <t>Translation termination factor eRF3, altered protein conformation creates the [PSI(+)] prion, a dominant cytoplasmically inherited protein aggregate that alters translational fidelity and creates a nonsense suppressor phenotype</t>
  </si>
  <si>
    <t>YDR171W</t>
  </si>
  <si>
    <t>HSP42</t>
  </si>
  <si>
    <t>Small cytosolic stress-induced chaperone that forms barrel-shaped oligomers and suppresses the aggregation of non-native proteins, oligomer dissociation is not required for function, involved in cytoskeleton reorganization after heat shock</t>
  </si>
  <si>
    <t>YDR170C</t>
  </si>
  <si>
    <t>SEC7</t>
  </si>
  <si>
    <t>Guanine nucleotide exchange factor (GEF) for ADP ribosylation factors involved in proliferation of the Golgi, intra-Golgi transport and ER-to-Golgi transport, found in the cytoplasm and on Golgi-associated coated vesicles</t>
  </si>
  <si>
    <t>YDR169C-A</t>
  </si>
  <si>
    <t>YDR169C</t>
  </si>
  <si>
    <t>STB3</t>
  </si>
  <si>
    <t>YDR168W</t>
  </si>
  <si>
    <t>CDC37</t>
  </si>
  <si>
    <t>Essential Hsp90p co-chaperone, necessary for passage through the START phase of the cell cycle</t>
  </si>
  <si>
    <t>YDR167W</t>
  </si>
  <si>
    <t>TAF10</t>
  </si>
  <si>
    <t>Subunit (145 kDa) of TFIID and SAGA complexes, involved in RNA polymerase II transcription initiation and in chromatin modification</t>
  </si>
  <si>
    <t>YDR166C</t>
  </si>
  <si>
    <t>SEC5</t>
  </si>
  <si>
    <t>Essential 107kDa subunit of the exocyst complex (Sec3p, Sec5p, Sec6p, Sec8p, Sec10p, Sec15p, Exo70p, and Exo84p), which has the essential function of mediating polarized targeting of secretory vesicles to active sites of exocytosis</t>
  </si>
  <si>
    <t>YDR165W</t>
  </si>
  <si>
    <t>TRM82</t>
  </si>
  <si>
    <t>Subunit of a tRNA methyltransferase complex composed of Trm8p and Trm82p that catalyzes 7-methylguanosine modification of tRNA</t>
  </si>
  <si>
    <t>YDR164C</t>
  </si>
  <si>
    <t>SEC1</t>
  </si>
  <si>
    <t>Sm-like protein involved in docking and fusion of exocytic vesicles through binding to assembled SNARE complexes at the membrane, localization to sites of secretion (bud neck and bud tip) is dependent on SNARE function</t>
  </si>
  <si>
    <t>YDR163W</t>
  </si>
  <si>
    <t>CWC15</t>
  </si>
  <si>
    <t>Non-essential protein involved in pre-mRNA splicing, component of a complex containing Cef1p, has similarity to S. pombe Cwf15p</t>
  </si>
  <si>
    <t>YDR162C</t>
  </si>
  <si>
    <t>NBP2</t>
  </si>
  <si>
    <t>Protein involved in the HOG (high osmolarity glycerol) pathway, negatively regulates Hog1p by recruitment of phosphatase Ptc1p the Pbs2p-Hog1p complex, found in the nucleus and cytoplasm, contains an SH3 domain that binds Pbs2p</t>
  </si>
  <si>
    <t>YDR161W</t>
  </si>
  <si>
    <t>interacts with PP2C</t>
  </si>
  <si>
    <t>YDR160W</t>
  </si>
  <si>
    <t>SSY1</t>
  </si>
  <si>
    <t>YDR159W</t>
  </si>
  <si>
    <t>SAC3</t>
  </si>
  <si>
    <t>Nuclear pore-associated protein, forms a complex with Thp1p that is involved in transcription and in mRNA export from the nucleus</t>
  </si>
  <si>
    <t>YDR158W</t>
  </si>
  <si>
    <t>HOM2</t>
  </si>
  <si>
    <t>Aspartic beta semi-aldehyde dehydrogenase, catalyzes the second step in the common pathway for methionine and threonine biosynthesis, expression regulated by Gcn4p and the general control of amino acid synthesis</t>
  </si>
  <si>
    <t>YDR156W</t>
  </si>
  <si>
    <t>RPA14</t>
  </si>
  <si>
    <t>RNA polymerase I subunit A14</t>
  </si>
  <si>
    <t>YDR155C</t>
  </si>
  <si>
    <t>CPR1</t>
  </si>
  <si>
    <t>Cytoplasmic peptidyl-prolyl cis-trans isomerase (cyclophilin), catalyzes the cis-trans isomerization of peptide bonds N-terminal to proline residues, binds the drug cyclosporin A</t>
  </si>
  <si>
    <t>YDR153C</t>
  </si>
  <si>
    <t>ENT5</t>
  </si>
  <si>
    <t>Protein containing an N-terminal epsin-like domain involved in clathrin recruitment and traffic between the Golgi and endosomes, associates with the clathrin adaptor Gga2p, clathrin adaptor complex AP-1, and clathrin</t>
  </si>
  <si>
    <t>YDR152W</t>
  </si>
  <si>
    <t>GIR2</t>
  </si>
  <si>
    <t>Highly-acidic cytoplasmic RWD domain-containing protein of unknown function, sensitive to proteolysis, N-terminal region has high content of acidic amino acid residues, putative IUP (intrinsically unstructured protein)</t>
  </si>
  <si>
    <t>YDR151C</t>
  </si>
  <si>
    <t>CTH1</t>
  </si>
  <si>
    <t>Member of the CCCH zinc finger family, has similarity to mammalian Tis11 protein, which activates transcription and also has a role in mRNA degradation, may function with Tis11p in iron homeostasis</t>
  </si>
  <si>
    <t>YDR150W</t>
  </si>
  <si>
    <t>NUM1</t>
  </si>
  <si>
    <t>Protein required for nuclear migration, localizes to the mother cell cortex and the bud tip, may mediate interactions of dynein and cytoplasmic microtubules with the cell cortex</t>
  </si>
  <si>
    <t>YDR148C</t>
  </si>
  <si>
    <t>KGD2</t>
  </si>
  <si>
    <t>Dihydrolipoyl transsuccinylase, a component of the mitochondrial alpha-ketoglutarate dehydrogenase complex, which catalyzes a step in the tricarboxylic acid (TCA) cycle, the oxidative decarboxylation of alpha-ketoglutarate to succinyl-CoA</t>
  </si>
  <si>
    <t>YDR147W</t>
  </si>
  <si>
    <t>EKI1</t>
  </si>
  <si>
    <t>Ethanolamine kinase, primarily responsible for phosphatidylethanolamine synthesis via the CDP-ethanolamine pathway, also exhibits choline kinase activity</t>
  </si>
  <si>
    <t>YDR146C</t>
  </si>
  <si>
    <t>SWI5</t>
  </si>
  <si>
    <t>Transcription factor that activates transcription of genes expressed in G1 phase and at the G1M boundary, localization to the nucleus occurs during G1 and appears to be regulated by phosphorylation by Cdc28p kinase</t>
  </si>
  <si>
    <t>YDR145W</t>
  </si>
  <si>
    <t>TAF12</t>
  </si>
  <si>
    <t>Subunit (6168 kDa) of TFIID and SAGA complexes, involved in RNA polymerase II transcription initiation and in chromatin modification, similar to histone H2A</t>
  </si>
  <si>
    <t>YDR144C</t>
  </si>
  <si>
    <t>MKC7</t>
  </si>
  <si>
    <t>GPI-anchored aspartyl protease (yapsin) involved in protein processing, shares functions with Yap3p and Kex2p</t>
  </si>
  <si>
    <t>YDR143C</t>
  </si>
  <si>
    <t>SAN1</t>
  </si>
  <si>
    <t>Protein required for the breakdown of autophagic vesicles in the vacuole during autophagy, putative integral membrane protein that localizes to vacuolar membranes and punctate structures attached to the vacuole</t>
  </si>
  <si>
    <t>YCL037C</t>
  </si>
  <si>
    <t>SRO9</t>
  </si>
  <si>
    <t>Transportin, cytosolic karyopherin beta 2 involved in delivery of heterogeneous nuclear ribonucleoproteins to the nucleoplasm, binds rg-nuclear localization signals on Nab2p and Hrp1p, plays a role in cell-cycle progression</t>
  </si>
  <si>
    <t>YBR016W</t>
  </si>
  <si>
    <t>Plasma membrane protein of unknown function, has similarity to hydrophilins, which are hydrophilic, glycine-rich proteins involved in the adaptive response to hyperosmotic conditions</t>
  </si>
  <si>
    <t>YBR015C</t>
  </si>
  <si>
    <t>MNN2</t>
  </si>
  <si>
    <t>Alpha-1,2-mannosyltransferase, responsible for addition of the first alpha-1,2-linked mannose to form the branches on the mannan backbone of oligosaccharides, localizes to an early Golgi compartment</t>
  </si>
  <si>
    <t>YBR014C</t>
  </si>
  <si>
    <t>YBR013C</t>
  </si>
  <si>
    <t>YBR011C</t>
  </si>
  <si>
    <t>IPP1</t>
  </si>
  <si>
    <t>Cytoplasmic inorganic pyrophosphatase (PPase), catalyzes the rapid exchange of oxygens from Pi with water, highly expressed and essential for viability, active-site residues show identity to those from E. coli PPase</t>
  </si>
  <si>
    <t>YBR010W</t>
  </si>
  <si>
    <t>YBR009C</t>
  </si>
  <si>
    <t>One of two identical histone H4 proteins (see also HHF1), core histone required for chromatin assembly and chromosome function, contributes to telomeric silencing, N-terminal domain involved in maintaining genomic integrity  One of two identical histone H4 proteins (see also HHF2), core histone required for chromatin assembly and chromosome function, contributes to telomeric silencing, N-terminal domain involved in maintaining genomic integrity</t>
  </si>
  <si>
    <t>YBR008C</t>
  </si>
  <si>
    <t>FLR1</t>
  </si>
  <si>
    <t>Plasma membrane multidrug transporter, member of the major facilitator superfamily, involved in efflux of fluconazole, diazaborine, benomyl, methotrexate, and other drugs</t>
  </si>
  <si>
    <t>YBR007C</t>
  </si>
  <si>
    <t>YBR006W</t>
  </si>
  <si>
    <t>UGA2</t>
  </si>
  <si>
    <t>Succinate semialdehyde dehydrogenase involved in the utilization of gamma-aminobutyrate (GABA) as a nitrogen source, part of the 4-aminobutyrate and glutamate degradation pathways, localized to the cytoplasm</t>
  </si>
  <si>
    <t>YBR005W</t>
  </si>
  <si>
    <t>RCR1</t>
  </si>
  <si>
    <t>Protein of the endoplasmic reticulum membrane involved in chitin deposition in the cell wall, overproduction confers resistance to Congo Red</t>
  </si>
  <si>
    <t>YBR004C</t>
  </si>
  <si>
    <t>GPI18</t>
  </si>
  <si>
    <t>Functional ortholog of human PIG-V, which is a mannosyltransferase that transfers the second mannose in glycosylphosphatidylinositol biosynthesis, the authentic, non-tagged protein was localized to mitochondria</t>
  </si>
  <si>
    <t>YBR003W</t>
  </si>
  <si>
    <t>COQ1</t>
  </si>
  <si>
    <t>Hexaprenyl pyrophosphate synthetase, catalyzes the first step in ubiquinone (coenzyme Q) biosynthesis</t>
  </si>
  <si>
    <t>YBR002C</t>
  </si>
  <si>
    <t>RER2</t>
  </si>
  <si>
    <t>Cis-prenyltransferase involved in dolichol synthesis, participates in endoplasmic reticulum (ER) protein sorting</t>
  </si>
  <si>
    <t>YBR001C</t>
  </si>
  <si>
    <t>NTH2</t>
  </si>
  <si>
    <t>Neutral trehalase, degrades trehalose, required for thermotolerance and may mediate resistance to other cellular stresses</t>
  </si>
  <si>
    <t>YBL113C</t>
  </si>
  <si>
    <t>Hypothetical protein  Helicase encoded by the Y element of subtelomeric regions, highly expressed in the mutants lacking the telomerase component TLC1, potentially phosphorylated by Cdc28p  Helicase encoded by the Y element of subtelomeric regions, highly expressed in the mutants lacking the telomerase component TLC1, potentially phosphorylated by Cdc28p  subtelomerically-encoded DNA helicase  Helicase encoded by the Y element of subtelomeric regions, highly expressed in the mutants lacking the telomerase component TLC1, potentially phosphorylated by Cdc28p  Hypothetical protein  Helicase encoded by the Y element of subtelomeric regions, highly expressed in the mutants lacking the telomerase component TLC1, potentially phosphorylated by Cdc28p  Hypothetical protein  Hypothetical protein  Hypothetical protein  Hypothetical protein  Hypothetical protein  Hypothetical protein  Protein of unknown function, potential Cdc28p substrate  Helicase encoded by the Y element of subtelomeric regions, highly expressed in the mutants lacking the telomerase component TLC1, potentially phosphorylated by Cdc28p  Hypothetical protein  Helicase encoded by the Y element of subtelomeric regions, highly expressed in the mutants lacking the telomerase component TLC1, potentially phosphorylated by Cdc28p  Hypothetical protein  Helicase encoded by the Y element of subtelomeric regions, highly expressed in the mutants lacking the telomerase component TLC1, potentially phosphorylated by Cdc28p  Hypothetical protein  Hypothetical protein  Hypothetical protein</t>
  </si>
  <si>
    <t>YBL112C</t>
  </si>
  <si>
    <t>Hypothetical protein  Helicase encoded by the Y element of subtelomeric regions, highly expressed in the mutants lacking the telomerase component TLC1, potentially phosphorylated by Cdc28p  Helicase encoded by the Y element of subtelomeric regions, highly expressed in the mutants lacking the telomerase component TLC1, potentially phosphorylated by Cdc28p  subtelomerically-encoded DNA helicase  Helicase encoded by the Y element of subtelomeric regions, highly expressed in the mutants lacking the telomerase component TLC1, potentially phosphorylated by Cdc28p  Hypothetical protein  Helicase encoded by the Y element of subtelomeric regions, highly expressed in the mutants lacking the telomerase component TLC1, potentially phosphorylated by Cdc28p  Hypothetical protein  Hypothetical protein  Hypothetical protein  Hypothetical protein  Hypothetical protein  Helicase encoded by the Y element of subtelomeric regions, highly expressed in the mutants lacking the telomerase component TLC1, potentially phosphorylated by Cdc28p  Helicase encoded by the Y element of subtelomeric regions, highly expressed in the mutants lacking the telomerase component TLC1, potentially phosphorylated by Cdc28p  Hypothetical protein  Helicase encoded by the Y element of subtelomeric regions, highly expressed in the mutants lacking the telomerase component TLC1, potentially phosphorylated by Cdc28p  Hypothetical protein  Hypothetical protein</t>
  </si>
  <si>
    <t>YBL111C</t>
  </si>
  <si>
    <t>Cytosolic seryl-tRNA synthetase, class II aminoacyl-tRNA synthetase that aminoacylates tRNA(Ser), displays tRNA-dependent amino acid recognition which enhances discrimination of the serine substrate, interacts with peroxin Pex21p</t>
  </si>
  <si>
    <t>YDR022C</t>
  </si>
  <si>
    <t>CIS1</t>
  </si>
  <si>
    <t>Protein of unknown function that may be involved in microtubule organization, high-copy suppressor of CIK1 deletion</t>
  </si>
  <si>
    <t>YDR021W</t>
  </si>
  <si>
    <t>FAL1</t>
  </si>
  <si>
    <t>Nucleolar protein required for maturation of 18S rRNA, member of the eIF4A subfamily of DEAD-box ATP-dependent RNA helicases</t>
  </si>
  <si>
    <t>YDR020C</t>
  </si>
  <si>
    <t>YDR019C</t>
  </si>
  <si>
    <t>GCV1</t>
  </si>
  <si>
    <t>T subunit of the mitochondrial glycine decarboxylase complex, required for the catabolism of glycine to 5,10-methylene-THF, expression is regulated by levels of levels of 5,10-methylene-THF in the cytoplasm</t>
  </si>
  <si>
    <t>YDR018C</t>
  </si>
  <si>
    <t>YDR017C</t>
  </si>
  <si>
    <t>KCS1</t>
  </si>
  <si>
    <t>Inositol hexaphosphate kinase, phosphorylates inositol hexakisphosphate (InsP6) to diphosphoinositol polyphosphates, required for proper vacuole morphology and involved in salt stress response, contains two leucine heptad repeats</t>
  </si>
  <si>
    <t>YDR016C</t>
  </si>
  <si>
    <t>DAD1</t>
  </si>
  <si>
    <t>YDR014W</t>
  </si>
  <si>
    <t>RAD61</t>
  </si>
  <si>
    <t>Protein of unknown function, mutation confers radiation sensitivity</t>
  </si>
  <si>
    <t>YDR013W</t>
  </si>
  <si>
    <t>PSF1</t>
  </si>
  <si>
    <t>YDR012W</t>
  </si>
  <si>
    <t>RPL4B</t>
  </si>
  <si>
    <t>Protein that binds to the Rap1p C-terminus and acts synergistically with Rif2p to help control telomere length and establish telomeric silencing, deletion results in telomere elongation</t>
  </si>
  <si>
    <t>YBR274W</t>
  </si>
  <si>
    <t>CHK1</t>
  </si>
  <si>
    <t>checkpoint kinase 1, homolog of the S. pombe and mammalian Chk1 checkpoint kinases, Protein kinase Chk1</t>
  </si>
  <si>
    <t>YBR273C</t>
  </si>
  <si>
    <t>UBX7</t>
  </si>
  <si>
    <t>YBR272C</t>
  </si>
  <si>
    <t>HSM3</t>
  </si>
  <si>
    <t>Protein of unknown function, involved in DNA mismatch repair during slow growth, has weak similarity to Msh1p</t>
  </si>
  <si>
    <t>YBR271W</t>
  </si>
  <si>
    <t>YBR270C</t>
  </si>
  <si>
    <t>YBR269C</t>
  </si>
  <si>
    <t>YBR268W</t>
  </si>
  <si>
    <t>MRPL37</t>
  </si>
  <si>
    <t>YBR267W</t>
  </si>
  <si>
    <t>REI1</t>
  </si>
  <si>
    <t>Protein of unknown function involved in bud growth in the mitotic signaling network, proposed negative regulator of Swe1p and Gin4p, contains dispersed C2H2 zinc finger domains</t>
  </si>
  <si>
    <t>YBR265W</t>
  </si>
  <si>
    <t>TSC10</t>
  </si>
  <si>
    <t>3-ketosphinganine reductase, catalyzes the second step in phytosphingosine synthesis, essential for growth in the absence of exogenous dihydrosphingosine or phytosphingosine, member of short chain dehydrogenasereductase protein family</t>
  </si>
  <si>
    <t>YBR264C</t>
  </si>
  <si>
    <t>YPT10</t>
  </si>
  <si>
    <t>GTP binding protein that contains the PEST signal sequence specific for proteolytic enzymes, may be involved in vesicular transport, overexpression leads to accumulation of Golgi-like cisternae with budding vesicles</t>
  </si>
  <si>
    <t>YBR263W</t>
  </si>
  <si>
    <t>SHM1</t>
  </si>
  <si>
    <t>Serine hydroxymethyltransferase, mitochondrial</t>
  </si>
  <si>
    <t>YBR262C</t>
  </si>
  <si>
    <t>YBR261C</t>
  </si>
  <si>
    <t>YBR260C</t>
  </si>
  <si>
    <t>RGD1</t>
  </si>
  <si>
    <t>GTPase-activating protein (RhoGAP) for Rho3p and Rho4p, possibly involved in control of actin cytoskeleton organization</t>
  </si>
  <si>
    <t>YBR259W</t>
  </si>
  <si>
    <t>YBR258C</t>
  </si>
  <si>
    <t>SHG1</t>
  </si>
  <si>
    <t>Subunit of the COMPASS (Set1C) complex, which methylates Rad6p ubiquitinated histone H3 on lysine 4 and is required in transcriptional silencing near telomeres</t>
  </si>
  <si>
    <t>YBR257W</t>
  </si>
  <si>
    <t>POP4</t>
  </si>
  <si>
    <t>YBR256C</t>
  </si>
  <si>
    <t>RIB5</t>
  </si>
  <si>
    <t>Riboflavin synthase, catalyzes the last step of the riboflavin biosynthesis pathway</t>
  </si>
  <si>
    <t>YBR255W</t>
  </si>
  <si>
    <t>Protein of unknown function, required for normal growth rate at 15 degrees C, green fluorescent protein (GFP)-fusion protein localizes to the cytoplasm in a punctate pattern</t>
  </si>
  <si>
    <t>YBR255C-A</t>
  </si>
  <si>
    <t>YBR254C</t>
  </si>
  <si>
    <t>TRS20</t>
  </si>
  <si>
    <t>One of 10 subunits of the transport protein particle (TRAPP) complex of the cis-Golgi which mediates vesicle docking and fusion, mutations in the human homolog cause the spondyloepiphyseal dysplasia tarda (SEDL) disorder</t>
  </si>
  <si>
    <t>YBR253W</t>
  </si>
  <si>
    <t>SRB6</t>
  </si>
  <si>
    <t>Protein involved in transcription as part of the SrbMediator complex</t>
  </si>
  <si>
    <t>YBR252W</t>
  </si>
  <si>
    <t>DUT1</t>
  </si>
  <si>
    <t>dUTPase, catalyzes the hydrolysis of dUTP to dUMP and PPi and thereby prevents the incorporation of uracil into DNA during replication</t>
  </si>
  <si>
    <t>YBR251W</t>
  </si>
  <si>
    <t>MRPS5</t>
  </si>
  <si>
    <t>YBR250W</t>
  </si>
  <si>
    <t>YBR249C</t>
  </si>
  <si>
    <t>ARO4</t>
  </si>
  <si>
    <t>3-deoxy-D-arabino-heptulosonate-7-phosphate (DAHP) synthase, catalyzes the first step in aromatic amino acid biosynthesis and is feedback-inhibited by tyrosine</t>
  </si>
  <si>
    <t>YBR248C</t>
  </si>
  <si>
    <t>HIS7</t>
  </si>
  <si>
    <t>Imidazole glycerol phosphate synthase (glutamine amidotransferase:cyclase), catalyzes the fifth and sixth steps of histidine biosynthesis and also produces 5-aminoimidazole-4-carboxamide ribotide (AICAR), a purine precursor</t>
  </si>
  <si>
    <t>YBR247C</t>
  </si>
  <si>
    <t>ENP1</t>
  </si>
  <si>
    <t>Protein associated with U3 and U14 snoRNAs, required for pre-rRNA processing and 40S ribosomal subunit synthesis, localized in the nucleus and concentrated in the nucleolus</t>
  </si>
  <si>
    <t>YBR246W</t>
  </si>
  <si>
    <t>YBR245C</t>
  </si>
  <si>
    <t>ISW1</t>
  </si>
  <si>
    <t>Member of the imitation-switch (ISWI) class of ATP-dependent chromatin remodeling complexes, ATPase that forms a complex with Ioc2p and Ioc4p to regulate transcription elongation, and a complex with Ioc3p to repress transcription initiation</t>
  </si>
  <si>
    <t>YBR244W</t>
  </si>
  <si>
    <t>GPX2</t>
  </si>
  <si>
    <t>YBR243C</t>
  </si>
  <si>
    <t>ALG7</t>
  </si>
  <si>
    <t>UDP-N-acetyl-glucosamine-1-P transferase, transfers Glc-Nac-P from UDP-GlcNac to Dol-P in the ER in the first step of the dolichol pathway of protein asparagine-linked glycosylation, inhibited by tunicamycin</t>
  </si>
  <si>
    <t>YBR242W</t>
  </si>
  <si>
    <t>YBR241C</t>
  </si>
  <si>
    <t>YBR240C</t>
  </si>
  <si>
    <t>THI2</t>
  </si>
  <si>
    <t>Zinc finger protein of the Zn(II)2Cys6 type, probable transcriptional activator of thiamine biosynthetic genes</t>
  </si>
  <si>
    <t>YBR239C</t>
  </si>
  <si>
    <t>YBR238C</t>
  </si>
  <si>
    <t>YBR237W</t>
  </si>
  <si>
    <t>PRP5</t>
  </si>
  <si>
    <t>RNA helicase in the DEAD-box family, necessary for prespliceosome formation, bridges U1 and U2 snRNPs and enables stable U2 snRNP association with intron RNA</t>
  </si>
  <si>
    <t>YBR236C</t>
  </si>
  <si>
    <t>ABD1</t>
  </si>
  <si>
    <t>Methyltransferase, catalyzes the transfer of a methyl group from S-adenosylmethionine to the GpppN terminus of capped mRNA</t>
  </si>
  <si>
    <t>YBR235W</t>
  </si>
  <si>
    <t>YBR234C</t>
  </si>
  <si>
    <t>ARC40</t>
  </si>
  <si>
    <t>Essential subunit of the ARP23 complex, which is required for the motility and integrity of cortical actin patches</t>
  </si>
  <si>
    <t>YBR233W-A</t>
  </si>
  <si>
    <t>DAD3</t>
  </si>
  <si>
    <t>YBR233W</t>
  </si>
  <si>
    <t>PBP2</t>
  </si>
  <si>
    <t>RNA binding protein with similarity to mammalian heterogeneous nuclear RNP K protein, involved in the regulation of telomere position effect and telomere length</t>
  </si>
  <si>
    <t>YBR231C</t>
  </si>
  <si>
    <t>SWC5</t>
  </si>
  <si>
    <t>YBR230W-A</t>
  </si>
  <si>
    <t>YBR230C</t>
  </si>
  <si>
    <t>YBR229C</t>
  </si>
  <si>
    <t>ROT2</t>
  </si>
  <si>
    <t>Glucosidase II catalytic subunit required for normal cell wall synthesis, mutations in rot2 suppress tor2 mutations, and are synthetically lethal with rot1 mutations</t>
  </si>
  <si>
    <t>YBR228W</t>
  </si>
  <si>
    <t>SLX1</t>
  </si>
  <si>
    <t>Subunit of a complex, with Slx4p, that hydrolyzes 5 branches from duplex DNA in response to stalled or converging replication forks, function overlaps with that of Sgs1p-Top3p</t>
  </si>
  <si>
    <t>YBR227C</t>
  </si>
  <si>
    <t>MCX1</t>
  </si>
  <si>
    <t>Mitochondrial ATP-binding protein, possibly a mitochondrial chaperone with non-proteolytic function, similar to bacterial ClpX proteins</t>
  </si>
  <si>
    <t>YBR225W</t>
  </si>
  <si>
    <t>YBR223C</t>
  </si>
  <si>
    <t>TDP1</t>
  </si>
  <si>
    <t>Tyrosyl-DNA Phosphodiesterase I, hydrolyzes 3-phosphotyrosyl bonds to generate 3-phosphate DNA and tyrosine, involved in the repair of DNA lesions created by topoisomerase I</t>
  </si>
  <si>
    <t>YBR222C</t>
  </si>
  <si>
    <t>PCS60</t>
  </si>
  <si>
    <t>Peroxisomal AMP-binding protein, localizes to both the peroxisomal peripheral membrane and matrix, expression is highly inducible by oleic acid, similar to E. coli long chain acyl-CoA synthetase</t>
  </si>
  <si>
    <t>YBR221W-A</t>
  </si>
  <si>
    <t>YBR221C</t>
  </si>
  <si>
    <t>PDB1</t>
  </si>
  <si>
    <t>E1 beta subunit of the pyruvate dehydrogenase (PDH) complex, which is an evolutionarily-conserved multi-protein complex found in mitochondria</t>
  </si>
  <si>
    <t>YBR220C</t>
  </si>
  <si>
    <t>YBR219C</t>
  </si>
  <si>
    <t>YBR218C</t>
  </si>
  <si>
    <t>PYC2</t>
  </si>
  <si>
    <t>Substrate of the Hub1p ubiquitin-like protein that localizes to the shmoo tip (mating projection), mutants are defective for mating projection formation, thereby implicating Hbt1p in polarized cell morphogenesis</t>
  </si>
  <si>
    <t>YDL222C</t>
  </si>
  <si>
    <t>FMP45</t>
  </si>
  <si>
    <t>The authentic, non-tagged protein was localized to the mitochondria, cell cortex protein, not required for growth on nonfermentable carbon sources, required for viability in stationary phase</t>
  </si>
  <si>
    <t>YDL220C</t>
  </si>
  <si>
    <t>CDC13</t>
  </si>
  <si>
    <t>Single stranded DNA-binding protein found at TG1-3 telomere G-tails, regulates telomere replication through recruitment of specific sub-complexes, but the essential function is telomere capping</t>
  </si>
  <si>
    <t>YDL219W</t>
  </si>
  <si>
    <t>DTD1</t>
  </si>
  <si>
    <t>D-Tyr-tRNA(Tyr) deacylase, functions in protein translation, may affect nonsense suppression via alteration of the protein synthesis machinery, ubiquitous among eukaryotes</t>
  </si>
  <si>
    <t>YDL218W</t>
  </si>
  <si>
    <t>YDL217C</t>
  </si>
  <si>
    <t>TIM22</t>
  </si>
  <si>
    <t>Mitochondrial inner membrane protein involved in import of proteins of the ADPATP carrier (AAC) family</t>
  </si>
  <si>
    <t>YDL216C</t>
  </si>
  <si>
    <t>RRI1</t>
  </si>
  <si>
    <t>Catalytic subunit of the COP9 signalosome (CSN) complex that acts as an isopeptidase in cleaving the ubiquitin-like protein Nedd8 from SCF ubiquitin ligases, metalloendopeptidase involved in the adaptation to pheromone signaling</t>
  </si>
  <si>
    <t>YDL215C</t>
  </si>
  <si>
    <t>GDH2</t>
  </si>
  <si>
    <t>Hypothetical protein  Helicase encoded by the Y element of subtelomeric regions, highly expressed in the mutants lacking the telomerase component TLC1, potentially phosphorylated by Cdc28p  Helicase encoded by the Y element of subtelomeric regions, highly expressed in the mutants lacking the telomerase component TLC1, potentially phosphorylated by Cdc28p  Hypothetical protein  Hypothetical protein  similar to other subtelomerically-encoded proteins  Hypothetical protein  subtelomerically-encoded DNA helicase  Helicase encoded by the Y element of subtelomeric regions, highly expressed in the mutants lacking the telomerase component TLC1, potentially phosphorylated by Cdc28p  Hypothetical protein  Helicase encoded by the Y element of subtelomeric regions, highly expressed in the mutants lacking the telomerase component TLC1, potentially phosphorylated by Cdc28p  Hypothetical protein  Hypothetical protein  Hypothetical protein  Hypothetical protein  Hypothetical protein  Hypothetical protein  Protein of unknown function, potential Cdc28p substrate  Helicase encoded by the Y element of subtelomeric regions, highly expressed in the mutants lacking the telomerase component TLC1, potentially phosphorylated by Cdc28p  Hypothetical protein  Hypothetical protein  Hypothetical protein  Helicase encoded by the Y element of subtelomeric regions, highly expressed in the mutants lacking the telomerase component TLC1, potentially phosphorylated by Cdc28p  Hypothetical protein  Hypothetical protein  Hypothetical protein  Hypothetical protein  Hypothetical protein  Helicase encoded by the Y element of subtelomeric regions, highly expressed in the mutants lacking the telomerase component TLC1, potentially phosphorylated by Cdc28p  Hypothetical protein  Hypothetical protein</t>
  </si>
  <si>
    <t>YBL108C-A</t>
  </si>
  <si>
    <t>Part of 23-member seripauperin multigene family encoded mainly in subtelomeric regions, active during alcoholic fermentation, regulated by anaerobiosis, negatively regulated by oxygen, repressed by heme  Hypothetical protein  Part of 23-member seripauperin multigene family encoded mainly in subtelomeric regions, active during alcoholic fermentation, regulated by anaerobiosis, negatively regulated by oxygen, repressed by heme  Hypothetical protein  Part of 23-member seripauperin multigene family encoded mainly in subtelomeric regions, active during alcoholic fermentation, regulated by anaerobiosis, negatively regulated by oxygen, repressed by heme  Hypothetical protein  Hypothetical protein  Hypothetical protein  Hypothetical protein  Part of 23-member seripauperin multigene family encoded mainly in subtelomeric regions, active during alcoholic fermentation, regulated by anaerobiosis, negatively regulated by oxygen, repressed by heme  Part of 23-member seripauperin multigene family encoded mainly in subtelomeric regions, active during alcoholic fermentation, regulated by anaerobiosis, negatively regulated by oxygen, repressed by heme  Hypothetical protein  Cell wall mannoprotein with similarity to Tir1p, Tir2p, Tir3p, and Tir4p, expressed under anaerobic conditions, completely repressed during aerobic growth  Hypothetical protein  Hypothetical protein identified by homology. See FEBS Letters [2000] 487:31-36.</t>
  </si>
  <si>
    <t>YBL107C</t>
  </si>
  <si>
    <t>YBL106C</t>
  </si>
  <si>
    <t>SRO77</t>
  </si>
  <si>
    <t>Protein with roles in exocytosis and cation homeostasis, functions in docking and fusion of post-Golgi vesicles with plasma membrane, homolog of Sro7p and Drosophila lethal giant larvae tumor suppressor, interacts with SNARE protein Sec9p</t>
  </si>
  <si>
    <t>YBL105C</t>
  </si>
  <si>
    <t>PKC1</t>
  </si>
  <si>
    <t>Protein serinethreonine kinase essential for cell wall remodeling during growth, localized to sites of polarized growth and the mother-daughter bud neck, homolog of the alpha, beta, and gamma isoforms of mammalian protein kinase C (PKC)</t>
  </si>
  <si>
    <t>YBL104C</t>
  </si>
  <si>
    <t>YBL103C</t>
  </si>
  <si>
    <t>RTG3</t>
  </si>
  <si>
    <t>Basic helix-loop-helix-leucine zipper (bHLHZip) transcription factor that forms a complex with another bHLHZip protein, Rtg1p, to activate the retrograde (RTG) and TOR pathways</t>
  </si>
  <si>
    <t>YBL102W</t>
  </si>
  <si>
    <t>SFT2</t>
  </si>
  <si>
    <t>Non-essential tetra-spanning membrane protein found mostly in the late Golgi, can suppress some sed5 alleles, may be part of the transport machinery, but precise function is unknown, similar to mammalian syntaxin 5</t>
  </si>
  <si>
    <t>YBL101W-C</t>
  </si>
  <si>
    <t>YBL101W-B</t>
  </si>
  <si>
    <t>Essential protein involved in rRNA processing and ribosome biogenesis</t>
  </si>
  <si>
    <t>YCL030C</t>
  </si>
  <si>
    <t>HIS4</t>
  </si>
  <si>
    <t>Multifunctional enzyme containing phosphoribosyl-ATP pyrophosphatase, phosphoribosyl-AMP cyclohydrolase, and histidinol dehydrogenase activities, catalyzes the second, third, ninth and tenth steps in histidine biosynthesis</t>
  </si>
  <si>
    <t>YCL029C</t>
  </si>
  <si>
    <t>BIK1</t>
  </si>
  <si>
    <t>Microtubule-associated protein, component of the interface between microtubules and kinetochore, involved in sister chromatid separation, essential in polyploid cells but not in haploid or diploid cells, ortholog of mammalian CLIP-170</t>
  </si>
  <si>
    <t>YCL028W</t>
  </si>
  <si>
    <t>RNQ1</t>
  </si>
  <si>
    <t>[PIN(+)] prion, an infectious protein conformation that is generally an ordered protein aggregate</t>
  </si>
  <si>
    <t>YCL027W</t>
  </si>
  <si>
    <t>FUS1</t>
  </si>
  <si>
    <t>Membrane protein localized to the shmoo tip, required for cell fusion, expression regulated by mating pheromone, proposed to coordinate signaling, fusion, and polarization events required for fusion, potential Cdc28p substrate</t>
  </si>
  <si>
    <t>YCL026C-B</t>
  </si>
  <si>
    <t>YCL026C-A</t>
  </si>
  <si>
    <t>FRM2</t>
  </si>
  <si>
    <t>Protein of unknown function, involved in the integration of lipid signaling pathways with cellular homeostasis</t>
  </si>
  <si>
    <t>YCL025C</t>
  </si>
  <si>
    <t>AGP1</t>
  </si>
  <si>
    <t>Low-affinity amino acid permease with broad substrate range, involved in uptake of asparagine, glutamine, and other amino acids, expression is regulated by the SPS plasma membrane amino acid sensor system (Ssy1p-Ptr3p-Ssy5p)</t>
  </si>
  <si>
    <t>YCL024W</t>
  </si>
  <si>
    <t>KCC4</t>
  </si>
  <si>
    <t>Protein kinase of the bud neck involved in the septin checkpoint, associates with septin proteins, negatively regulates Swe1p by phosphorylation, shows structural homology to bud neck kinases Gin4p and Hsl1p</t>
  </si>
  <si>
    <t>YCL021W-A</t>
  </si>
  <si>
    <t>YCL018W</t>
  </si>
  <si>
    <t>LEU2</t>
  </si>
  <si>
    <t>Beta-isopropylmalate dehydrogenase, catalyzes the third step in the leucine biosynthesis pathway</t>
  </si>
  <si>
    <t>YCL017C</t>
  </si>
  <si>
    <t>NFS1</t>
  </si>
  <si>
    <t>Cysteine desulfurase involved in iron-sulfur cluster (FeS)biogenesis, required for the post-transcriptional thio-modification of mitochondrial and cytoplasmic tRNAs, essential protein located predominantly in mitochondria</t>
  </si>
  <si>
    <t>YCL016C</t>
  </si>
  <si>
    <t>DCC1</t>
  </si>
  <si>
    <t>Subunit of a complex with Ctf8p and Ctf18p that shares some components with Replication Factor C, required for sister chromatid cohesion</t>
  </si>
  <si>
    <t>YCL014W</t>
  </si>
  <si>
    <t>BUD3</t>
  </si>
  <si>
    <t>Protein involved in bud-site selection and required for axial budding pattern, localizes with septins to bud neck in mitosis and may constitute an axial landmark for next round of budding</t>
  </si>
  <si>
    <t>YCL012C</t>
  </si>
  <si>
    <t>Nonessential protein of unknown function, orthologs are present in S. bayanus, S. paradoxus and Ashbya gossypii.</t>
  </si>
  <si>
    <t>YCL011C</t>
  </si>
  <si>
    <t>GBP2</t>
  </si>
  <si>
    <t>Poly(A+) RNA-binding protein, involved in the export of mRNAs from the nucleus to the cytoplasm, similar to Hrb1p and Npl3p, also binds single-stranded telomeric repeat sequence in vitro</t>
  </si>
  <si>
    <t>YCL010C</t>
  </si>
  <si>
    <t>SGF29</t>
  </si>
  <si>
    <t>SaGa associated Factor 29kDa, Probable 29kKDa Subunit of SAGA histone acetyltransferase complex</t>
  </si>
  <si>
    <t>YCL009C</t>
  </si>
  <si>
    <t>ILV6</t>
  </si>
  <si>
    <t>Regulatory subunit of acetolactate synthase, which catalyzes the first step of branched-chain amino acid biosynthesis, enhances activity of the Ilv2p catalytic subunit, localizes to mitochondria</t>
  </si>
  <si>
    <t>YCL008C</t>
  </si>
  <si>
    <t>STP22</t>
  </si>
  <si>
    <t>Component of the ESCRT-I complex, which is involved in ubiquitin-dependent sorting of proteins into the endosome, homologous to the mouse and human Tsg101 tumor susceptibility gene, mutants exhibit a Class E Vps phenotype</t>
  </si>
  <si>
    <t>YCL005W-A</t>
  </si>
  <si>
    <t>VMA9</t>
  </si>
  <si>
    <t>Vacuolar H+ ATPase subunit e of the V0 (membrane) sector, essential for vacuolar acidification</t>
  </si>
  <si>
    <t>YCL005W</t>
  </si>
  <si>
    <t>SPP381</t>
  </si>
  <si>
    <t>Suppressor of Pre-mRNA Processing mutant, U4U6.U5-associated snRNP protein, contains a PEST proteolysis motif</t>
  </si>
  <si>
    <t>YBR151W</t>
  </si>
  <si>
    <t>APD1</t>
  </si>
  <si>
    <t>Protein of unknown function, required for normal localization of actin patches and for normal tolerance of sodium ions and hydrogen peroxide, localizes to both cytoplasm and nucleus</t>
  </si>
  <si>
    <t>YBR150C</t>
  </si>
  <si>
    <t>TBS1</t>
  </si>
  <si>
    <t>Probable Zn-finger protein</t>
  </si>
  <si>
    <t>YBR149W</t>
  </si>
  <si>
    <t>ARA1</t>
  </si>
  <si>
    <t>Large subunit of NADP+ dependent arabinose dehydrogenase, involved in carbohydrate metabolism, small subunit is unidentified</t>
  </si>
  <si>
    <t>YBR148W</t>
  </si>
  <si>
    <t>YSW1</t>
  </si>
  <si>
    <t>Protein expressed specifically in spores</t>
  </si>
  <si>
    <t>YBR147W</t>
  </si>
  <si>
    <t>YBR146W</t>
  </si>
  <si>
    <t>MRPS9</t>
  </si>
  <si>
    <t>YBR145W</t>
  </si>
  <si>
    <t>ADH5</t>
  </si>
  <si>
    <t>Alcohol dehydrogenase isoenzyme V, involved in ethanol production</t>
  </si>
  <si>
    <t>YBR143C</t>
  </si>
  <si>
    <t>SUP45</t>
  </si>
  <si>
    <t>Polypeptide release factor involved in translation termination, mutant form acts as a recessive omnipotent suppressor</t>
  </si>
  <si>
    <t>YBR142W</t>
  </si>
  <si>
    <t>MAK5</t>
  </si>
  <si>
    <t>Essential nucleolar protein, putative DEAD-box RNA helicase required for maintenance of M1 dsRNA virus, involved in biogenesis of large (60S) ribosomal subunits</t>
  </si>
  <si>
    <t>YBR141C</t>
  </si>
  <si>
    <t>YBR140C</t>
  </si>
  <si>
    <t>IRA1</t>
  </si>
  <si>
    <t>GTPase-activating protein that negatively regulates RAS by converting it from the GTP- to the GDP-bound inactive form, required for reducing cAMP levels under nutrient limiting conditions, mediates membrane association of adenylate cyclase</t>
  </si>
  <si>
    <t>YBR139W</t>
  </si>
  <si>
    <t>YBR138C</t>
  </si>
  <si>
    <t>Cytoplasmic protein of unknown function, potentially phosphorylated by Cdc28p</t>
  </si>
  <si>
    <t>YBR137W</t>
  </si>
  <si>
    <t>YBR136W</t>
  </si>
  <si>
    <t>MEC1</t>
  </si>
  <si>
    <t>Genome integrity checkpoint protein and PI kinase superfamily member, signal transducer required for cell cycle arrest and transcriptional responses prompted by damaged or unreplicated DNA, monitors and participates in meiotic recombination</t>
  </si>
  <si>
    <t>YBR135W</t>
  </si>
  <si>
    <t>CKS1</t>
  </si>
  <si>
    <t>Subunit of the Cdc28 protein kinase, required for mitotic proteolysis, may also be involved in the proteolysis of the G1 cyclins</t>
  </si>
  <si>
    <t>YBR133C</t>
  </si>
  <si>
    <t>HSL7</t>
  </si>
  <si>
    <t>Protein of unknown function, isolated as a high-copy suppressor of mutations in the histone fold domain (HFD) of CSE4</t>
  </si>
  <si>
    <t>YDL138W</t>
  </si>
  <si>
    <t>RGT2</t>
  </si>
  <si>
    <t>Plasma membrane glucose receptor, highly similar to Snf3p, both Rgt2p and Snf3p serve as transmembrane glucose sensors generating an intracellular signal that induces expression of glucose transporter (HXT) genes</t>
  </si>
  <si>
    <t>YDL137W</t>
  </si>
  <si>
    <t>ARF2</t>
  </si>
  <si>
    <t>ADP-ribosylation factor, GTPase of the Ras superfamily involved in regulation of coated formation vesicles in intracellular trafficking within the Golgi, functionally interchangeable with Arf1p</t>
  </si>
  <si>
    <t>YDL135C</t>
  </si>
  <si>
    <t>RDI1</t>
  </si>
  <si>
    <t>Rho GDP dissociation inhibitor involved in the localization and regulation of Cdc42p</t>
  </si>
  <si>
    <t>YDL134C</t>
  </si>
  <si>
    <t>PPH21</t>
  </si>
  <si>
    <t>Catalytic subunit of protein phosphatase 2A, functionally redundant with Pph22p, methylated at C terminus, forms alternate complexes with several regulatory subunits, involved in signal transduction and regulation of mitosis</t>
  </si>
  <si>
    <t>YDL133W</t>
  </si>
  <si>
    <t>YDL132W</t>
  </si>
  <si>
    <t>CDC53</t>
  </si>
  <si>
    <t>Cullin, structural protein of SCF complexes (which also contain Skp1p, Cdc34p, and an F-box protein) involved in ubiquitination, SCF promotes the G1-S transition by targeting G1 cyclins and the Cln-CDK inhibitor Sic1p for degradation</t>
  </si>
  <si>
    <t>YDL131W</t>
  </si>
  <si>
    <t>LYS21</t>
  </si>
  <si>
    <t>Homocitrate synthase isozyme, catalyzes the condensation of acetyl-CoA and alpha-ketoglutarate to form homocitrate, which is the first step in the lysine biosynthesis pathway, highly similar to the other isozyme, Lys20p</t>
  </si>
  <si>
    <t>YDL130W-A</t>
  </si>
  <si>
    <t>STF1</t>
  </si>
  <si>
    <t>YDL130W</t>
  </si>
  <si>
    <t>RPP1B</t>
  </si>
  <si>
    <t>Ribosomal protein P1 beta, component of the ribosomal stalk, which is involved in interaction of translational elongation factors with ribosome, accumulation is regulated by phosphorylation and interaction with the P2 stalk component</t>
  </si>
  <si>
    <t>YDL129W</t>
  </si>
  <si>
    <t>YDL128W</t>
  </si>
  <si>
    <t>VCX1</t>
  </si>
  <si>
    <t>Vacuolar H+Ca2+ exchanger involved in control of cytosolic Ca2+ concentration, has similarity to sodiumcalcium exchangers, including the bovine Na+Ca2+,K+ antiporter</t>
  </si>
  <si>
    <t>YDL127W</t>
  </si>
  <si>
    <t>PCL2</t>
  </si>
  <si>
    <t>G1 cyclin, associates with Pho85p cyclin-dependent kinase (Cdk) to contribute to entry into the mitotic cell cycle, essential for cell morphogenesis, localizes to sites of polarized cell growth</t>
  </si>
  <si>
    <t>YDL126C</t>
  </si>
  <si>
    <t>CDC48</t>
  </si>
  <si>
    <t>ATPase in ER, nuclear membrane and cytosol with homology to mammalian p97, in a complex with Npl4p and Ufd1p participates in retrotranslocation of ubiquitinated proteins from the ER into the cytosol for degradation by the proteasome</t>
  </si>
  <si>
    <t>YDL125C</t>
  </si>
  <si>
    <t>HNT1</t>
  </si>
  <si>
    <t>Adenosine 5-monophosphoramidase, interacts physically and genetically with Kin28p, a CDK and TFIIK subunit, and genetically with CAK1, member of the histidine triad (HIT) superfamily of nucleotide-binding proteins and similar to Hint</t>
  </si>
  <si>
    <t>YDL124W</t>
  </si>
  <si>
    <t>NADPH-dependent alpha-keto amide reductase, reduces aromatic alpha-keto amides, aliphatic alpha-keto esters, and aromatic alpha-keto esters</t>
  </si>
  <si>
    <t>YDL123W</t>
  </si>
  <si>
    <t>SNA4</t>
  </si>
  <si>
    <t>Protein of unknown function, localized to the vacuolar outer membrane</t>
  </si>
  <si>
    <t>YDL122W</t>
  </si>
  <si>
    <t>UBP1</t>
  </si>
  <si>
    <t>Ubiquitin-specific protease that removes ubiquitin from ubiquitinated proteins, cleaves at the C terminus of ubiquitin fusions irrespective of their size, capable of cleaving polyubiquitin chains</t>
  </si>
  <si>
    <t>YDL121C</t>
  </si>
  <si>
    <t>YDL120W</t>
  </si>
  <si>
    <t>YFH1</t>
  </si>
  <si>
    <t>Yeast Frataxin Homologue, mitochondrial protein that regulates mitochondrial iron accumulation</t>
  </si>
  <si>
    <t>YDL119C</t>
  </si>
  <si>
    <t>YDL117W</t>
  </si>
  <si>
    <t>CYK3</t>
  </si>
  <si>
    <t>SH3-domain protein located in the mother-bud neck and the cytokinetic actin ring, mutant phenotype and genetic interactions suggest a role in cytokinesis</t>
  </si>
  <si>
    <t>YDL116W</t>
  </si>
  <si>
    <t>NUP84</t>
  </si>
  <si>
    <t>Subunit of the nuclear pore complex (NPC), forms a subcomplex with Nup85p, Nup120p, Nup145p-C, Sec13p, and Seh1p that plays a role in nuclear mRNA export and NPC biogenesis</t>
  </si>
  <si>
    <t>YDL115C</t>
  </si>
  <si>
    <t>IWR1</t>
  </si>
  <si>
    <t>Protein of unknown function, deletion causes hypersensitivity to the K1 killer toxin</t>
  </si>
  <si>
    <t>YDL114W</t>
  </si>
  <si>
    <t>YDL113C</t>
  </si>
  <si>
    <t>ATG20</t>
  </si>
  <si>
    <t>Protein required for transport of aminopeptidase I (Lap4p) through the cytoplasm-to-vacuole targeting pathway, binds phosphatidylinositol-3-phosphate, involved in localization of membranes to the preautophagosome, potential Cdc28p substrate</t>
  </si>
  <si>
    <t>YDL112W</t>
  </si>
  <si>
    <t>TRM3</t>
  </si>
  <si>
    <t>2-O-ribose methyltransferase, catalyzes the ribose methylation of the guanosine nucleotide at position 18 of tRNAs</t>
  </si>
  <si>
    <t>YDL111C</t>
  </si>
  <si>
    <t>RRP42</t>
  </si>
  <si>
    <t>Protein involved in rRNA processing, component of the exosome 3-&gt;5 exonuclease complex with Rrp4p, Rrp41p, Rrp43p and Dis3p</t>
  </si>
  <si>
    <t>YDL110C</t>
  </si>
  <si>
    <t>YDL109C</t>
  </si>
  <si>
    <t>YDL108W</t>
  </si>
  <si>
    <t>KIN28</t>
  </si>
  <si>
    <t>Serinethreonine protein kinase, subunit of the transcription factor TFIIH, involved in transcription initiation at RNA polymerase II promoters</t>
  </si>
  <si>
    <t>YDL107W</t>
  </si>
  <si>
    <t>MSS2</t>
  </si>
  <si>
    <t>Peripherally bound inner membrane protein of the mitochondrial matrix, required for export of C-terminal tail of Cox2p through the inner membrane</t>
  </si>
  <si>
    <t>YDL106C</t>
  </si>
  <si>
    <t>PHO2</t>
  </si>
  <si>
    <t>Homeobox transcription factor, regulatory targets include genes involved in phosphate metabolism, binds cooperatively with Pho4p to the PHO5 promoter, phosphorylation of Pho2p facilitates interaction with Pho4p</t>
  </si>
  <si>
    <t>YDL105W</t>
  </si>
  <si>
    <t>NSE4</t>
  </si>
  <si>
    <t>Nuclear protein that plays a role in the function of the Smc5p-Rhc18p complex</t>
  </si>
  <si>
    <t>YDL104C</t>
  </si>
  <si>
    <t>QRI7</t>
  </si>
  <si>
    <t>Putative metalloprotease, similar to O-sialoglycoprotein metallopeptidase from P. haemolytica</t>
  </si>
  <si>
    <t>YDL103C</t>
  </si>
  <si>
    <t>QRI1</t>
  </si>
  <si>
    <t>UDP-N-acetylglucosamine pyrophosphorylase, catalyzes the formation of UDP-N-acetylglucosamine (UDP-GlcNAc), which is important in cell wall biosynthesis, protein N-glycosylation, and GPI anchor biosynthesis</t>
  </si>
  <si>
    <t>YDL102W</t>
  </si>
  <si>
    <t>CDC2</t>
  </si>
  <si>
    <t>Catalytic subunit of DNA polymerase delta, required for chromosomal DNA replication during mitosis and meiosis, intragenic recombination, repair of double strand DNA breaks, and DNA replication during nucleotide excision repair (NER)</t>
  </si>
  <si>
    <t>YDL101C</t>
  </si>
  <si>
    <t>DUN1</t>
  </si>
  <si>
    <t>Cell-cycle checkpoint serine-threonine kinase required for DNA damage-induced transcription of certain target genes, phosphorylation of Rad55p and Sml1p, and transient G2M arrest after DNA damage, also regulates postreplicative DNA repair</t>
  </si>
  <si>
    <t>YDL100C</t>
  </si>
  <si>
    <t>ARR4</t>
  </si>
  <si>
    <t>ATPase, involved in resistance to heat and metal stress, active as a dimer, normally localized to the cytosol, but appears to localize to late endosomes under stress conditions</t>
  </si>
  <si>
    <t>YDL099W</t>
  </si>
  <si>
    <t>YDL098C</t>
  </si>
  <si>
    <t>SNU23</t>
  </si>
  <si>
    <t>YCL004W</t>
  </si>
  <si>
    <t>PGS1</t>
  </si>
  <si>
    <t>Phosphatidylglycerolphosphate synthase, catalyzes the synthesis of phosphatidylglycerolphosphate from CDP-diacylglycerol and sn-glycerol 3-phosphate in the first committed and rate-limiting step of cardiolipin biosynthesis</t>
  </si>
  <si>
    <t>YCL002C</t>
  </si>
  <si>
    <t>YCL001W-B</t>
  </si>
  <si>
    <t>YCL001W-A</t>
  </si>
  <si>
    <t>YCL001W</t>
  </si>
  <si>
    <t>RER1</t>
  </si>
  <si>
    <t>Protein involved in retention of membrane proteins, including Sec12p, in the ER, localized to Golgi, functions as a retrieval receptor in returning membrane proteins to the ER</t>
  </si>
  <si>
    <t>YBR302C</t>
  </si>
  <si>
    <t>Protein involved in salt resistance, interacts with sodium:hydrogen antiporter Nha1p, member of a family of conserved, often subtelomerically-encoded proteins  Protein of unknown function, member of a family of conserved, often subtelomerically-encoded proteins</t>
  </si>
  <si>
    <t>YBR301W</t>
  </si>
  <si>
    <t>YBR299W</t>
  </si>
  <si>
    <t>Maltase (alpha-D-glucosidase), inducible protein involved in maltose catabolism, encoded in the MAL1 complex locus  Maltase (alpha-D-glucosidase), inducible protein involved in maltose catabolism, encoded in the MAL3 complex locus, functional in genomic reference strain S288C</t>
  </si>
  <si>
    <t>YBR298C-A</t>
  </si>
  <si>
    <t>YBR298C</t>
  </si>
  <si>
    <t>MAL31</t>
  </si>
  <si>
    <t>Maltose permease, high-affinity maltose transporter (alpha-glucoside transporter), encoded in the MAL3 complex locus, member of the 12 transmembrane domain superfamily of sugar transporters, functional in genomic reference strain S288C</t>
  </si>
  <si>
    <t>YBR297W</t>
  </si>
  <si>
    <t>MAL33</t>
  </si>
  <si>
    <t>MAL-activator protein, part of complex locus MAL3, nonfunctional in genomic reference strain S288C</t>
  </si>
  <si>
    <t>YBR296C-A</t>
  </si>
  <si>
    <t>YBR296C</t>
  </si>
  <si>
    <t>PHO89</t>
  </si>
  <si>
    <t>Na+Pi cotransporter, active in early growth phase, similar to phosphate transporters of Neurospora crassa, transcription regulated by inorganic phosphate concentrations and Pho4p</t>
  </si>
  <si>
    <t>YBR295W</t>
  </si>
  <si>
    <t>PCA1</t>
  </si>
  <si>
    <t>P-type metal-transporting ATPase with a role in copper and iron homeostasis, R970G-substitution in the C-terminal region confers cadmium resistance</t>
  </si>
  <si>
    <t>YBR294W</t>
  </si>
  <si>
    <t>SUL1</t>
  </si>
  <si>
    <t>YBR293W</t>
  </si>
  <si>
    <t>VBA2</t>
  </si>
  <si>
    <t>YBR291C</t>
  </si>
  <si>
    <t>CTP1</t>
  </si>
  <si>
    <t>Mitochondrial inner membrane citrate transporter, member of the mitochondrial carrier family</t>
  </si>
  <si>
    <t>YBR290W</t>
  </si>
  <si>
    <t>BSD2</t>
  </si>
  <si>
    <t>Heavy metal ion homeostasis protein, facilitates trafficking of Smf1p and Smf2p metal transporters to the vacuole where they are degraded, controls metal ion transport, prevents metal hyperaccumulation, functions in copper detoxification</t>
  </si>
  <si>
    <t>YBR289W</t>
  </si>
  <si>
    <t>SNF5</t>
  </si>
  <si>
    <t>One of 11 subunits of the SWISNF chromatin remodeling complex involved in transcriptional regulation, functions interdependently in transcriptional activation with Snf2p and Snf6p</t>
  </si>
  <si>
    <t>YBR288C</t>
  </si>
  <si>
    <t>APM3</t>
  </si>
  <si>
    <t>Mu3-like subunit of the clathrin associated protein complex (AP-3), functions in transport of alkaline phosphatase to the vacuole via the alternate pathway</t>
  </si>
  <si>
    <t>YBR287W</t>
  </si>
  <si>
    <t>Protein of unknown function, mutation results in a zinc sensitive phenotype</t>
  </si>
  <si>
    <t>YBR286W</t>
  </si>
  <si>
    <t>APE3</t>
  </si>
  <si>
    <t>Vacuolar aminopeptidase Y, processed to mature form by Prb1p</t>
  </si>
  <si>
    <t>YBR285W</t>
  </si>
  <si>
    <t>YBR284W</t>
  </si>
  <si>
    <t>YBR283C</t>
  </si>
  <si>
    <t>SSH1</t>
  </si>
  <si>
    <t>Subunit of the Ssh1 translocon complex, Sec61p homolog involved in co-translational pathway of protein translocation, not essential</t>
  </si>
  <si>
    <t>YBR282W</t>
  </si>
  <si>
    <t>MRPL27</t>
  </si>
  <si>
    <t>YBR281C</t>
  </si>
  <si>
    <t>YBR280C</t>
  </si>
  <si>
    <t>YBR279W</t>
  </si>
  <si>
    <t>PAF1</t>
  </si>
  <si>
    <t>RNA polymerase II-associated protein, defines a large complex that is biochemically and functionally distinct from the Srb-Mediator form of Pol II holoenzyme and is required for full expression of a subset of cell cycle-regulated genes</t>
  </si>
  <si>
    <t>YBR278W</t>
  </si>
  <si>
    <t>DPB3</t>
  </si>
  <si>
    <t>Third-largest subunit of DNA polymerase II (DNA polymerase epsilon), required to maintain fidelity of chromosomal replication and also for inheritance of telomeric silencing, mRNA abundance peaks at the G1S boundary of the cell cycle</t>
  </si>
  <si>
    <t>YBR276C</t>
  </si>
  <si>
    <t>PPS1</t>
  </si>
  <si>
    <t>Protein phosphatase with specificity for serine, threonine, and tyrosine residues, has a role in the DNA synthesis phase of the cell cycle</t>
  </si>
  <si>
    <t>YBR275C</t>
  </si>
  <si>
    <t>RIF1</t>
  </si>
  <si>
    <t>Pyruvate carboxylase isoform, cytoplasmic enzyme that converts pyruvate to oxaloacetate, highly similar to isoform Pyc1p but differentially regulated, mutations in the human homolog are associated with lactic acidosis</t>
  </si>
  <si>
    <t>YBR217W</t>
  </si>
  <si>
    <t>ATG12</t>
  </si>
  <si>
    <t>Protein that becomes conjugated to Atg5p by the E1 enzyme Atg7p, a step that is essential for autophagy</t>
  </si>
  <si>
    <t>YBR216C</t>
  </si>
  <si>
    <t>YBP1</t>
  </si>
  <si>
    <t>Protein required for oxidation of specific cysteine residues of the transcription factor Yap1p, resulting in the nuclear localization of Yap1p in response to stress</t>
  </si>
  <si>
    <t>YBR215W</t>
  </si>
  <si>
    <t>HPC2</t>
  </si>
  <si>
    <t>Highly charged, basic protein required for normal cell-cycle regulation of histone gene transcription, mutants display strong synthetic defects with subunits of FACT, a complex that allows RNA Pol II to elongate through nucleosomes</t>
  </si>
  <si>
    <t>YBR214W</t>
  </si>
  <si>
    <t>SDS24</t>
  </si>
  <si>
    <t>One of two S. cerevisiae homologs (Sds23p and Sds24p) of the Schizosaccharomyces pombe Sds23 protein, which genetic studies have implicated in APCcyclosome regulation, may play an indirect role in fluid-phase endocytosis</t>
  </si>
  <si>
    <t>YBR213W</t>
  </si>
  <si>
    <t>MET8</t>
  </si>
  <si>
    <t>Bifunctional dehydrogenase and ferrochelatase, involved in the biosynthesis of siroheme, also involved in the expression of PAPS reductase and sulfite reductase</t>
  </si>
  <si>
    <t>YBR212W</t>
  </si>
  <si>
    <t>NGR1</t>
  </si>
  <si>
    <t>RNA binding protein that negatively regulates growth rate, interacts with the 3 UTR of the mitochondrial porin (POR1) mRNA and enhances its degradation, overexpression impairs mitochondrial function, expressed in stationary phase</t>
  </si>
  <si>
    <t>YBR211C</t>
  </si>
  <si>
    <t>AME1</t>
  </si>
  <si>
    <t>Essential kinetochore protein associated with microtubules and spindle pole bodies, subunit of the COMA complex</t>
  </si>
  <si>
    <t>YBR210W</t>
  </si>
  <si>
    <t>ERV15</t>
  </si>
  <si>
    <t>Protein of unknown function, has similarity to Erv14p</t>
  </si>
  <si>
    <t>YBR208C</t>
  </si>
  <si>
    <t>DUR1,2</t>
  </si>
  <si>
    <t>Urea amidolyase, contains both urea carboxylase and allophanate hydrolase activities, degrades urea to CO2 and NH3, expression sensitive to nitrogen catabolite repression and induced by allophanate, an intermediate in allantoin degradation</t>
  </si>
  <si>
    <t>YBR207W</t>
  </si>
  <si>
    <t>FTH1</t>
  </si>
  <si>
    <t>Putative high affinity iron transporter involved in transport of intravacuolar stores of iron, forms complex with Fet5p, expression is regulated by iron, proposed to play indirect role in endocytosis</t>
  </si>
  <si>
    <t>YBR205W</t>
  </si>
  <si>
    <t>KTR3</t>
  </si>
  <si>
    <t>Putative alpha-1,2-mannosyltransferase involved in O- and N-linked protein glycosylation, member of the KRE2MNT1 mannosyltransferase family</t>
  </si>
  <si>
    <t>YBR204C</t>
  </si>
  <si>
    <t>YBR203W</t>
  </si>
  <si>
    <t>COS111</t>
  </si>
  <si>
    <t>Protein required for wild-type resistance to the antifungal drug ciclopirox olamine, not related to the COS family of subtelomerically-encoded proteins</t>
  </si>
  <si>
    <t>YBR202W</t>
  </si>
  <si>
    <t>CDC47</t>
  </si>
  <si>
    <t>YBR201W</t>
  </si>
  <si>
    <t>DER1</t>
  </si>
  <si>
    <t>Endoplasmic reticulum membrane protein, required for ER-associated protein degradation, involved in the retrograde transport of misfolded or unassembled proteins, N- and C- termini protrude into the cytoplasm, has similarity to Dfm1p</t>
  </si>
  <si>
    <t>YBR200W-A</t>
  </si>
  <si>
    <t>YBR200W</t>
  </si>
  <si>
    <t>BEM1</t>
  </si>
  <si>
    <t>Protein containing SH3-domains, involved in establishing cell polarity and morphogenesis, functions as a scaffold protein for complexes that include Cdc24p, Ste5p, Ste20p, and Rsr1p</t>
  </si>
  <si>
    <t>YBR199W</t>
  </si>
  <si>
    <t>KTR4</t>
  </si>
  <si>
    <t>YBR198C</t>
  </si>
  <si>
    <t>TAF5</t>
  </si>
  <si>
    <t>Subunit (90 kDa) of TFIID and SAGA complexes, involved in RNA polymerase II transcription initiation and in chromatin modification</t>
  </si>
  <si>
    <t>YBR197C</t>
  </si>
  <si>
    <t>YBR196C-B</t>
  </si>
  <si>
    <t>YBR196C-A</t>
  </si>
  <si>
    <t>YBR196C</t>
  </si>
  <si>
    <t>PGI1</t>
  </si>
  <si>
    <t>Glycolytic enzyme phosphoglucose isomerase, catalyzes the interconversion of glucose-6-phosphate and fructose-6-phosphate, required for cell cycle progression and completion of the gluconeogenic events of sporulation</t>
  </si>
  <si>
    <t>YBR195C</t>
  </si>
  <si>
    <t>MSI1</t>
  </si>
  <si>
    <t>Subunit of chromatin assembly factor I (CAF-I), regulates the RAScAMP pathway via sequestration of Npr1p kinase, localizes to the nucleus and cytoplasm, homologous to human retinoblastoma binding proteins RbAp48 and RbAp46</t>
  </si>
  <si>
    <t>YBR194W</t>
  </si>
  <si>
    <t>Protein proposed to be associated with the nuclear pore complex</t>
  </si>
  <si>
    <t>YBR193C</t>
  </si>
  <si>
    <t>MED8</t>
  </si>
  <si>
    <t>YBR192W</t>
  </si>
  <si>
    <t>RIM2</t>
  </si>
  <si>
    <t>Protein required for respiration, member of the mitochondrial carrier family</t>
  </si>
  <si>
    <t>YBR191W</t>
  </si>
  <si>
    <t>YBR189W</t>
  </si>
  <si>
    <t>RPS9B</t>
  </si>
  <si>
    <t>Protein component of the small (40S) ribosomal subunit, nearly identical to Rps9Bp and has similarity to E. coli S4 and rat S9 ribosomal proteins</t>
  </si>
  <si>
    <t>YBR188C</t>
  </si>
  <si>
    <t>NTC20</t>
  </si>
  <si>
    <t>Member of a complex, including Prp19p, that binds to the spliceosome, required for pre-mRNA splicing</t>
  </si>
  <si>
    <t>YBR187W</t>
  </si>
  <si>
    <t>YBR186W</t>
  </si>
  <si>
    <t>PCH2</t>
  </si>
  <si>
    <t>Nucleolar component of the pachytene checkpoint, which prevents chromosome segregation when recombination and chromosome synapsis are defective, also represses meiotic interhomolog recombination in the rDNA</t>
  </si>
  <si>
    <t>YBR185C</t>
  </si>
  <si>
    <t>MBA1</t>
  </si>
  <si>
    <t>Protein involved in assembly of mitochondrial respiratory complexes, may act as a receptor for proteins destined for export from the mitochondrial matrix to the inner membrane</t>
  </si>
  <si>
    <t>YBR184W</t>
  </si>
  <si>
    <t>YBR183W</t>
  </si>
  <si>
    <t>YPC1</t>
  </si>
  <si>
    <t>Alkaline ceramidase that also has reverse (CoA-independent) ceramide synthase activity, catalyzes both breakdown and synthesis of phytoceramide, overexpression confers fumonisin B1 resistance</t>
  </si>
  <si>
    <t>YBR182C-A</t>
  </si>
  <si>
    <t>YBR182C</t>
  </si>
  <si>
    <t>SMP1</t>
  </si>
  <si>
    <t>Putative transcription factor involved in regulating the response to osmotic stress, member of the MADS-box family of transcription factors</t>
  </si>
  <si>
    <t>YBR181C</t>
  </si>
  <si>
    <t>Protein component of the small (40S) ribosomal subunit, identical to Rps6Bp and has similarity to rat S6 ribosomal protein  Protein component of the small (40S) ribosomal subunit, identical to Rps6Ap and has similarity to rat S6 ribosomal protein</t>
  </si>
  <si>
    <t>YBR180W</t>
  </si>
  <si>
    <t>DTR1</t>
  </si>
  <si>
    <t>Multidrug resistance dityrosine transporter of the major facilitator superfamily, essential for spore wall synthesis, facilitates the translocation of bisformyl dityrosine through the prospore membrane</t>
  </si>
  <si>
    <t>YBR179C</t>
  </si>
  <si>
    <t>FZO1</t>
  </si>
  <si>
    <t>Mitochondrial integral membrane protein involved in mitochondrial fusion and maintenance of the mitochondrial genome, contains N-terminal GTPase domain</t>
  </si>
  <si>
    <t>YBR177C</t>
  </si>
  <si>
    <t>EHT1</t>
  </si>
  <si>
    <t>Possible serine hydrolase, may be involved in lipid metabolism, null mutant slightly temperature sensitive at 37C</t>
  </si>
  <si>
    <t>YBR176W</t>
  </si>
  <si>
    <t>ECM31</t>
  </si>
  <si>
    <t>Protein arginine N-methyltransferase that exhibits septin and Hsl1p-dependent bud neck localization and periodic Hsl1p-dependent phosphorylation, required along with Hsl1p for bud neck recruitment, phosphorylation, and degradation of Swe1p</t>
  </si>
  <si>
    <t>YBR132C</t>
  </si>
  <si>
    <t>AGP2</t>
  </si>
  <si>
    <t>High affinity polyamine permease, preferentially uses spermidine over putrescine, expression is down-regulated by osmotic stress, plasma membrane carnitine transporter, also functions as a low-affinity amino acid permease</t>
  </si>
  <si>
    <t>YBR131W</t>
  </si>
  <si>
    <t>CCZ1</t>
  </si>
  <si>
    <t>Protein involved in vacuolar assembly, essential for autophagy and the cytoplasm-to-vacuole pathway</t>
  </si>
  <si>
    <t>YBR130C</t>
  </si>
  <si>
    <t>SHE3</t>
  </si>
  <si>
    <t>Protein that acts as an adaptor between Myo4p and the She2p-mRNA complex, part of the mRNA localization machinery that restricts accumulation of certain proteins to the bud, also required for cortical ER inheritance</t>
  </si>
  <si>
    <t>YBR129C</t>
  </si>
  <si>
    <t>OPY1</t>
  </si>
  <si>
    <t>YBR128C</t>
  </si>
  <si>
    <t>ATG14</t>
  </si>
  <si>
    <t>Subunit of an autophagy-specific phosphatidylinositol 3-kinase complex (with Vps34p, Vps15p, and Vps30p) required for organization of a pre-autophagosomal structure, ATG14 transcription is activated by Gln3p during nitrogen starvation</t>
  </si>
  <si>
    <t>YBR127C</t>
  </si>
  <si>
    <t>VMA2</t>
  </si>
  <si>
    <t>Subunit B of the eight-subunit V1 peripheral membrane domain of the vacuolar H+-ATPase (V-ATPase), an electrogenic proton pump found throughout the endomembrane system, contains nucleotide binding sites, also detected in the cytoplasm</t>
  </si>
  <si>
    <t>YBR126C</t>
  </si>
  <si>
    <t>TPS1</t>
  </si>
  <si>
    <t>Synthase subunit of trehalose-6-phosphate synthasephosphatase complex, which synthesizes the storage carbohydrate trehalose, also found in a monomeric form, expression is induced by the stress response and repressed by the Ras-cAMP pathway</t>
  </si>
  <si>
    <t>YBR125C</t>
  </si>
  <si>
    <t>PTC4</t>
  </si>
  <si>
    <t>Cytoplasmic type 2C protein phosphatase, identified as a high-copy number suppressor of the synthetic lethality of a cnb1 mpk1 double deletion, overexpression decreases high-osmolarity induced Hog1p phosphorylation and kinase activity</t>
  </si>
  <si>
    <t>YBR123C</t>
  </si>
  <si>
    <t>TFC1</t>
  </si>
  <si>
    <t>One of six subunits of the RNA polymerase III transcription initiation factor complex (TFIIIC), part of the TauA globular domain of TFIIIC that binds DNA at the BoxA promoter sites of tRNA and similar genes, human homolog is TFIIIC-63</t>
  </si>
  <si>
    <t>YBR122C</t>
  </si>
  <si>
    <t>MRPL36</t>
  </si>
  <si>
    <t>Mitochondrial ribosomal protein of the large subunit, overproduction suppresses mutations in the COX2 leader peptide-encoding region</t>
  </si>
  <si>
    <t>YBR121C</t>
  </si>
  <si>
    <t>GRS1</t>
  </si>
  <si>
    <t>Cytoplasmic and mitochondrial glycyl-tRNA synthase that ligates glycine to the cognate anticodon bearing tRNA, transcription termination factor that may interact with the 3-end of pre-mRNA to promote 3-end formation</t>
  </si>
  <si>
    <t>YBR120C</t>
  </si>
  <si>
    <t>CBP6</t>
  </si>
  <si>
    <t>Translational activator of COB mRNA</t>
  </si>
  <si>
    <t>YBR119W</t>
  </si>
  <si>
    <t>MUD1</t>
  </si>
  <si>
    <t>U1 snRNP A protein, homolog of human U1-A, involved in nuclear mRNA splicing</t>
  </si>
  <si>
    <t>YBR118W</t>
  </si>
  <si>
    <t>Translational elongation factor EF-1 alpha, also encoded by TEF2  Translational elongation factor EF-1 alpha, also encoded by TEF1</t>
  </si>
  <si>
    <t>YBR117C</t>
  </si>
  <si>
    <t>TKL2</t>
  </si>
  <si>
    <t>Transketolase, similar to Tkl1p, catalyzes conversion of xylulose-5-phosphate and ribose-5-phosphate to sedoheptulose-7-phosphate and glyceraldehyde-3-phosphate in the pentose phosphate pathway, needed for synthesis of aromatic amino acids</t>
  </si>
  <si>
    <t>YBR115C</t>
  </si>
  <si>
    <t>LYS2</t>
  </si>
  <si>
    <t>Alpha aminoadipate reductase, catalyzes the reduction of alpha-aminoadipate to alpha-aminoadipate 6-semialdehyde, which is the fifth step in biosynthesis of lysine, activation requires posttranslational phosphopantetheinylation by Lys5p</t>
  </si>
  <si>
    <t>YBR114W</t>
  </si>
  <si>
    <t>RAD16</t>
  </si>
  <si>
    <t>Protein that recognizes and binds damaged DNA in an ATP-dependent manner (with Rad7p) during nucleotide excision repair, subunit of Nucleotide Excision Repair Factor 4 (NEF4), member of the SWISNF family</t>
  </si>
  <si>
    <t>YBR112C</t>
  </si>
  <si>
    <t>CYC8</t>
  </si>
  <si>
    <t>General transcriptional co-repressor, acts together with Tup1p, also acts as part of a transcriptional co-activator complex that recruits the SWISNF and SAGA complexes to promoters</t>
  </si>
  <si>
    <t>YBR111W-A</t>
  </si>
  <si>
    <t>SUS1</t>
  </si>
  <si>
    <t>Protein involved in mRNA export coupled transcription activation, component of the SAGA histone acetylase complex</t>
  </si>
  <si>
    <t>YBR111C</t>
  </si>
  <si>
    <t>YSA1</t>
  </si>
  <si>
    <t>Nudix hydrolase family member with ADP-ribose pyrophosphatase activity</t>
  </si>
  <si>
    <t>YBR110W</t>
  </si>
  <si>
    <t>ALG1</t>
  </si>
  <si>
    <t>Mannosyltransferase, involved in asparagine-linked glycosylation in the endoplasmic reticulum (ER), essential for viability, mutation is functionally complemented by human ortholog</t>
  </si>
  <si>
    <t>YBR109C</t>
  </si>
  <si>
    <t>CMD1</t>
  </si>
  <si>
    <t>Calmodulin, Ca++ binding protein that regulates Ca++ independent processes (mitosis, bud growth, actin organization, endocytosis, etc.) and Ca++ dependent processes (stress-activated pathways), targets include Nuf1p, Myo2p and calcineurin</t>
  </si>
  <si>
    <t>YBR108W</t>
  </si>
  <si>
    <t>Protein interacting with Rsv167p</t>
  </si>
  <si>
    <t>YBR107C</t>
  </si>
  <si>
    <t>IML3</t>
  </si>
  <si>
    <t>Protein with a role in kinetochore function, localizes to the outer kinetochore in a Ctf19p-dependent manner, interacts with Chl4p and Ctf19p</t>
  </si>
  <si>
    <t>YBR106W</t>
  </si>
  <si>
    <t>PHO88</t>
  </si>
  <si>
    <t>Probable membrane protein, involved in phosphate transport, pho88 pho86 double null mutant exhibits enhanced synthesis of repressible acid phosphatase at high inorganic phosphate concentrations</t>
  </si>
  <si>
    <t>YBR105C</t>
  </si>
  <si>
    <t>VID24</t>
  </si>
  <si>
    <t>Peripheral membrane protein located at Vid (vacuole import and degradation) vesicles, regulates fructose-1,6-bisphosphatase (FBPase) targeting to the vacuole, involved in proteasome-dependent catabolite degradation of FBPase</t>
  </si>
  <si>
    <t>YBR104W</t>
  </si>
  <si>
    <t>YMC2</t>
  </si>
  <si>
    <t>YBR103W</t>
  </si>
  <si>
    <t>SIF2</t>
  </si>
  <si>
    <t>WD40 repeat-containing subunit of the Set3C histone deacetylase complex, which represses earlymiddle sporulation genes, antagonizes telomeric silencing, binds specifically to the Sir4p N-terminus</t>
  </si>
  <si>
    <t>YBR102C</t>
  </si>
  <si>
    <t>EXO84</t>
  </si>
  <si>
    <t>Essential protein with dual roles in spliceosome assembly and exocytosis, the exocyst complex (Sec3p, Sec5p, Sec6p, Sec8p, Sec10p, Sec15p, Exo70p, and Exo84p) mediates polarized targeting of secretory vesicles to active sites of exocytosis</t>
  </si>
  <si>
    <t>YBR101C</t>
  </si>
  <si>
    <t>FES1</t>
  </si>
  <si>
    <t>1-acyl-sn-gylcerol-3-phosphate acyltransferase, catalyzes the acylation of lysophosphatidic acid to form phosphatidic acid, a key intermediate in lipid metabolism, located in lipid particles and endoplasmic reticulum</t>
  </si>
  <si>
    <t>YDL051W</t>
  </si>
  <si>
    <t>LHP1</t>
  </si>
  <si>
    <t>RNA binding protein required for maturation of tRNA and snRNA precursors, acts as a molecular chaperone for RNAs transcribed by polymerase III, homologous to human La (SS-B) autoantigen</t>
  </si>
  <si>
    <t>YDL049C</t>
  </si>
  <si>
    <t>KNH1</t>
  </si>
  <si>
    <t xml:space="preserve">Protein with similarity to Kre9p, which is involved in cell wall beta 1,6-glucan synthesis, overproduction suppresses growth defects of a kre9 null mutant </t>
  </si>
  <si>
    <t>YDL048C</t>
  </si>
  <si>
    <t>STP4</t>
  </si>
  <si>
    <t>Protein involved in pre-tRNA splicing and in uptake of branched-chain amino acids</t>
  </si>
  <si>
    <t>YDL047W</t>
  </si>
  <si>
    <t>SIT4</t>
  </si>
  <si>
    <t>Type 2A-related serine-threonine phosphatase that functions in the G1S transition of the mitotic cycle, cytoplasmic and nuclear protein that modulates functions mediated by Pkc1p including cell wall and actin cytoskeleton organization</t>
  </si>
  <si>
    <t>YDL046W</t>
  </si>
  <si>
    <t>Putative homolog of human NPC2He1, which is a cholesterol-binding protein whose deficiency causes Niemann-Pick type C2 disease involving retention of cholesterol in lysosomes</t>
  </si>
  <si>
    <t>YDL045W-A</t>
  </si>
  <si>
    <t>MRP10</t>
  </si>
  <si>
    <t>YDL045C</t>
  </si>
  <si>
    <t>YBR092C</t>
  </si>
  <si>
    <t>PHO3</t>
  </si>
  <si>
    <t>Constitutively expressed acid phosphatase similar to Pho5p, brought to the cell surface by transport vesicles, hydrolyzes thiamin phosphates in the periplasmic space, increasing cellular thiamin uptake, expression is repressed by thiamin</t>
  </si>
  <si>
    <t>YBR091C</t>
  </si>
  <si>
    <t>MRS5</t>
  </si>
  <si>
    <t>Essential protein of the inner mitochondrial membrane, peripherally localized, component of the TIM22 complex, which is a twin-pore translocase that mediates insertion of numerous multispanning inner membrane proteins</t>
  </si>
  <si>
    <t>YBR090C</t>
  </si>
  <si>
    <t>NHP6B</t>
  </si>
  <si>
    <t>High-mobility group non-histone chromatin protein, functionally redundant with Nhp6Ap, homologous to mammalian high mobility group proteins 1 and 2, acts to recruit transcription factor Rcs1p to certain promoters  Hypothetical protein</t>
  </si>
  <si>
    <t>YBR089C-A</t>
  </si>
  <si>
    <t>YBR088C</t>
  </si>
  <si>
    <t>POL30</t>
  </si>
  <si>
    <t>Proliferating cell nuclear antigen (PCNA), functions as the sliding clamp for DNA polymerase delta, may function as a docking site for other proteins required for mitotic and meiotic chromosomal DNA replication and for DNA repair</t>
  </si>
  <si>
    <t>YBR087W</t>
  </si>
  <si>
    <t>RFC5</t>
  </si>
  <si>
    <t>YBR086C</t>
  </si>
  <si>
    <t>IST2</t>
  </si>
  <si>
    <t>Plasma membrane protein that may be involved in osmotolerance, localizes to the mother cell in small-budded cells and to the bud in medium- and large-budded cells, mRNA is transported to the bud tip by an actomyosin-driven process</t>
  </si>
  <si>
    <t>YBR085W</t>
  </si>
  <si>
    <t>AAC3</t>
  </si>
  <si>
    <t>Mitochondrial inner membrane ADPATP translocator, exchanges cytosolic ADP for mitochondrially synthesized ATP, expressed under anaerobic conditions, similar to Pet9p and Aac1p, has roles in maintenance of viability and in respiration</t>
  </si>
  <si>
    <t>YBR085C-A</t>
  </si>
  <si>
    <t>YBR084W</t>
  </si>
  <si>
    <t>MIS1</t>
  </si>
  <si>
    <t>Mitochondrial C1-tetrahydrofolate synthase, involved in interconversion between different oxidation states of tetrahydrofolate (THF), provides activities of formyl-THF synthetase, methenyl-THF cyclohydrolase, and methylene-THF dehydrogenase</t>
  </si>
  <si>
    <t>YBR084C-A</t>
  </si>
  <si>
    <t>Protein component of the large (60S) ribosomal subunit, nearly identical to Rpl19Bp and has similarity to rat L19 ribosomal protein, rpl19a and rpl19b single null mutations result in slow growth, while the double null mutation is lethal  Protein component of the large (60S) ribosomal subunit, nearly identical to Rpl19Bp and has similarity to rat L19 ribosomal protein, rpl19a and rpl19b single null mutations result in slow growth, while the double null mutation is lethal</t>
  </si>
  <si>
    <t>YBR083W</t>
  </si>
  <si>
    <t>TEC1</t>
  </si>
  <si>
    <t>Transcription factor required for full Ty1 epxression, Ty1-mediated gene activation, and haploid invasive and diploid pseudohyphal growth, TEAATTS DNA-binding domain family member</t>
  </si>
  <si>
    <t>YBR082C</t>
  </si>
  <si>
    <t>UBC4</t>
  </si>
  <si>
    <t>Ubiquitin-conjugating enzyme that mediates degradation of short-lived and abnormal proteins, interacts with E3-CaM in ubiquitinating calmodulin, interacts with many SCF ubiquitin protein ligases, component of the cellular stress response</t>
  </si>
  <si>
    <t>YBR081C</t>
  </si>
  <si>
    <t>SPT7</t>
  </si>
  <si>
    <t>Subunit of the SAGA transcriptional regulatory complex, involved in proper assembly of the complex, also present as a C-terminally truncated form in the SLIKSALSA transcriptional regulatory complex</t>
  </si>
  <si>
    <t>YBR080C</t>
  </si>
  <si>
    <t>SEC18</t>
  </si>
  <si>
    <t>ATPase required for the release of Sec17p during the priming step in homotypic vacuole fusion and for ER to Golgi transport, homolog of the mammalian NSF</t>
  </si>
  <si>
    <t>YBR079C</t>
  </si>
  <si>
    <t>RPG1</t>
  </si>
  <si>
    <t>YBR078W</t>
  </si>
  <si>
    <t>ECM33</t>
  </si>
  <si>
    <t>GPI-anchored protein of unknown function, has a possible role in apical bud growth, GPI-anchoring on the plasma membrane crucial to function, similar to Sps2p and Pst1p</t>
  </si>
  <si>
    <t>YBR077C</t>
  </si>
  <si>
    <t>SLM4</t>
  </si>
  <si>
    <t>Component of the EGO complex, which is involved in the regulation of microautophagy, gene exhibits synthetic genetic interaction with MSS4 encoding phosphatidylinositol 4-phosphate kinase</t>
  </si>
  <si>
    <t>YBR076W</t>
  </si>
  <si>
    <t>ECM8</t>
  </si>
  <si>
    <t>YBR074W</t>
  </si>
  <si>
    <t>YBR073W</t>
  </si>
  <si>
    <t>RDH54</t>
  </si>
  <si>
    <t>DNA-dependent ATPase, stimulates strand exchange by modifying the topology of double-stranded DNA, involved in the recombinational repair of double-strand breaks in DNA during mitosis and meiosis, proposed to be involved in crossover interference</t>
  </si>
  <si>
    <t>YBR072W</t>
  </si>
  <si>
    <t>HSP26</t>
  </si>
  <si>
    <t>Small heat shock protein with chaperone activity that is regulated by a heat induced transition from an inactive oligomeric (24-mer) complex to an active dimer, induced by heat, upon entry into stationary phase, and during sporulation</t>
  </si>
  <si>
    <t>YBR072C-A</t>
  </si>
  <si>
    <t>YBR071W</t>
  </si>
  <si>
    <t>YBR070C</t>
  </si>
  <si>
    <t>ALG14</t>
  </si>
  <si>
    <t>YBR069C</t>
  </si>
  <si>
    <t>TAT1</t>
  </si>
  <si>
    <t>Amino acid transport protein for valine, leucine, isoleucine, and tyrosine, low-affinity tryptophan and histidine transporter, overexpression confers FK506 resistance</t>
  </si>
  <si>
    <t>YBR068C</t>
  </si>
  <si>
    <t>BAP2</t>
  </si>
  <si>
    <t>High-affinity leucine permease, functions as a branched-chain amino acid permease involved in the uptake of leucine, isoleucine and valine, contains 12 predicted transmembrane domains</t>
  </si>
  <si>
    <t>YBR067C</t>
  </si>
  <si>
    <t>TIP1</t>
  </si>
  <si>
    <t>Major cell wall mannoprotein with possible lipase activity, transcription is induced by heat- and cold-shock, member of the Srp1pTip1p family of serine-alanine-rich proteins</t>
  </si>
  <si>
    <t>YBR066C</t>
  </si>
  <si>
    <t>NRG2</t>
  </si>
  <si>
    <t>Transcriptional repressor that mediates glucose repression and negatively regulates filamentous growth, has similarity to Nrg1p</t>
  </si>
  <si>
    <t>YBR065C</t>
  </si>
  <si>
    <t>ECM2</t>
  </si>
  <si>
    <t>Pre-mRNA splicing factor, facilitates the cooperative formation of U2U6 helix II in association with stem II in the spliceosome, function may be regulated by Slu7p</t>
  </si>
  <si>
    <t>YBR063C</t>
  </si>
  <si>
    <t>YBR062C</t>
  </si>
  <si>
    <t>YBR061C</t>
  </si>
  <si>
    <t>TRM7</t>
  </si>
  <si>
    <t>2-O-ribose methyltransferase, methylates the 2-O-ribose of nucleotides at positions 32 and 34 of the tRNA anticodon loop</t>
  </si>
  <si>
    <t>YBR060C</t>
  </si>
  <si>
    <t>ORC2</t>
  </si>
  <si>
    <t>YBR059C</t>
  </si>
  <si>
    <t>AKL1</t>
  </si>
  <si>
    <t>Ser-Thr protein kinase, member (with Ark1p and Prk1p) of the Ark kinase family, involved in endocytosis and actin cytoskeleton organization</t>
  </si>
  <si>
    <t>YBR058C-A</t>
  </si>
  <si>
    <t>TSC3</t>
  </si>
  <si>
    <t>Protein that stimulates the activity of serine palmitoyltransferase (Lcb1p, Lcb2p) several-fold, involved in sphingolipid biosynthesis</t>
  </si>
  <si>
    <t>YBR058C</t>
  </si>
  <si>
    <t>Plasma membrane permease, mediates uptake of the phosphatidylinositol metabolite glycerophosphoinositol as a source of the nutrients inositol and phosphate, expression and transport rate are regulated by phosphate and inositol availability</t>
  </si>
  <si>
    <t>YCR097W</t>
  </si>
  <si>
    <t>HMRA1</t>
  </si>
  <si>
    <t>Silenced copy of A1, encoding a homeobox-domain containing corepressor that interacts with Alpha2p to repress haploid-specific gene transcription in diploid cells</t>
  </si>
  <si>
    <t>YCR096C</t>
  </si>
  <si>
    <t>Nuclear SAM-dependent mono- and asymmetric arginine dimethylating methyltransferase that modifies hnRNPs, including Npl3p and Hrp1p, thus facilitating nuclear export of these proteins, required for viability of npl3 mutants</t>
  </si>
  <si>
    <t>YBR033W</t>
  </si>
  <si>
    <t>YBR031W</t>
  </si>
  <si>
    <t>Protein component of the large (60S) ribosomal subunit, nearly identical to Rpl4Ap and has similarity to E. coli L4 and rat L4 ribosomal proteins  N-terminally acetylated protein component of the large (60S) ribosomal subunit, nearly identical to Rpl4Bp and has similarity to E. coli L4 and rat L4 ribosomal proteins</t>
  </si>
  <si>
    <t>YBR030W</t>
  </si>
  <si>
    <t>YBR029C</t>
  </si>
  <si>
    <t>CDS1</t>
  </si>
  <si>
    <t>Phosphatidate cytidylyltransferase (CDP-diglyceride synthetase), an enzyme that catalyzes that conversion of CTP + phosphate into diphosphate + CDP-diaclglyerol, a critical step in the synthesis of all major yeast phospholipids</t>
  </si>
  <si>
    <t>YBR028C</t>
  </si>
  <si>
    <t>YBR026C</t>
  </si>
  <si>
    <t>ETR1</t>
  </si>
  <si>
    <t>2-enoyl thioester reductase, member of the medium chain dehydrogenasereductase family, localized to in mitochondria, where it has a probable role in fatty acid synthesis</t>
  </si>
  <si>
    <t>YBR025C</t>
  </si>
  <si>
    <t>YBR024W</t>
  </si>
  <si>
    <t>SCO2</t>
  </si>
  <si>
    <t>Protein anchored to the mitochondrial inner membrane, similar to Sco1p and may have a redundant function with Sco1p in delivery of copper to cytochrome c oxidase, interacts with Cox2p</t>
  </si>
  <si>
    <t>YBR023C</t>
  </si>
  <si>
    <t>CHS3</t>
  </si>
  <si>
    <t>Chitin synthase III, catalyzes the transfer of N-acetylglucosamine (GlcNAc) to chitin, required for synthesis of the majority of cell wall chitin, the chitin ring during bud emergence, and spore wall chitosan</t>
  </si>
  <si>
    <t>YBR022W</t>
  </si>
  <si>
    <t>POA1</t>
  </si>
  <si>
    <t>Phosphatase that is highly specific for ADP-ribose 1-phosphate, a tRNA splicing metabolite, may have a role in regulation of tRNA splicing</t>
  </si>
  <si>
    <t>YBR021W</t>
  </si>
  <si>
    <t>FUR4</t>
  </si>
  <si>
    <t>Uracil permease, localized to the plasma membrane, expression is tightly regulated by uracil levels and environmental cues</t>
  </si>
  <si>
    <t>YBR020W</t>
  </si>
  <si>
    <t>GAL1</t>
  </si>
  <si>
    <t>Galactokinase, phosphorylates alpha-D-galactose to alpha-D-galactose-1-phosphate in the first step of galactose catabolism, expression regulated by Gal4p</t>
  </si>
  <si>
    <t>YBR019C</t>
  </si>
  <si>
    <t>GAL10</t>
  </si>
  <si>
    <t>UDP-glucose-4-epimerase, catalyzes the interconversion of UDP-galactose and UDP-D-glucose in galactose metabolism, also catalyzes the conversion of alpha-D-glucose or alpha-D-galactose to their beta-anomers</t>
  </si>
  <si>
    <t>YBR018C</t>
  </si>
  <si>
    <t>GAL7</t>
  </si>
  <si>
    <t>Galactose-1-phosphate uridyl transferase, synthesizes glucose-1-phosphate and UDP-galactose from UDP-D-glucose and alpha-D-galactose-1-phosphate in the second step of galactose catabolism</t>
  </si>
  <si>
    <t>YBR017C</t>
  </si>
  <si>
    <t>KAP104</t>
  </si>
  <si>
    <t>Amphiphysin-like lipid raft protein, subunit of a complex (Rvs161p-Rvs167p) that regulates polarization of the actin cytoskeleton, endocytosis, cell polarity, cell fusion and viability following starvation or osmotic stress</t>
  </si>
  <si>
    <t>YCR008W</t>
  </si>
  <si>
    <t>SAT4</t>
  </si>
  <si>
    <t>SerThr protein kinase involved in salt tolerance, funtions in regulation of Trk1p-Trk2p potassium transporter, partially redundant with Hal5p, has similarity to Npr1p</t>
  </si>
  <si>
    <t>YCR007C</t>
  </si>
  <si>
    <t>Putative integral membrane protein, member of DUP240 gene family</t>
  </si>
  <si>
    <t>YCR005C</t>
  </si>
  <si>
    <t>CIT2</t>
  </si>
  <si>
    <t>Citrate synthase, catalyzes the condensation of acetyl coenzyme A and oxaloacetate to form citrate, peroxisomal isozyme involved in glyoxylate cycle, expression is controlled by Rtg1p and Rtg2p transcription factors</t>
  </si>
  <si>
    <t>YCR004C</t>
  </si>
  <si>
    <t>YCP4</t>
  </si>
  <si>
    <t>Protein of unknown function, has sequence and structural similarity to flavodoxins, green fluorescent protein (GFP)-fusion protein localizes to the cytoplasm in a punctate pattern</t>
  </si>
  <si>
    <t>YCR003W</t>
  </si>
  <si>
    <t>MRPL32</t>
  </si>
  <si>
    <t>YCR002C</t>
  </si>
  <si>
    <t>CDC10</t>
  </si>
  <si>
    <t>YCL073C</t>
  </si>
  <si>
    <t>Protein of unconfirmed function, displays a topology characteristic of the Major Facilitators Superfamily of membrane proteins, coding sequence 98% identical to that of YCL073C  Protein of unconfirmed function, displays a topology characteristic of the Major Facilitators Superfamily of membrane proteins, coding sequence 98% identical to that of YKR106W</t>
  </si>
  <si>
    <t>YCL069W</t>
  </si>
  <si>
    <t>VBA3</t>
  </si>
  <si>
    <t>Hypothetical protein  Permease of basic amino acids in the vacuolar membrane</t>
  </si>
  <si>
    <t>YCL068C</t>
  </si>
  <si>
    <t>BUD5</t>
  </si>
  <si>
    <t>GTPGDP exchange factor for Rsr1p (Bud1p) required for both axial and bipolar budding patterns, mutants exhibit random budding in all cell types  Hypothetical protein</t>
  </si>
  <si>
    <t>YCL066W</t>
  </si>
  <si>
    <t>Transcriptional co-activator involved in regulation of mating-type-specific gene expression, targets the transcription factor Mcm1p to the promoters of alpha-specific genes, one of two genes encoded by the alpha mating type cassette   Silenced copy of ALPHA1, encoding a transcriptional coactivator involved in the regulation of mating-type alpha-specific gene expression</t>
  </si>
  <si>
    <t>YCL064C</t>
  </si>
  <si>
    <t>CHA1</t>
  </si>
  <si>
    <t>catabolism of hydroxy amino acids, catabolic serine (threonine) dehydratase</t>
  </si>
  <si>
    <t>YCL063W</t>
  </si>
  <si>
    <t>VAC17</t>
  </si>
  <si>
    <t>Protein involved in vacuole inheritance, acts as a vacuole-specific receptor for myosin Myo2p</t>
  </si>
  <si>
    <t>YCL061C</t>
  </si>
  <si>
    <t>MRC1</t>
  </si>
  <si>
    <t>S-phase checkpoint protein found at replication forks, required for DNA replication, also required for Rad53p activation during DNA replication stress, where it forms a replication-pausing complex with Tof1p and is phosphorylated by Mec1p, protein involved in replication checkpoint</t>
  </si>
  <si>
    <t>YCL059C</t>
  </si>
  <si>
    <t>KRR1</t>
  </si>
  <si>
    <t>Essential nucleolar protein required for the synthesis of 18S rRNA and for the assembly of 40S ribosomal subunit</t>
  </si>
  <si>
    <t>YCL058C</t>
  </si>
  <si>
    <t>FYV5</t>
  </si>
  <si>
    <t>Protein of unknown function, required for survival upon exposure to K1 killer toxin, involved in ion homeostasis</t>
  </si>
  <si>
    <t>YCL057W</t>
  </si>
  <si>
    <t>PRD1</t>
  </si>
  <si>
    <t>Zinc metalloendopeptidase, found in the cytoplasm and intermembrane space of mitochondria, with Cym1p, involved in degradation of mitochondrial proteins and of presequence peptides cleaved from imported proteins</t>
  </si>
  <si>
    <t>YCL057C-A</t>
  </si>
  <si>
    <t>Hypothetical protein, has similarity to proteins in S. pombe, C. elegans, D. melanogaster.</t>
  </si>
  <si>
    <t>YCL056C</t>
  </si>
  <si>
    <t>YCL055W</t>
  </si>
  <si>
    <t>KAR4</t>
  </si>
  <si>
    <t>Transcription factor required for induction of KAR3 and CIK1 during mating, also required during meiosis, exists in two forms, a slower-migrating form more abundant during vegetative growth and a faster-migrating form induced by pheromone</t>
  </si>
  <si>
    <t>YCL054W</t>
  </si>
  <si>
    <t>SPB1</t>
  </si>
  <si>
    <t>AdoMet-dependent methyltransferase involved in rRNA processing and 60S ribosomal subunit maturation, methylates G2922 in the putative tRNA docking site of the large subunit rRNA and in the absence of snR52, U2921, suppressor of PAB1 mutants</t>
  </si>
  <si>
    <t>YCL052C</t>
  </si>
  <si>
    <t>PBN1</t>
  </si>
  <si>
    <t>Essential component of glycosylphosphatidylinositol-mannosyltransferase I, required for the autocatalytic post-translational processing of the protease B precursor Prb1p, localizes to ER in lumenal orientation, homolog of mammalian PIG-X</t>
  </si>
  <si>
    <t>YCL051W</t>
  </si>
  <si>
    <t>LRE1</t>
  </si>
  <si>
    <t>Protein involved in control of cell wall structure and stress response, inhibits Cbk1p protein kinase activity, overproduction confers resistance to cell-wall degrading enzymes</t>
  </si>
  <si>
    <t>YCL050C</t>
  </si>
  <si>
    <t>APA1</t>
  </si>
  <si>
    <t>Diadenosine 5,5-P1,P4-tetraphosphate phosphorylase I (AP4A phosphorylase), involved in catabolism of bis(5-nucleosidyl) tetraphosphates, has similarity to Apa2p</t>
  </si>
  <si>
    <t>YCL049C</t>
  </si>
  <si>
    <t>YCL048W</t>
  </si>
  <si>
    <t>SPS22</t>
  </si>
  <si>
    <t>Protein of unknown function, redundant with Sps2p for the organization of the beta-glucan layer of the spore wall</t>
  </si>
  <si>
    <t>YCL047C</t>
  </si>
  <si>
    <t>YCL045C</t>
  </si>
  <si>
    <t>YCL044C</t>
  </si>
  <si>
    <t>YCL043C</t>
  </si>
  <si>
    <t>PDI1</t>
  </si>
  <si>
    <t>Protein disulfide isomerase, multifunctional protein resident in the endoplasmic reticulum lumen, essential for the formation of disulfide bonds in secretory and cell-surface proteins, unscrambles non-native disulfide bonds</t>
  </si>
  <si>
    <t>YCL042W</t>
  </si>
  <si>
    <t>GLK1</t>
  </si>
  <si>
    <t>Hypothetical protein  Glucokinase, catalyzes the phosphorylation of glucose at C6 in the first irreversible step of glucose metabolism, one of three glucose phosphorylating enzymes, expression regulated by non-fermentable carbon sources</t>
  </si>
  <si>
    <t>YCL040W</t>
  </si>
  <si>
    <t>YCL039W</t>
  </si>
  <si>
    <t>GID7</t>
  </si>
  <si>
    <t>Protein of unknown function, involved in proteasome-dependent catabolite inactivation of fructose-1,6-bisphosphatase, contains six WD40 repeats, computational analysis suggests that Gid7p and Moh1p have similar functions</t>
  </si>
  <si>
    <t>YCL038C</t>
  </si>
  <si>
    <t>ATG22</t>
  </si>
  <si>
    <t>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Identified by expression profiling and mass spectrometry  TyA Gag protein, the main structural constituent of virus-like particles (VLPs)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TyA Gag protein, the main structural constituent of virus-like particles (VLPs)  TyA Gag protein, the main structural constituent of virus-like particles (VLPs)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TyB Gag-Pol protein, proteolytically processed to make the Gag, RT, PR, and IN proteins that are required for retrotransposition</t>
  </si>
  <si>
    <t>YBL101W-A</t>
  </si>
  <si>
    <t>TyB Gag-Pol protein, proteolytically processed to make the Gag, RT, PR, and IN proteins that are required for retrotransposition  TyA Gag protein, the main structural constituent of virus-like particles (VLPs)  TyA Gag protein, the main structural constituent of virus-like particles (VLPs)  TyB Gag-Pol protein, proteolytically processed to make the Gag, RT, PR, and IN proteins that are required for retrotransposition  Identified by expression profiling and mass spectrometry  TyA Gag protein, the main structural constituent of virus-like particles (VLPs)  TyB Gag-Pol protein, proteolytically processed to make the Gag, RT, PR, and IN proteins that are required for retrotransposition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TyB Gag-Pol protein, proteolytically processed to make the Gag, RT, PR, and IN proteins that are required for retrotransposition  TyA Gag protein, the main structural constituent of virus-like particles (VLPs)  TyA Gag protein, the main structural constituent of virus-like particles (VLPs)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t>
  </si>
  <si>
    <t>YBL101C</t>
  </si>
  <si>
    <t>ECM21</t>
  </si>
  <si>
    <t>Non-essential protein of unknown function, promoter contains several Gcn4p binding elements</t>
  </si>
  <si>
    <t>YBL099W</t>
  </si>
  <si>
    <t>ATP1</t>
  </si>
  <si>
    <t>Alpha subunit of the F1 sector of mitochondrial F1F0 ATP synthase, which is a large, evolutionarily conserved enzyme complex required for ATP synthesis</t>
  </si>
  <si>
    <t>YBL098W</t>
  </si>
  <si>
    <t>BNA4</t>
  </si>
  <si>
    <t>Kynurenine 3-mono oxygenase, required for biosynthesis of nicotinic acid from tryptophan via kynurenine pathway</t>
  </si>
  <si>
    <t>YBL097W</t>
  </si>
  <si>
    <t>BRN1</t>
  </si>
  <si>
    <t>Essential protein required for chromosome condensation, likely to function as an intrinsic component of the condensation machinery, may influence multiple aspects of chromosome transmission and dynamics</t>
  </si>
  <si>
    <t>YBL095W</t>
  </si>
  <si>
    <t>YBL093C</t>
  </si>
  <si>
    <t>ROX3</t>
  </si>
  <si>
    <t>YBL092W</t>
  </si>
  <si>
    <t>RPL32</t>
  </si>
  <si>
    <t>Protein component of the large (60S) ribosomal subunit, has similarity to rat L32 ribosomal protein, overexpression disrupts telomeric silencing</t>
  </si>
  <si>
    <t>YBL091C-A</t>
  </si>
  <si>
    <t>SCS22</t>
  </si>
  <si>
    <t>Protein involved in regulation of phospholipid metabolism, homolog of Scs2p2, similar to D. melanogaster inturned protein</t>
  </si>
  <si>
    <t>YBL091C</t>
  </si>
  <si>
    <t>MAP2</t>
  </si>
  <si>
    <t>Methionine aminopeptidase, catalyzes the cotranslational removal of N-terminal methionine from nascent polypeptides, function is partially redundant with that of Map1p</t>
  </si>
  <si>
    <t>YBL090W</t>
  </si>
  <si>
    <t>MRP21</t>
  </si>
  <si>
    <t>Mitochondrial ribosomal protein of the large subunit, MRP21 exhibits genetic interactions with mutations in the COX2 and COX3 mRNA 5-untranslated leader sequences</t>
  </si>
  <si>
    <t>YBL089W</t>
  </si>
  <si>
    <t>AVT5</t>
  </si>
  <si>
    <t>YBL088C</t>
  </si>
  <si>
    <t>TEL1</t>
  </si>
  <si>
    <t>Protein kinase, primarily involved in telomere length regulation, contributes to cell cycle checkpoint control in response to DNA damage, functionally redundant with Mec1p, homolog of human ataxia telangiectasia (ATM) gene</t>
  </si>
  <si>
    <t>YBL087C</t>
  </si>
  <si>
    <t>RPL23A</t>
  </si>
  <si>
    <t>Protein component of the large (60S) ribosomal subunit, identical to Rpl23Bp and has similarity to E. coli L14 and rat L23 ribosomal proteins</t>
  </si>
  <si>
    <t>YBL086C</t>
  </si>
  <si>
    <t>YBL085W</t>
  </si>
  <si>
    <t>BOI1</t>
  </si>
  <si>
    <t>Protein implicated in polar growth, functionally redundant with Boi2p, interacts with bud-emergence protein Bem1p, contains an SH3 (src homology 3) domain and a PH (pleckstrin homology) domain</t>
  </si>
  <si>
    <t>YBL084C</t>
  </si>
  <si>
    <t>CDC27</t>
  </si>
  <si>
    <t>YBL082C</t>
  </si>
  <si>
    <t>ALG3</t>
  </si>
  <si>
    <t>Dolichol-P-Man dependent alpha(1-3) mannosyltransferase, involved in the synthesis of dolichol-linked oligosaccharide donor for N-linked glycosylation of proteins</t>
  </si>
  <si>
    <t>YBL081W</t>
  </si>
  <si>
    <t>YBL080C</t>
  </si>
  <si>
    <t>PET112</t>
  </si>
  <si>
    <t>Protein required for mitochondrial translation, mutation is functionally complemented by a Bacillus subtilis ortholog</t>
  </si>
  <si>
    <t>YBL079W</t>
  </si>
  <si>
    <t>NUP170</t>
  </si>
  <si>
    <t>Abundant subunit of the nuclear pore complex (NPC), required for proper localization of specific nucleoporins within the NPC, involved in nuclear envelope permeability and in chromosome segregation, has similarity to Nup157p</t>
  </si>
  <si>
    <t>YBL078C</t>
  </si>
  <si>
    <t>ATG8</t>
  </si>
  <si>
    <t>Protein required for autophagy, modified by the serial action of Atg4p, Atg7p, and Atg3p, and conjugated at the C terminus with phosphatidylethanolamine, to become the form essential for generation of autophagosomes</t>
  </si>
  <si>
    <t>YBL076C</t>
  </si>
  <si>
    <t>ILS1</t>
  </si>
  <si>
    <t>Cytoplasmic isoleucine-tRNA synthetase, target of the G1-specific inhibitor reveromycin A</t>
  </si>
  <si>
    <t>YBL075C</t>
  </si>
  <si>
    <t>SSA3</t>
  </si>
  <si>
    <t>ATPase involved in protein folding and the response to stress, plays a role in SRP-dependent cotranslational protein-membrane targeting and translocation, member of the heat shock protein 70 (HSP70) family, localized to the cytoplasm</t>
  </si>
  <si>
    <t>YBL074C</t>
  </si>
  <si>
    <t>AAR2</t>
  </si>
  <si>
    <t>Component of the U5 snRNP, required for splicing of U3 precursors, originally described as a splicing factor specifically required for splicing pre-mRNA of the MATa1 cistron</t>
  </si>
  <si>
    <t>YBL072C</t>
  </si>
  <si>
    <t>YBL071W-A</t>
  </si>
  <si>
    <t>KTI11</t>
  </si>
  <si>
    <t>Protein required, along with Dph1p, Dph2p, Jjj3p, and Dph5p, for synthesis of diphthamide, which is a modified histidine residue of translation elongation factor 2 (Eft1p or Eft2p), may act in a complex with Dph1p and Dph2p</t>
  </si>
  <si>
    <t>YBL071C-B</t>
  </si>
  <si>
    <t>YBL069W</t>
  </si>
  <si>
    <t>AST1</t>
  </si>
  <si>
    <t>Peripheral membrane protein that interacts with the plasma membrane ATPase Pma1p and has a role in its targeting to the plasma membrane, possibly by influencing its incorporation into lipid rafts</t>
  </si>
  <si>
    <t>YBL068W</t>
  </si>
  <si>
    <t>PRS4</t>
  </si>
  <si>
    <t>YBL067C</t>
  </si>
  <si>
    <t>UBP13</t>
  </si>
  <si>
    <t>YBL066C</t>
  </si>
  <si>
    <t>SEF1</t>
  </si>
  <si>
    <t>Putative transcription factor, has homolog in Kluyveromyces lactis</t>
  </si>
  <si>
    <t>YBL064C</t>
  </si>
  <si>
    <t>PRX1</t>
  </si>
  <si>
    <t>Mitochondrial peroxiredoxin (1-Cys Prx) with thioredoxin peroxidase activity, has a role in reduction of hydroperoxides, induced during respiratory growth and under conditions of oxidative stress</t>
  </si>
  <si>
    <t>YBL063W</t>
  </si>
  <si>
    <t>KIP1</t>
  </si>
  <si>
    <t xml:space="preserve">Kinesin-related motor protein required for mitotic spindle assembly and chromosome segregation, functionally redundant with Cin8p </t>
  </si>
  <si>
    <t>YBL061C</t>
  </si>
  <si>
    <t>SKT5</t>
  </si>
  <si>
    <t>Activator of Chs3p (chitin synthase III), recruits Chs3p to the bud neck via interaction with Bni4p, has similarity to Shc1p, which activates Chs3p during sporulation</t>
  </si>
  <si>
    <t>YBL060W</t>
  </si>
  <si>
    <t>YBL059W</t>
  </si>
  <si>
    <t>YBL059C-A</t>
  </si>
  <si>
    <t>YBL058W</t>
  </si>
  <si>
    <t>SHP1</t>
  </si>
  <si>
    <t>UBX (ubiquitin regulatory X) domain-containing protein that regulates Glc7p phosphatase activity and interacts with Cdc48p, interacts with ubiquitylated proteins in vivo and is required for degradation of a ubiquitylated model substrate</t>
  </si>
  <si>
    <t>YBL057C</t>
  </si>
  <si>
    <t>PTH2</t>
  </si>
  <si>
    <t>One of two (see also PTH1) mitochondrially-localized peptidyl-tRNA hydrolases, dispensable for cell growth</t>
  </si>
  <si>
    <t>YBL056W</t>
  </si>
  <si>
    <t>PTC3</t>
  </si>
  <si>
    <t>Type 2C protein phosphatase, dephosphorylates Hog1p (see also Ptc2p) to limit maximal kinase activity induced by osmotic stress, dephosphorylates T169 phosphorylated Cdc28p (see also Ptc2p), role in DNA checkpoint inactivation</t>
  </si>
  <si>
    <t>YBL055C</t>
  </si>
  <si>
    <t>YBL054W</t>
  </si>
  <si>
    <t>YBL052C</t>
  </si>
  <si>
    <t>SAS3</t>
  </si>
  <si>
    <t>Histone acetyltransferase catalytic subunit of NuA3 complex that acetylates histone H3, involved in transcriptional silencing, homolog of the mammalian MOZ proto-oncogene, sas3 gcn5 double mutation confers lethality</t>
  </si>
  <si>
    <t>YBL051C</t>
  </si>
  <si>
    <t>PIN4</t>
  </si>
  <si>
    <t>Protein involved in G2M phase progression and response to DNA damage, interacts with Rad53p, contains an RNA recognition motif, a nuclear localization signal, and several SQTQ cluster domains, hyperphosphorylated in response to DNA damage</t>
  </si>
  <si>
    <t>YBL050W</t>
  </si>
  <si>
    <t>SEC17</t>
  </si>
  <si>
    <t>Peripheral membrane protein required for vesicular transport between ER and Golgi and for the priming step in homotypic vacuole fusion, part of the cis-SNARE complex, has similarity to alpha-SNAP</t>
  </si>
  <si>
    <t>YBL049W</t>
  </si>
  <si>
    <t>MOH1</t>
  </si>
  <si>
    <t>Protein of unknown function, has homology to kinase Snf7p, not required for growth on nonfermentable carbon sources, essential for viability in stationary phase</t>
  </si>
  <si>
    <t>YBL047C</t>
  </si>
  <si>
    <t>EDE1</t>
  </si>
  <si>
    <t>Key endocytic protein involved in a network of interactions with other endocytic proteins, binds membranes in a ubiquitin-dependent manner, may also bind ubiquitinated membrane-associated proteins</t>
  </si>
  <si>
    <t>YBL046W</t>
  </si>
  <si>
    <t>YBL045C</t>
  </si>
  <si>
    <t>COR1</t>
  </si>
  <si>
    <t>Core subunit of the ubiquinol-cytochrome c reductase complex (bc1 complex), which is a component of the mitochondrial inner membrane electron transport chain</t>
  </si>
  <si>
    <t>YBL044W</t>
  </si>
  <si>
    <t>YBL043W</t>
  </si>
  <si>
    <t>ECM13</t>
  </si>
  <si>
    <t>YBL042C</t>
  </si>
  <si>
    <t>FUI1</t>
  </si>
  <si>
    <t>High affinity uridine permease, localized to the plasma membrane, not involved in uracil transport</t>
  </si>
  <si>
    <t>YBL041W</t>
  </si>
  <si>
    <t>PRE7</t>
  </si>
  <si>
    <t>YBL040C</t>
  </si>
  <si>
    <t>ERD2</t>
  </si>
  <si>
    <t>Integral membrane protein that binds to the HDEL motif in proteins destined for retention in the endoplasmic reticulum, has a role in maintenance of normal levels of ER-resident proteins</t>
  </si>
  <si>
    <t>YBL039W-A</t>
  </si>
  <si>
    <t>YBL039C</t>
  </si>
  <si>
    <t>URA7</t>
  </si>
  <si>
    <t>Major CTP synthase isozyme (see also URA8), catalyzes the ATP-dependent transfer of the amide nitrogen from glutamine to UTP, forming CTP, the final step in de novo biosynthesis of pyrimidines, involved in phospholipid biosynthesis</t>
  </si>
  <si>
    <t>YBL038W</t>
  </si>
  <si>
    <t>MRPL16</t>
  </si>
  <si>
    <t>YBL037W</t>
  </si>
  <si>
    <t>APL3</t>
  </si>
  <si>
    <t>Alpha-adaptin, large subunit of the clathrin associated protein complex (AP-2), involved in vesicle mediated transport</t>
  </si>
  <si>
    <t>YBL036C</t>
  </si>
  <si>
    <t>Single-domain racemase, possibly non-specific due to the lack of the second domain, which presumably determines specificity</t>
  </si>
  <si>
    <t>YBL035C</t>
  </si>
  <si>
    <t>POL12</t>
  </si>
  <si>
    <t>B subunit of DNA polymerase alpha-primase complex, required for initiation of DNA replication during mitotic and premeiotic DNA synthesis, also functions in telomere capping and length regulation</t>
  </si>
  <si>
    <t>YBL034C</t>
  </si>
  <si>
    <t>STU1</t>
  </si>
  <si>
    <t>Component of the mitotic spindle that binds to interpolar microtubules via its association with beta-tubulin (Tub2p), required for interpolar microtubules to provide an outward force on the spindle poles</t>
  </si>
  <si>
    <t>YBL033C</t>
  </si>
  <si>
    <t>RIB1</t>
  </si>
  <si>
    <t>GTP cyclohydrolase II, catalyzes the first step of the riboflavin biosynthesis pathway</t>
  </si>
  <si>
    <t>YBL032W</t>
  </si>
  <si>
    <t>HEK2</t>
  </si>
  <si>
    <t>RNA binding protein with similarity to hnRNP-K that localizes to the cytoplasm and to subtelomeric DNA, required for the proper localization of ASH1 mRNA, involved in the regulation of telomere position effect and telomere length</t>
  </si>
  <si>
    <t>YBL031W</t>
  </si>
  <si>
    <t>SHE1</t>
  </si>
  <si>
    <t>Cytoskeletal protein of unknown function, overexpression causes growth arrest</t>
  </si>
  <si>
    <t>YBL030C</t>
  </si>
  <si>
    <t>PET9</t>
  </si>
  <si>
    <t>Major ADPATP carrier of the mitochondrial inner membrane, exchanges cytosolic ADP for mitochondrially synthesized ATP, required for viability in many common lab strains carrying a mutation in the polymorphic SAL1 gene</t>
  </si>
  <si>
    <t>YBL029W</t>
  </si>
  <si>
    <t>YBL029C-A</t>
  </si>
  <si>
    <t>Protein of unknown function, green fluorescent protein (GFP)-fusion protein localizes to the cell periphery, has potential orthologs in Saccharomyces species and in Yarrowia lipolytica</t>
  </si>
  <si>
    <t>YBL028C</t>
  </si>
  <si>
    <t>YBL027W</t>
  </si>
  <si>
    <t>YBL026W</t>
  </si>
  <si>
    <t>LSM2</t>
  </si>
  <si>
    <t>YBL025W</t>
  </si>
  <si>
    <t>RRN10</t>
  </si>
  <si>
    <t>subunit of UAF (upstream activation factor), involved in promoting high level transcription of rDNA, Upstream activation factor subunit</t>
  </si>
  <si>
    <t>YBL024W</t>
  </si>
  <si>
    <t>NCL1</t>
  </si>
  <si>
    <t>S-adenosyl-L-methionine-dependent tRNA: m5C-methyltransferase, methylates cytosine to m5C at several positions in tRNAs and intron-containing pre-tRNAs, similar to Nop2p and human proliferation associated nucleolar protein p120</t>
  </si>
  <si>
    <t>YBL023C</t>
  </si>
  <si>
    <t>MCM2</t>
  </si>
  <si>
    <t>YBL022C</t>
  </si>
  <si>
    <t>PIM1</t>
  </si>
  <si>
    <t>Mitochondrial ATP-dependent protease involved in intramitochondrial proteolysis, involved in degradation of misfolded proteins in mitochondria, required for bigenesis and maintenance of mitochondria</t>
  </si>
  <si>
    <t>YBL021C</t>
  </si>
  <si>
    <t>HAP3</t>
  </si>
  <si>
    <t>Subunit of the heme-activated, glucose-repressed Hap2p3p4p5p CCAAT-binding complex, a transcriptional activator and global regulator of respiratory gene expression, contains sequences contributing to both complex assembly and DNA binding</t>
  </si>
  <si>
    <t>YBL020W</t>
  </si>
  <si>
    <t>RFT1</t>
  </si>
  <si>
    <t>Flippase, essential integral membrane protein that is required for translocation of Man5GlcNac2-PP-Dol from the cytoplasmic side to the lumenal side of the ER membrane, mutation is suppressed by expression human p53 protein</t>
  </si>
  <si>
    <t>YBL019W</t>
  </si>
  <si>
    <t>APN2</t>
  </si>
  <si>
    <t>Class II abasic (AP) endonuclease involved in repair of DNA damage, homolog of human HAP1 and E. coli exoIII</t>
  </si>
  <si>
    <t>YBL018C</t>
  </si>
  <si>
    <t>POP8</t>
  </si>
  <si>
    <t>YBL017C</t>
  </si>
  <si>
    <t>PEP1</t>
  </si>
  <si>
    <t>Type I transmembrane sorting receptor for multiple vacuolar hydrolases, cycles between the late-Golgi and prevacuolar endosome-like compartments</t>
  </si>
  <si>
    <t>YBL016W</t>
  </si>
  <si>
    <t>FUS3</t>
  </si>
  <si>
    <t>Mitogen-activated protein kinase involved in mating pheromone response, activated by phoshporylation by Ste7p, provides specificity during the mating vs. filamentous growth response by phosphorylating transcriptional and cytoplasmic targets</t>
  </si>
  <si>
    <t>YBL015W</t>
  </si>
  <si>
    <t>ACH1</t>
  </si>
  <si>
    <t>Acetyl-coA hydrolase, primarily localized to mitochondria, required for acetate utilization and for diploid pseudohyphal growth</t>
  </si>
  <si>
    <t>YBL014C</t>
  </si>
  <si>
    <t>RRN6</t>
  </si>
  <si>
    <t>involved in the transcription of 35S rRNA genes by RNA polymerase I, member of yeast Pol I core factor (CF) also composed of Rrn11p, Rrn7p and TATA-binding protein</t>
  </si>
  <si>
    <t>YBL013W</t>
  </si>
  <si>
    <t>FMT1</t>
  </si>
  <si>
    <t>Methionyl-tRNA formyltransferase, catalyzes the formylation of initiator Met-tRNA in mitochondria, potential Cdc28p substrate</t>
  </si>
  <si>
    <t>YBL011W</t>
  </si>
  <si>
    <t>SCT1</t>
  </si>
  <si>
    <t>Glycerol 3-phosphatedihydroxyacetone phosphate dual substrate-specific sn-1 acyltransferase of the glycerolipid biosynthesis pathway, prefers 16-carbon fatty acids, similar to Gpt2p, gene is constitutively transcribed</t>
  </si>
  <si>
    <t>YBL010C</t>
  </si>
  <si>
    <t>YBL009W</t>
  </si>
  <si>
    <t>haspin</t>
  </si>
  <si>
    <t>YBL008W-A</t>
  </si>
  <si>
    <t>YBL008W</t>
  </si>
  <si>
    <t>HIR1</t>
  </si>
  <si>
    <t>Non-essential transcriptional corepressor involved in the cell cycle-regulated transcription of histone H2A, H2B, H3 and H4 genes, contributes to nucleosome formation, heterochromatic gene silencing, and formation of functional kinetochores</t>
  </si>
  <si>
    <t>YBL007C</t>
  </si>
  <si>
    <t>SLA1</t>
  </si>
  <si>
    <t>Cytoskeletal protein binding protein required for assembly of the cortical actin cytoskeleton, contains 3 SH3 domains, interacts with proteins regulating actin dynamics and with proteins required for endocytosis</t>
  </si>
  <si>
    <t>YBL006C</t>
  </si>
  <si>
    <t>LDB7</t>
  </si>
  <si>
    <t>Protein of unknown function, null mutant shows a reduced affinity for the alcian blue dye suggesting a decreased net negative charge of the cell surface</t>
  </si>
  <si>
    <t>YBL005W-A</t>
  </si>
  <si>
    <t>TyB Gag-Pol protein, proteolytically processed to make the Gag, RT, PR, and IN proteins that are required for retrotransposition  TyA Gag protein, the main structural constituent of virus-like particles (VLPs)  TyA Gag protein, the main structural constituent of virus-like particles (VLPs)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 ORF  TyA Gag protein, the main structural constituent of virus-like particles (VLPs)  TyB Gag-Pol protein, proteolytically processed to make the Gag, RT, PR, and IN proteins that are required for retrotransposition  TyB Gag-Pol protein, proteolytically processed to make the Gag, RT, PR, and IN proteins that are required for retrotransposition</t>
  </si>
  <si>
    <t>YBL005W</t>
  </si>
  <si>
    <t>PDR3</t>
  </si>
  <si>
    <t>Transcriptional activator of the pleiotropic drug resistance network, regulates expression of ATP-binding cassette (ABC) transporters through binding to cis-acting sites known as PDREs (PDR responsive elements)</t>
  </si>
  <si>
    <t>YBL004W</t>
  </si>
  <si>
    <t>UTP20</t>
  </si>
  <si>
    <t>Possible snoRNA-binding protein, based on computational analysis of large-scale protein-protein interaction data</t>
  </si>
  <si>
    <t>YBL003C</t>
  </si>
  <si>
    <t>HTA2</t>
  </si>
  <si>
    <t xml:space="preserve">One of two nearly identical (see also HTA1) histone H2A subtypes, core histone required for chromatin assembly and chromosome function, DNA damage-dependent phosphorylation by Mec1p facilitates DNA repair, acetylated by Nat4p </t>
  </si>
  <si>
    <t>YBL002W</t>
  </si>
  <si>
    <t>HTB2</t>
  </si>
  <si>
    <t>One of two nearly identical (see HTB1) histone H2B subtypes required for chromatin assembly and chromosome function, Rad6p-Bre1p-Lge1p mediated ubiquitination regulates transcriptional activation, meiotic DSB formation and H3 methylation</t>
  </si>
  <si>
    <t>YBL001C</t>
  </si>
  <si>
    <t>ECM15</t>
  </si>
  <si>
    <t>Non-essential protein of unknown function, likely exists as tetramer, may be regulated by the binding of small-molecule ligands (possibly sulfate ions), may have a role in yeast cell-wall biogenesis</t>
  </si>
  <si>
    <t>YAR075W</t>
  </si>
  <si>
    <t>Inosine monophosphate dehydrogenase, catalyzes the first step of GMP biosynthesis, member of a four-gene family in S. cerevisiae, constitutively expressed  Inosine monophosphate dehydrogenase, catalyzes the first step of GMP biosynthesis, expression is induced by mycophenolic acid resulting in resistance to the drug, expression is repressed by nutrient limitation  Nonfunctional protein with homology to IMP dehydrogenase, IMD1 is a probable pseudogene that is located close to the telomere and is not expressed at detectable levels  Hypothetical protein</t>
  </si>
  <si>
    <t>YAR073W</t>
  </si>
  <si>
    <t>YAR071W</t>
  </si>
  <si>
    <t>One of three repressible acid phosphatases, a glycoprotein that is transported to the cell surface by the secretory pathway, nearly identical to Pho11p, upregulated by phosphate starvation  One of three repressible acid phosphatases, a glycoprotein that is transported to the cell surface by the secretory pathway, induced by phosphate starvation and coordinately regulated by PHO4 and PHO2</t>
  </si>
  <si>
    <t>YAR068W</t>
  </si>
  <si>
    <t>putative membrane protein</t>
  </si>
  <si>
    <t>YAR066W</t>
  </si>
  <si>
    <t>putative membrane protein  Hypothetical protein</t>
  </si>
  <si>
    <t>YAR064W</t>
  </si>
  <si>
    <t>YAR050W</t>
  </si>
  <si>
    <t>Lectin-like protein with similarity to Flo1p, thought to be expressed and involved in flocculation  Lectin-like protein involved in flocculation, cell wall protein that binds to mannose chains on the surface of other cells, confers floc-forming ability that is chymotrypsin sensitive and heat resistant, similar to Flo5p</t>
  </si>
  <si>
    <t>YAR042W</t>
  </si>
  <si>
    <t>SWH1</t>
  </si>
  <si>
    <t>Protein similar to mammalian oxysterol-binding protein, contains ankyrin repeats, localizes to the Golgi and the nucleus-vacuole junction</t>
  </si>
  <si>
    <t>YAR035W</t>
  </si>
  <si>
    <t>YAT1</t>
  </si>
  <si>
    <t>Outer mitochondrial carnitine acetyltransferase, minor ethanol-inducible enzyme involved in transport of activated acyl groups from the cytoplasm into the mitochondrial matrix</t>
  </si>
  <si>
    <t>YAR035C-A</t>
  </si>
  <si>
    <t>YAR033W</t>
  </si>
  <si>
    <t>YAR031W</t>
  </si>
  <si>
    <t>PRM9</t>
  </si>
  <si>
    <t>Pheromone-regulated protein with 3 predicted transmembrane segments and an FF sequence, a motif involved in COPII binding</t>
  </si>
  <si>
    <t>YAR029W</t>
  </si>
  <si>
    <t>Member of DUP240 gene family but contains no transmembrane domains, green fluorescent protein (GFP)-fusion protein localizes to the cytoplasm in a punctate pattern</t>
  </si>
  <si>
    <t>YAR028W</t>
  </si>
  <si>
    <t>YAR027W</t>
  </si>
  <si>
    <t>UIP3</t>
  </si>
  <si>
    <t>Putative integral membrane protein of unknown function, interacts with Ulp1p at the nuclear periphery, member of DUP240 gene family</t>
  </si>
  <si>
    <t>YAR023C</t>
  </si>
  <si>
    <t>YAR020C</t>
  </si>
  <si>
    <t>PAU7</t>
  </si>
  <si>
    <t>Part of 23-member seripauperin multigene family, active during alcoholic fermentation, regulated by anaerobiosis, inhibited by oxygen, repressed by heme</t>
  </si>
  <si>
    <t>YAR019C</t>
  </si>
  <si>
    <t>CDC15</t>
  </si>
  <si>
    <t>Protein kinase of the Mitotic Exit Network that is localized to the spindle pole bodies at late anaphase, promotes mitotic exit by directly switching on the kinase activity of Dbf2p</t>
  </si>
  <si>
    <t>YAR018C</t>
  </si>
  <si>
    <t>KIN3</t>
  </si>
  <si>
    <t>YAR015W</t>
  </si>
  <si>
    <t>ADE1</t>
  </si>
  <si>
    <t>N-succinyl-5-aminoimidazole-4-carboxamide ribotide (SAICAR) synthetase, required for de novo purine nucleotide biosynthesis, red pigment accumulates in mutant cells deprived of adenine</t>
  </si>
  <si>
    <t>YAR014C</t>
  </si>
  <si>
    <t>BUD14</t>
  </si>
  <si>
    <t>YAR010C</t>
  </si>
  <si>
    <t>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TyA Gag protein, the main structural constituent of virus-like particles (VLPs)  TyA Gag protein, the main structural constituent of virus-like particles (VLPs)  TyB Gag-Pol protein, proteolytically processed to make the Gag, RT, PR, and IN proteins that are required for retrotransposition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TyA Gag protein, the main structural constituent of virus-like particles (VLPs)  Identified by expression profiling and mass spectrometry  TyB Gag-Pol protein, proteolytically processed to make the Gag, RT, PR, and IN proteins that are required for retrotransposition  TyA Gag protein, the main structural constituent of virus-like particles (VLPs)  TyA Gag protein, the main structural constituent of virus-like particles (VLPs)  TyB Gag-Pol protein, proteolytically processed to make the Gag, RT, PR, and IN proteins that are required for retrotransposition  TyA Gag protein, the main structural constituent of virus-like particles (VLPs)  TyA Gag protein, the main structural constituent of virus-like particles (VLPs)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 ORF  TyB Gag-Pol protein, proteolytically processed to make the Gag, RT, PR, and IN proteins that are required for retrotransposition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TyA Gag protein, the main structural constituent of virus-like particles (VLPs)  TyA Gag protein, the main structural constituent of virus-like particles (VLPs)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TyB Gag-Pol protein, proteolytically processed to make the Gag, RT, PR, and IN proteins that are required for retrotransposition  TyA Gag protein, the main structural constituent of virus-like particles (VLPs)  TyA Gag protein, the main structural constituent of virus-like particles (VLPs)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  TyA Gag protein, the main structural constituent of virus-like particles (VLPs)  TyA Gag protein, the main structural constituent of virus-like particles (VLPs)  TyB Gag-Pol protein, proteolytically processed to make the Gag, RT, PR, and IN proteins that are required for retrotransposition  TyA Gag protein, the main structural constituent of virus-like particles (VLPs)  TyB Gag-Pol protein, proteolytically processed to make the Gag, RT, PR, and IN proteins that are required for retrotransposition</t>
  </si>
  <si>
    <t>YAR009C</t>
  </si>
  <si>
    <t>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 ORF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  TyB Gag-Pol protein, proteolytically processed to make the Gag, RT, PR, and IN proteins that are required for retrotransposition</t>
  </si>
  <si>
    <t>YAR008W</t>
  </si>
  <si>
    <t>SEN34</t>
  </si>
  <si>
    <t>Subunit of the tRNA splicing endonuclease, which is composed of Sen2p, Sen15p, Sen34p, and Sen54p, Sen34p contains the active site for tRNA 3 splice site cleavage and has similarity to Sen2p and to Archaeal tRNA splicing endonuclease</t>
  </si>
  <si>
    <t>YAR007C</t>
  </si>
  <si>
    <t>RFA1</t>
  </si>
  <si>
    <t>YAR003W</t>
  </si>
  <si>
    <t>SWD1</t>
  </si>
  <si>
    <t>Subunit of the COMPASS (Set1C) complex, which methylates Rad6p ubiquitinated histone H3 on lysine 4 and is required in transcriptional silencing near telomeres, WD40 beta propeller superfamily member with similarity to mammalian Rbbp7</t>
  </si>
  <si>
    <t>YAR002W</t>
  </si>
  <si>
    <t>NUP60</t>
  </si>
  <si>
    <t>Subunit of the nuclear pore complex (NPC), functions to anchor Nup2p to the NPC in a dynamic process that is controlled by the nucleoplasmic concentration of Gsp1p-GTP, potential Cdc28p substrate</t>
  </si>
  <si>
    <t>YAR002C-A</t>
  </si>
  <si>
    <t>ERP1</t>
  </si>
  <si>
    <t>Protein that forms a heterotrimeric complex with Erp2p, Emp24p, and Erv25p, member, along with Emp24p and Erv25p, of the p24 family involved in ER to Golgi transport and localized to COPII-coated vesicles</t>
  </si>
  <si>
    <t>YAL068C</t>
  </si>
  <si>
    <t>YAL067W-A</t>
  </si>
  <si>
    <t>YAL067C</t>
  </si>
  <si>
    <t>SEO1</t>
  </si>
  <si>
    <t>Putative permease, member of the allantoate transporter subfamily of the major facilitator superfamily, mutation confers resistance to ethionine sulfoxide</t>
  </si>
  <si>
    <t>YAL065C</t>
  </si>
  <si>
    <t>YAL064W-B</t>
  </si>
  <si>
    <t>YAL064W</t>
  </si>
  <si>
    <t>YAL064C-A</t>
  </si>
  <si>
    <t>YAL063C-A</t>
  </si>
  <si>
    <t>YAL063C</t>
  </si>
  <si>
    <t>Lectin-like protein involved in flocculation, cell wall protein that binds to mannose chains on the surface of other cells, confers floc-forming ability that is chymotrypsin resistant but heat labile, similar to Flo1p  Lectin-like protein with similarity to Flo1p, thought to be expressed and involved in flocculation  Lectin-like protein involved in flocculation, cell wall protein that binds to mannose chains on the surface of other cells, confers floc-forming ability that is chymotrypsin sensitive and heat resistant, similar to Flo5p</t>
  </si>
  <si>
    <t>YAL062W</t>
  </si>
  <si>
    <t>GDH3</t>
  </si>
  <si>
    <t>NADP(+)-dependent glutamate dehydrogenase, synthesizes glutamate from ammonia and alpha-ketoglutarate, rate of alpha-ketoglutarate utilization differs from Gdh1p, expression regulated by nitrogen and carbon sources</t>
  </si>
  <si>
    <t>YAL061W</t>
  </si>
  <si>
    <t>putative polyol dehydrogenase</t>
  </si>
  <si>
    <t>YAL060W</t>
  </si>
  <si>
    <t>BDH1</t>
  </si>
  <si>
    <t>NAD-dependent (2R,3R)-2,3-butanediol dehydrogenase, a zinc-containing medium-chain alcohol dehydrogenase, produces 2,3-butanediol from acetoin during fermentation and allows using 2,3-butanediol as a carbon source during aerobic growth</t>
  </si>
  <si>
    <t>YAL059W</t>
  </si>
  <si>
    <t>ECM1</t>
  </si>
  <si>
    <t>Protein of unknown function, localized in the nucleoplasm and the nucleolus, genetically interacts with MTR2 in 60S ribosomal protein subunit export</t>
  </si>
  <si>
    <t>YAL058W</t>
  </si>
  <si>
    <t>CNE1</t>
  </si>
  <si>
    <t>Calnexin, integral membrane ER chaperone involved in the folding and quality control of glycoproteins, 24% identical and 31% similar to mammalian calnexin but the Ca+ binding typical of calnexins has not been demonstrated in yeast</t>
  </si>
  <si>
    <t>YAL056W</t>
  </si>
  <si>
    <t>GPB2</t>
  </si>
  <si>
    <t>Proposed beta subunit of the heterotrimeric G protein that interacts with the receptor Grp1p, has signaling role in response to nutrients, involved in regulation of pseudohyphal growth through cAMP levels, homolog of Gpb1p</t>
  </si>
  <si>
    <t>YAL055W</t>
  </si>
  <si>
    <t>PEX22</t>
  </si>
  <si>
    <t>Putative peroxisomal membrane protein required for import of peroxisomal proteins, functionally complements a Pichia pastoris pex22 mutation</t>
  </si>
  <si>
    <t>YAL054C</t>
  </si>
  <si>
    <t>ACS1</t>
  </si>
  <si>
    <t>Acetyl-coA synthetase isoform, expressed during growth on nonfermentable carbon sources and under aerobic conditions</t>
  </si>
  <si>
    <t>YAL053W</t>
  </si>
  <si>
    <t>YAL051W</t>
  </si>
  <si>
    <t>OAF1</t>
  </si>
  <si>
    <t>Oleate-activated transcription factor, acts alone and as a heterodimer with Pip2p, activates genes involved in beta-oxidation of fatty acids and peroxisome organization and biogenesis</t>
  </si>
  <si>
    <t>YAL049C</t>
  </si>
  <si>
    <t>YAL048C</t>
  </si>
  <si>
    <t>GEM1</t>
  </si>
  <si>
    <t>Evolutionarily-conserved tail-anchored outer mitochondrial membrane GTPase which regulates mitochondrial morphology, cells lacking Gem1p contain collapsed, globular, or grape-like mitochondria, not required for pheromone-induced cell death</t>
  </si>
  <si>
    <t>YAL047C</t>
  </si>
  <si>
    <t>SPC72</t>
  </si>
  <si>
    <t>Component of the cytoplasmic Tub4p (gamma-tubulin) complex, binds spindle pole bodies and links them to microtubules, has roles in astral microtubule formation and stabilization</t>
  </si>
  <si>
    <t>YAL046C</t>
  </si>
  <si>
    <t>YAL044W-A</t>
  </si>
  <si>
    <t>Similar to pombe uvi31, putative DNA repair protein</t>
  </si>
  <si>
    <t>YAL044C</t>
  </si>
  <si>
    <t>GCV3</t>
  </si>
  <si>
    <t>H subunit of the mitochondrial glycine decarboxylase complex, required for the catabolism of glycine to 5,10-methylene-THF, expression is regulated by levels of levels of 5,10-methylene-THF in the cytoplasm</t>
  </si>
  <si>
    <t>YAL043C</t>
  </si>
  <si>
    <t>PTA1</t>
  </si>
  <si>
    <t>Subunit of holo-CPF, a multiprotein complex and functional homolog of mammalian CPSF, required for the cleavage and polyadenylation of mRNA and snoRNA 3 ends, involved in pre-tRNA processing, binds to the phosphorylated CTD of RNAPII</t>
  </si>
  <si>
    <t>YAL042W</t>
  </si>
  <si>
    <t>ERV46</t>
  </si>
  <si>
    <t>Protein localized to COPII-coated vesicles, forms a complex with Erv41p, involved in the membrane fusion stage of transport</t>
  </si>
  <si>
    <t>YAL041W</t>
  </si>
  <si>
    <t>CDC24</t>
  </si>
  <si>
    <t>Guanine nucleotide exchange factor (GEF or GDP-release factor) for Cdc42p, required for polarity establishment and maintenance, and mutants have morphological defects in bud formation and shmooing</t>
  </si>
  <si>
    <t>YAL040C</t>
  </si>
  <si>
    <t>CLN3</t>
  </si>
  <si>
    <t>G1 cyclin involved in cell cycle progression, activates Cdc28p kinase to promote the G1 to S phase transition, plays a role in regulating transcription of the other G1 cyclins, CLN1 and CLN2, regulated by phosphorylation and proteolysis</t>
  </si>
  <si>
    <t>YAL039C</t>
  </si>
  <si>
    <t>CYC3</t>
  </si>
  <si>
    <t>Cytochrome c heme lyase (holocytochrome c synthase), attaches heme to apo-Cyc1p in the mitochondrial intermembrane space, human ortholog may have a role in microphthalmia with linear skin defects (MLS)</t>
  </si>
  <si>
    <t>YAL038W</t>
  </si>
  <si>
    <t>CDC19</t>
  </si>
  <si>
    <t>Pyruvate kinase, functions as a homotetramer in glycolysis to convert phosphoenolpyruvate to pyruvate, the input for aerobic (TCA cycle) or anaerobic (glucose fermentation) respiration</t>
  </si>
  <si>
    <t>YAL037W</t>
  </si>
  <si>
    <t>YAL037C-A</t>
  </si>
  <si>
    <t>YAL036C</t>
  </si>
  <si>
    <t>RBG1</t>
  </si>
  <si>
    <t>Member of the DRG family of GTP-binding proteins, interacts with translating ribosomes</t>
  </si>
  <si>
    <t>YAL035W</t>
  </si>
  <si>
    <t>FUN12</t>
  </si>
  <si>
    <t>GTPase, required for general translation initiation by promoting Met-tRNAiMet binding to ribosomes and ribosomal subunit joining, homolog of bacterial IF2</t>
  </si>
  <si>
    <t>YAL034W-A</t>
  </si>
  <si>
    <t>MTW1</t>
  </si>
  <si>
    <t>Essential component of the MIND kinetochore complex (Mtw1p Including Nnf1p-Nsl1p-Dsn1p) which joins kinetochore subunits contacting DNA to those contacting microtubules, critical to kinetochore assembly</t>
  </si>
  <si>
    <t>YAL034C</t>
  </si>
  <si>
    <t>FUN19</t>
  </si>
  <si>
    <t>YAL033W</t>
  </si>
  <si>
    <t>POP5</t>
  </si>
  <si>
    <t>YAL032C</t>
  </si>
  <si>
    <t>PRP45</t>
  </si>
  <si>
    <t>Ortholog of human transcriptional coactivator SKIP, can activate transcription of a reporter gene, interacts with splicing factors Prp22p and Prp46p</t>
  </si>
  <si>
    <t>YAL031C</t>
  </si>
  <si>
    <t>Cytoplasmic Glc7p-interacting protein, potential Cdc28p substrate</t>
  </si>
  <si>
    <t>YAL030W</t>
  </si>
  <si>
    <t>SNC1</t>
  </si>
  <si>
    <t>Vesicle membrane receptor protein (v-SNARE) involved in the fusion between Golgi-derived secretory vesicles with the plasma membrane, proposed to be involved in endocytosis, member of the synaptobrevinVAMP family of R-type v-SNARE proteins</t>
  </si>
  <si>
    <t>YAL029C</t>
  </si>
  <si>
    <t>MYO4</t>
  </si>
  <si>
    <t>One of two type V myosins, required for mother-specific HO expression, for the bud tip localization of ASH1 and IST2 mRNA, facilitates growth and orientation of ER tubules along with She3p</t>
  </si>
  <si>
    <t>YAL028W</t>
  </si>
  <si>
    <t>FRT2</t>
  </si>
  <si>
    <t>Tail-anchored endoplasmic reticulum membrane protein, interacts with homolog Frt1p but is not a substrate of calcineurin (unlike Frt1p), promotes growth in conditions of high Na+, alkaline pH, or cell wall stress, potential Cdc28p substrate</t>
  </si>
  <si>
    <t>YAL027W</t>
  </si>
  <si>
    <t>YAL026C</t>
  </si>
  <si>
    <t>DRS2</t>
  </si>
  <si>
    <t>Integral membrane Ca(2+)-ATPase, potential aminophospholipid translocase required to form a specific class of secretory vesicles that accumulate upon actin cytoskeleton disruption, mutation affects maturation of the 18S rRNA</t>
  </si>
  <si>
    <t>YAL025C</t>
  </si>
  <si>
    <t>MAK16</t>
  </si>
  <si>
    <t>Essential nuclear protein, constituent of 66S pre-ribosomal particles, required for normal concentration of free 60S ribosomal subunits, required for maintenance of M1 satellite double-stranded RNA of the L-A virus</t>
  </si>
  <si>
    <t>YAL024C</t>
  </si>
  <si>
    <t>LTE1</t>
  </si>
  <si>
    <t>Putative GDPGTP exchange factor required for mitotic exit at low temperatures, acts as a guanine nucleotide exchange factor (GEF) for Tem1p, which is a key regulator of mitotic exit, physically associates with Ras2p-GTP</t>
  </si>
  <si>
    <t>YAL023C</t>
  </si>
  <si>
    <t>PMT2</t>
  </si>
  <si>
    <t>Protein O-mannosyltransferase, transfers mannose residues from dolichyl phosphate-D-mannose to protein serinethreonine residues, acts in a complex with Pmt1p, can instead interact with Pmt5p in some conditions, target for new antifungals</t>
  </si>
  <si>
    <t>YAL022C</t>
  </si>
  <si>
    <t>FUN26</t>
  </si>
  <si>
    <t>Nucleoside transporter with broad nucleoside selectivity, localized to intracellular membranes</t>
  </si>
  <si>
    <t>YAL021C</t>
  </si>
  <si>
    <t>CCR4</t>
  </si>
  <si>
    <t>Component of the CCR4-NOT transcriptional complex, which is involved in regulation of gene expression, component of the major cytoplasmic deadenylase, which is involved in mRNA poly(A) tail shortening</t>
  </si>
  <si>
    <t>YAL020C</t>
  </si>
  <si>
    <t>ATS1</t>
  </si>
  <si>
    <t>Protein with a potential role in regulatory interactions between microtubules and the cell cycle, as suggested by genetic and physical interactions with Nap1p and genetic interactions with TUB1</t>
  </si>
  <si>
    <t>YAL019W</t>
  </si>
  <si>
    <t>FUN30</t>
  </si>
  <si>
    <t>Protein whose overexpression affects chromosome stability, potential Cdc28p substrate, homolog of Snf2p</t>
  </si>
  <si>
    <t>YAL018C</t>
  </si>
  <si>
    <t>YAL017W</t>
  </si>
  <si>
    <t>PSK1</t>
  </si>
  <si>
    <t>One of two (see also PSK2) PAS domain containing ST protein kinases, coordinately regulates protein synthesis and carbohydrate metabolism and storage in response to a unknown metabolite that reflects nutritional status</t>
  </si>
  <si>
    <t>YAL016W</t>
  </si>
  <si>
    <t>TPD3</t>
  </si>
  <si>
    <t>Regulatory subunit A of the heterotrimeric protein phosphatase 2A, which also contains regulatory subunit Cdc55p and either catalytic subunit Pph21p or Pph22p, required for cell morphogenesis and for transcription by RNA polymerase III</t>
  </si>
  <si>
    <t>YAL016C-B</t>
  </si>
  <si>
    <t>YAL015C</t>
  </si>
  <si>
    <t>NTG1</t>
  </si>
  <si>
    <t>DNA N-glycosylase and apurinicapyrimidinic (AP) lyase involved in base excision repair, localizes to the nucleus and mitochondrion</t>
  </si>
  <si>
    <t>YAL014C</t>
  </si>
  <si>
    <t>SYN8</t>
  </si>
  <si>
    <t>Endosomal SNARE related to mammalian syntaxin 8</t>
  </si>
  <si>
    <t>YAL013W</t>
  </si>
  <si>
    <t>DEP1</t>
  </si>
  <si>
    <t>Transcriptional modulator involved in the regulation of structural genes involved in phospholipid biosynthesis, also participates in regulation of metabolically unrelated genes as well as maintenance of mating efficiency and sporulation</t>
  </si>
  <si>
    <t>YAL012W</t>
  </si>
  <si>
    <t>CYS3</t>
  </si>
  <si>
    <t>Cystathionine gamma-lyase, catalyzes one of the two reactions involved in the transsulfuration pathway that yields cysteine from homocysteine with the intermediary formation of cystathionine,</t>
  </si>
  <si>
    <t>YAL011W</t>
  </si>
  <si>
    <t>SWC3</t>
  </si>
  <si>
    <t>Protein of unknown function, component of the Swr1p complex that incorporates Htz1p into chromatin, required for formation of nuclear-associated array of smooth endoplasmic reticulum known as karmellae</t>
  </si>
  <si>
    <t>YAL010C</t>
  </si>
  <si>
    <t>MDM10</t>
  </si>
  <si>
    <t>Subunit of the mitochondrial sorting and assembly machinery (SAM complex), has a role in assembly of the TOM complex, which mediates protein import through the outer membrane, required for normal mitochondrial morphology and inheritance</t>
  </si>
  <si>
    <t>YAL009W</t>
  </si>
  <si>
    <t>SPO7</t>
  </si>
  <si>
    <t>Integral nuclearER membrane protein of unknown function, required for normal nuclear envelope morphology and sporulation</t>
  </si>
  <si>
    <t>YAL008W</t>
  </si>
  <si>
    <t>FUN14</t>
  </si>
  <si>
    <t>YAL007C</t>
  </si>
  <si>
    <t>ERP2</t>
  </si>
  <si>
    <t>Protein that forms a heterotrimeric complex with Erp1p, Emp24p, and Erv25p, member, along with Emp24p and Erv25p, of the p24 family involved in ER to Golgi transport and localized to COPII-coated vesicles</t>
  </si>
  <si>
    <t>YAL005C</t>
  </si>
  <si>
    <t>YAL003W</t>
  </si>
  <si>
    <t>EFB1</t>
  </si>
  <si>
    <t>Translation elongation factor 1 beta, stimulates nucleotide exchange to regenerate EF-1 alpha-GTP for the next elongation cycle, part of the EF-1 complex, which facilitates binding of aminoacyl-tRNA to the ribosomal A site</t>
  </si>
  <si>
    <t>YAL002W</t>
  </si>
  <si>
    <t>VPS8</t>
  </si>
  <si>
    <t>Membrane-associated hydrophilic protein that interacts with the small GTPase, Vps21p, to facilitate soluble vacuolar protein localization, required for localization and trafficking of the CPY sorting receptor, contains a RING finger motif</t>
  </si>
  <si>
    <t>YAL001C</t>
  </si>
  <si>
    <t>TFC3</t>
  </si>
  <si>
    <t>Largest of six subunits of the RNA polymerase III transcription initiation factor complex (TFIIIC), part of the TauB domain of TFIIIC that binds DNA at the BoxB promoter sites of tRNA and similar genes, cooperates with Tfc6p in DNA binding</t>
  </si>
  <si>
    <t>ras2/wt</t>
  </si>
  <si>
    <t>tor1/wt</t>
  </si>
  <si>
    <t>sch9/wt</t>
  </si>
  <si>
    <t>Gene description</t>
  </si>
  <si>
    <t>SSA2</t>
  </si>
  <si>
    <t>SSA1</t>
  </si>
  <si>
    <t>FLO5</t>
  </si>
  <si>
    <t>FLO9</t>
  </si>
  <si>
    <t>FLO1</t>
  </si>
  <si>
    <t>PAU4</t>
  </si>
  <si>
    <t>PAU6</t>
  </si>
  <si>
    <t>PAU1</t>
  </si>
  <si>
    <t>PAU2</t>
  </si>
  <si>
    <t>DAN3</t>
  </si>
  <si>
    <t>MST27</t>
  </si>
  <si>
    <t>MST28</t>
  </si>
  <si>
    <t>PHO12</t>
  </si>
  <si>
    <t>PHO11</t>
  </si>
  <si>
    <t>IMD2</t>
  </si>
  <si>
    <t>IMD1</t>
  </si>
  <si>
    <t>RPL19B</t>
  </si>
  <si>
    <t>RPL19A</t>
  </si>
  <si>
    <t>RPS8B</t>
  </si>
  <si>
    <t>RPS8A</t>
  </si>
  <si>
    <t>PAU5</t>
  </si>
  <si>
    <t>YRF1-5</t>
  </si>
  <si>
    <t>YRF1-4</t>
  </si>
  <si>
    <t>YRF1-7</t>
  </si>
  <si>
    <t>YRF1-6</t>
  </si>
  <si>
    <t>YRF1-3</t>
  </si>
  <si>
    <t>YRF1-2</t>
  </si>
  <si>
    <t>YRF1-1</t>
  </si>
  <si>
    <t>HHF2</t>
  </si>
  <si>
    <t>HHF1</t>
  </si>
  <si>
    <t>HHT2</t>
  </si>
  <si>
    <t>HHT1</t>
  </si>
  <si>
    <t>RPL4A</t>
  </si>
  <si>
    <t>RPS11A</t>
  </si>
  <si>
    <t>RPS11B</t>
  </si>
  <si>
    <t>TEF1</t>
  </si>
  <si>
    <t>TEF2</t>
  </si>
  <si>
    <t>RPS6A</t>
  </si>
  <si>
    <t>RPS6B</t>
  </si>
  <si>
    <t>RPL21B</t>
  </si>
  <si>
    <t>RPL21A</t>
  </si>
  <si>
    <t>MAL12</t>
  </si>
  <si>
    <t>MAL32</t>
  </si>
  <si>
    <t>COS3</t>
  </si>
  <si>
    <t>COS2</t>
  </si>
  <si>
    <t>MATALPHA1</t>
  </si>
  <si>
    <t>HMLALPHA1</t>
  </si>
  <si>
    <t>RPS14B</t>
  </si>
  <si>
    <t>RPS14A</t>
  </si>
  <si>
    <t>HMRA2</t>
  </si>
  <si>
    <t>MATALPHA2</t>
  </si>
  <si>
    <t>HMLALPHA2</t>
  </si>
  <si>
    <t>AAD15</t>
  </si>
  <si>
    <t>AAD3</t>
  </si>
  <si>
    <t>RPS29A</t>
  </si>
  <si>
    <t>RPS29B</t>
  </si>
  <si>
    <t>RPL31B</t>
  </si>
  <si>
    <t>RPL31A</t>
  </si>
  <si>
    <t>RPL13B</t>
  </si>
  <si>
    <t>RPL13A</t>
  </si>
  <si>
    <t>RPL41A</t>
  </si>
  <si>
    <t>RPL41B</t>
  </si>
  <si>
    <t>RPL35A</t>
  </si>
  <si>
    <t>RPL35B</t>
  </si>
  <si>
    <t>SSB2</t>
  </si>
  <si>
    <t>SSB1</t>
  </si>
  <si>
    <t>AAD16</t>
  </si>
  <si>
    <t>AAD4</t>
  </si>
  <si>
    <t>THI12</t>
  </si>
  <si>
    <t>THI11</t>
  </si>
  <si>
    <t>THI5</t>
  </si>
  <si>
    <t>THI13</t>
  </si>
  <si>
    <t>HXT16</t>
  </si>
  <si>
    <t>HXT15</t>
  </si>
  <si>
    <t>SOR1</t>
  </si>
  <si>
    <t>SOR2</t>
  </si>
  <si>
    <t>COS5</t>
  </si>
  <si>
    <t>COS7</t>
  </si>
  <si>
    <t>ENA1</t>
  </si>
  <si>
    <t>ENA2</t>
  </si>
  <si>
    <t>ENA5</t>
  </si>
  <si>
    <t>HTA1</t>
  </si>
  <si>
    <t>HXT7</t>
  </si>
  <si>
    <t>HXT6</t>
  </si>
  <si>
    <t>EFT1</t>
  </si>
  <si>
    <t>EFT2</t>
  </si>
  <si>
    <t>RPL12A</t>
  </si>
  <si>
    <t>RPL12B</t>
  </si>
  <si>
    <t>SIP1</t>
  </si>
  <si>
    <t>DYN2</t>
  </si>
  <si>
    <t>RPS17A</t>
  </si>
  <si>
    <t>RPS17B</t>
  </si>
  <si>
    <t>RPS18B</t>
  </si>
  <si>
    <t>RPS18A</t>
  </si>
  <si>
    <t>HXT17</t>
  </si>
  <si>
    <t>HXT13</t>
  </si>
  <si>
    <t>RPS24B</t>
  </si>
  <si>
    <t>RPS24A</t>
  </si>
  <si>
    <t>SNZ2</t>
  </si>
  <si>
    <t>SNZ3</t>
  </si>
  <si>
    <t>SNO2</t>
  </si>
  <si>
    <t>SNO3</t>
  </si>
  <si>
    <t>COS1</t>
  </si>
  <si>
    <t>COS6</t>
  </si>
  <si>
    <t>COS4</t>
  </si>
  <si>
    <t>RPL2B</t>
  </si>
  <si>
    <t>RPL2A</t>
  </si>
  <si>
    <t>RPL7B</t>
  </si>
  <si>
    <t>RPL7A</t>
  </si>
  <si>
    <t>RPL1A</t>
  </si>
  <si>
    <t>RPL1B</t>
  </si>
  <si>
    <t>RPL9B</t>
  </si>
  <si>
    <t>RPL9A</t>
  </si>
  <si>
    <t>RPS25A</t>
  </si>
  <si>
    <t>RPL11A</t>
  </si>
  <si>
    <t>RPL11B</t>
  </si>
  <si>
    <t>RPS23B</t>
  </si>
  <si>
    <t>RPS23A</t>
  </si>
  <si>
    <t>TPO2</t>
  </si>
  <si>
    <t>TDH2</t>
  </si>
  <si>
    <t>TDH3</t>
  </si>
  <si>
    <t>ENO2</t>
  </si>
  <si>
    <t>ENO1</t>
  </si>
  <si>
    <t>RPL14A</t>
  </si>
  <si>
    <t>RPL14B</t>
  </si>
  <si>
    <t>RPL8B</t>
  </si>
  <si>
    <t>RPL8A</t>
  </si>
  <si>
    <t>DOG2</t>
  </si>
  <si>
    <t>CUP1-1</t>
  </si>
  <si>
    <t>CUP1-2</t>
  </si>
  <si>
    <t>RPL42A</t>
  </si>
  <si>
    <t>RPL42B</t>
  </si>
  <si>
    <t>RPS4A</t>
  </si>
  <si>
    <t>RPS4B</t>
  </si>
  <si>
    <t>RPL40B</t>
  </si>
  <si>
    <t>RPL40A</t>
  </si>
  <si>
    <t>VTH2</t>
  </si>
  <si>
    <t>VTH1</t>
  </si>
  <si>
    <t>TIF1</t>
  </si>
  <si>
    <t>TIF2</t>
  </si>
  <si>
    <t>RPL17A</t>
  </si>
  <si>
    <t>RPL17B</t>
  </si>
  <si>
    <t>HXT11</t>
  </si>
  <si>
    <t>HXT9</t>
  </si>
  <si>
    <t>HXT12</t>
  </si>
  <si>
    <t>ASP3-4</t>
  </si>
  <si>
    <t>ASP3-3</t>
  </si>
  <si>
    <t>ASP3-2</t>
  </si>
  <si>
    <t>ASP3-1</t>
  </si>
  <si>
    <t>RPS30B</t>
  </si>
  <si>
    <t>RPS30A</t>
  </si>
  <si>
    <t>RPS1B</t>
  </si>
  <si>
    <t>RPS1A</t>
  </si>
  <si>
    <t>HSC82</t>
  </si>
  <si>
    <t>HSP82</t>
  </si>
  <si>
    <t>RPS10B</t>
  </si>
  <si>
    <t>RPS10A</t>
  </si>
  <si>
    <t>SNO4</t>
  </si>
  <si>
    <t>HSP32</t>
  </si>
  <si>
    <t>HSP33</t>
  </si>
  <si>
    <t>ERR3</t>
  </si>
  <si>
    <t>ERR2</t>
  </si>
  <si>
    <t>ERR1</t>
  </si>
  <si>
    <t>POR1</t>
  </si>
  <si>
    <t>RPL18B</t>
  </si>
  <si>
    <t>RPL18A</t>
  </si>
  <si>
    <t>RPS19B</t>
  </si>
  <si>
    <t>RPS19A</t>
  </si>
  <si>
    <t>FDH2</t>
  </si>
  <si>
    <t>FDH1</t>
  </si>
  <si>
    <t>A</t>
  </si>
  <si>
    <t>B</t>
  </si>
  <si>
    <t>C</t>
  </si>
  <si>
    <t>D</t>
  </si>
  <si>
    <t>E</t>
  </si>
  <si>
    <t>F</t>
  </si>
  <si>
    <t>G</t>
  </si>
  <si>
    <t>H</t>
  </si>
  <si>
    <t>COUNT :</t>
  </si>
  <si>
    <t>Gene1</t>
  </si>
  <si>
    <t>Gene2</t>
  </si>
  <si>
    <t>Gene3</t>
  </si>
  <si>
    <t>Gene4</t>
  </si>
  <si>
    <t>Gene5</t>
  </si>
  <si>
    <t>Gene6</t>
  </si>
  <si>
    <t>Gene7</t>
  </si>
  <si>
    <t>#Cadidate</t>
  </si>
  <si>
    <t>Genes:</t>
  </si>
  <si>
    <t>YGL007W</t>
  </si>
  <si>
    <t>YNL296W</t>
  </si>
  <si>
    <t>GON3</t>
  </si>
  <si>
    <t>YOR013W</t>
  </si>
  <si>
    <t>YKL177W</t>
  </si>
  <si>
    <t>STC2</t>
  </si>
  <si>
    <t>YNL266W</t>
  </si>
  <si>
    <t>YET1</t>
  </si>
  <si>
    <t>YGR242W</t>
  </si>
  <si>
    <t>YDR433W</t>
  </si>
  <si>
    <t>FMO</t>
  </si>
  <si>
    <t>YPL062W</t>
  </si>
  <si>
    <t>YJL169W</t>
  </si>
  <si>
    <t>YOR240W</t>
  </si>
  <si>
    <t>YGR228W</t>
  </si>
  <si>
    <t>YBL062W</t>
  </si>
  <si>
    <t>YKR035C</t>
  </si>
  <si>
    <t>YDR199W</t>
  </si>
  <si>
    <t>YNL235C</t>
  </si>
  <si>
    <t>#Known</t>
  </si>
  <si>
    <t>Longivity</t>
  </si>
  <si>
    <t>sir2</t>
  </si>
  <si>
    <t>sir3</t>
  </si>
  <si>
    <t>sir4</t>
  </si>
  <si>
    <t>Sod1</t>
  </si>
  <si>
    <t>Sod2</t>
  </si>
  <si>
    <t>TLC1</t>
  </si>
  <si>
    <t>Ump1</t>
  </si>
  <si>
    <t>#Candidate Genes</t>
  </si>
  <si>
    <t>#Known Longivity Genes</t>
  </si>
  <si>
    <t>Genes</t>
  </si>
  <si>
    <t>Types</t>
  </si>
  <si>
    <t>Candidate Gene</t>
  </si>
  <si>
    <t>Known Longivity Gene</t>
  </si>
  <si>
    <t>Name</t>
  </si>
  <si>
    <t>Known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</si>
</sst>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4" x14ac:knownFonts="1">
    <font>
      <sz val="10"/>
      <name val="Arial"/>
    </font>
    <font>
      <sz val="10"/>
      <name val="Arial"/>
      <family val="2"/>
    </font>
    <font>
      <b/>
      <sz val="10"/>
      <name val="Arial"/>
      <family val="2"/>
    </font>
    <font>
      <sz val="8"/>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16" fontId="0" fillId="0" borderId="0" xfId="0" applyNumberFormat="1"/>
    <xf numFmtId="0" fontId="2" fillId="0" borderId="0" xfId="0" applyFont="1" applyAlignment="1">
      <alignment horizontal="center"/>
    </xf>
    <xf numFmtId="164" fontId="0" fillId="0" borderId="0" xfId="0" applyNumberFormat="1"/>
    <xf numFmtId="0" fontId="1" fillId="0" borderId="0" xfId="0" applyFont="1"/>
    <xf numFmtId="0" fontId="2" fillId="0" borderId="1" xfId="0" applyFont="1" applyBorder="1" applyAlignment="1">
      <alignment horizontal="center"/>
    </xf>
    <xf numFmtId="0" fontId="0" fillId="0" borderId="1" xfId="0" applyBorder="1"/>
    <xf numFmtId="16" fontId="0" fillId="0" borderId="1" xfId="0" applyNumberFormat="1" applyBorder="1"/>
    <xf numFmtId="0" fontId="1" fillId="0" borderId="1" xfId="0" applyFont="1" applyBorder="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36137-1EAA-4330-9EA6-AB1AB308BDD6}">
  <dimension ref="A1:O5668"/>
  <sheetViews>
    <sheetView tabSelected="1" workbookViewId="0">
      <pane ySplit="1" topLeftCell="A1707" activePane="bottomLeft" state="frozenSplit"/>
      <selection pane="bottomLeft" activeCell="D1726" sqref="D1726"/>
    </sheetView>
  </sheetViews>
  <sheetFormatPr defaultRowHeight="13.2" x14ac:dyDescent="0.25"/>
  <cols>
    <col min="1" max="1" width="11.6640625" bestFit="1" customWidth="1"/>
    <col min="2" max="8" width="13.33203125" customWidth="1"/>
    <col min="9" max="9" width="33.6640625" customWidth="1"/>
    <col min="10" max="10" width="7.6640625" bestFit="1" customWidth="1"/>
    <col min="11" max="11" width="7.44140625" bestFit="1" customWidth="1"/>
    <col min="12" max="12" width="7.109375" bestFit="1" customWidth="1"/>
  </cols>
  <sheetData>
    <row r="1" spans="1:12" s="2" customFormat="1" x14ac:dyDescent="0.25">
      <c r="A1" s="2" t="s">
        <v>942</v>
      </c>
      <c r="B1" s="2" t="s">
        <v>943</v>
      </c>
      <c r="I1" s="2" t="s">
        <v>14080</v>
      </c>
      <c r="J1" s="2" t="s">
        <v>14079</v>
      </c>
      <c r="K1" s="2" t="s">
        <v>14077</v>
      </c>
      <c r="L1" s="2" t="s">
        <v>14078</v>
      </c>
    </row>
    <row r="2" spans="1:12" x14ac:dyDescent="0.25">
      <c r="A2" t="s">
        <v>14074</v>
      </c>
      <c r="B2" t="s">
        <v>14075</v>
      </c>
      <c r="I2" t="s">
        <v>14076</v>
      </c>
      <c r="J2" s="3">
        <v>-0.33061109999999999</v>
      </c>
      <c r="K2" s="3">
        <v>-0.59174599999999999</v>
      </c>
      <c r="L2" s="3">
        <v>-0.40503450000000002</v>
      </c>
    </row>
    <row r="3" spans="1:12" x14ac:dyDescent="0.25">
      <c r="A3" t="s">
        <v>14071</v>
      </c>
      <c r="B3" t="s">
        <v>14072</v>
      </c>
      <c r="I3" t="s">
        <v>14073</v>
      </c>
      <c r="J3" s="3">
        <v>4.3376169999999999E-2</v>
      </c>
      <c r="K3" s="3">
        <v>-0.11373750000000001</v>
      </c>
      <c r="L3" s="3">
        <v>6.602213E-3</v>
      </c>
    </row>
    <row r="4" spans="1:12" x14ac:dyDescent="0.25">
      <c r="A4" t="s">
        <v>14068</v>
      </c>
      <c r="B4" t="s">
        <v>14069</v>
      </c>
      <c r="I4" t="s">
        <v>14070</v>
      </c>
      <c r="J4" s="3">
        <v>0.45742319999999997</v>
      </c>
      <c r="K4" s="3">
        <v>0.30514550000000001</v>
      </c>
      <c r="L4" s="3">
        <v>0.42568980000000001</v>
      </c>
    </row>
    <row r="5" spans="1:12" x14ac:dyDescent="0.25">
      <c r="A5" t="s">
        <v>14067</v>
      </c>
      <c r="B5" t="s">
        <v>14081</v>
      </c>
      <c r="C5" t="s">
        <v>14082</v>
      </c>
      <c r="I5" t="s">
        <v>6192</v>
      </c>
      <c r="J5" s="3">
        <v>0.40461609999999998</v>
      </c>
      <c r="K5" s="3">
        <v>0.52629720000000002</v>
      </c>
      <c r="L5" s="3">
        <v>0.54053320000000005</v>
      </c>
    </row>
    <row r="6" spans="1:12" x14ac:dyDescent="0.25">
      <c r="A6" t="s">
        <v>14064</v>
      </c>
      <c r="B6" t="s">
        <v>14065</v>
      </c>
      <c r="I6" t="s">
        <v>14066</v>
      </c>
      <c r="J6" s="3">
        <v>0.26113500000000001</v>
      </c>
      <c r="K6" s="3">
        <v>0.60997559999999995</v>
      </c>
      <c r="L6" s="3">
        <v>0.46830929999999998</v>
      </c>
    </row>
    <row r="7" spans="1:12" x14ac:dyDescent="0.25">
      <c r="A7" t="s">
        <v>14062</v>
      </c>
      <c r="B7" t="s">
        <v>14063</v>
      </c>
      <c r="I7" t="s">
        <v>1638</v>
      </c>
      <c r="J7" s="3">
        <v>0.28563569999999999</v>
      </c>
      <c r="K7" s="3">
        <v>0.76066619999999996</v>
      </c>
      <c r="L7" s="3">
        <v>0.44543539999999998</v>
      </c>
    </row>
    <row r="8" spans="1:12" x14ac:dyDescent="0.25">
      <c r="A8" t="s">
        <v>14059</v>
      </c>
      <c r="B8" t="s">
        <v>14060</v>
      </c>
      <c r="I8" t="s">
        <v>14061</v>
      </c>
      <c r="J8" s="3">
        <v>0.28165129999999999</v>
      </c>
      <c r="K8" s="3">
        <v>0.32948749999999999</v>
      </c>
      <c r="L8" s="3">
        <v>0.34871530000000001</v>
      </c>
    </row>
    <row r="9" spans="1:12" x14ac:dyDescent="0.25">
      <c r="A9" t="s">
        <v>14056</v>
      </c>
      <c r="B9" t="s">
        <v>14057</v>
      </c>
      <c r="I9" t="s">
        <v>14058</v>
      </c>
      <c r="J9" s="3">
        <v>-0.19045690000000001</v>
      </c>
      <c r="K9" s="3">
        <v>-0.1016729</v>
      </c>
      <c r="L9" s="3">
        <v>-1.7353799999999999E-4</v>
      </c>
    </row>
    <row r="10" spans="1:12" x14ac:dyDescent="0.25">
      <c r="A10" t="s">
        <v>14053</v>
      </c>
      <c r="B10" t="s">
        <v>14054</v>
      </c>
      <c r="I10" t="s">
        <v>14055</v>
      </c>
      <c r="J10" s="3">
        <v>-0.27722609999999998</v>
      </c>
      <c r="K10" s="3">
        <v>-0.56502920000000001</v>
      </c>
      <c r="L10" s="3">
        <v>-0.4100454</v>
      </c>
    </row>
    <row r="11" spans="1:12" x14ac:dyDescent="0.25">
      <c r="A11" t="s">
        <v>14050</v>
      </c>
      <c r="B11" t="s">
        <v>14051</v>
      </c>
      <c r="I11" t="s">
        <v>14052</v>
      </c>
      <c r="J11" s="3">
        <v>0.36290119999999998</v>
      </c>
      <c r="K11" s="3">
        <v>2.2893309999999998</v>
      </c>
      <c r="L11" s="3">
        <v>1.4637290000000001</v>
      </c>
    </row>
    <row r="12" spans="1:12" x14ac:dyDescent="0.25">
      <c r="A12" t="s">
        <v>14047</v>
      </c>
      <c r="B12" t="s">
        <v>14048</v>
      </c>
      <c r="I12" t="s">
        <v>14049</v>
      </c>
      <c r="J12" s="3">
        <v>0.27527610000000002</v>
      </c>
      <c r="K12" s="3">
        <v>4.7481479999999998E-3</v>
      </c>
      <c r="L12" s="3">
        <v>0.25374790000000003</v>
      </c>
    </row>
    <row r="13" spans="1:12" x14ac:dyDescent="0.25">
      <c r="A13" t="s">
        <v>14044</v>
      </c>
      <c r="B13" t="s">
        <v>14045</v>
      </c>
      <c r="I13" t="s">
        <v>14046</v>
      </c>
      <c r="J13" s="3">
        <v>0.48955979999999999</v>
      </c>
      <c r="K13" s="3">
        <v>0.63736979999999999</v>
      </c>
      <c r="L13" s="3">
        <v>0.44052449999999999</v>
      </c>
    </row>
    <row r="14" spans="1:12" x14ac:dyDescent="0.25">
      <c r="A14" t="s">
        <v>14041</v>
      </c>
      <c r="B14" t="s">
        <v>14042</v>
      </c>
      <c r="I14" t="s">
        <v>14043</v>
      </c>
      <c r="J14" s="3">
        <v>0.33146540000000002</v>
      </c>
      <c r="K14" s="3">
        <v>-0.33197890000000002</v>
      </c>
      <c r="L14" s="3">
        <v>5.3838450000000003E-2</v>
      </c>
    </row>
    <row r="15" spans="1:12" x14ac:dyDescent="0.25">
      <c r="A15" t="s">
        <v>14040</v>
      </c>
      <c r="B15" t="s">
        <v>957</v>
      </c>
      <c r="I15" t="s">
        <v>156</v>
      </c>
      <c r="J15" s="3">
        <v>-0.2296202</v>
      </c>
      <c r="K15" s="3">
        <v>-0.25955</v>
      </c>
      <c r="L15" s="3">
        <v>-0.16838069999999999</v>
      </c>
    </row>
    <row r="16" spans="1:12" x14ac:dyDescent="0.25">
      <c r="A16" t="s">
        <v>14037</v>
      </c>
      <c r="B16" t="s">
        <v>14038</v>
      </c>
      <c r="I16" t="s">
        <v>14039</v>
      </c>
      <c r="J16" s="3">
        <v>-0.13452410000000001</v>
      </c>
      <c r="K16" s="3">
        <v>-0.1092769</v>
      </c>
      <c r="L16" s="3">
        <v>-6.0149369999999997E-3</v>
      </c>
    </row>
    <row r="17" spans="1:12" x14ac:dyDescent="0.25">
      <c r="A17" t="s">
        <v>14034</v>
      </c>
      <c r="B17" t="s">
        <v>14035</v>
      </c>
      <c r="I17" t="s">
        <v>14036</v>
      </c>
      <c r="J17" s="3">
        <v>-0.30326629999999999</v>
      </c>
      <c r="K17" s="3">
        <v>-0.72964899999999999</v>
      </c>
      <c r="L17" s="3">
        <v>-0.40774539999999998</v>
      </c>
    </row>
    <row r="18" spans="1:12" x14ac:dyDescent="0.25">
      <c r="A18" t="s">
        <v>14033</v>
      </c>
      <c r="B18" t="s">
        <v>957</v>
      </c>
      <c r="I18" t="s">
        <v>455</v>
      </c>
      <c r="J18" s="3">
        <v>-0.39590219999999998</v>
      </c>
      <c r="K18" s="3">
        <v>5.8813030000000002E-2</v>
      </c>
      <c r="L18" s="3">
        <v>0.18541479999999999</v>
      </c>
    </row>
    <row r="19" spans="1:12" x14ac:dyDescent="0.25">
      <c r="A19" t="s">
        <v>14030</v>
      </c>
      <c r="B19" t="s">
        <v>14031</v>
      </c>
      <c r="I19" t="s">
        <v>14032</v>
      </c>
      <c r="J19" s="3">
        <v>-0.3434564</v>
      </c>
      <c r="K19" s="3">
        <v>-0.82054830000000001</v>
      </c>
      <c r="L19" s="3">
        <v>-0.65991390000000005</v>
      </c>
    </row>
    <row r="20" spans="1:12" x14ac:dyDescent="0.25">
      <c r="A20" t="s">
        <v>14027</v>
      </c>
      <c r="B20" t="s">
        <v>14028</v>
      </c>
      <c r="I20" t="s">
        <v>14029</v>
      </c>
      <c r="J20" s="3">
        <v>-0.2464681</v>
      </c>
      <c r="K20" s="3">
        <v>0.59446310000000002</v>
      </c>
      <c r="L20" s="3">
        <v>0.1259605</v>
      </c>
    </row>
    <row r="21" spans="1:12" x14ac:dyDescent="0.25">
      <c r="A21" t="s">
        <v>14024</v>
      </c>
      <c r="B21" t="s">
        <v>14025</v>
      </c>
      <c r="I21" t="s">
        <v>14026</v>
      </c>
      <c r="J21" s="3">
        <v>-0.1036328</v>
      </c>
      <c r="K21" s="3">
        <v>0.31508700000000001</v>
      </c>
      <c r="L21" s="3">
        <v>0.1071884</v>
      </c>
    </row>
    <row r="22" spans="1:12" x14ac:dyDescent="0.25">
      <c r="A22" t="s">
        <v>14021</v>
      </c>
      <c r="B22" t="s">
        <v>14022</v>
      </c>
      <c r="I22" t="s">
        <v>14023</v>
      </c>
      <c r="J22" s="3">
        <v>5.63525E-2</v>
      </c>
      <c r="K22" s="3">
        <v>0.67585090000000003</v>
      </c>
      <c r="L22" s="3">
        <v>7.7262330000000004E-2</v>
      </c>
    </row>
    <row r="23" spans="1:12" x14ac:dyDescent="0.25">
      <c r="A23" t="s">
        <v>14018</v>
      </c>
      <c r="B23" t="s">
        <v>14019</v>
      </c>
      <c r="I23" t="s">
        <v>14020</v>
      </c>
      <c r="J23" s="3">
        <v>-0.46767690000000001</v>
      </c>
      <c r="K23" s="3">
        <v>-5.1371689999999998E-2</v>
      </c>
      <c r="L23" s="3">
        <v>-0.13759650000000001</v>
      </c>
    </row>
    <row r="24" spans="1:12" x14ac:dyDescent="0.25">
      <c r="A24" t="s">
        <v>14015</v>
      </c>
      <c r="B24" t="s">
        <v>14016</v>
      </c>
      <c r="I24" t="s">
        <v>14017</v>
      </c>
      <c r="J24" s="3">
        <v>-0.11698500000000001</v>
      </c>
      <c r="K24" s="3">
        <v>-0.35838049999999999</v>
      </c>
      <c r="L24" s="3">
        <v>-9.9098350000000002E-2</v>
      </c>
    </row>
    <row r="25" spans="1:12" x14ac:dyDescent="0.25">
      <c r="A25" t="s">
        <v>14012</v>
      </c>
      <c r="B25" t="s">
        <v>14013</v>
      </c>
      <c r="I25" t="s">
        <v>14014</v>
      </c>
      <c r="J25" s="3">
        <v>-0.28545930000000003</v>
      </c>
      <c r="K25" s="3">
        <v>-0.25320239999999999</v>
      </c>
      <c r="L25" s="3">
        <v>-0.15524689999999999</v>
      </c>
    </row>
    <row r="26" spans="1:12" x14ac:dyDescent="0.25">
      <c r="A26" t="s">
        <v>14009</v>
      </c>
      <c r="B26" t="s">
        <v>14010</v>
      </c>
      <c r="I26" t="s">
        <v>14011</v>
      </c>
      <c r="J26" s="3">
        <v>0.47101159999999997</v>
      </c>
      <c r="K26" s="3">
        <v>0.20562939999999999</v>
      </c>
      <c r="L26" s="3">
        <v>0.35329470000000002</v>
      </c>
    </row>
    <row r="27" spans="1:12" x14ac:dyDescent="0.25">
      <c r="A27" t="s">
        <v>14008</v>
      </c>
      <c r="B27" t="s">
        <v>957</v>
      </c>
      <c r="I27" t="s">
        <v>455</v>
      </c>
      <c r="J27" s="3">
        <v>1.898064E-2</v>
      </c>
      <c r="K27" s="3">
        <v>-0.1467794</v>
      </c>
      <c r="L27" s="3">
        <v>0.3473019</v>
      </c>
    </row>
    <row r="28" spans="1:12" x14ac:dyDescent="0.25">
      <c r="A28" t="s">
        <v>14005</v>
      </c>
      <c r="B28" t="s">
        <v>14006</v>
      </c>
      <c r="I28" t="s">
        <v>14007</v>
      </c>
      <c r="J28" s="3">
        <v>0.20338030000000001</v>
      </c>
      <c r="K28" s="3">
        <v>0.62463550000000001</v>
      </c>
      <c r="L28" s="3">
        <v>0.52236850000000001</v>
      </c>
    </row>
    <row r="29" spans="1:12" x14ac:dyDescent="0.25">
      <c r="A29" t="s">
        <v>14002</v>
      </c>
      <c r="B29" t="s">
        <v>14003</v>
      </c>
      <c r="I29" t="s">
        <v>14004</v>
      </c>
      <c r="J29" s="3">
        <v>-0.239956</v>
      </c>
      <c r="K29" s="3">
        <v>-0.25302330000000001</v>
      </c>
      <c r="L29" s="3">
        <v>0.2624263</v>
      </c>
    </row>
    <row r="30" spans="1:12" x14ac:dyDescent="0.25">
      <c r="A30" t="s">
        <v>13999</v>
      </c>
      <c r="B30" t="s">
        <v>14000</v>
      </c>
      <c r="I30" t="s">
        <v>14001</v>
      </c>
      <c r="J30" s="3">
        <v>0.41156959999999998</v>
      </c>
      <c r="K30" s="3">
        <v>0.56379330000000005</v>
      </c>
      <c r="L30" s="3">
        <v>0.6906331</v>
      </c>
    </row>
    <row r="31" spans="1:12" x14ac:dyDescent="0.25">
      <c r="A31" t="s">
        <v>13997</v>
      </c>
      <c r="B31" t="s">
        <v>957</v>
      </c>
      <c r="I31" t="s">
        <v>13998</v>
      </c>
      <c r="J31" s="3">
        <v>0.29343180000000002</v>
      </c>
      <c r="K31" s="3">
        <v>0.2034617</v>
      </c>
      <c r="L31" s="3">
        <v>6.0433300000000002E-2</v>
      </c>
    </row>
    <row r="32" spans="1:12" x14ac:dyDescent="0.25">
      <c r="A32" t="s">
        <v>13994</v>
      </c>
      <c r="B32" t="s">
        <v>13995</v>
      </c>
      <c r="I32" t="s">
        <v>13996</v>
      </c>
      <c r="J32" s="3">
        <v>-2.326524E-2</v>
      </c>
      <c r="K32" s="3">
        <v>-0.56403890000000001</v>
      </c>
      <c r="L32" s="3">
        <v>-0.16570489999999999</v>
      </c>
    </row>
    <row r="33" spans="1:12" x14ac:dyDescent="0.25">
      <c r="A33" t="s">
        <v>13992</v>
      </c>
      <c r="B33" t="s">
        <v>13993</v>
      </c>
      <c r="I33" t="s">
        <v>2224</v>
      </c>
      <c r="J33" s="3">
        <v>-0.30357719999999999</v>
      </c>
      <c r="K33" s="3">
        <v>-0.31972139999999999</v>
      </c>
      <c r="L33" s="3">
        <v>5.6272429999999998E-2</v>
      </c>
    </row>
    <row r="34" spans="1:12" x14ac:dyDescent="0.25">
      <c r="A34" t="s">
        <v>13990</v>
      </c>
      <c r="B34" t="s">
        <v>13991</v>
      </c>
      <c r="I34" t="s">
        <v>1768</v>
      </c>
      <c r="J34" s="3">
        <v>0.30625000000000002</v>
      </c>
      <c r="K34" s="3">
        <v>0.19579389999999999</v>
      </c>
      <c r="L34" s="3">
        <v>0.384324</v>
      </c>
    </row>
    <row r="35" spans="1:12" x14ac:dyDescent="0.25">
      <c r="A35" t="s">
        <v>13987</v>
      </c>
      <c r="B35" t="s">
        <v>13988</v>
      </c>
      <c r="I35" t="s">
        <v>13989</v>
      </c>
      <c r="J35" s="3">
        <v>-7.9369090000000003E-2</v>
      </c>
      <c r="K35" s="3">
        <v>-0.57352619999999999</v>
      </c>
      <c r="L35" s="3">
        <v>0.119598</v>
      </c>
    </row>
    <row r="36" spans="1:12" x14ac:dyDescent="0.25">
      <c r="A36" t="s">
        <v>13984</v>
      </c>
      <c r="B36" t="s">
        <v>13985</v>
      </c>
      <c r="I36" t="s">
        <v>13986</v>
      </c>
      <c r="J36" s="3">
        <v>-0.26994030000000002</v>
      </c>
      <c r="K36" s="3">
        <v>-2.400557E-2</v>
      </c>
      <c r="L36" s="3">
        <v>-0.1247221</v>
      </c>
    </row>
    <row r="37" spans="1:12" x14ac:dyDescent="0.25">
      <c r="A37" t="s">
        <v>13981</v>
      </c>
      <c r="B37" t="s">
        <v>13982</v>
      </c>
      <c r="I37" t="s">
        <v>13983</v>
      </c>
      <c r="J37" s="3">
        <v>1.5552659999999999E-2</v>
      </c>
      <c r="K37" s="3">
        <v>0.58797969999999999</v>
      </c>
      <c r="L37" s="3">
        <v>-4.7013270000000003E-2</v>
      </c>
    </row>
    <row r="38" spans="1:12" x14ac:dyDescent="0.25">
      <c r="A38" t="s">
        <v>13980</v>
      </c>
      <c r="B38" t="s">
        <v>957</v>
      </c>
      <c r="I38" t="s">
        <v>2852</v>
      </c>
      <c r="J38" s="3">
        <v>1.73322</v>
      </c>
      <c r="K38" s="3">
        <v>2.9373610000000001</v>
      </c>
      <c r="L38" s="3">
        <v>1.0958289999999999</v>
      </c>
    </row>
    <row r="39" spans="1:12" x14ac:dyDescent="0.25">
      <c r="A39" t="s">
        <v>13979</v>
      </c>
      <c r="B39" t="s">
        <v>957</v>
      </c>
      <c r="I39" t="s">
        <v>455</v>
      </c>
      <c r="J39" s="3">
        <v>1.2029080000000001</v>
      </c>
      <c r="K39" s="3">
        <v>1.9872840000000001</v>
      </c>
      <c r="L39" s="3">
        <v>0.82344899999999999</v>
      </c>
    </row>
    <row r="40" spans="1:12" x14ac:dyDescent="0.25">
      <c r="A40" t="s">
        <v>13976</v>
      </c>
      <c r="B40" t="s">
        <v>13977</v>
      </c>
      <c r="I40" t="s">
        <v>13978</v>
      </c>
      <c r="J40" s="3">
        <v>0.54798860000000005</v>
      </c>
      <c r="K40" s="3">
        <v>0.69739549999999995</v>
      </c>
      <c r="L40" s="3">
        <v>0.75092970000000003</v>
      </c>
    </row>
    <row r="41" spans="1:12" x14ac:dyDescent="0.25">
      <c r="A41" t="s">
        <v>13973</v>
      </c>
      <c r="B41" t="s">
        <v>13974</v>
      </c>
      <c r="I41" t="s">
        <v>13975</v>
      </c>
      <c r="J41" s="3">
        <v>0.29860170000000003</v>
      </c>
      <c r="K41" s="3">
        <v>0.3323142</v>
      </c>
      <c r="L41" s="3">
        <v>0.30570819999999999</v>
      </c>
    </row>
    <row r="42" spans="1:12" x14ac:dyDescent="0.25">
      <c r="A42" t="s">
        <v>13970</v>
      </c>
      <c r="B42" t="s">
        <v>13971</v>
      </c>
      <c r="I42" t="s">
        <v>13972</v>
      </c>
      <c r="J42" s="3">
        <v>-0.19576940000000001</v>
      </c>
      <c r="K42" s="3">
        <v>0.27130029999999999</v>
      </c>
      <c r="L42" s="3">
        <v>-0.27269650000000001</v>
      </c>
    </row>
    <row r="43" spans="1:12" x14ac:dyDescent="0.25">
      <c r="A43" t="s">
        <v>13967</v>
      </c>
      <c r="B43" t="s">
        <v>13968</v>
      </c>
      <c r="I43" t="s">
        <v>13969</v>
      </c>
      <c r="J43" s="3">
        <v>-4.4257419999999999E-2</v>
      </c>
      <c r="K43" s="3">
        <v>-0.50506059999999997</v>
      </c>
      <c r="L43" s="3">
        <v>-0.3613015</v>
      </c>
    </row>
    <row r="44" spans="1:12" x14ac:dyDescent="0.25">
      <c r="A44" t="s">
        <v>13964</v>
      </c>
      <c r="B44" t="s">
        <v>13965</v>
      </c>
      <c r="I44" t="s">
        <v>13966</v>
      </c>
      <c r="J44" s="3">
        <v>0.2025044</v>
      </c>
      <c r="K44" s="3">
        <v>0.32446609999999998</v>
      </c>
      <c r="L44" s="3">
        <v>0.2601463</v>
      </c>
    </row>
    <row r="45" spans="1:12" x14ac:dyDescent="0.25">
      <c r="A45" t="s">
        <v>13961</v>
      </c>
      <c r="B45" t="s">
        <v>13962</v>
      </c>
      <c r="I45" t="s">
        <v>13963</v>
      </c>
      <c r="J45" s="3">
        <v>0.28348250000000003</v>
      </c>
      <c r="K45" s="3">
        <v>0.58597030000000006</v>
      </c>
      <c r="L45" s="3">
        <v>-6.1824329999999997E-2</v>
      </c>
    </row>
    <row r="46" spans="1:12" x14ac:dyDescent="0.25">
      <c r="A46" t="s">
        <v>13958</v>
      </c>
      <c r="B46" t="s">
        <v>13959</v>
      </c>
      <c r="I46" t="s">
        <v>13960</v>
      </c>
      <c r="J46" s="3">
        <v>0.26931690000000003</v>
      </c>
      <c r="K46" s="3">
        <v>-0.22015280000000001</v>
      </c>
      <c r="L46" s="3">
        <v>0.52952650000000001</v>
      </c>
    </row>
    <row r="47" spans="1:12" x14ac:dyDescent="0.25">
      <c r="A47" t="s">
        <v>13956</v>
      </c>
      <c r="B47" t="s">
        <v>957</v>
      </c>
      <c r="I47" t="s">
        <v>13957</v>
      </c>
      <c r="J47" s="3">
        <v>-7.8903669999999995E-2</v>
      </c>
      <c r="K47" s="3">
        <v>-5.7031E-3</v>
      </c>
      <c r="L47" s="3">
        <v>7.2713959999999994E-2</v>
      </c>
    </row>
    <row r="48" spans="1:12" x14ac:dyDescent="0.25">
      <c r="A48" t="s">
        <v>13955</v>
      </c>
      <c r="B48" t="s">
        <v>957</v>
      </c>
      <c r="I48" t="s">
        <v>455</v>
      </c>
      <c r="J48" s="3">
        <v>-0.89878080000000005</v>
      </c>
      <c r="K48" s="3">
        <v>-0.98391119999999999</v>
      </c>
      <c r="L48" s="3">
        <v>-0.77301580000000003</v>
      </c>
    </row>
    <row r="49" spans="1:12" x14ac:dyDescent="0.25">
      <c r="A49" t="s">
        <v>13952</v>
      </c>
      <c r="B49" t="s">
        <v>13953</v>
      </c>
      <c r="I49" t="s">
        <v>13954</v>
      </c>
      <c r="J49" s="3">
        <v>0.21294260000000001</v>
      </c>
      <c r="K49" s="3">
        <v>-3.0631740000000001E-2</v>
      </c>
      <c r="L49" s="3">
        <v>2.2902059999999998E-2</v>
      </c>
    </row>
    <row r="50" spans="1:12" x14ac:dyDescent="0.25">
      <c r="A50" t="s">
        <v>13949</v>
      </c>
      <c r="B50" t="s">
        <v>13950</v>
      </c>
      <c r="I50" t="s">
        <v>13951</v>
      </c>
      <c r="J50" s="3">
        <v>9.6276700000000007E-2</v>
      </c>
      <c r="K50" s="3">
        <v>4.467786E-2</v>
      </c>
      <c r="L50" s="3">
        <v>-0.1750352</v>
      </c>
    </row>
    <row r="51" spans="1:12" x14ac:dyDescent="0.25">
      <c r="A51" t="s">
        <v>13948</v>
      </c>
      <c r="B51" t="s">
        <v>957</v>
      </c>
      <c r="I51" t="s">
        <v>455</v>
      </c>
      <c r="J51" s="3">
        <v>0.1062647</v>
      </c>
      <c r="K51" s="3">
        <v>0.1998085</v>
      </c>
      <c r="L51" s="3">
        <v>0.182447</v>
      </c>
    </row>
    <row r="52" spans="1:12" x14ac:dyDescent="0.25">
      <c r="A52" t="s">
        <v>13945</v>
      </c>
      <c r="B52" t="s">
        <v>13946</v>
      </c>
      <c r="I52" t="s">
        <v>13947</v>
      </c>
      <c r="J52" s="3">
        <v>0.40466069999999998</v>
      </c>
      <c r="K52" s="3">
        <v>0.45295530000000001</v>
      </c>
      <c r="L52" s="3">
        <v>0.18241280000000001</v>
      </c>
    </row>
    <row r="53" spans="1:12" x14ac:dyDescent="0.25">
      <c r="A53" t="s">
        <v>13944</v>
      </c>
      <c r="B53" t="s">
        <v>957</v>
      </c>
      <c r="I53" t="s">
        <v>475</v>
      </c>
      <c r="J53" s="3">
        <v>0.40969139999999998</v>
      </c>
      <c r="K53" s="3">
        <v>0.15478990000000001</v>
      </c>
      <c r="L53" s="3">
        <v>0.1265628</v>
      </c>
    </row>
    <row r="54" spans="1:12" x14ac:dyDescent="0.25">
      <c r="A54" t="s">
        <v>13941</v>
      </c>
      <c r="B54" t="s">
        <v>13942</v>
      </c>
      <c r="I54" t="s">
        <v>13943</v>
      </c>
      <c r="J54" s="3">
        <v>-0.3212467</v>
      </c>
      <c r="K54" s="3">
        <v>-0.13419729999999999</v>
      </c>
      <c r="L54" s="3">
        <v>-0.36535970000000001</v>
      </c>
    </row>
    <row r="55" spans="1:12" x14ac:dyDescent="0.25">
      <c r="A55" t="s">
        <v>13938</v>
      </c>
      <c r="B55" t="s">
        <v>13939</v>
      </c>
      <c r="I55" t="s">
        <v>13940</v>
      </c>
      <c r="J55" s="3">
        <v>1.7303430000000002E-2</v>
      </c>
      <c r="K55" s="3">
        <v>-0.32511449999999997</v>
      </c>
      <c r="L55" s="3">
        <v>0.38600630000000002</v>
      </c>
    </row>
    <row r="56" spans="1:12" x14ac:dyDescent="0.25">
      <c r="A56" t="s">
        <v>13935</v>
      </c>
      <c r="B56" t="s">
        <v>13936</v>
      </c>
      <c r="I56" t="s">
        <v>13937</v>
      </c>
      <c r="J56" s="3">
        <v>-0.30939820000000001</v>
      </c>
      <c r="K56" s="3">
        <v>-0.98284530000000003</v>
      </c>
      <c r="L56" s="3">
        <v>-0.36832150000000002</v>
      </c>
    </row>
    <row r="57" spans="1:12" x14ac:dyDescent="0.25">
      <c r="A57" t="s">
        <v>13932</v>
      </c>
      <c r="B57" t="s">
        <v>13933</v>
      </c>
      <c r="I57" t="s">
        <v>13934</v>
      </c>
      <c r="J57" s="3">
        <v>0.31353180000000003</v>
      </c>
      <c r="K57" s="3">
        <v>0.73004780000000002</v>
      </c>
      <c r="L57" s="3">
        <v>0.34651539999999997</v>
      </c>
    </row>
    <row r="58" spans="1:12" x14ac:dyDescent="0.25">
      <c r="A58" t="s">
        <v>13929</v>
      </c>
      <c r="B58" t="s">
        <v>13930</v>
      </c>
      <c r="I58" t="s">
        <v>13931</v>
      </c>
      <c r="J58" s="3">
        <v>0.17920749999999999</v>
      </c>
      <c r="K58" s="3">
        <v>0.46112969999999998</v>
      </c>
      <c r="L58" s="3">
        <v>0.50705420000000001</v>
      </c>
    </row>
    <row r="59" spans="1:12" x14ac:dyDescent="0.25">
      <c r="A59" t="s">
        <v>13926</v>
      </c>
      <c r="B59" t="s">
        <v>13927</v>
      </c>
      <c r="I59" t="s">
        <v>13928</v>
      </c>
      <c r="J59" s="3">
        <v>-0.36156280000000002</v>
      </c>
      <c r="K59" s="3">
        <v>-0.20185359999999999</v>
      </c>
      <c r="L59" s="3">
        <v>-0.2866783</v>
      </c>
    </row>
    <row r="60" spans="1:12" x14ac:dyDescent="0.25">
      <c r="A60" t="s">
        <v>13924</v>
      </c>
      <c r="B60" t="s">
        <v>957</v>
      </c>
      <c r="I60" t="s">
        <v>13925</v>
      </c>
      <c r="J60" s="3">
        <v>0.13689660000000001</v>
      </c>
      <c r="K60" s="3">
        <v>0.17916029999999999</v>
      </c>
      <c r="L60" s="3">
        <v>2.268152E-2</v>
      </c>
    </row>
    <row r="61" spans="1:12" x14ac:dyDescent="0.25">
      <c r="A61" t="s">
        <v>13921</v>
      </c>
      <c r="B61" t="s">
        <v>13922</v>
      </c>
      <c r="I61" t="s">
        <v>13923</v>
      </c>
      <c r="J61" s="3">
        <v>0.14787349999999999</v>
      </c>
      <c r="K61" s="3">
        <v>0.32571820000000001</v>
      </c>
      <c r="L61" s="3">
        <v>-2.448432E-2</v>
      </c>
    </row>
    <row r="62" spans="1:12" x14ac:dyDescent="0.25">
      <c r="A62" t="s">
        <v>13919</v>
      </c>
      <c r="B62" t="s">
        <v>14083</v>
      </c>
      <c r="C62" t="s">
        <v>14084</v>
      </c>
      <c r="D62" t="s">
        <v>14085</v>
      </c>
      <c r="I62" t="s">
        <v>13920</v>
      </c>
      <c r="J62" s="3">
        <v>-8.6773349999999999E-2</v>
      </c>
      <c r="K62" s="3">
        <v>0.474296</v>
      </c>
      <c r="L62" s="3">
        <v>0.10422480000000001</v>
      </c>
    </row>
    <row r="63" spans="1:12" x14ac:dyDescent="0.25">
      <c r="A63" t="s">
        <v>13918</v>
      </c>
      <c r="B63" t="s">
        <v>957</v>
      </c>
      <c r="I63" t="s">
        <v>1207</v>
      </c>
      <c r="J63" s="3">
        <v>-0.2138284</v>
      </c>
      <c r="K63" s="3">
        <v>1.052111</v>
      </c>
      <c r="L63" s="3">
        <v>0.32488470000000003</v>
      </c>
    </row>
    <row r="64" spans="1:12" x14ac:dyDescent="0.25">
      <c r="A64" t="s">
        <v>13917</v>
      </c>
      <c r="B64" t="s">
        <v>957</v>
      </c>
      <c r="I64" t="s">
        <v>455</v>
      </c>
      <c r="J64" s="3">
        <v>-0.1279343</v>
      </c>
      <c r="K64" s="3">
        <v>9.9686819999999995E-2</v>
      </c>
      <c r="L64" s="3">
        <v>-3.509193E-2</v>
      </c>
    </row>
    <row r="65" spans="1:12" x14ac:dyDescent="0.25">
      <c r="A65" t="s">
        <v>13916</v>
      </c>
      <c r="B65" t="s">
        <v>957</v>
      </c>
      <c r="I65" t="s">
        <v>455</v>
      </c>
      <c r="J65" s="3">
        <v>-0.1943685</v>
      </c>
      <c r="K65" s="3">
        <v>-0.15664629999999999</v>
      </c>
      <c r="L65" s="3">
        <v>-0.150287</v>
      </c>
    </row>
    <row r="66" spans="1:12" x14ac:dyDescent="0.25">
      <c r="A66" t="s">
        <v>13915</v>
      </c>
      <c r="B66" t="s">
        <v>957</v>
      </c>
      <c r="I66" t="s">
        <v>455</v>
      </c>
      <c r="J66" s="3">
        <v>-0.44618069999999999</v>
      </c>
      <c r="K66" s="3">
        <v>-0.16299279999999999</v>
      </c>
      <c r="L66" s="3">
        <v>-0.4600532</v>
      </c>
    </row>
    <row r="67" spans="1:12" x14ac:dyDescent="0.25">
      <c r="A67" t="s">
        <v>13914</v>
      </c>
      <c r="B67" t="s">
        <v>957</v>
      </c>
      <c r="I67" t="s">
        <v>455</v>
      </c>
      <c r="J67" s="3">
        <v>-0.6079561</v>
      </c>
      <c r="K67" s="3">
        <v>-0.4641998</v>
      </c>
      <c r="L67" s="3">
        <v>-0.41855360000000003</v>
      </c>
    </row>
    <row r="68" spans="1:12" x14ac:dyDescent="0.25">
      <c r="A68" t="s">
        <v>13911</v>
      </c>
      <c r="B68" t="s">
        <v>13912</v>
      </c>
      <c r="I68" t="s">
        <v>13913</v>
      </c>
      <c r="J68" s="3">
        <v>-0.20419329999999999</v>
      </c>
      <c r="K68" s="3">
        <v>1.5210189999999999</v>
      </c>
      <c r="L68" s="3">
        <v>0.58048010000000005</v>
      </c>
    </row>
    <row r="69" spans="1:12" x14ac:dyDescent="0.25">
      <c r="A69" t="s">
        <v>13910</v>
      </c>
      <c r="B69" t="s">
        <v>957</v>
      </c>
      <c r="I69" t="s">
        <v>2944</v>
      </c>
      <c r="J69" s="3">
        <v>3.2199150000000003E-2</v>
      </c>
      <c r="K69" s="3">
        <v>0.46612680000000001</v>
      </c>
      <c r="L69" s="3">
        <v>0.1737204</v>
      </c>
    </row>
    <row r="70" spans="1:12" x14ac:dyDescent="0.25">
      <c r="A70" t="s">
        <v>13909</v>
      </c>
      <c r="B70" t="s">
        <v>14086</v>
      </c>
      <c r="C70" t="s">
        <v>14087</v>
      </c>
      <c r="D70" t="s">
        <v>14088</v>
      </c>
      <c r="E70" t="s">
        <v>14089</v>
      </c>
      <c r="F70" t="s">
        <v>14090</v>
      </c>
      <c r="I70" t="s">
        <v>5044</v>
      </c>
      <c r="J70" s="3">
        <v>-0.39695550000000002</v>
      </c>
      <c r="K70" s="3">
        <v>0.25007659999999998</v>
      </c>
      <c r="L70" s="3">
        <v>0.31039230000000001</v>
      </c>
    </row>
    <row r="71" spans="1:12" x14ac:dyDescent="0.25">
      <c r="A71" t="s">
        <v>13906</v>
      </c>
      <c r="B71" t="s">
        <v>13907</v>
      </c>
      <c r="I71" t="s">
        <v>13908</v>
      </c>
      <c r="J71" s="3">
        <v>-4.7721370000000001E-3</v>
      </c>
      <c r="K71" s="3">
        <v>0.36885059999999997</v>
      </c>
      <c r="L71" s="3">
        <v>0.19900599999999999</v>
      </c>
    </row>
    <row r="72" spans="1:12" x14ac:dyDescent="0.25">
      <c r="A72" t="s">
        <v>13903</v>
      </c>
      <c r="B72" t="s">
        <v>13904</v>
      </c>
      <c r="I72" t="s">
        <v>13905</v>
      </c>
      <c r="J72" s="3">
        <v>-0.29232089999999999</v>
      </c>
      <c r="K72" s="3">
        <v>-9.0412199999999998E-2</v>
      </c>
      <c r="L72" s="3">
        <v>-0.17132510000000001</v>
      </c>
    </row>
    <row r="73" spans="1:12" x14ac:dyDescent="0.25">
      <c r="A73" t="s">
        <v>13900</v>
      </c>
      <c r="B73" t="s">
        <v>13901</v>
      </c>
      <c r="I73" t="s">
        <v>13902</v>
      </c>
      <c r="J73" s="3">
        <v>-7.463264E-2</v>
      </c>
      <c r="K73" s="3">
        <v>-5.2728890000000002E-3</v>
      </c>
      <c r="L73" s="3">
        <v>-0.147948</v>
      </c>
    </row>
    <row r="74" spans="1:12" x14ac:dyDescent="0.25">
      <c r="A74" t="s">
        <v>13898</v>
      </c>
      <c r="B74" t="s">
        <v>13899</v>
      </c>
      <c r="I74" t="s">
        <v>3200</v>
      </c>
      <c r="J74" s="3">
        <v>-0.62208470000000005</v>
      </c>
      <c r="K74" s="3">
        <v>-0.85576390000000002</v>
      </c>
      <c r="L74" s="3">
        <v>-0.55576599999999998</v>
      </c>
    </row>
    <row r="75" spans="1:12" x14ac:dyDescent="0.25">
      <c r="A75" t="s">
        <v>13895</v>
      </c>
      <c r="B75" t="s">
        <v>13896</v>
      </c>
      <c r="I75" t="s">
        <v>13897</v>
      </c>
      <c r="J75" s="3">
        <v>1.6302919999999999E-2</v>
      </c>
      <c r="K75" s="3">
        <v>-0.50117199999999995</v>
      </c>
      <c r="L75" s="3">
        <v>0.33104860000000003</v>
      </c>
    </row>
    <row r="76" spans="1:12" x14ac:dyDescent="0.25">
      <c r="A76" t="s">
        <v>13893</v>
      </c>
      <c r="B76" t="s">
        <v>957</v>
      </c>
      <c r="I76" t="s">
        <v>13894</v>
      </c>
      <c r="J76" s="3">
        <v>-1.3703080000000001</v>
      </c>
      <c r="K76" s="3">
        <v>-0.98593240000000004</v>
      </c>
      <c r="L76" s="3">
        <v>-0.69307660000000004</v>
      </c>
    </row>
    <row r="77" spans="1:12" x14ac:dyDescent="0.25">
      <c r="A77" t="s">
        <v>13891</v>
      </c>
      <c r="B77" t="s">
        <v>957</v>
      </c>
      <c r="I77" t="s">
        <v>13892</v>
      </c>
      <c r="J77" s="3">
        <v>-0.51236910000000002</v>
      </c>
      <c r="K77" s="3">
        <v>-0.66825710000000005</v>
      </c>
      <c r="L77" s="3">
        <v>-0.57177169999999999</v>
      </c>
    </row>
    <row r="78" spans="1:12" x14ac:dyDescent="0.25">
      <c r="A78" t="s">
        <v>13889</v>
      </c>
      <c r="B78" t="s">
        <v>13890</v>
      </c>
      <c r="I78" t="s">
        <v>2383</v>
      </c>
      <c r="J78" s="3">
        <v>-0.50713200000000003</v>
      </c>
      <c r="K78" s="3">
        <v>-0.98404139999999996</v>
      </c>
      <c r="L78" s="3">
        <v>-0.43195030000000001</v>
      </c>
    </row>
    <row r="79" spans="1:12" x14ac:dyDescent="0.25">
      <c r="A79" t="s">
        <v>13886</v>
      </c>
      <c r="B79" t="s">
        <v>13887</v>
      </c>
      <c r="I79" t="s">
        <v>13888</v>
      </c>
      <c r="J79" s="3">
        <v>0.26331529999999997</v>
      </c>
      <c r="K79" s="3">
        <v>-0.115271</v>
      </c>
      <c r="L79" s="3">
        <v>0.75286120000000001</v>
      </c>
    </row>
    <row r="80" spans="1:12" x14ac:dyDescent="0.25">
      <c r="A80" t="s">
        <v>13884</v>
      </c>
      <c r="B80" t="s">
        <v>13885</v>
      </c>
      <c r="I80" t="s">
        <v>864</v>
      </c>
      <c r="J80" s="3">
        <v>-0.21547469999999999</v>
      </c>
      <c r="K80" s="3">
        <v>-7.3699329999999993E-2</v>
      </c>
      <c r="L80" s="3">
        <v>0.12847620000000001</v>
      </c>
    </row>
    <row r="81" spans="1:12" x14ac:dyDescent="0.25">
      <c r="A81" t="s">
        <v>13881</v>
      </c>
      <c r="B81" t="s">
        <v>13882</v>
      </c>
      <c r="I81" t="s">
        <v>13883</v>
      </c>
      <c r="J81" s="3">
        <v>-1.6956820000000001E-2</v>
      </c>
      <c r="K81" s="3">
        <v>0.14820220000000001</v>
      </c>
      <c r="L81" s="3">
        <v>-6.9000859999999997E-2</v>
      </c>
    </row>
    <row r="82" spans="1:12" x14ac:dyDescent="0.25">
      <c r="A82" t="s">
        <v>13878</v>
      </c>
      <c r="B82" t="s">
        <v>13879</v>
      </c>
      <c r="I82" t="s">
        <v>13880</v>
      </c>
      <c r="J82" s="3">
        <v>-3.8123659999999997E-2</v>
      </c>
      <c r="K82" s="3">
        <v>0.43803589999999998</v>
      </c>
      <c r="L82" s="3">
        <v>0.28735929999999998</v>
      </c>
    </row>
    <row r="83" spans="1:12" x14ac:dyDescent="0.25">
      <c r="A83" t="s">
        <v>13877</v>
      </c>
      <c r="B83" t="s">
        <v>957</v>
      </c>
      <c r="I83" t="s">
        <v>13532</v>
      </c>
      <c r="J83" s="3">
        <v>0.1509827</v>
      </c>
      <c r="K83" s="3">
        <v>0.69026679999999996</v>
      </c>
      <c r="L83" s="3">
        <v>0.25121110000000002</v>
      </c>
    </row>
    <row r="84" spans="1:12" x14ac:dyDescent="0.25">
      <c r="A84" t="s">
        <v>13874</v>
      </c>
      <c r="B84" t="s">
        <v>13875</v>
      </c>
      <c r="I84" t="s">
        <v>13876</v>
      </c>
      <c r="J84" s="3">
        <v>0.1536197</v>
      </c>
      <c r="K84" s="3">
        <v>1.115771E-2</v>
      </c>
      <c r="L84" s="3">
        <v>6.7565990000000006E-2</v>
      </c>
    </row>
    <row r="85" spans="1:12" x14ac:dyDescent="0.25">
      <c r="A85" t="s">
        <v>13873</v>
      </c>
      <c r="B85" t="s">
        <v>957</v>
      </c>
      <c r="I85" t="s">
        <v>13532</v>
      </c>
      <c r="J85" s="3">
        <v>6.8942580000000003E-3</v>
      </c>
      <c r="K85" s="3">
        <v>-3.2886169999999999E-2</v>
      </c>
      <c r="L85" s="3">
        <v>2.5925150000000001E-2</v>
      </c>
    </row>
    <row r="86" spans="1:12" x14ac:dyDescent="0.25">
      <c r="A86" t="s">
        <v>13871</v>
      </c>
      <c r="B86" t="s">
        <v>957</v>
      </c>
      <c r="I86" t="s">
        <v>13872</v>
      </c>
      <c r="J86" s="3">
        <v>2.7040249999999998E-2</v>
      </c>
      <c r="K86" s="3">
        <v>0.25494929999999999</v>
      </c>
      <c r="L86" s="3">
        <v>-4.6227310000000001E-2</v>
      </c>
    </row>
    <row r="87" spans="1:12" x14ac:dyDescent="0.25">
      <c r="A87" t="s">
        <v>13868</v>
      </c>
      <c r="B87" t="s">
        <v>13869</v>
      </c>
      <c r="I87" t="s">
        <v>13870</v>
      </c>
      <c r="J87" s="3">
        <v>5.8188719999999999E-2</v>
      </c>
      <c r="K87" s="3">
        <v>-4.3854299999999999E-2</v>
      </c>
      <c r="L87" s="3">
        <v>3.3897330000000003E-2</v>
      </c>
    </row>
    <row r="88" spans="1:12" x14ac:dyDescent="0.25">
      <c r="A88" t="s">
        <v>13867</v>
      </c>
      <c r="B88" t="s">
        <v>14091</v>
      </c>
      <c r="C88" t="s">
        <v>14092</v>
      </c>
      <c r="I88" t="s">
        <v>9069</v>
      </c>
      <c r="J88" s="3">
        <v>0.1487839</v>
      </c>
      <c r="K88" s="3">
        <v>0.24404580000000001</v>
      </c>
      <c r="L88" s="3">
        <v>9.7944020000000007E-2</v>
      </c>
    </row>
    <row r="89" spans="1:12" x14ac:dyDescent="0.25">
      <c r="A89" t="s">
        <v>13866</v>
      </c>
      <c r="B89" t="s">
        <v>957</v>
      </c>
      <c r="I89" t="s">
        <v>453</v>
      </c>
      <c r="J89" s="3">
        <v>8.0945119999999995E-2</v>
      </c>
      <c r="K89" s="3">
        <v>-3.587767E-2</v>
      </c>
      <c r="L89" s="3">
        <v>3.03263E-2</v>
      </c>
    </row>
    <row r="90" spans="1:12" x14ac:dyDescent="0.25">
      <c r="A90" t="s">
        <v>13863</v>
      </c>
      <c r="B90" t="s">
        <v>13864</v>
      </c>
      <c r="I90" t="s">
        <v>13865</v>
      </c>
      <c r="J90" s="3">
        <v>-4.964793E-2</v>
      </c>
      <c r="K90" s="3">
        <v>-4.7926209999999997E-2</v>
      </c>
      <c r="L90" s="3">
        <v>-2.9239600000000001E-2</v>
      </c>
    </row>
    <row r="91" spans="1:12" x14ac:dyDescent="0.25">
      <c r="A91" t="s">
        <v>13860</v>
      </c>
      <c r="B91" t="s">
        <v>13861</v>
      </c>
      <c r="I91" t="s">
        <v>13862</v>
      </c>
      <c r="J91" s="3">
        <v>8.2747249999999994E-2</v>
      </c>
      <c r="K91" s="3">
        <v>4.2578030000000003E-2</v>
      </c>
      <c r="L91" s="3">
        <v>3.1034409999999998E-2</v>
      </c>
    </row>
    <row r="92" spans="1:12" x14ac:dyDescent="0.25">
      <c r="A92" t="s">
        <v>13858</v>
      </c>
      <c r="B92" t="s">
        <v>14084</v>
      </c>
      <c r="C92" t="s">
        <v>14085</v>
      </c>
      <c r="I92" t="s">
        <v>13859</v>
      </c>
      <c r="J92" s="3">
        <v>6.7006049999999998E-2</v>
      </c>
      <c r="K92" s="3">
        <v>1.032076</v>
      </c>
      <c r="L92" s="3">
        <v>0.2451478</v>
      </c>
    </row>
    <row r="93" spans="1:12" x14ac:dyDescent="0.25">
      <c r="A93" t="s">
        <v>13857</v>
      </c>
      <c r="B93" t="s">
        <v>957</v>
      </c>
      <c r="I93" t="s">
        <v>8350</v>
      </c>
      <c r="J93" s="3">
        <v>-0.28433940000000002</v>
      </c>
      <c r="K93" s="3">
        <v>-0.18715190000000001</v>
      </c>
      <c r="L93" s="3">
        <v>-0.21872810000000001</v>
      </c>
    </row>
    <row r="94" spans="1:12" x14ac:dyDescent="0.25">
      <c r="A94" t="s">
        <v>13855</v>
      </c>
      <c r="B94" t="s">
        <v>957</v>
      </c>
      <c r="I94" t="s">
        <v>13856</v>
      </c>
      <c r="J94" s="3">
        <v>0.2367592</v>
      </c>
      <c r="K94" s="3">
        <v>0.19973109999999999</v>
      </c>
      <c r="L94" s="3">
        <v>0.2826611</v>
      </c>
    </row>
    <row r="95" spans="1:12" x14ac:dyDescent="0.25">
      <c r="A95" t="s">
        <v>13853</v>
      </c>
      <c r="B95" t="s">
        <v>957</v>
      </c>
      <c r="I95" t="s">
        <v>13854</v>
      </c>
      <c r="J95" s="3">
        <v>-4.6149740000000002E-2</v>
      </c>
      <c r="K95" s="3">
        <v>-1.0058309999999999</v>
      </c>
      <c r="L95" s="3">
        <v>0.2178891</v>
      </c>
    </row>
    <row r="96" spans="1:12" x14ac:dyDescent="0.25">
      <c r="A96" t="s">
        <v>13851</v>
      </c>
      <c r="B96" t="s">
        <v>14093</v>
      </c>
      <c r="C96" t="s">
        <v>14094</v>
      </c>
      <c r="I96" t="s">
        <v>13852</v>
      </c>
      <c r="J96" s="3">
        <v>0.80626169999999997</v>
      </c>
      <c r="K96" s="3">
        <v>1.1897470000000001</v>
      </c>
      <c r="L96" s="3">
        <v>0.89836899999999997</v>
      </c>
    </row>
    <row r="97" spans="1:12" x14ac:dyDescent="0.25">
      <c r="A97" t="s">
        <v>13850</v>
      </c>
      <c r="B97" t="s">
        <v>14095</v>
      </c>
      <c r="C97" t="s">
        <v>14096</v>
      </c>
      <c r="I97" t="s">
        <v>8344</v>
      </c>
      <c r="J97" s="3">
        <v>-0.33532679999999998</v>
      </c>
      <c r="K97" s="3">
        <v>-9.0246699999999999E-2</v>
      </c>
      <c r="L97" s="3">
        <v>9.8133520000000002E-2</v>
      </c>
    </row>
    <row r="98" spans="1:12" x14ac:dyDescent="0.25">
      <c r="A98" t="s">
        <v>13848</v>
      </c>
      <c r="B98" t="s">
        <v>4061</v>
      </c>
      <c r="C98" t="s">
        <v>14095</v>
      </c>
      <c r="D98" t="s">
        <v>14096</v>
      </c>
      <c r="I98" t="s">
        <v>13849</v>
      </c>
      <c r="J98" s="3">
        <v>5.4751420000000002E-2</v>
      </c>
      <c r="K98" s="3">
        <v>0.27454519999999999</v>
      </c>
      <c r="L98" s="3">
        <v>0.2422639</v>
      </c>
    </row>
    <row r="99" spans="1:12" x14ac:dyDescent="0.25">
      <c r="A99" t="s">
        <v>13845</v>
      </c>
      <c r="B99" t="s">
        <v>13846</v>
      </c>
      <c r="I99" t="s">
        <v>13847</v>
      </c>
      <c r="J99" s="3">
        <v>0.12709880000000001</v>
      </c>
      <c r="K99" s="3">
        <v>0.1930974</v>
      </c>
      <c r="L99" s="3">
        <v>0.25531949999999998</v>
      </c>
    </row>
    <row r="100" spans="1:12" x14ac:dyDescent="0.25">
      <c r="A100" t="s">
        <v>13842</v>
      </c>
      <c r="B100" t="s">
        <v>13843</v>
      </c>
      <c r="I100" t="s">
        <v>13844</v>
      </c>
      <c r="J100" s="3">
        <v>0.3185578</v>
      </c>
      <c r="K100" s="3">
        <v>0.48919439999999997</v>
      </c>
      <c r="L100" s="3">
        <v>0.43351590000000001</v>
      </c>
    </row>
    <row r="101" spans="1:12" x14ac:dyDescent="0.25">
      <c r="A101" t="s">
        <v>13839</v>
      </c>
      <c r="B101" t="s">
        <v>13840</v>
      </c>
      <c r="I101" t="s">
        <v>13841</v>
      </c>
      <c r="J101" s="3">
        <v>0.27401779999999998</v>
      </c>
      <c r="K101" s="3">
        <v>-2.364838E-2</v>
      </c>
      <c r="L101" s="3">
        <v>0.27944720000000001</v>
      </c>
    </row>
    <row r="102" spans="1:12" x14ac:dyDescent="0.25">
      <c r="A102" t="s">
        <v>13836</v>
      </c>
      <c r="B102" t="s">
        <v>13837</v>
      </c>
      <c r="I102" t="s">
        <v>13838</v>
      </c>
      <c r="J102" s="3">
        <v>-0.24499270000000001</v>
      </c>
      <c r="K102" s="3">
        <v>-1.024186</v>
      </c>
      <c r="L102" s="3">
        <v>-0.36048809999999998</v>
      </c>
    </row>
    <row r="103" spans="1:12" x14ac:dyDescent="0.25">
      <c r="A103" t="s">
        <v>13833</v>
      </c>
      <c r="B103" t="s">
        <v>13834</v>
      </c>
      <c r="I103" t="s">
        <v>13835</v>
      </c>
      <c r="J103" s="3">
        <v>-4.4378510000000003E-2</v>
      </c>
      <c r="K103" s="3">
        <v>0.27398929999999999</v>
      </c>
      <c r="L103" s="3">
        <v>-6.4968300000000007E-2</v>
      </c>
    </row>
    <row r="104" spans="1:12" x14ac:dyDescent="0.25">
      <c r="A104" t="s">
        <v>13831</v>
      </c>
      <c r="B104" t="s">
        <v>957</v>
      </c>
      <c r="I104" t="s">
        <v>13832</v>
      </c>
      <c r="J104" s="3">
        <v>-1.1574709999999999</v>
      </c>
      <c r="K104" s="3">
        <v>-1.1235790000000001</v>
      </c>
      <c r="L104" s="3">
        <v>-1.357626</v>
      </c>
    </row>
    <row r="105" spans="1:12" x14ac:dyDescent="0.25">
      <c r="A105" t="s">
        <v>13828</v>
      </c>
      <c r="B105" t="s">
        <v>13829</v>
      </c>
      <c r="I105" t="s">
        <v>13830</v>
      </c>
      <c r="J105" s="3">
        <v>0.42861129999999997</v>
      </c>
      <c r="K105" s="3">
        <v>-0.16104840000000001</v>
      </c>
      <c r="L105" s="3">
        <v>0.34751159999999998</v>
      </c>
    </row>
    <row r="106" spans="1:12" x14ac:dyDescent="0.25">
      <c r="A106" t="s">
        <v>13825</v>
      </c>
      <c r="B106" t="s">
        <v>13826</v>
      </c>
      <c r="I106" t="s">
        <v>13827</v>
      </c>
      <c r="J106" s="3">
        <v>0.20787130000000001</v>
      </c>
      <c r="K106" s="3">
        <v>5.9453510000000001E-2</v>
      </c>
      <c r="L106" s="3">
        <v>5.8223799999999999E-2</v>
      </c>
    </row>
    <row r="107" spans="1:12" x14ac:dyDescent="0.25">
      <c r="A107" t="s">
        <v>13822</v>
      </c>
      <c r="B107" t="s">
        <v>13823</v>
      </c>
      <c r="I107" t="s">
        <v>13824</v>
      </c>
      <c r="J107" s="3">
        <v>-0.35710589999999998</v>
      </c>
      <c r="K107" s="3">
        <v>-0.13290759999999999</v>
      </c>
      <c r="L107" s="3">
        <v>-0.48601610000000001</v>
      </c>
    </row>
    <row r="108" spans="1:12" x14ac:dyDescent="0.25">
      <c r="A108" t="s">
        <v>13821</v>
      </c>
      <c r="B108" t="s">
        <v>957</v>
      </c>
      <c r="I108" t="s">
        <v>156</v>
      </c>
      <c r="J108" s="3">
        <v>6.2149099999999995E-4</v>
      </c>
      <c r="K108" s="3">
        <v>-4.2594369999999999E-2</v>
      </c>
      <c r="L108" s="3">
        <v>4.1676850000000001E-2</v>
      </c>
    </row>
    <row r="109" spans="1:12" x14ac:dyDescent="0.25">
      <c r="A109" t="s">
        <v>13819</v>
      </c>
      <c r="B109" t="s">
        <v>957</v>
      </c>
      <c r="I109" t="s">
        <v>13820</v>
      </c>
      <c r="J109" s="3">
        <v>-0.3853162</v>
      </c>
      <c r="K109" s="3">
        <v>-0.47764459999999997</v>
      </c>
      <c r="L109" s="3">
        <v>-0.33291690000000002</v>
      </c>
    </row>
    <row r="110" spans="1:12" x14ac:dyDescent="0.25">
      <c r="A110" t="s">
        <v>13818</v>
      </c>
      <c r="B110" t="s">
        <v>957</v>
      </c>
      <c r="I110" t="s">
        <v>455</v>
      </c>
      <c r="J110" s="3">
        <v>-0.51283199999999995</v>
      </c>
      <c r="K110" s="3">
        <v>-1.040842</v>
      </c>
      <c r="L110" s="3">
        <v>-0.39777040000000002</v>
      </c>
    </row>
    <row r="111" spans="1:12" x14ac:dyDescent="0.25">
      <c r="A111" t="s">
        <v>13815</v>
      </c>
      <c r="B111" t="s">
        <v>13816</v>
      </c>
      <c r="I111" t="s">
        <v>13817</v>
      </c>
      <c r="J111" s="3">
        <v>-0.49829380000000001</v>
      </c>
      <c r="K111" s="3">
        <v>-0.66303250000000002</v>
      </c>
      <c r="L111" s="3">
        <v>-0.55585300000000004</v>
      </c>
    </row>
    <row r="112" spans="1:12" x14ac:dyDescent="0.25">
      <c r="A112" t="s">
        <v>13812</v>
      </c>
      <c r="B112" t="s">
        <v>13813</v>
      </c>
      <c r="I112" t="s">
        <v>13814</v>
      </c>
      <c r="J112" s="3">
        <v>-0.20573179999999999</v>
      </c>
      <c r="K112" s="3">
        <v>0.15056449999999999</v>
      </c>
      <c r="L112" s="3">
        <v>-0.33179710000000001</v>
      </c>
    </row>
    <row r="113" spans="1:12" x14ac:dyDescent="0.25">
      <c r="A113" t="s">
        <v>13809</v>
      </c>
      <c r="B113" t="s">
        <v>13810</v>
      </c>
      <c r="I113" t="s">
        <v>13811</v>
      </c>
      <c r="J113" s="3">
        <v>-0.11023959999999999</v>
      </c>
      <c r="K113" s="3">
        <v>-0.23493410000000001</v>
      </c>
      <c r="L113" s="3">
        <v>-0.24989420000000001</v>
      </c>
    </row>
    <row r="114" spans="1:12" x14ac:dyDescent="0.25">
      <c r="A114" t="s">
        <v>13806</v>
      </c>
      <c r="B114" t="s">
        <v>13807</v>
      </c>
      <c r="I114" t="s">
        <v>13808</v>
      </c>
      <c r="J114" s="3">
        <v>-0.46087139999999999</v>
      </c>
      <c r="K114" s="3">
        <v>-0.46150970000000002</v>
      </c>
      <c r="L114" s="3">
        <v>-0.47477580000000003</v>
      </c>
    </row>
    <row r="115" spans="1:12" x14ac:dyDescent="0.25">
      <c r="A115" t="s">
        <v>13803</v>
      </c>
      <c r="B115" t="s">
        <v>13804</v>
      </c>
      <c r="I115" t="s">
        <v>13805</v>
      </c>
      <c r="J115" s="3">
        <v>0.48389080000000001</v>
      </c>
      <c r="K115" s="3">
        <v>2.9148790000000001E-2</v>
      </c>
      <c r="L115" s="3">
        <v>0.24257529999999999</v>
      </c>
    </row>
    <row r="116" spans="1:12" x14ac:dyDescent="0.25">
      <c r="A116" t="s">
        <v>13800</v>
      </c>
      <c r="B116" t="s">
        <v>13801</v>
      </c>
      <c r="I116" t="s">
        <v>13802</v>
      </c>
      <c r="J116" s="3">
        <v>0.177009</v>
      </c>
      <c r="K116" s="3">
        <v>-0.3625737</v>
      </c>
      <c r="L116" s="3">
        <v>9.1335250000000007E-2</v>
      </c>
    </row>
    <row r="117" spans="1:12" x14ac:dyDescent="0.25">
      <c r="A117" t="s">
        <v>13798</v>
      </c>
      <c r="B117" t="s">
        <v>13799</v>
      </c>
      <c r="I117" t="s">
        <v>2224</v>
      </c>
      <c r="J117" s="3">
        <v>-0.4170044</v>
      </c>
      <c r="K117" s="3">
        <v>-0.89432219999999996</v>
      </c>
      <c r="L117" s="3">
        <v>-0.4159986</v>
      </c>
    </row>
    <row r="118" spans="1:12" x14ac:dyDescent="0.25">
      <c r="A118" t="s">
        <v>13795</v>
      </c>
      <c r="B118" t="s">
        <v>13796</v>
      </c>
      <c r="I118" t="s">
        <v>13797</v>
      </c>
      <c r="J118" s="3">
        <v>0.39238089999999998</v>
      </c>
      <c r="K118" s="3">
        <v>0.21630569999999999</v>
      </c>
      <c r="L118" s="3">
        <v>0.41114869999999998</v>
      </c>
    </row>
    <row r="119" spans="1:12" x14ac:dyDescent="0.25">
      <c r="A119" t="s">
        <v>13792</v>
      </c>
      <c r="B119" t="s">
        <v>13793</v>
      </c>
      <c r="I119" t="s">
        <v>13794</v>
      </c>
      <c r="J119" s="3">
        <v>-0.34237420000000002</v>
      </c>
      <c r="K119" s="3">
        <v>-3.8187749999999999E-2</v>
      </c>
      <c r="L119" s="3">
        <v>-0.40135270000000001</v>
      </c>
    </row>
    <row r="120" spans="1:12" x14ac:dyDescent="0.25">
      <c r="A120" t="s">
        <v>13789</v>
      </c>
      <c r="B120" t="s">
        <v>13790</v>
      </c>
      <c r="I120" t="s">
        <v>13791</v>
      </c>
      <c r="J120" s="3">
        <v>-0.89679750000000003</v>
      </c>
      <c r="K120" s="3">
        <v>-1.185589</v>
      </c>
      <c r="L120" s="3">
        <v>-0.50528419999999996</v>
      </c>
    </row>
    <row r="121" spans="1:12" x14ac:dyDescent="0.25">
      <c r="A121" t="s">
        <v>13786</v>
      </c>
      <c r="B121" t="s">
        <v>13787</v>
      </c>
      <c r="I121" t="s">
        <v>13788</v>
      </c>
      <c r="J121" s="3">
        <v>-0.1083253</v>
      </c>
      <c r="K121" s="3">
        <v>-0.51001039999999997</v>
      </c>
      <c r="L121" s="3">
        <v>-0.34019379999999999</v>
      </c>
    </row>
    <row r="122" spans="1:12" x14ac:dyDescent="0.25">
      <c r="A122" t="s">
        <v>13784</v>
      </c>
      <c r="B122" t="s">
        <v>13785</v>
      </c>
      <c r="I122" t="s">
        <v>9752</v>
      </c>
      <c r="J122" s="3">
        <v>-0.2256283</v>
      </c>
      <c r="K122" s="3">
        <v>0.5083126</v>
      </c>
      <c r="L122" s="3">
        <v>-0.1473621</v>
      </c>
    </row>
    <row r="123" spans="1:12" x14ac:dyDescent="0.25">
      <c r="A123" t="s">
        <v>13781</v>
      </c>
      <c r="B123" t="s">
        <v>13782</v>
      </c>
      <c r="I123" t="s">
        <v>13783</v>
      </c>
      <c r="J123" s="3">
        <v>-0.19715340000000001</v>
      </c>
      <c r="K123" s="3">
        <v>0.3575547</v>
      </c>
      <c r="L123" s="3">
        <v>-3.4653919999999998E-2</v>
      </c>
    </row>
    <row r="124" spans="1:12" x14ac:dyDescent="0.25">
      <c r="A124" t="s">
        <v>13778</v>
      </c>
      <c r="B124" t="s">
        <v>13779</v>
      </c>
      <c r="I124" t="s">
        <v>13780</v>
      </c>
      <c r="J124" s="3">
        <v>3.7221579999999997E-2</v>
      </c>
      <c r="K124" s="3">
        <v>-0.28835490000000003</v>
      </c>
      <c r="L124" s="3">
        <v>0.14829059999999999</v>
      </c>
    </row>
    <row r="125" spans="1:12" x14ac:dyDescent="0.25">
      <c r="A125" t="s">
        <v>13776</v>
      </c>
      <c r="B125" t="s">
        <v>13777</v>
      </c>
      <c r="I125" t="s">
        <v>2517</v>
      </c>
      <c r="J125" s="3">
        <v>-0.30157299999999998</v>
      </c>
      <c r="K125" s="3">
        <v>-0.59022509999999995</v>
      </c>
      <c r="L125" s="3">
        <v>-0.25811149999999999</v>
      </c>
    </row>
    <row r="126" spans="1:12" x14ac:dyDescent="0.25">
      <c r="A126" t="s">
        <v>13775</v>
      </c>
      <c r="B126" t="s">
        <v>14097</v>
      </c>
      <c r="C126" t="s">
        <v>14098</v>
      </c>
      <c r="I126" t="s">
        <v>13423</v>
      </c>
      <c r="J126" s="3">
        <v>0.24925269999999999</v>
      </c>
      <c r="K126" s="3">
        <v>-0.22299079999999999</v>
      </c>
      <c r="L126" s="3">
        <v>0.29516750000000003</v>
      </c>
    </row>
    <row r="127" spans="1:12" x14ac:dyDescent="0.25">
      <c r="A127" t="s">
        <v>13774</v>
      </c>
      <c r="B127" t="s">
        <v>957</v>
      </c>
      <c r="I127" t="s">
        <v>455</v>
      </c>
      <c r="J127" s="3">
        <v>-5.0096250000000002E-3</v>
      </c>
      <c r="K127" s="3">
        <v>-0.3876271</v>
      </c>
      <c r="L127" s="3">
        <v>0.13432630000000001</v>
      </c>
    </row>
    <row r="128" spans="1:12" x14ac:dyDescent="0.25">
      <c r="A128" t="s">
        <v>13772</v>
      </c>
      <c r="B128" t="s">
        <v>957</v>
      </c>
      <c r="I128" t="s">
        <v>13773</v>
      </c>
      <c r="J128" s="3">
        <v>0.21010760000000001</v>
      </c>
      <c r="K128" s="3">
        <v>7.3356779999999996E-2</v>
      </c>
      <c r="L128" s="3">
        <v>0.34825879999999998</v>
      </c>
    </row>
    <row r="129" spans="1:12" x14ac:dyDescent="0.25">
      <c r="A129" t="s">
        <v>13771</v>
      </c>
      <c r="B129" t="s">
        <v>957</v>
      </c>
      <c r="I129" t="s">
        <v>455</v>
      </c>
      <c r="J129" s="3">
        <v>0.3798742</v>
      </c>
      <c r="K129" s="3">
        <v>0.81241300000000005</v>
      </c>
      <c r="L129" s="3">
        <v>0.35800270000000001</v>
      </c>
    </row>
    <row r="130" spans="1:12" x14ac:dyDescent="0.25">
      <c r="A130" t="s">
        <v>13768</v>
      </c>
      <c r="B130" t="s">
        <v>13769</v>
      </c>
      <c r="I130" t="s">
        <v>13770</v>
      </c>
      <c r="J130" s="3">
        <v>-0.16697390000000001</v>
      </c>
      <c r="K130" s="3">
        <v>-0.1195319</v>
      </c>
      <c r="L130" s="3">
        <v>-0.23041349999999999</v>
      </c>
    </row>
    <row r="131" spans="1:12" x14ac:dyDescent="0.25">
      <c r="A131" t="s">
        <v>13765</v>
      </c>
      <c r="B131" t="s">
        <v>13766</v>
      </c>
      <c r="I131" t="s">
        <v>13767</v>
      </c>
      <c r="J131" s="3">
        <v>-0.1129381</v>
      </c>
      <c r="K131" s="3">
        <v>-0.2797944</v>
      </c>
      <c r="L131" s="3">
        <v>-0.1037216</v>
      </c>
    </row>
    <row r="132" spans="1:12" x14ac:dyDescent="0.25">
      <c r="A132" t="s">
        <v>13762</v>
      </c>
      <c r="B132" t="s">
        <v>13763</v>
      </c>
      <c r="I132" t="s">
        <v>13764</v>
      </c>
      <c r="J132" s="3">
        <v>-0.32508140000000002</v>
      </c>
      <c r="K132" s="3">
        <v>-0.29423359999999998</v>
      </c>
      <c r="L132" s="3">
        <v>-0.39713559999999998</v>
      </c>
    </row>
    <row r="133" spans="1:12" x14ac:dyDescent="0.25">
      <c r="A133" t="s">
        <v>13759</v>
      </c>
      <c r="B133" t="s">
        <v>13760</v>
      </c>
      <c r="I133" t="s">
        <v>13761</v>
      </c>
      <c r="J133" s="3">
        <v>-0.14190520000000001</v>
      </c>
      <c r="K133" s="3">
        <v>-0.82648180000000004</v>
      </c>
      <c r="L133" s="3">
        <v>-0.38439790000000001</v>
      </c>
    </row>
    <row r="134" spans="1:12" x14ac:dyDescent="0.25">
      <c r="A134" t="s">
        <v>13756</v>
      </c>
      <c r="B134" t="s">
        <v>13757</v>
      </c>
      <c r="I134" t="s">
        <v>13758</v>
      </c>
      <c r="J134" s="3">
        <v>0.251554</v>
      </c>
      <c r="K134" s="3">
        <v>0.40704180000000001</v>
      </c>
      <c r="L134" s="3">
        <v>0.3980339</v>
      </c>
    </row>
    <row r="135" spans="1:12" x14ac:dyDescent="0.25">
      <c r="A135" t="s">
        <v>13753</v>
      </c>
      <c r="B135" t="s">
        <v>13754</v>
      </c>
      <c r="I135" t="s">
        <v>13755</v>
      </c>
      <c r="J135" s="3">
        <v>0.1025727</v>
      </c>
      <c r="K135" s="3">
        <v>0.4177826</v>
      </c>
      <c r="L135" s="3">
        <v>0.28232350000000001</v>
      </c>
    </row>
    <row r="136" spans="1:12" x14ac:dyDescent="0.25">
      <c r="A136" t="s">
        <v>13751</v>
      </c>
      <c r="B136" t="s">
        <v>957</v>
      </c>
      <c r="I136" t="s">
        <v>13752</v>
      </c>
      <c r="J136" s="3">
        <v>-0.48833330000000003</v>
      </c>
      <c r="K136" s="3">
        <v>-0.74744440000000001</v>
      </c>
      <c r="L136" s="3">
        <v>-0.31259670000000001</v>
      </c>
    </row>
    <row r="137" spans="1:12" x14ac:dyDescent="0.25">
      <c r="A137" t="s">
        <v>13748</v>
      </c>
      <c r="B137" t="s">
        <v>13749</v>
      </c>
      <c r="I137" t="s">
        <v>13750</v>
      </c>
      <c r="J137" s="3">
        <v>-0.73250519999999997</v>
      </c>
      <c r="K137" s="3">
        <v>-1.132082</v>
      </c>
      <c r="L137" s="3">
        <v>-0.98309610000000003</v>
      </c>
    </row>
    <row r="138" spans="1:12" x14ac:dyDescent="0.25">
      <c r="A138" t="s">
        <v>13746</v>
      </c>
      <c r="B138" t="s">
        <v>13747</v>
      </c>
      <c r="I138" t="s">
        <v>593</v>
      </c>
      <c r="J138" s="3">
        <v>-0.63663479999999995</v>
      </c>
      <c r="K138" s="3">
        <v>-1.1702859999999999</v>
      </c>
      <c r="L138" s="3">
        <v>-0.49947320000000001</v>
      </c>
    </row>
    <row r="139" spans="1:12" x14ac:dyDescent="0.25">
      <c r="A139" t="s">
        <v>13743</v>
      </c>
      <c r="B139" t="s">
        <v>13744</v>
      </c>
      <c r="I139" t="s">
        <v>13745</v>
      </c>
      <c r="J139" s="3">
        <v>-4.7910260000000003E-2</v>
      </c>
      <c r="K139" s="3">
        <v>0.763795</v>
      </c>
      <c r="L139" s="3">
        <v>0.46698689999999998</v>
      </c>
    </row>
    <row r="140" spans="1:12" x14ac:dyDescent="0.25">
      <c r="A140" t="s">
        <v>13742</v>
      </c>
      <c r="B140" t="s">
        <v>957</v>
      </c>
      <c r="I140" t="s">
        <v>614</v>
      </c>
      <c r="J140" s="3">
        <v>1.4528840000000001</v>
      </c>
      <c r="K140" s="3">
        <v>1.582125</v>
      </c>
      <c r="L140" s="3">
        <v>1.580435</v>
      </c>
    </row>
    <row r="141" spans="1:12" x14ac:dyDescent="0.25">
      <c r="A141" t="s">
        <v>13739</v>
      </c>
      <c r="B141" t="s">
        <v>13740</v>
      </c>
      <c r="I141" t="s">
        <v>13741</v>
      </c>
      <c r="J141" s="3">
        <v>4.0593669999999998E-2</v>
      </c>
      <c r="K141" s="3">
        <v>0.36956640000000002</v>
      </c>
      <c r="L141" s="3">
        <v>0.2397348</v>
      </c>
    </row>
    <row r="142" spans="1:12" x14ac:dyDescent="0.25">
      <c r="A142" t="s">
        <v>13737</v>
      </c>
      <c r="B142" t="s">
        <v>13738</v>
      </c>
      <c r="I142" t="s">
        <v>4790</v>
      </c>
      <c r="J142" s="3">
        <v>-9.9002980000000001E-3</v>
      </c>
      <c r="K142" s="3">
        <v>-0.47620449999999998</v>
      </c>
      <c r="L142" s="3">
        <v>0.15390699999999999</v>
      </c>
    </row>
    <row r="143" spans="1:12" x14ac:dyDescent="0.25">
      <c r="A143" t="s">
        <v>13734</v>
      </c>
      <c r="B143" t="s">
        <v>13735</v>
      </c>
      <c r="I143" t="s">
        <v>13736</v>
      </c>
      <c r="J143" s="3">
        <v>-0.4710413</v>
      </c>
      <c r="K143" s="3">
        <v>5.7101909999999999E-2</v>
      </c>
      <c r="L143" s="3">
        <v>0.34898190000000001</v>
      </c>
    </row>
    <row r="144" spans="1:12" x14ac:dyDescent="0.25">
      <c r="A144" t="s">
        <v>13732</v>
      </c>
      <c r="B144" t="s">
        <v>13733</v>
      </c>
      <c r="I144" t="s">
        <v>1768</v>
      </c>
      <c r="J144" s="3">
        <v>-0.27323039999999998</v>
      </c>
      <c r="K144" s="3">
        <v>-0.4928824</v>
      </c>
      <c r="L144" s="3">
        <v>-0.82972469999999998</v>
      </c>
    </row>
    <row r="145" spans="1:12" x14ac:dyDescent="0.25">
      <c r="A145" t="s">
        <v>13731</v>
      </c>
      <c r="B145" t="s">
        <v>957</v>
      </c>
      <c r="I145" t="s">
        <v>455</v>
      </c>
      <c r="J145" s="3">
        <v>4.9715280000000001E-2</v>
      </c>
      <c r="K145" s="3">
        <v>-4.8493629999999998E-3</v>
      </c>
      <c r="L145" s="3">
        <v>0.1134816</v>
      </c>
    </row>
    <row r="146" spans="1:12" x14ac:dyDescent="0.25">
      <c r="A146" t="s">
        <v>13728</v>
      </c>
      <c r="B146" t="s">
        <v>13729</v>
      </c>
      <c r="I146" t="s">
        <v>13730</v>
      </c>
      <c r="J146" s="3">
        <v>-0.36812790000000001</v>
      </c>
      <c r="K146" s="3">
        <v>-0.46476770000000001</v>
      </c>
      <c r="L146" s="3">
        <v>-0.39361469999999998</v>
      </c>
    </row>
    <row r="147" spans="1:12" x14ac:dyDescent="0.25">
      <c r="A147" t="s">
        <v>13727</v>
      </c>
      <c r="B147" t="s">
        <v>957</v>
      </c>
      <c r="I147" t="s">
        <v>455</v>
      </c>
      <c r="J147" s="3">
        <v>-0.43137950000000003</v>
      </c>
      <c r="K147" s="3">
        <v>-0.88023280000000004</v>
      </c>
      <c r="L147" s="3">
        <v>-0.4361853</v>
      </c>
    </row>
    <row r="148" spans="1:12" x14ac:dyDescent="0.25">
      <c r="A148" t="s">
        <v>13724</v>
      </c>
      <c r="B148" t="s">
        <v>13725</v>
      </c>
      <c r="I148" t="s">
        <v>13726</v>
      </c>
      <c r="J148" s="3">
        <v>3.094034E-2</v>
      </c>
      <c r="K148" s="3">
        <v>8.3755659999999996E-2</v>
      </c>
      <c r="L148" s="3">
        <v>0.1278975</v>
      </c>
    </row>
    <row r="149" spans="1:12" x14ac:dyDescent="0.25">
      <c r="A149" t="s">
        <v>13721</v>
      </c>
      <c r="B149" t="s">
        <v>13722</v>
      </c>
      <c r="I149" t="s">
        <v>13723</v>
      </c>
      <c r="J149" s="3">
        <v>0.10597040000000001</v>
      </c>
      <c r="K149" s="3">
        <v>0.44677929999999999</v>
      </c>
      <c r="L149" s="3">
        <v>6.9530960000000003E-2</v>
      </c>
    </row>
    <row r="150" spans="1:12" x14ac:dyDescent="0.25">
      <c r="A150" t="s">
        <v>13718</v>
      </c>
      <c r="B150" t="s">
        <v>13719</v>
      </c>
      <c r="I150" t="s">
        <v>13720</v>
      </c>
      <c r="J150" s="3">
        <v>-0.30884060000000002</v>
      </c>
      <c r="K150" s="3">
        <v>-0.84003459999999996</v>
      </c>
      <c r="L150" s="3">
        <v>-0.2146913</v>
      </c>
    </row>
    <row r="151" spans="1:12" x14ac:dyDescent="0.25">
      <c r="A151" t="s">
        <v>13715</v>
      </c>
      <c r="B151" t="s">
        <v>13716</v>
      </c>
      <c r="I151" t="s">
        <v>13717</v>
      </c>
      <c r="J151" s="3">
        <v>0.65617080000000005</v>
      </c>
      <c r="K151" s="3">
        <v>0.10859679999999999</v>
      </c>
      <c r="L151" s="3">
        <v>0.40745930000000002</v>
      </c>
    </row>
    <row r="152" spans="1:12" x14ac:dyDescent="0.25">
      <c r="A152" t="s">
        <v>13712</v>
      </c>
      <c r="B152" t="s">
        <v>13713</v>
      </c>
      <c r="I152" t="s">
        <v>13714</v>
      </c>
      <c r="J152" s="3">
        <v>8.14608E-2</v>
      </c>
      <c r="K152" s="3">
        <v>-0.25057259999999998</v>
      </c>
      <c r="L152" s="3">
        <v>-0.15574859999999999</v>
      </c>
    </row>
    <row r="153" spans="1:12" x14ac:dyDescent="0.25">
      <c r="A153" t="s">
        <v>13711</v>
      </c>
      <c r="B153" t="s">
        <v>957</v>
      </c>
      <c r="I153" t="s">
        <v>455</v>
      </c>
      <c r="J153" s="3">
        <v>-2.3610800000000001E-2</v>
      </c>
      <c r="K153" s="3">
        <v>-0.3238798</v>
      </c>
      <c r="L153" s="3">
        <v>-0.45299980000000001</v>
      </c>
    </row>
    <row r="154" spans="1:12" x14ac:dyDescent="0.25">
      <c r="A154" t="s">
        <v>13710</v>
      </c>
      <c r="B154" t="s">
        <v>957</v>
      </c>
      <c r="I154" t="s">
        <v>455</v>
      </c>
      <c r="J154" s="3">
        <v>-0.48269469999999998</v>
      </c>
      <c r="K154" s="3">
        <v>-0.3906443</v>
      </c>
      <c r="L154" s="3">
        <v>-0.53437250000000003</v>
      </c>
    </row>
    <row r="155" spans="1:12" x14ac:dyDescent="0.25">
      <c r="A155" t="s">
        <v>13707</v>
      </c>
      <c r="B155" t="s">
        <v>13708</v>
      </c>
      <c r="I155" t="s">
        <v>13709</v>
      </c>
      <c r="J155" s="3">
        <v>-0.25088949999999999</v>
      </c>
      <c r="K155" s="3">
        <v>0.15523670000000001</v>
      </c>
      <c r="L155" s="3">
        <v>-0.28183429999999998</v>
      </c>
    </row>
    <row r="156" spans="1:12" x14ac:dyDescent="0.25">
      <c r="A156" t="s">
        <v>13704</v>
      </c>
      <c r="B156" t="s">
        <v>13705</v>
      </c>
      <c r="I156" t="s">
        <v>13706</v>
      </c>
      <c r="J156" s="3">
        <v>4.80615E-2</v>
      </c>
      <c r="K156" s="3">
        <v>-0.1050666</v>
      </c>
      <c r="L156" s="3">
        <v>0.17244590000000001</v>
      </c>
    </row>
    <row r="157" spans="1:12" x14ac:dyDescent="0.25">
      <c r="A157" t="s">
        <v>13701</v>
      </c>
      <c r="B157" t="s">
        <v>13702</v>
      </c>
      <c r="I157" t="s">
        <v>13703</v>
      </c>
      <c r="J157" s="3">
        <v>-2.8632929999999998E-3</v>
      </c>
      <c r="K157" s="3">
        <v>-0.45576850000000002</v>
      </c>
      <c r="L157" s="3">
        <v>0.1023941</v>
      </c>
    </row>
    <row r="158" spans="1:12" x14ac:dyDescent="0.25">
      <c r="A158" t="s">
        <v>13700</v>
      </c>
      <c r="B158" t="s">
        <v>957</v>
      </c>
      <c r="I158" t="s">
        <v>455</v>
      </c>
      <c r="J158" s="3">
        <v>-1.257368</v>
      </c>
      <c r="K158" s="3">
        <v>-1.5695170000000001</v>
      </c>
      <c r="L158" s="3">
        <v>-0.78560240000000003</v>
      </c>
    </row>
    <row r="159" spans="1:12" x14ac:dyDescent="0.25">
      <c r="A159" t="s">
        <v>13699</v>
      </c>
      <c r="B159" t="s">
        <v>957</v>
      </c>
      <c r="I159" t="s">
        <v>455</v>
      </c>
      <c r="J159" s="3">
        <v>-0.82542749999999998</v>
      </c>
      <c r="K159" s="3">
        <v>-1.3766309999999999</v>
      </c>
      <c r="L159" s="3">
        <v>-0.2924273</v>
      </c>
    </row>
    <row r="160" spans="1:12" x14ac:dyDescent="0.25">
      <c r="A160" t="s">
        <v>13698</v>
      </c>
      <c r="B160" t="s">
        <v>957</v>
      </c>
      <c r="I160" t="s">
        <v>455</v>
      </c>
      <c r="J160" s="3">
        <v>-0.23689979999999999</v>
      </c>
      <c r="K160" s="3">
        <v>-0.66027749999999996</v>
      </c>
      <c r="L160" s="3">
        <v>-0.35134300000000002</v>
      </c>
    </row>
    <row r="161" spans="1:12" x14ac:dyDescent="0.25">
      <c r="A161" t="s">
        <v>13695</v>
      </c>
      <c r="B161" t="s">
        <v>13696</v>
      </c>
      <c r="I161" t="s">
        <v>13697</v>
      </c>
      <c r="J161" s="3">
        <v>-0.81411420000000001</v>
      </c>
      <c r="K161" s="3">
        <v>-1.33416</v>
      </c>
      <c r="L161" s="3">
        <v>-1.022767</v>
      </c>
    </row>
    <row r="162" spans="1:12" x14ac:dyDescent="0.25">
      <c r="A162" t="s">
        <v>13692</v>
      </c>
      <c r="B162" t="s">
        <v>13693</v>
      </c>
      <c r="I162" t="s">
        <v>13694</v>
      </c>
      <c r="J162" s="3">
        <v>-0.37126439999999999</v>
      </c>
      <c r="K162" s="3">
        <v>-0.47470279999999998</v>
      </c>
      <c r="L162" s="3">
        <v>-0.12591450000000001</v>
      </c>
    </row>
    <row r="163" spans="1:12" x14ac:dyDescent="0.25">
      <c r="A163" t="s">
        <v>13689</v>
      </c>
      <c r="B163" t="s">
        <v>13690</v>
      </c>
      <c r="I163" t="s">
        <v>13691</v>
      </c>
      <c r="J163" s="3">
        <v>-7.1930610000000006E-2</v>
      </c>
      <c r="K163" s="3">
        <v>-0.26600269999999998</v>
      </c>
      <c r="L163" s="3">
        <v>-0.2051221</v>
      </c>
    </row>
    <row r="164" spans="1:12" x14ac:dyDescent="0.25">
      <c r="A164" t="s">
        <v>13686</v>
      </c>
      <c r="B164" t="s">
        <v>13687</v>
      </c>
      <c r="I164" t="s">
        <v>13688</v>
      </c>
      <c r="J164" s="3">
        <v>-0.69083000000000006</v>
      </c>
      <c r="K164" s="3">
        <v>-0.77348220000000001</v>
      </c>
      <c r="L164" s="3">
        <v>-0.94067559999999995</v>
      </c>
    </row>
    <row r="165" spans="1:12" x14ac:dyDescent="0.25">
      <c r="A165" t="s">
        <v>13684</v>
      </c>
      <c r="B165" t="s">
        <v>13685</v>
      </c>
      <c r="I165" t="s">
        <v>895</v>
      </c>
      <c r="J165" s="3">
        <v>0.24085229999999999</v>
      </c>
      <c r="K165" s="3">
        <v>-0.29702489999999998</v>
      </c>
      <c r="L165" s="3">
        <v>-2.8915110000000001E-2</v>
      </c>
    </row>
    <row r="166" spans="1:12" x14ac:dyDescent="0.25">
      <c r="A166" t="s">
        <v>13682</v>
      </c>
      <c r="B166" t="s">
        <v>13683</v>
      </c>
      <c r="I166" t="s">
        <v>2102</v>
      </c>
      <c r="J166" s="3">
        <v>-0.82578419999999997</v>
      </c>
      <c r="K166" s="3">
        <v>-0.62071200000000004</v>
      </c>
      <c r="L166" s="3">
        <v>-0.60531009999999996</v>
      </c>
    </row>
    <row r="167" spans="1:12" x14ac:dyDescent="0.25">
      <c r="A167" t="s">
        <v>13679</v>
      </c>
      <c r="B167" t="s">
        <v>13680</v>
      </c>
      <c r="I167" t="s">
        <v>13681</v>
      </c>
      <c r="J167" s="3">
        <v>0.51791109999999996</v>
      </c>
      <c r="K167" s="3">
        <v>1.5281450000000001</v>
      </c>
      <c r="L167" s="3">
        <v>-0.18215819999999999</v>
      </c>
    </row>
    <row r="168" spans="1:12" x14ac:dyDescent="0.25">
      <c r="A168" t="s">
        <v>13678</v>
      </c>
      <c r="B168" t="s">
        <v>957</v>
      </c>
      <c r="I168" t="s">
        <v>453</v>
      </c>
      <c r="J168" s="3">
        <v>9.4288789999999994E-3</v>
      </c>
      <c r="K168" s="3">
        <v>0.37628800000000001</v>
      </c>
      <c r="L168" s="3">
        <v>-8.5206370000000003E-2</v>
      </c>
    </row>
    <row r="169" spans="1:12" x14ac:dyDescent="0.25">
      <c r="A169" t="s">
        <v>13675</v>
      </c>
      <c r="B169" t="s">
        <v>13676</v>
      </c>
      <c r="I169" t="s">
        <v>13677</v>
      </c>
      <c r="J169" s="3">
        <v>2.7934850000000001E-2</v>
      </c>
      <c r="K169" s="3">
        <v>-9.8014870000000004E-2</v>
      </c>
      <c r="L169" s="3">
        <v>7.4238680000000001E-3</v>
      </c>
    </row>
    <row r="170" spans="1:12" x14ac:dyDescent="0.25">
      <c r="A170" t="s">
        <v>13674</v>
      </c>
      <c r="B170" t="s">
        <v>14099</v>
      </c>
      <c r="C170" t="s">
        <v>14100</v>
      </c>
      <c r="I170" t="s">
        <v>10875</v>
      </c>
      <c r="J170" s="3">
        <v>0.62912670000000004</v>
      </c>
      <c r="K170" s="3">
        <v>0.24127119999999999</v>
      </c>
      <c r="L170" s="3">
        <v>0.64526550000000005</v>
      </c>
    </row>
    <row r="171" spans="1:12" x14ac:dyDescent="0.25">
      <c r="A171" t="s">
        <v>13671</v>
      </c>
      <c r="B171" t="s">
        <v>13672</v>
      </c>
      <c r="I171" t="s">
        <v>13673</v>
      </c>
      <c r="J171" s="3">
        <v>-0.30547150000000001</v>
      </c>
      <c r="K171" s="3">
        <v>-0.79131070000000003</v>
      </c>
      <c r="L171" s="3">
        <v>-0.28529860000000001</v>
      </c>
    </row>
    <row r="172" spans="1:12" x14ac:dyDescent="0.25">
      <c r="A172" t="s">
        <v>13668</v>
      </c>
      <c r="B172" t="s">
        <v>13669</v>
      </c>
      <c r="I172" t="s">
        <v>13670</v>
      </c>
      <c r="J172" s="3">
        <v>1.042691</v>
      </c>
      <c r="K172" s="3">
        <v>1.3015350000000001</v>
      </c>
      <c r="L172" s="3">
        <v>0.91520159999999995</v>
      </c>
    </row>
    <row r="173" spans="1:12" x14ac:dyDescent="0.25">
      <c r="A173" t="s">
        <v>13665</v>
      </c>
      <c r="B173" t="s">
        <v>13666</v>
      </c>
      <c r="I173" t="s">
        <v>13667</v>
      </c>
      <c r="J173" s="3">
        <v>-8.8170470000000001E-2</v>
      </c>
      <c r="K173" s="3">
        <v>-1.043396</v>
      </c>
      <c r="L173" s="3">
        <v>-0.50289450000000002</v>
      </c>
    </row>
    <row r="174" spans="1:12" x14ac:dyDescent="0.25">
      <c r="A174" t="s">
        <v>13662</v>
      </c>
      <c r="B174" t="s">
        <v>13663</v>
      </c>
      <c r="I174" t="s">
        <v>13664</v>
      </c>
      <c r="J174" s="3">
        <v>-0.22009960000000001</v>
      </c>
      <c r="K174" s="3">
        <v>-0.30319560000000001</v>
      </c>
      <c r="L174" s="3">
        <v>-4.6168670000000002E-2</v>
      </c>
    </row>
    <row r="175" spans="1:12" x14ac:dyDescent="0.25">
      <c r="A175" t="s">
        <v>13659</v>
      </c>
      <c r="B175" t="s">
        <v>13660</v>
      </c>
      <c r="I175" t="s">
        <v>13661</v>
      </c>
      <c r="J175" s="3">
        <v>2.0584020000000001E-2</v>
      </c>
      <c r="K175" s="3">
        <v>-0.33820070000000002</v>
      </c>
      <c r="L175" s="3">
        <v>-0.18559020000000001</v>
      </c>
    </row>
    <row r="176" spans="1:12" x14ac:dyDescent="0.25">
      <c r="A176" t="s">
        <v>13656</v>
      </c>
      <c r="B176" t="s">
        <v>13657</v>
      </c>
      <c r="I176" t="s">
        <v>13658</v>
      </c>
      <c r="J176" s="3">
        <v>3.5288310000000003E-2</v>
      </c>
      <c r="K176" s="3">
        <v>-0.4114912</v>
      </c>
      <c r="L176" s="3">
        <v>-0.17480419999999999</v>
      </c>
    </row>
    <row r="177" spans="1:12" x14ac:dyDescent="0.25">
      <c r="A177" t="s">
        <v>13655</v>
      </c>
      <c r="B177" t="s">
        <v>957</v>
      </c>
      <c r="I177" t="s">
        <v>455</v>
      </c>
      <c r="J177" s="3">
        <v>-0.55766689999999997</v>
      </c>
      <c r="K177" s="3">
        <v>0.41138010000000003</v>
      </c>
      <c r="L177" s="3">
        <v>-1.4977519999999999E-2</v>
      </c>
    </row>
    <row r="178" spans="1:12" x14ac:dyDescent="0.25">
      <c r="A178" t="s">
        <v>13652</v>
      </c>
      <c r="B178" t="s">
        <v>13653</v>
      </c>
      <c r="I178" t="s">
        <v>13654</v>
      </c>
      <c r="J178" s="3">
        <v>-0.21330489999999999</v>
      </c>
      <c r="K178" s="3">
        <v>1.203813</v>
      </c>
      <c r="L178" s="3">
        <v>0.50636150000000002</v>
      </c>
    </row>
    <row r="179" spans="1:12" x14ac:dyDescent="0.25">
      <c r="A179" t="s">
        <v>13650</v>
      </c>
      <c r="B179" t="s">
        <v>13651</v>
      </c>
      <c r="I179" t="s">
        <v>1425</v>
      </c>
      <c r="J179" s="3">
        <v>0.571488</v>
      </c>
      <c r="K179" s="3">
        <v>-0.3220094</v>
      </c>
      <c r="L179" s="3">
        <v>8.6188239999999999E-2</v>
      </c>
    </row>
    <row r="180" spans="1:12" x14ac:dyDescent="0.25">
      <c r="A180" t="s">
        <v>13647</v>
      </c>
      <c r="B180" t="s">
        <v>13648</v>
      </c>
      <c r="I180" t="s">
        <v>13649</v>
      </c>
      <c r="J180" s="3">
        <v>0.42234509999999997</v>
      </c>
      <c r="K180" s="3">
        <v>0.1203721</v>
      </c>
      <c r="L180" s="3">
        <v>0.15653629999999999</v>
      </c>
    </row>
    <row r="181" spans="1:12" x14ac:dyDescent="0.25">
      <c r="A181" t="s">
        <v>13646</v>
      </c>
      <c r="B181" t="s">
        <v>957</v>
      </c>
      <c r="I181" t="s">
        <v>4450</v>
      </c>
      <c r="J181" s="3">
        <v>-0.49028529999999998</v>
      </c>
      <c r="K181" s="3">
        <v>-0.84633959999999997</v>
      </c>
      <c r="L181" s="3">
        <v>-4.4283000000000003E-2</v>
      </c>
    </row>
    <row r="182" spans="1:12" x14ac:dyDescent="0.25">
      <c r="A182" t="s">
        <v>13643</v>
      </c>
      <c r="B182" t="s">
        <v>13644</v>
      </c>
      <c r="I182" t="s">
        <v>13645</v>
      </c>
      <c r="J182" s="3">
        <v>8.7148649999999994E-2</v>
      </c>
      <c r="K182" s="3">
        <v>0.1018777</v>
      </c>
      <c r="L182" s="3">
        <v>8.1688880000000005E-2</v>
      </c>
    </row>
    <row r="183" spans="1:12" x14ac:dyDescent="0.25">
      <c r="A183" t="s">
        <v>13640</v>
      </c>
      <c r="B183" t="s">
        <v>13641</v>
      </c>
      <c r="I183" t="s">
        <v>13642</v>
      </c>
      <c r="J183" s="3">
        <v>0.990429</v>
      </c>
      <c r="K183" s="3">
        <v>0.91884149999999998</v>
      </c>
      <c r="L183" s="3">
        <v>0.96108289999999996</v>
      </c>
    </row>
    <row r="184" spans="1:12" x14ac:dyDescent="0.25">
      <c r="A184" t="s">
        <v>13638</v>
      </c>
      <c r="B184" t="s">
        <v>13639</v>
      </c>
      <c r="I184" t="s">
        <v>8125</v>
      </c>
      <c r="J184" s="3">
        <v>-0.34665810000000002</v>
      </c>
      <c r="K184" s="3">
        <v>-1.104893E-2</v>
      </c>
      <c r="L184" s="3">
        <v>-3.7959819999999998E-2</v>
      </c>
    </row>
    <row r="185" spans="1:12" x14ac:dyDescent="0.25">
      <c r="A185" t="s">
        <v>13635</v>
      </c>
      <c r="B185" t="s">
        <v>13636</v>
      </c>
      <c r="I185" t="s">
        <v>13637</v>
      </c>
      <c r="J185" s="3">
        <v>-0.73554090000000005</v>
      </c>
      <c r="K185" s="3">
        <v>-1.3246929999999999</v>
      </c>
      <c r="L185" s="3">
        <v>-0.50354710000000003</v>
      </c>
    </row>
    <row r="186" spans="1:12" x14ac:dyDescent="0.25">
      <c r="A186" t="s">
        <v>13632</v>
      </c>
      <c r="B186" t="s">
        <v>13633</v>
      </c>
      <c r="I186" t="s">
        <v>13634</v>
      </c>
      <c r="J186" s="3">
        <v>-0.42570360000000002</v>
      </c>
      <c r="K186" s="3">
        <v>-0.58683879999999999</v>
      </c>
      <c r="L186" s="3">
        <v>-0.18731310000000001</v>
      </c>
    </row>
    <row r="187" spans="1:12" x14ac:dyDescent="0.25">
      <c r="A187" t="s">
        <v>13629</v>
      </c>
      <c r="B187" t="s">
        <v>13630</v>
      </c>
      <c r="I187" t="s">
        <v>13631</v>
      </c>
      <c r="J187" s="3">
        <v>-0.2341714</v>
      </c>
      <c r="K187" s="3">
        <v>-7.7725900000000001E-2</v>
      </c>
      <c r="L187" s="3">
        <v>-0.1974513</v>
      </c>
    </row>
    <row r="188" spans="1:12" x14ac:dyDescent="0.25">
      <c r="A188" t="s">
        <v>13626</v>
      </c>
      <c r="B188" t="s">
        <v>13627</v>
      </c>
      <c r="I188" t="s">
        <v>13628</v>
      </c>
      <c r="J188" s="3">
        <v>0.36004789999999998</v>
      </c>
      <c r="K188" s="3">
        <v>2.5470159999999999E-2</v>
      </c>
      <c r="L188" s="3">
        <v>0.42099609999999998</v>
      </c>
    </row>
    <row r="189" spans="1:12" x14ac:dyDescent="0.25">
      <c r="A189" t="s">
        <v>13624</v>
      </c>
      <c r="B189" t="s">
        <v>13625</v>
      </c>
      <c r="I189" t="s">
        <v>11221</v>
      </c>
      <c r="J189" s="3">
        <v>0.30918620000000002</v>
      </c>
      <c r="K189" s="3">
        <v>-0.4766454</v>
      </c>
      <c r="L189" s="3">
        <v>0.1184909</v>
      </c>
    </row>
    <row r="190" spans="1:12" x14ac:dyDescent="0.25">
      <c r="A190" t="s">
        <v>13623</v>
      </c>
      <c r="B190" t="s">
        <v>957</v>
      </c>
      <c r="I190" t="s">
        <v>455</v>
      </c>
      <c r="J190" s="3">
        <v>-0.26727849999999997</v>
      </c>
      <c r="K190" s="3">
        <v>-4.4093420000000001E-3</v>
      </c>
      <c r="L190" s="3">
        <v>-0.3464409</v>
      </c>
    </row>
    <row r="191" spans="1:12" x14ac:dyDescent="0.25">
      <c r="A191" t="s">
        <v>13620</v>
      </c>
      <c r="B191" t="s">
        <v>13621</v>
      </c>
      <c r="I191" t="s">
        <v>13622</v>
      </c>
      <c r="J191" s="3">
        <v>-5.6202879999999997E-2</v>
      </c>
      <c r="K191" s="3">
        <v>-6.4300000000000004E-5</v>
      </c>
      <c r="L191" s="3">
        <v>-4.7741489999999998E-2</v>
      </c>
    </row>
    <row r="192" spans="1:12" x14ac:dyDescent="0.25">
      <c r="A192" t="s">
        <v>13617</v>
      </c>
      <c r="B192" t="s">
        <v>13618</v>
      </c>
      <c r="I192" t="s">
        <v>13619</v>
      </c>
      <c r="J192" s="3">
        <v>0.89488129999999999</v>
      </c>
      <c r="K192" s="3">
        <v>1.005487</v>
      </c>
      <c r="L192" s="3">
        <v>0.6112071</v>
      </c>
    </row>
    <row r="193" spans="1:12" x14ac:dyDescent="0.25">
      <c r="A193" t="s">
        <v>13614</v>
      </c>
      <c r="B193" t="s">
        <v>13615</v>
      </c>
      <c r="I193" t="s">
        <v>13616</v>
      </c>
      <c r="J193" s="3">
        <v>-0.1016895</v>
      </c>
      <c r="K193" s="3">
        <v>-0.12698409999999999</v>
      </c>
      <c r="L193" s="3">
        <v>-0.19229009999999999</v>
      </c>
    </row>
    <row r="194" spans="1:12" x14ac:dyDescent="0.25">
      <c r="A194" t="s">
        <v>13611</v>
      </c>
      <c r="B194" t="s">
        <v>13612</v>
      </c>
      <c r="I194" t="s">
        <v>13613</v>
      </c>
      <c r="J194" s="3">
        <v>0.75031899999999996</v>
      </c>
      <c r="K194" s="3">
        <v>0.57123749999999995</v>
      </c>
      <c r="L194" s="3">
        <v>0.53408860000000002</v>
      </c>
    </row>
    <row r="195" spans="1:12" x14ac:dyDescent="0.25">
      <c r="A195" t="s">
        <v>13609</v>
      </c>
      <c r="B195" t="s">
        <v>957</v>
      </c>
      <c r="I195" t="s">
        <v>13610</v>
      </c>
      <c r="J195" s="3">
        <v>-1.422701</v>
      </c>
      <c r="K195" s="3">
        <v>-0.88469719999999996</v>
      </c>
      <c r="L195" s="3">
        <v>-0.92858019999999997</v>
      </c>
    </row>
    <row r="196" spans="1:12" x14ac:dyDescent="0.25">
      <c r="A196" t="s">
        <v>12922</v>
      </c>
      <c r="B196" t="s">
        <v>957</v>
      </c>
      <c r="I196" t="s">
        <v>13608</v>
      </c>
      <c r="J196" s="3">
        <v>-0.86814550000000001</v>
      </c>
      <c r="K196" s="3">
        <v>-0.63143090000000002</v>
      </c>
      <c r="L196" s="3">
        <v>-0.64111200000000002</v>
      </c>
    </row>
    <row r="197" spans="1:12" x14ac:dyDescent="0.25">
      <c r="A197" t="s">
        <v>12921</v>
      </c>
      <c r="B197" t="s">
        <v>957</v>
      </c>
      <c r="I197" t="s">
        <v>453</v>
      </c>
      <c r="J197" s="3">
        <v>0.1393025</v>
      </c>
      <c r="K197" s="3">
        <v>5.8363110000000003E-2</v>
      </c>
      <c r="L197" s="3">
        <v>9.9732719999999997E-2</v>
      </c>
    </row>
    <row r="198" spans="1:12" x14ac:dyDescent="0.25">
      <c r="A198" t="s">
        <v>12918</v>
      </c>
      <c r="B198" t="s">
        <v>12919</v>
      </c>
      <c r="I198" t="s">
        <v>12920</v>
      </c>
      <c r="J198" s="3">
        <v>0.2597699</v>
      </c>
      <c r="K198" s="3">
        <v>0.2805819</v>
      </c>
      <c r="L198" s="3">
        <v>3.9868809999999998E-2</v>
      </c>
    </row>
    <row r="199" spans="1:12" x14ac:dyDescent="0.25">
      <c r="A199" t="s">
        <v>12915</v>
      </c>
      <c r="B199" t="s">
        <v>12916</v>
      </c>
      <c r="I199" t="s">
        <v>12917</v>
      </c>
      <c r="J199" s="3">
        <v>-0.16781499999999999</v>
      </c>
      <c r="K199" s="3">
        <v>-1.1208959999999999</v>
      </c>
      <c r="L199" s="3">
        <v>-0.62226090000000001</v>
      </c>
    </row>
    <row r="200" spans="1:12" x14ac:dyDescent="0.25">
      <c r="A200" t="s">
        <v>12914</v>
      </c>
      <c r="B200" t="s">
        <v>957</v>
      </c>
      <c r="I200" t="s">
        <v>455</v>
      </c>
      <c r="J200" s="3">
        <v>0.4896857</v>
      </c>
      <c r="K200" s="3">
        <v>0.4000203</v>
      </c>
      <c r="L200" s="3">
        <v>0.47367310000000001</v>
      </c>
    </row>
    <row r="201" spans="1:12" x14ac:dyDescent="0.25">
      <c r="A201" t="s">
        <v>12911</v>
      </c>
      <c r="B201" t="s">
        <v>12912</v>
      </c>
      <c r="I201" t="s">
        <v>12913</v>
      </c>
      <c r="J201" s="3">
        <v>-7.3033600000000004E-2</v>
      </c>
      <c r="K201" s="3">
        <v>2.069346E-2</v>
      </c>
      <c r="L201" s="3">
        <v>-0.1656753</v>
      </c>
    </row>
    <row r="202" spans="1:12" x14ac:dyDescent="0.25">
      <c r="A202" t="s">
        <v>12908</v>
      </c>
      <c r="B202" t="s">
        <v>12909</v>
      </c>
      <c r="I202" t="s">
        <v>12910</v>
      </c>
      <c r="J202" s="3">
        <v>-0.12382</v>
      </c>
      <c r="K202" s="3">
        <v>-0.28615590000000002</v>
      </c>
      <c r="L202" s="3">
        <v>0.14294180000000001</v>
      </c>
    </row>
    <row r="203" spans="1:12" x14ac:dyDescent="0.25">
      <c r="A203" t="s">
        <v>12907</v>
      </c>
      <c r="B203" t="s">
        <v>957</v>
      </c>
      <c r="I203" t="s">
        <v>455</v>
      </c>
      <c r="J203" s="3">
        <v>-0.92673090000000002</v>
      </c>
      <c r="K203" s="3">
        <v>-1.3252109999999999</v>
      </c>
      <c r="L203" s="3">
        <v>-0.6063035</v>
      </c>
    </row>
    <row r="204" spans="1:12" x14ac:dyDescent="0.25">
      <c r="A204" t="s">
        <v>12905</v>
      </c>
      <c r="B204" t="s">
        <v>14086</v>
      </c>
      <c r="C204" t="s">
        <v>14087</v>
      </c>
      <c r="D204" t="s">
        <v>14088</v>
      </c>
      <c r="E204" t="s">
        <v>14101</v>
      </c>
      <c r="F204" t="s">
        <v>14089</v>
      </c>
      <c r="G204" t="s">
        <v>14090</v>
      </c>
      <c r="I204" t="s">
        <v>12906</v>
      </c>
      <c r="J204" s="3">
        <v>0.1043186</v>
      </c>
      <c r="K204" s="3">
        <v>0.54499569999999997</v>
      </c>
      <c r="L204" s="3">
        <v>0.47896080000000002</v>
      </c>
    </row>
    <row r="205" spans="1:12" x14ac:dyDescent="0.25">
      <c r="A205" t="s">
        <v>12737</v>
      </c>
      <c r="B205" t="s">
        <v>14102</v>
      </c>
      <c r="C205" t="s">
        <v>14103</v>
      </c>
      <c r="D205" t="s">
        <v>14104</v>
      </c>
      <c r="E205" t="s">
        <v>14105</v>
      </c>
      <c r="F205" t="s">
        <v>14106</v>
      </c>
      <c r="G205" t="s">
        <v>14107</v>
      </c>
      <c r="H205" t="s">
        <v>14108</v>
      </c>
      <c r="I205" t="s">
        <v>12904</v>
      </c>
      <c r="J205" s="3">
        <v>-0.21575510000000001</v>
      </c>
      <c r="K205" s="3">
        <v>-0.65490440000000005</v>
      </c>
      <c r="L205" s="3">
        <v>-0.51752229999999999</v>
      </c>
    </row>
    <row r="206" spans="1:12" x14ac:dyDescent="0.25">
      <c r="A206" t="s">
        <v>12735</v>
      </c>
      <c r="B206" t="s">
        <v>14102</v>
      </c>
      <c r="C206" t="s">
        <v>14103</v>
      </c>
      <c r="D206" t="s">
        <v>14104</v>
      </c>
      <c r="E206" t="s">
        <v>14105</v>
      </c>
      <c r="F206" t="s">
        <v>14106</v>
      </c>
      <c r="G206" t="s">
        <v>14107</v>
      </c>
      <c r="H206" t="s">
        <v>14108</v>
      </c>
      <c r="I206" t="s">
        <v>12736</v>
      </c>
      <c r="J206" s="3">
        <v>-0.14942449999999999</v>
      </c>
      <c r="K206" s="3">
        <v>-0.89196450000000005</v>
      </c>
      <c r="L206" s="3">
        <v>-0.34748580000000001</v>
      </c>
    </row>
    <row r="207" spans="1:12" x14ac:dyDescent="0.25">
      <c r="A207" t="s">
        <v>12733</v>
      </c>
      <c r="B207" t="s">
        <v>14102</v>
      </c>
      <c r="C207" t="s">
        <v>14103</v>
      </c>
      <c r="D207" t="s">
        <v>14104</v>
      </c>
      <c r="E207" t="s">
        <v>14105</v>
      </c>
      <c r="F207" t="s">
        <v>14106</v>
      </c>
      <c r="G207" t="s">
        <v>14107</v>
      </c>
      <c r="H207" t="s">
        <v>14108</v>
      </c>
      <c r="I207" t="s">
        <v>12734</v>
      </c>
      <c r="J207" s="3">
        <v>-0.12286560000000001</v>
      </c>
      <c r="K207" s="3">
        <v>-0.34590860000000001</v>
      </c>
      <c r="L207" s="3">
        <v>-0.171288</v>
      </c>
    </row>
    <row r="208" spans="1:12" x14ac:dyDescent="0.25">
      <c r="A208" t="s">
        <v>12730</v>
      </c>
      <c r="B208" t="s">
        <v>12731</v>
      </c>
      <c r="I208" t="s">
        <v>12732</v>
      </c>
      <c r="J208" s="3">
        <v>-2.213151E-2</v>
      </c>
      <c r="K208" s="3">
        <v>0.29056759999999998</v>
      </c>
      <c r="L208" s="3">
        <v>5.3318979999999998E-3</v>
      </c>
    </row>
    <row r="209" spans="1:12" x14ac:dyDescent="0.25">
      <c r="A209" t="s">
        <v>12727</v>
      </c>
      <c r="B209" t="s">
        <v>12728</v>
      </c>
      <c r="I209" t="s">
        <v>12729</v>
      </c>
      <c r="J209" s="3">
        <v>-0.25619409999999998</v>
      </c>
      <c r="K209" s="3">
        <v>-0.58929929999999997</v>
      </c>
      <c r="L209" s="3">
        <v>-0.36514730000000001</v>
      </c>
    </row>
    <row r="210" spans="1:12" x14ac:dyDescent="0.25">
      <c r="A210" t="s">
        <v>12724</v>
      </c>
      <c r="B210" t="s">
        <v>12725</v>
      </c>
      <c r="I210" t="s">
        <v>12726</v>
      </c>
      <c r="J210" s="3">
        <v>-0.49878129999999998</v>
      </c>
      <c r="K210" s="3">
        <v>-6.4258220000000005E-2</v>
      </c>
      <c r="L210" s="3">
        <v>-0.49515730000000002</v>
      </c>
    </row>
    <row r="211" spans="1:12" x14ac:dyDescent="0.25">
      <c r="A211" t="s">
        <v>12721</v>
      </c>
      <c r="B211" t="s">
        <v>12722</v>
      </c>
      <c r="I211" t="s">
        <v>12723</v>
      </c>
      <c r="J211" s="3">
        <v>0.38782420000000001</v>
      </c>
      <c r="K211" s="3">
        <v>0.19992779999999999</v>
      </c>
      <c r="L211" s="3">
        <v>0.23260040000000001</v>
      </c>
    </row>
    <row r="212" spans="1:12" x14ac:dyDescent="0.25">
      <c r="A212" t="s">
        <v>12718</v>
      </c>
      <c r="B212" t="s">
        <v>12719</v>
      </c>
      <c r="I212" t="s">
        <v>12720</v>
      </c>
      <c r="J212" s="3">
        <v>1.089518</v>
      </c>
      <c r="K212" s="3">
        <v>0.4635474</v>
      </c>
      <c r="L212" s="3">
        <v>0.61891320000000005</v>
      </c>
    </row>
    <row r="213" spans="1:12" x14ac:dyDescent="0.25">
      <c r="A213" t="s">
        <v>12715</v>
      </c>
      <c r="B213" t="s">
        <v>12716</v>
      </c>
      <c r="I213" t="s">
        <v>12717</v>
      </c>
      <c r="J213" s="3">
        <v>0.2268743</v>
      </c>
      <c r="K213" s="3">
        <v>0.66008679999999997</v>
      </c>
      <c r="L213" s="3">
        <v>1.669528E-2</v>
      </c>
    </row>
    <row r="214" spans="1:12" x14ac:dyDescent="0.25">
      <c r="A214" t="s">
        <v>12714</v>
      </c>
      <c r="B214" t="s">
        <v>957</v>
      </c>
      <c r="I214" t="s">
        <v>957</v>
      </c>
      <c r="J214" s="3">
        <v>-6.8117659999999997E-2</v>
      </c>
      <c r="K214" s="3">
        <v>-0.37681730000000002</v>
      </c>
      <c r="L214" s="3">
        <v>-0.3237121</v>
      </c>
    </row>
    <row r="215" spans="1:12" x14ac:dyDescent="0.25">
      <c r="A215" t="s">
        <v>12711</v>
      </c>
      <c r="B215" t="s">
        <v>12712</v>
      </c>
      <c r="I215" t="s">
        <v>12713</v>
      </c>
      <c r="J215" s="3">
        <v>0.26681899999999997</v>
      </c>
      <c r="K215" s="3">
        <v>1.010605</v>
      </c>
      <c r="L215" s="3">
        <v>0.39616010000000002</v>
      </c>
    </row>
    <row r="216" spans="1:12" x14ac:dyDescent="0.25">
      <c r="A216" t="s">
        <v>12709</v>
      </c>
      <c r="B216" t="s">
        <v>14109</v>
      </c>
      <c r="C216" t="s">
        <v>14110</v>
      </c>
      <c r="I216" t="s">
        <v>12710</v>
      </c>
      <c r="J216" s="3">
        <v>3.3919119999999997E-2</v>
      </c>
      <c r="K216" s="3">
        <v>-0.39670879999999997</v>
      </c>
      <c r="L216" s="3">
        <v>-0.22083610000000001</v>
      </c>
    </row>
    <row r="217" spans="1:12" x14ac:dyDescent="0.25">
      <c r="A217" t="s">
        <v>12708</v>
      </c>
      <c r="B217" t="s">
        <v>14111</v>
      </c>
      <c r="C217" t="s">
        <v>14112</v>
      </c>
      <c r="I217" t="s">
        <v>2792</v>
      </c>
      <c r="J217" s="3">
        <v>0.1065912</v>
      </c>
      <c r="K217" s="3">
        <v>-0.45987909999999999</v>
      </c>
      <c r="L217" s="3">
        <v>3.2074989999999998E-2</v>
      </c>
    </row>
    <row r="218" spans="1:12" x14ac:dyDescent="0.25">
      <c r="A218" t="s">
        <v>12705</v>
      </c>
      <c r="B218" t="s">
        <v>12706</v>
      </c>
      <c r="I218" t="s">
        <v>12707</v>
      </c>
      <c r="J218" s="3">
        <v>4.0358810000000002E-2</v>
      </c>
      <c r="K218" s="3">
        <v>0.17127000000000001</v>
      </c>
      <c r="L218" s="3">
        <v>0.20738500000000001</v>
      </c>
    </row>
    <row r="219" spans="1:12" x14ac:dyDescent="0.25">
      <c r="A219" t="s">
        <v>12704</v>
      </c>
      <c r="B219" t="s">
        <v>957</v>
      </c>
      <c r="I219" t="s">
        <v>455</v>
      </c>
      <c r="J219" s="3">
        <v>-0.47480339999999999</v>
      </c>
      <c r="K219" s="3">
        <v>-0.153308</v>
      </c>
      <c r="L219" s="3">
        <v>5.6491980000000002E-3</v>
      </c>
    </row>
    <row r="220" spans="1:12" x14ac:dyDescent="0.25">
      <c r="A220" t="s">
        <v>12703</v>
      </c>
      <c r="B220" t="s">
        <v>957</v>
      </c>
      <c r="I220" t="s">
        <v>455</v>
      </c>
      <c r="J220" s="3">
        <v>-0.17983089999999999</v>
      </c>
      <c r="K220" s="3">
        <v>-0.33460069999999997</v>
      </c>
      <c r="L220" s="3">
        <v>-9.2097200000000004E-2</v>
      </c>
    </row>
    <row r="221" spans="1:12" x14ac:dyDescent="0.25">
      <c r="A221" t="s">
        <v>12700</v>
      </c>
      <c r="B221" t="s">
        <v>12701</v>
      </c>
      <c r="I221" t="s">
        <v>12702</v>
      </c>
      <c r="J221" s="3">
        <v>-0.22847400000000001</v>
      </c>
      <c r="K221" s="3">
        <v>0.1138792</v>
      </c>
      <c r="L221" s="3">
        <v>-0.33571519999999999</v>
      </c>
    </row>
    <row r="222" spans="1:12" x14ac:dyDescent="0.25">
      <c r="A222" t="s">
        <v>12698</v>
      </c>
      <c r="B222" t="s">
        <v>957</v>
      </c>
      <c r="I222" t="s">
        <v>12699</v>
      </c>
      <c r="J222" s="3">
        <v>0.41202689999999997</v>
      </c>
      <c r="K222" s="3">
        <v>0.16888149999999999</v>
      </c>
      <c r="L222" s="3">
        <v>0.32973160000000001</v>
      </c>
    </row>
    <row r="223" spans="1:12" x14ac:dyDescent="0.25">
      <c r="A223" t="s">
        <v>13525</v>
      </c>
      <c r="B223" t="s">
        <v>13526</v>
      </c>
      <c r="I223" t="s">
        <v>12697</v>
      </c>
      <c r="J223" s="3">
        <v>-0.14473800000000001</v>
      </c>
      <c r="K223" s="3">
        <v>7.5796589999999997E-2</v>
      </c>
      <c r="L223" s="3">
        <v>0.1074918</v>
      </c>
    </row>
    <row r="224" spans="1:12" x14ac:dyDescent="0.25">
      <c r="A224" t="s">
        <v>13522</v>
      </c>
      <c r="B224" t="s">
        <v>13523</v>
      </c>
      <c r="I224" t="s">
        <v>13524</v>
      </c>
      <c r="J224" s="3">
        <v>0.13191600000000001</v>
      </c>
      <c r="K224" s="3">
        <v>1.055329</v>
      </c>
      <c r="L224" s="3">
        <v>0.1503234</v>
      </c>
    </row>
    <row r="225" spans="1:12" x14ac:dyDescent="0.25">
      <c r="A225" t="s">
        <v>13519</v>
      </c>
      <c r="B225" t="s">
        <v>13520</v>
      </c>
      <c r="I225" t="s">
        <v>13521</v>
      </c>
      <c r="J225" s="3">
        <v>0.29229729999999998</v>
      </c>
      <c r="K225" s="3">
        <v>1.190231</v>
      </c>
      <c r="L225" s="3">
        <v>1.4811160000000001</v>
      </c>
    </row>
    <row r="226" spans="1:12" x14ac:dyDescent="0.25">
      <c r="A226" t="s">
        <v>13516</v>
      </c>
      <c r="B226" t="s">
        <v>13517</v>
      </c>
      <c r="I226" t="s">
        <v>13518</v>
      </c>
      <c r="J226" s="3">
        <v>-0.72545649999999995</v>
      </c>
      <c r="K226" s="3">
        <v>0.15838459999999999</v>
      </c>
      <c r="L226" s="3">
        <v>-0.29789159999999998</v>
      </c>
    </row>
    <row r="227" spans="1:12" x14ac:dyDescent="0.25">
      <c r="A227" t="s">
        <v>13513</v>
      </c>
      <c r="B227" t="s">
        <v>13514</v>
      </c>
      <c r="I227" t="s">
        <v>13515</v>
      </c>
      <c r="J227" s="3">
        <v>-1.382424E-2</v>
      </c>
      <c r="K227" s="3">
        <v>1.2698799999999999</v>
      </c>
      <c r="L227" s="3">
        <v>7.0518780000000003E-2</v>
      </c>
    </row>
    <row r="228" spans="1:12" x14ac:dyDescent="0.25">
      <c r="A228" t="s">
        <v>13510</v>
      </c>
      <c r="B228" t="s">
        <v>13511</v>
      </c>
      <c r="I228" t="s">
        <v>13512</v>
      </c>
      <c r="J228" s="3">
        <v>-1.1051770000000001E-2</v>
      </c>
      <c r="K228" s="3">
        <v>-0.2062513</v>
      </c>
      <c r="L228" s="3">
        <v>4.0089560000000003E-2</v>
      </c>
    </row>
    <row r="229" spans="1:12" x14ac:dyDescent="0.25">
      <c r="A229" t="s">
        <v>13507</v>
      </c>
      <c r="B229" t="s">
        <v>13508</v>
      </c>
      <c r="I229" t="s">
        <v>13509</v>
      </c>
      <c r="J229" s="3">
        <v>-0.1646415</v>
      </c>
      <c r="K229" s="3">
        <v>-0.1368163</v>
      </c>
      <c r="L229" s="3">
        <v>-0.35494369999999997</v>
      </c>
    </row>
    <row r="230" spans="1:12" x14ac:dyDescent="0.25">
      <c r="A230" t="s">
        <v>13504</v>
      </c>
      <c r="B230" t="s">
        <v>13505</v>
      </c>
      <c r="I230" t="s">
        <v>13506</v>
      </c>
      <c r="J230" s="3">
        <v>-0.110448</v>
      </c>
      <c r="K230" s="3">
        <v>-0.53028399999999998</v>
      </c>
      <c r="L230" s="3">
        <v>9.4717480000000007E-2</v>
      </c>
    </row>
    <row r="231" spans="1:12" x14ac:dyDescent="0.25">
      <c r="A231" t="s">
        <v>13503</v>
      </c>
      <c r="B231" t="s">
        <v>957</v>
      </c>
      <c r="I231" t="s">
        <v>455</v>
      </c>
      <c r="J231" s="3">
        <v>0.91431359999999995</v>
      </c>
      <c r="K231" s="3">
        <v>1.1846939999999999</v>
      </c>
      <c r="L231" s="3">
        <v>0.99911220000000001</v>
      </c>
    </row>
    <row r="232" spans="1:12" x14ac:dyDescent="0.25">
      <c r="A232" t="s">
        <v>13500</v>
      </c>
      <c r="B232" t="s">
        <v>13501</v>
      </c>
      <c r="I232" t="s">
        <v>13502</v>
      </c>
      <c r="J232" s="3">
        <v>0.53588199999999997</v>
      </c>
      <c r="K232" s="3">
        <v>0.4331854</v>
      </c>
      <c r="L232" s="3">
        <v>0.66603659999999998</v>
      </c>
    </row>
    <row r="233" spans="1:12" x14ac:dyDescent="0.25">
      <c r="A233" t="s">
        <v>13499</v>
      </c>
      <c r="B233" t="s">
        <v>957</v>
      </c>
      <c r="I233" t="s">
        <v>455</v>
      </c>
      <c r="J233" s="3">
        <v>0.1875793</v>
      </c>
      <c r="K233" s="3">
        <v>-8.7373619999999999E-2</v>
      </c>
      <c r="L233" s="3">
        <v>-0.17036029999999999</v>
      </c>
    </row>
    <row r="234" spans="1:12" x14ac:dyDescent="0.25">
      <c r="A234" t="s">
        <v>13496</v>
      </c>
      <c r="B234" t="s">
        <v>13497</v>
      </c>
      <c r="I234" t="s">
        <v>13498</v>
      </c>
      <c r="J234" s="3">
        <v>-1.446224</v>
      </c>
      <c r="K234" s="3">
        <v>-0.2072619</v>
      </c>
      <c r="L234" s="3">
        <v>-0.55672560000000004</v>
      </c>
    </row>
    <row r="235" spans="1:12" x14ac:dyDescent="0.25">
      <c r="A235" t="s">
        <v>13495</v>
      </c>
      <c r="B235" t="s">
        <v>957</v>
      </c>
      <c r="I235" t="s">
        <v>455</v>
      </c>
      <c r="J235" s="3">
        <v>-0.96973129999999996</v>
      </c>
      <c r="K235" s="3">
        <v>0.41278120000000001</v>
      </c>
      <c r="L235" s="3">
        <v>-0.290578</v>
      </c>
    </row>
    <row r="236" spans="1:12" x14ac:dyDescent="0.25">
      <c r="A236" t="s">
        <v>13493</v>
      </c>
      <c r="B236" t="s">
        <v>12761</v>
      </c>
      <c r="C236" t="s">
        <v>14113</v>
      </c>
      <c r="I236" t="s">
        <v>13494</v>
      </c>
      <c r="J236" s="3">
        <v>0.1610113</v>
      </c>
      <c r="K236" s="3">
        <v>0.33277990000000002</v>
      </c>
      <c r="L236" s="3">
        <v>0.31061420000000001</v>
      </c>
    </row>
    <row r="237" spans="1:12" x14ac:dyDescent="0.25">
      <c r="A237" t="s">
        <v>13492</v>
      </c>
      <c r="B237" t="s">
        <v>957</v>
      </c>
      <c r="I237" t="s">
        <v>1768</v>
      </c>
      <c r="J237" s="3">
        <v>-0.33694809999999997</v>
      </c>
      <c r="K237" s="3">
        <v>-0.46892400000000001</v>
      </c>
      <c r="L237" s="3">
        <v>-0.27771879999999999</v>
      </c>
    </row>
    <row r="238" spans="1:12" x14ac:dyDescent="0.25">
      <c r="A238" t="s">
        <v>12572</v>
      </c>
      <c r="B238" t="s">
        <v>12573</v>
      </c>
      <c r="I238" t="s">
        <v>13491</v>
      </c>
      <c r="J238" s="3">
        <v>0.25046689999999999</v>
      </c>
      <c r="K238" s="3">
        <v>0.24608279999999999</v>
      </c>
      <c r="L238" s="3">
        <v>-0.5383</v>
      </c>
    </row>
    <row r="239" spans="1:12" x14ac:dyDescent="0.25">
      <c r="A239" t="s">
        <v>12569</v>
      </c>
      <c r="B239" t="s">
        <v>12570</v>
      </c>
      <c r="I239" t="s">
        <v>12571</v>
      </c>
      <c r="J239" s="3">
        <v>-0.1289255</v>
      </c>
      <c r="K239" s="3">
        <v>-0.58800459999999999</v>
      </c>
      <c r="L239" s="3">
        <v>-0.1207498</v>
      </c>
    </row>
    <row r="240" spans="1:12" x14ac:dyDescent="0.25">
      <c r="A240" t="s">
        <v>12566</v>
      </c>
      <c r="B240" t="s">
        <v>12567</v>
      </c>
      <c r="I240" t="s">
        <v>12568</v>
      </c>
      <c r="J240" s="3">
        <v>4.8869599999999999E-2</v>
      </c>
      <c r="K240" s="3">
        <v>6.3988649999999994E-2</v>
      </c>
      <c r="L240" s="3">
        <v>1.437481E-2</v>
      </c>
    </row>
    <row r="241" spans="1:12" x14ac:dyDescent="0.25">
      <c r="A241" t="s">
        <v>12563</v>
      </c>
      <c r="B241" t="s">
        <v>12564</v>
      </c>
      <c r="I241" t="s">
        <v>12565</v>
      </c>
      <c r="J241" s="3">
        <v>-0.17597170000000001</v>
      </c>
      <c r="K241" s="3">
        <v>2.3028329999999998E-3</v>
      </c>
      <c r="L241" s="3">
        <v>-6.9246929999999998E-2</v>
      </c>
    </row>
    <row r="242" spans="1:12" x14ac:dyDescent="0.25">
      <c r="A242" t="s">
        <v>12560</v>
      </c>
      <c r="B242" t="s">
        <v>12561</v>
      </c>
      <c r="I242" t="s">
        <v>12562</v>
      </c>
      <c r="J242" s="3">
        <v>0.115046</v>
      </c>
      <c r="K242" s="3">
        <v>1.2367109999999999</v>
      </c>
      <c r="L242" s="3">
        <v>0.6713789</v>
      </c>
    </row>
    <row r="243" spans="1:12" x14ac:dyDescent="0.25">
      <c r="A243" t="s">
        <v>12557</v>
      </c>
      <c r="B243" t="s">
        <v>12558</v>
      </c>
      <c r="I243" t="s">
        <v>12559</v>
      </c>
      <c r="J243" s="3">
        <v>-0.28894170000000002</v>
      </c>
      <c r="K243" s="3">
        <v>-0.46990120000000002</v>
      </c>
      <c r="L243" s="3">
        <v>-0.29802489999999998</v>
      </c>
    </row>
    <row r="244" spans="1:12" x14ac:dyDescent="0.25">
      <c r="A244" t="s">
        <v>12554</v>
      </c>
      <c r="B244" t="s">
        <v>12555</v>
      </c>
      <c r="I244" t="s">
        <v>12556</v>
      </c>
      <c r="J244" s="3">
        <v>-0.14846709999999999</v>
      </c>
      <c r="K244" s="3">
        <v>-6.4549640000000005E-2</v>
      </c>
      <c r="L244" s="3">
        <v>-1.872565E-2</v>
      </c>
    </row>
    <row r="245" spans="1:12" x14ac:dyDescent="0.25">
      <c r="A245" t="s">
        <v>12551</v>
      </c>
      <c r="B245" t="s">
        <v>12552</v>
      </c>
      <c r="I245" t="s">
        <v>12553</v>
      </c>
      <c r="J245" s="3">
        <v>0.48512509999999998</v>
      </c>
      <c r="K245" s="3">
        <v>1.0256620000000001</v>
      </c>
      <c r="L245" s="3">
        <v>0.36223949999999999</v>
      </c>
    </row>
    <row r="246" spans="1:12" x14ac:dyDescent="0.25">
      <c r="A246" t="s">
        <v>12550</v>
      </c>
      <c r="B246" t="s">
        <v>957</v>
      </c>
      <c r="I246" t="s">
        <v>455</v>
      </c>
      <c r="J246" s="3">
        <v>0.33495530000000001</v>
      </c>
      <c r="K246" s="3">
        <v>0.44869130000000002</v>
      </c>
      <c r="L246" s="3">
        <v>3.8139039999999999E-2</v>
      </c>
    </row>
    <row r="247" spans="1:12" x14ac:dyDescent="0.25">
      <c r="A247" t="s">
        <v>12548</v>
      </c>
      <c r="B247" t="s">
        <v>12549</v>
      </c>
      <c r="I247" t="s">
        <v>6938</v>
      </c>
      <c r="J247" s="3">
        <v>0.65080059999999995</v>
      </c>
      <c r="K247" s="3">
        <v>0.55299929999999997</v>
      </c>
      <c r="L247" s="3">
        <v>0.54396560000000005</v>
      </c>
    </row>
    <row r="248" spans="1:12" x14ac:dyDescent="0.25">
      <c r="A248" t="s">
        <v>12545</v>
      </c>
      <c r="B248" t="s">
        <v>12546</v>
      </c>
      <c r="I248" t="s">
        <v>12547</v>
      </c>
      <c r="J248" s="3">
        <v>-0.65246700000000002</v>
      </c>
      <c r="K248" s="3">
        <v>-0.73871249999999999</v>
      </c>
      <c r="L248" s="3">
        <v>-0.55809169999999997</v>
      </c>
    </row>
    <row r="249" spans="1:12" x14ac:dyDescent="0.25">
      <c r="A249" t="s">
        <v>12542</v>
      </c>
      <c r="B249" t="s">
        <v>12543</v>
      </c>
      <c r="I249" t="s">
        <v>12544</v>
      </c>
      <c r="J249" s="3">
        <v>1.119856</v>
      </c>
      <c r="K249" s="3">
        <v>-0.38427600000000001</v>
      </c>
      <c r="L249" s="3">
        <v>6.6498580000000002E-2</v>
      </c>
    </row>
    <row r="250" spans="1:12" x14ac:dyDescent="0.25">
      <c r="A250" t="s">
        <v>12539</v>
      </c>
      <c r="B250" t="s">
        <v>12540</v>
      </c>
      <c r="I250" t="s">
        <v>12541</v>
      </c>
      <c r="J250" s="3">
        <v>1.419362</v>
      </c>
      <c r="K250" s="3">
        <v>1.0372570000000001</v>
      </c>
      <c r="L250" s="3">
        <v>0.93318190000000001</v>
      </c>
    </row>
    <row r="251" spans="1:12" x14ac:dyDescent="0.25">
      <c r="A251" t="s">
        <v>12538</v>
      </c>
      <c r="B251" t="s">
        <v>957</v>
      </c>
      <c r="I251" t="s">
        <v>823</v>
      </c>
      <c r="J251" s="3">
        <v>1.9318439999999999</v>
      </c>
      <c r="K251" s="3">
        <v>1.033439</v>
      </c>
      <c r="L251" s="3">
        <v>1.3684099999999999</v>
      </c>
    </row>
    <row r="252" spans="1:12" x14ac:dyDescent="0.25">
      <c r="A252" t="s">
        <v>12537</v>
      </c>
      <c r="B252" t="s">
        <v>14114</v>
      </c>
      <c r="C252" t="s">
        <v>14115</v>
      </c>
      <c r="I252" t="s">
        <v>11803</v>
      </c>
      <c r="J252" s="3">
        <v>0.67206670000000002</v>
      </c>
      <c r="K252" s="3">
        <v>0.53978060000000005</v>
      </c>
      <c r="L252" s="3">
        <v>0.64001439999999998</v>
      </c>
    </row>
    <row r="253" spans="1:12" x14ac:dyDescent="0.25">
      <c r="A253" t="s">
        <v>12534</v>
      </c>
      <c r="B253" t="s">
        <v>12535</v>
      </c>
      <c r="I253" t="s">
        <v>12536</v>
      </c>
      <c r="J253" s="3">
        <v>0.1938695</v>
      </c>
      <c r="K253" s="3">
        <v>-0.46996589999999999</v>
      </c>
      <c r="L253" s="3">
        <v>-5.8275729999999998E-2</v>
      </c>
    </row>
    <row r="254" spans="1:12" x14ac:dyDescent="0.25">
      <c r="A254" t="s">
        <v>12531</v>
      </c>
      <c r="B254" t="s">
        <v>12532</v>
      </c>
      <c r="I254" t="s">
        <v>12533</v>
      </c>
      <c r="J254" s="3">
        <v>-0.57616909999999999</v>
      </c>
      <c r="K254" s="3">
        <v>-1.6755</v>
      </c>
      <c r="L254" s="3">
        <v>-0.79119300000000004</v>
      </c>
    </row>
    <row r="255" spans="1:12" x14ac:dyDescent="0.25">
      <c r="A255" t="s">
        <v>12529</v>
      </c>
      <c r="B255" t="s">
        <v>957</v>
      </c>
      <c r="I255" t="s">
        <v>12530</v>
      </c>
      <c r="J255" s="3">
        <v>-0.24874540000000001</v>
      </c>
      <c r="K255" s="3">
        <v>-0.53844429999999999</v>
      </c>
      <c r="L255" s="3">
        <v>6.2390910000000004E-3</v>
      </c>
    </row>
    <row r="256" spans="1:12" x14ac:dyDescent="0.25">
      <c r="A256" t="s">
        <v>12528</v>
      </c>
      <c r="B256" t="s">
        <v>957</v>
      </c>
      <c r="I256" t="s">
        <v>455</v>
      </c>
      <c r="J256" s="3">
        <v>-2.0035150000000002E-2</v>
      </c>
      <c r="K256" s="3">
        <v>0.51783109999999999</v>
      </c>
      <c r="L256" s="3">
        <v>0.40093770000000001</v>
      </c>
    </row>
    <row r="257" spans="1:12" x14ac:dyDescent="0.25">
      <c r="A257" t="s">
        <v>12525</v>
      </c>
      <c r="B257" t="s">
        <v>12526</v>
      </c>
      <c r="I257" t="s">
        <v>12527</v>
      </c>
      <c r="J257" s="3">
        <v>0.55527070000000001</v>
      </c>
      <c r="K257" s="3">
        <v>0.7484845</v>
      </c>
      <c r="L257" s="3">
        <v>0.52649009999999996</v>
      </c>
    </row>
    <row r="258" spans="1:12" x14ac:dyDescent="0.25">
      <c r="A258" t="s">
        <v>12523</v>
      </c>
      <c r="B258" t="s">
        <v>12524</v>
      </c>
      <c r="I258" t="s">
        <v>403</v>
      </c>
      <c r="J258" s="3">
        <v>0.2000497</v>
      </c>
      <c r="K258" s="3">
        <v>7.0495730000000006E-2</v>
      </c>
      <c r="L258" s="3">
        <v>0.1629456</v>
      </c>
    </row>
    <row r="259" spans="1:12" x14ac:dyDescent="0.25">
      <c r="A259" t="s">
        <v>12522</v>
      </c>
      <c r="B259" t="s">
        <v>957</v>
      </c>
      <c r="I259" t="s">
        <v>455</v>
      </c>
      <c r="J259" s="3">
        <v>0.56766720000000004</v>
      </c>
      <c r="K259" s="3">
        <v>0.13800680000000001</v>
      </c>
      <c r="L259" s="3">
        <v>0.53034210000000004</v>
      </c>
    </row>
    <row r="260" spans="1:12" x14ac:dyDescent="0.25">
      <c r="A260" t="s">
        <v>12521</v>
      </c>
      <c r="B260" t="s">
        <v>957</v>
      </c>
      <c r="I260" t="s">
        <v>957</v>
      </c>
      <c r="J260" s="3">
        <v>1.050427</v>
      </c>
      <c r="K260" s="3">
        <v>0.37936199999999998</v>
      </c>
      <c r="L260" s="3">
        <v>0.81502810000000003</v>
      </c>
    </row>
    <row r="261" spans="1:12" x14ac:dyDescent="0.25">
      <c r="A261" t="s">
        <v>12518</v>
      </c>
      <c r="B261" t="s">
        <v>12519</v>
      </c>
      <c r="I261" t="s">
        <v>12520</v>
      </c>
      <c r="J261" s="3">
        <v>0.17438819999999999</v>
      </c>
      <c r="K261" s="3">
        <v>-0.30226560000000002</v>
      </c>
      <c r="L261" s="3">
        <v>-4.7296709999999999E-2</v>
      </c>
    </row>
    <row r="262" spans="1:12" x14ac:dyDescent="0.25">
      <c r="A262" t="s">
        <v>13485</v>
      </c>
      <c r="B262" t="s">
        <v>12516</v>
      </c>
      <c r="I262" t="s">
        <v>12517</v>
      </c>
      <c r="J262" s="3">
        <v>-4.3740979999999999E-3</v>
      </c>
      <c r="K262" s="3">
        <v>-0.2202971</v>
      </c>
      <c r="L262" s="3">
        <v>5.4073980000000001E-2</v>
      </c>
    </row>
    <row r="263" spans="1:12" x14ac:dyDescent="0.25">
      <c r="A263" t="s">
        <v>13482</v>
      </c>
      <c r="B263" t="s">
        <v>13483</v>
      </c>
      <c r="I263" t="s">
        <v>13484</v>
      </c>
      <c r="J263" s="3">
        <v>0.4608778</v>
      </c>
      <c r="K263" s="3">
        <v>0.32037179999999998</v>
      </c>
      <c r="L263" s="3">
        <v>0.56085700000000005</v>
      </c>
    </row>
    <row r="264" spans="1:12" x14ac:dyDescent="0.25">
      <c r="A264" t="s">
        <v>13479</v>
      </c>
      <c r="B264" t="s">
        <v>13480</v>
      </c>
      <c r="I264" t="s">
        <v>13481</v>
      </c>
      <c r="J264" s="3">
        <v>0.41723549999999998</v>
      </c>
      <c r="K264" s="3">
        <v>-0.2193581</v>
      </c>
      <c r="L264" s="3">
        <v>0.44643850000000002</v>
      </c>
    </row>
    <row r="265" spans="1:12" x14ac:dyDescent="0.25">
      <c r="A265" t="s">
        <v>13477</v>
      </c>
      <c r="B265" t="s">
        <v>13478</v>
      </c>
      <c r="I265" t="s">
        <v>7496</v>
      </c>
      <c r="J265" s="3">
        <v>0.39388450000000003</v>
      </c>
      <c r="K265" s="3">
        <v>0.44242019999999999</v>
      </c>
      <c r="L265" s="3">
        <v>0.4240524</v>
      </c>
    </row>
    <row r="266" spans="1:12" x14ac:dyDescent="0.25">
      <c r="A266" t="s">
        <v>13474</v>
      </c>
      <c r="B266" t="s">
        <v>13475</v>
      </c>
      <c r="I266" t="s">
        <v>13476</v>
      </c>
      <c r="J266" s="3">
        <v>0.20684820000000001</v>
      </c>
      <c r="K266" s="3">
        <v>0.33250469999999999</v>
      </c>
      <c r="L266" s="3">
        <v>6.9028279999999997E-2</v>
      </c>
    </row>
    <row r="267" spans="1:12" x14ac:dyDescent="0.25">
      <c r="A267" t="s">
        <v>13473</v>
      </c>
      <c r="B267" t="s">
        <v>957</v>
      </c>
      <c r="I267" t="s">
        <v>455</v>
      </c>
      <c r="J267" s="3">
        <v>-0.45901940000000002</v>
      </c>
      <c r="K267" s="3">
        <v>-0.1492433</v>
      </c>
      <c r="L267" s="3">
        <v>0.28503240000000002</v>
      </c>
    </row>
    <row r="268" spans="1:12" x14ac:dyDescent="0.25">
      <c r="A268" t="s">
        <v>13472</v>
      </c>
      <c r="B268" t="s">
        <v>957</v>
      </c>
      <c r="I268" t="s">
        <v>455</v>
      </c>
      <c r="J268" s="3">
        <v>-0.1204778</v>
      </c>
      <c r="K268" s="3">
        <v>-0.70238480000000003</v>
      </c>
      <c r="L268" s="3">
        <v>-0.461843</v>
      </c>
    </row>
    <row r="269" spans="1:12" x14ac:dyDescent="0.25">
      <c r="A269" t="s">
        <v>13469</v>
      </c>
      <c r="B269" t="s">
        <v>13470</v>
      </c>
      <c r="I269" t="s">
        <v>13471</v>
      </c>
      <c r="J269" s="3">
        <v>-0.1845473</v>
      </c>
      <c r="K269" s="3">
        <v>-0.56545959999999995</v>
      </c>
      <c r="L269" s="3">
        <v>-0.47143390000000002</v>
      </c>
    </row>
    <row r="270" spans="1:12" x14ac:dyDescent="0.25">
      <c r="A270" t="s">
        <v>13466</v>
      </c>
      <c r="B270" t="s">
        <v>13467</v>
      </c>
      <c r="I270" t="s">
        <v>13468</v>
      </c>
      <c r="J270" s="3">
        <v>-3.420422E-2</v>
      </c>
      <c r="K270" s="3">
        <v>6.3511410000000004E-2</v>
      </c>
      <c r="L270" s="3">
        <v>1.085305E-2</v>
      </c>
    </row>
    <row r="271" spans="1:12" x14ac:dyDescent="0.25">
      <c r="A271" t="s">
        <v>13463</v>
      </c>
      <c r="B271" t="s">
        <v>13464</v>
      </c>
      <c r="I271" t="s">
        <v>13465</v>
      </c>
      <c r="J271" s="3">
        <v>-0.17875830000000001</v>
      </c>
      <c r="K271" s="3">
        <v>0.60254929999999995</v>
      </c>
      <c r="L271" s="3">
        <v>0.15989780000000001</v>
      </c>
    </row>
    <row r="272" spans="1:12" x14ac:dyDescent="0.25">
      <c r="A272" t="s">
        <v>13460</v>
      </c>
      <c r="B272" t="s">
        <v>13461</v>
      </c>
      <c r="I272" t="s">
        <v>13462</v>
      </c>
      <c r="J272" s="3">
        <v>0.40506370000000003</v>
      </c>
      <c r="K272" s="3">
        <v>-0.17632129999999999</v>
      </c>
      <c r="L272" s="3">
        <v>0.16268949999999999</v>
      </c>
    </row>
    <row r="273" spans="1:12" x14ac:dyDescent="0.25">
      <c r="A273" t="s">
        <v>13457</v>
      </c>
      <c r="B273" t="s">
        <v>13458</v>
      </c>
      <c r="I273" t="s">
        <v>13459</v>
      </c>
      <c r="J273" s="3">
        <v>-0.1748045</v>
      </c>
      <c r="K273" s="3">
        <v>-1.128498</v>
      </c>
      <c r="L273" s="3">
        <v>-0.64142560000000004</v>
      </c>
    </row>
    <row r="274" spans="1:12" x14ac:dyDescent="0.25">
      <c r="A274" t="s">
        <v>13455</v>
      </c>
      <c r="B274" t="s">
        <v>13456</v>
      </c>
      <c r="I274" t="s">
        <v>9079</v>
      </c>
      <c r="J274" s="3">
        <v>0.18298610000000001</v>
      </c>
      <c r="K274" s="3">
        <v>-6.0305270000000001E-2</v>
      </c>
      <c r="L274" s="3">
        <v>0.1946505</v>
      </c>
    </row>
    <row r="275" spans="1:12" x14ac:dyDescent="0.25">
      <c r="A275" t="s">
        <v>13454</v>
      </c>
      <c r="B275" t="s">
        <v>957</v>
      </c>
      <c r="I275" t="s">
        <v>455</v>
      </c>
      <c r="J275" s="3">
        <v>2.1094040000000001</v>
      </c>
      <c r="K275" s="3">
        <v>1.6716610000000001</v>
      </c>
      <c r="L275" s="3">
        <v>1.686768</v>
      </c>
    </row>
    <row r="276" spans="1:12" x14ac:dyDescent="0.25">
      <c r="A276" t="s">
        <v>13453</v>
      </c>
      <c r="B276" t="s">
        <v>957</v>
      </c>
      <c r="I276" t="s">
        <v>156</v>
      </c>
      <c r="J276" s="3">
        <v>6.5533019999999997E-2</v>
      </c>
      <c r="K276" s="3">
        <v>0.13631579999999999</v>
      </c>
      <c r="L276" s="3">
        <v>-2.5341300000000001E-2</v>
      </c>
    </row>
    <row r="277" spans="1:12" x14ac:dyDescent="0.25">
      <c r="A277" t="s">
        <v>13450</v>
      </c>
      <c r="B277" t="s">
        <v>13451</v>
      </c>
      <c r="I277" t="s">
        <v>13452</v>
      </c>
      <c r="J277" s="3">
        <v>0.2903984</v>
      </c>
      <c r="K277" s="3">
        <v>0.1707051</v>
      </c>
      <c r="L277" s="3">
        <v>0.30047360000000001</v>
      </c>
    </row>
    <row r="278" spans="1:12" x14ac:dyDescent="0.25">
      <c r="A278" t="s">
        <v>13447</v>
      </c>
      <c r="B278" t="s">
        <v>13448</v>
      </c>
      <c r="I278" t="s">
        <v>13449</v>
      </c>
      <c r="J278" s="3">
        <v>1.46207E-2</v>
      </c>
      <c r="K278" s="3">
        <v>-0.80901179999999995</v>
      </c>
      <c r="L278" s="3">
        <v>-0.18088589999999999</v>
      </c>
    </row>
    <row r="279" spans="1:12" x14ac:dyDescent="0.25">
      <c r="A279" t="s">
        <v>13446</v>
      </c>
      <c r="B279" t="s">
        <v>957</v>
      </c>
      <c r="I279" t="s">
        <v>2008</v>
      </c>
      <c r="J279" s="3">
        <v>0.22094079999999999</v>
      </c>
      <c r="K279" s="3">
        <v>0.38605889999999998</v>
      </c>
      <c r="L279" s="3">
        <v>-5.7099829999999997E-2</v>
      </c>
    </row>
    <row r="280" spans="1:12" x14ac:dyDescent="0.25">
      <c r="A280" t="s">
        <v>13444</v>
      </c>
      <c r="B280" t="s">
        <v>13445</v>
      </c>
      <c r="I280" t="s">
        <v>1768</v>
      </c>
      <c r="J280" s="3">
        <v>0.1352303</v>
      </c>
      <c r="K280" s="3">
        <v>0.17874709999999999</v>
      </c>
      <c r="L280" s="3">
        <v>3.1287519999999999E-2</v>
      </c>
    </row>
    <row r="281" spans="1:12" x14ac:dyDescent="0.25">
      <c r="A281" t="s">
        <v>13441</v>
      </c>
      <c r="B281" t="s">
        <v>13442</v>
      </c>
      <c r="I281" t="s">
        <v>13443</v>
      </c>
      <c r="J281" s="3">
        <v>-0.39247680000000001</v>
      </c>
      <c r="K281" s="3">
        <v>-0.50021899999999997</v>
      </c>
      <c r="L281" s="3">
        <v>-0.2421895</v>
      </c>
    </row>
    <row r="282" spans="1:12" x14ac:dyDescent="0.25">
      <c r="A282" t="s">
        <v>13438</v>
      </c>
      <c r="B282" t="s">
        <v>13439</v>
      </c>
      <c r="I282" t="s">
        <v>13440</v>
      </c>
      <c r="J282" s="3">
        <v>1.006602</v>
      </c>
      <c r="K282" s="3">
        <v>0.46941319999999997</v>
      </c>
      <c r="L282" s="3">
        <v>0.906555</v>
      </c>
    </row>
    <row r="283" spans="1:12" x14ac:dyDescent="0.25">
      <c r="A283" t="s">
        <v>13436</v>
      </c>
      <c r="B283" t="s">
        <v>13437</v>
      </c>
      <c r="I283" t="s">
        <v>165</v>
      </c>
      <c r="J283" s="3">
        <v>-0.11068790000000001</v>
      </c>
      <c r="K283" s="3">
        <v>-0.65198739999999999</v>
      </c>
      <c r="L283" s="3">
        <v>-0.36109069999999999</v>
      </c>
    </row>
    <row r="284" spans="1:12" x14ac:dyDescent="0.25">
      <c r="A284" t="s">
        <v>13433</v>
      </c>
      <c r="B284" t="s">
        <v>13434</v>
      </c>
      <c r="I284" t="s">
        <v>13435</v>
      </c>
      <c r="J284" s="3">
        <v>0.3645197</v>
      </c>
      <c r="K284" s="3">
        <v>0.35999550000000002</v>
      </c>
      <c r="L284" s="3">
        <v>0.27874330000000003</v>
      </c>
    </row>
    <row r="285" spans="1:12" x14ac:dyDescent="0.25">
      <c r="A285" t="s">
        <v>13430</v>
      </c>
      <c r="B285" t="s">
        <v>13431</v>
      </c>
      <c r="I285" t="s">
        <v>13432</v>
      </c>
      <c r="J285" s="3">
        <v>5.6875910000000002E-2</v>
      </c>
      <c r="K285" s="3">
        <v>-0.2610846</v>
      </c>
      <c r="L285" s="3">
        <v>-5.8430360000000001E-2</v>
      </c>
    </row>
    <row r="286" spans="1:12" x14ac:dyDescent="0.25">
      <c r="A286" t="s">
        <v>13427</v>
      </c>
      <c r="B286" t="s">
        <v>13428</v>
      </c>
      <c r="I286" t="s">
        <v>13429</v>
      </c>
      <c r="J286" s="3">
        <v>-1.3188750000000001E-2</v>
      </c>
      <c r="K286" s="3">
        <v>-8.7522100000000005E-2</v>
      </c>
      <c r="L286" s="3">
        <v>4.2518340000000002E-2</v>
      </c>
    </row>
    <row r="287" spans="1:12" x14ac:dyDescent="0.25">
      <c r="A287" t="s">
        <v>13424</v>
      </c>
      <c r="B287" t="s">
        <v>13425</v>
      </c>
      <c r="I287" t="s">
        <v>13426</v>
      </c>
      <c r="J287" s="3">
        <v>6.7275410000000001E-3</v>
      </c>
      <c r="K287" s="3">
        <v>-0.15636169999999999</v>
      </c>
      <c r="L287" s="3">
        <v>1.925895E-2</v>
      </c>
    </row>
    <row r="288" spans="1:12" x14ac:dyDescent="0.25">
      <c r="A288" t="s">
        <v>13422</v>
      </c>
      <c r="B288" t="s">
        <v>14097</v>
      </c>
      <c r="C288" t="s">
        <v>14098</v>
      </c>
      <c r="I288" t="s">
        <v>13423</v>
      </c>
      <c r="J288" s="3">
        <v>0.62786940000000002</v>
      </c>
      <c r="K288" s="3">
        <v>2.989112E-2</v>
      </c>
      <c r="L288" s="3">
        <v>0.8588867</v>
      </c>
    </row>
    <row r="289" spans="1:12" x14ac:dyDescent="0.25">
      <c r="A289" t="s">
        <v>13419</v>
      </c>
      <c r="B289" t="s">
        <v>13420</v>
      </c>
      <c r="I289" t="s">
        <v>13421</v>
      </c>
      <c r="J289" s="3">
        <v>-0.12270349999999999</v>
      </c>
      <c r="K289" s="3">
        <v>0.27024379999999998</v>
      </c>
      <c r="L289" s="3">
        <v>0.15339</v>
      </c>
    </row>
    <row r="290" spans="1:12" x14ac:dyDescent="0.25">
      <c r="A290" t="s">
        <v>13418</v>
      </c>
      <c r="B290" t="s">
        <v>957</v>
      </c>
      <c r="I290" t="s">
        <v>455</v>
      </c>
      <c r="J290" s="3">
        <v>-0.24864410000000001</v>
      </c>
      <c r="K290" s="3">
        <v>-0.28619349999999999</v>
      </c>
      <c r="L290" s="3">
        <v>-0.33325199999999999</v>
      </c>
    </row>
    <row r="291" spans="1:12" x14ac:dyDescent="0.25">
      <c r="A291" t="s">
        <v>13415</v>
      </c>
      <c r="B291" t="s">
        <v>13416</v>
      </c>
      <c r="I291" t="s">
        <v>13417</v>
      </c>
      <c r="J291" s="3">
        <v>-0.58629070000000005</v>
      </c>
      <c r="K291" s="3">
        <v>-0.20409469999999999</v>
      </c>
      <c r="L291" s="3">
        <v>-9.9880300000000005E-2</v>
      </c>
    </row>
    <row r="292" spans="1:12" x14ac:dyDescent="0.25">
      <c r="A292" t="s">
        <v>13412</v>
      </c>
      <c r="B292" t="s">
        <v>13413</v>
      </c>
      <c r="I292" t="s">
        <v>13414</v>
      </c>
      <c r="J292" s="3">
        <v>1.114825</v>
      </c>
      <c r="K292" s="3">
        <v>1.09101</v>
      </c>
      <c r="L292" s="3">
        <v>0.90512429999999999</v>
      </c>
    </row>
    <row r="293" spans="1:12" x14ac:dyDescent="0.25">
      <c r="A293" t="s">
        <v>13410</v>
      </c>
      <c r="B293" t="s">
        <v>13411</v>
      </c>
      <c r="I293" t="s">
        <v>1317</v>
      </c>
      <c r="J293" s="3">
        <v>3.8298930000000002E-2</v>
      </c>
      <c r="K293" s="3">
        <v>4.924949E-2</v>
      </c>
      <c r="L293" s="3">
        <v>0.35880689999999998</v>
      </c>
    </row>
    <row r="294" spans="1:12" x14ac:dyDescent="0.25">
      <c r="A294" t="s">
        <v>13407</v>
      </c>
      <c r="B294" t="s">
        <v>13408</v>
      </c>
      <c r="I294" t="s">
        <v>13409</v>
      </c>
      <c r="J294" s="3">
        <v>0.36632949999999997</v>
      </c>
      <c r="K294" s="3">
        <v>0.44082169999999998</v>
      </c>
      <c r="L294" s="3">
        <v>0.51142960000000004</v>
      </c>
    </row>
    <row r="295" spans="1:12" x14ac:dyDescent="0.25">
      <c r="A295" t="s">
        <v>13406</v>
      </c>
      <c r="B295" t="s">
        <v>13404</v>
      </c>
      <c r="I295" t="s">
        <v>13405</v>
      </c>
      <c r="J295" s="3">
        <v>-0.19611890000000001</v>
      </c>
      <c r="K295" s="3">
        <v>-0.27610430000000002</v>
      </c>
      <c r="L295" s="3">
        <v>-6.6175929999999994E-2</v>
      </c>
    </row>
    <row r="296" spans="1:12" x14ac:dyDescent="0.25">
      <c r="A296" t="s">
        <v>13403</v>
      </c>
      <c r="B296" t="s">
        <v>13404</v>
      </c>
      <c r="I296" t="s">
        <v>13405</v>
      </c>
      <c r="J296" s="3">
        <v>0.11208559999999999</v>
      </c>
      <c r="K296" s="3">
        <v>0.26029360000000001</v>
      </c>
      <c r="L296" s="3">
        <v>9.4792899999999999E-2</v>
      </c>
    </row>
    <row r="297" spans="1:12" x14ac:dyDescent="0.25">
      <c r="A297" t="s">
        <v>13400</v>
      </c>
      <c r="B297" t="s">
        <v>13401</v>
      </c>
      <c r="I297" t="s">
        <v>13402</v>
      </c>
      <c r="J297" s="3">
        <v>-1.0323279999999999</v>
      </c>
      <c r="K297" s="3">
        <v>-1.138055</v>
      </c>
      <c r="L297" s="3">
        <v>-1.147535</v>
      </c>
    </row>
    <row r="298" spans="1:12" x14ac:dyDescent="0.25">
      <c r="A298" t="s">
        <v>13397</v>
      </c>
      <c r="B298" t="s">
        <v>13398</v>
      </c>
      <c r="I298" t="s">
        <v>13399</v>
      </c>
      <c r="J298" s="3">
        <v>0.1133146</v>
      </c>
      <c r="K298" s="3">
        <v>0.97516400000000003</v>
      </c>
      <c r="L298" s="3">
        <v>0.61760060000000006</v>
      </c>
    </row>
    <row r="299" spans="1:12" x14ac:dyDescent="0.25">
      <c r="A299" t="s">
        <v>12197</v>
      </c>
      <c r="B299" t="s">
        <v>12198</v>
      </c>
      <c r="I299" t="s">
        <v>12199</v>
      </c>
      <c r="J299" s="3">
        <v>-0.14197460000000001</v>
      </c>
      <c r="K299" s="3">
        <v>0.56043160000000003</v>
      </c>
      <c r="L299" s="3">
        <v>-5.7148320000000002E-2</v>
      </c>
    </row>
    <row r="300" spans="1:12" x14ac:dyDescent="0.25">
      <c r="A300" t="s">
        <v>12196</v>
      </c>
      <c r="B300" t="s">
        <v>957</v>
      </c>
      <c r="I300" t="s">
        <v>455</v>
      </c>
      <c r="J300" s="3">
        <v>0.57005810000000001</v>
      </c>
      <c r="K300" s="3">
        <v>0.29554839999999999</v>
      </c>
      <c r="L300" s="3">
        <v>0.405586</v>
      </c>
    </row>
    <row r="301" spans="1:12" x14ac:dyDescent="0.25">
      <c r="A301" t="s">
        <v>12194</v>
      </c>
      <c r="B301" t="s">
        <v>957</v>
      </c>
      <c r="I301" t="s">
        <v>12195</v>
      </c>
      <c r="J301" s="3">
        <v>-0.38532260000000002</v>
      </c>
      <c r="K301" s="3">
        <v>-0.97919</v>
      </c>
      <c r="L301" s="3">
        <v>-0.11715299999999999</v>
      </c>
    </row>
    <row r="302" spans="1:12" x14ac:dyDescent="0.25">
      <c r="A302" t="s">
        <v>12193</v>
      </c>
      <c r="B302" t="s">
        <v>957</v>
      </c>
      <c r="I302" t="s">
        <v>455</v>
      </c>
      <c r="J302" s="3">
        <v>0.71265650000000003</v>
      </c>
      <c r="K302" s="3">
        <v>1.1731180000000001</v>
      </c>
      <c r="L302" s="3">
        <v>0.66230900000000004</v>
      </c>
    </row>
    <row r="303" spans="1:12" x14ac:dyDescent="0.25">
      <c r="A303" t="s">
        <v>12190</v>
      </c>
      <c r="B303" t="s">
        <v>12191</v>
      </c>
      <c r="I303" t="s">
        <v>12192</v>
      </c>
      <c r="J303" s="3">
        <v>0.75343479999999996</v>
      </c>
      <c r="K303" s="3">
        <v>1.0816520000000001</v>
      </c>
      <c r="L303" s="3">
        <v>0.87506079999999997</v>
      </c>
    </row>
    <row r="304" spans="1:12" x14ac:dyDescent="0.25">
      <c r="A304" t="s">
        <v>12187</v>
      </c>
      <c r="B304" t="s">
        <v>12188</v>
      </c>
      <c r="I304" t="s">
        <v>12189</v>
      </c>
      <c r="J304" s="3">
        <v>0.11682770000000001</v>
      </c>
      <c r="K304" s="3">
        <v>0.153775</v>
      </c>
      <c r="L304" s="3">
        <v>2.0776530000000001E-2</v>
      </c>
    </row>
    <row r="305" spans="1:12" x14ac:dyDescent="0.25">
      <c r="A305" t="s">
        <v>13377</v>
      </c>
      <c r="B305" t="s">
        <v>13378</v>
      </c>
      <c r="I305" t="s">
        <v>12186</v>
      </c>
      <c r="J305" s="3">
        <v>-0.56448010000000004</v>
      </c>
      <c r="K305" s="3">
        <v>-0.53910389999999997</v>
      </c>
      <c r="L305" s="3">
        <v>0.2378343</v>
      </c>
    </row>
    <row r="306" spans="1:12" x14ac:dyDescent="0.25">
      <c r="A306" t="s">
        <v>13374</v>
      </c>
      <c r="B306" t="s">
        <v>13375</v>
      </c>
      <c r="I306" t="s">
        <v>13376</v>
      </c>
      <c r="J306" s="3">
        <v>2.2972639999999999E-2</v>
      </c>
      <c r="K306" s="3">
        <v>-0.28493079999999998</v>
      </c>
      <c r="L306" s="3">
        <v>-2.7045380000000001E-2</v>
      </c>
    </row>
    <row r="307" spans="1:12" x14ac:dyDescent="0.25">
      <c r="A307" t="s">
        <v>13371</v>
      </c>
      <c r="B307" t="s">
        <v>13372</v>
      </c>
      <c r="I307" t="s">
        <v>13373</v>
      </c>
      <c r="J307" s="3">
        <v>-0.28863060000000001</v>
      </c>
      <c r="K307" s="3">
        <v>-0.62340470000000003</v>
      </c>
      <c r="L307" s="3">
        <v>-4.6770409999999998E-2</v>
      </c>
    </row>
    <row r="308" spans="1:12" x14ac:dyDescent="0.25">
      <c r="A308" t="s">
        <v>13369</v>
      </c>
      <c r="B308" t="s">
        <v>13370</v>
      </c>
      <c r="I308" t="s">
        <v>1273</v>
      </c>
      <c r="J308" s="3">
        <v>-0.31182300000000002</v>
      </c>
      <c r="K308" s="3">
        <v>-0.50720100000000001</v>
      </c>
      <c r="L308" s="3">
        <v>-0.46805160000000001</v>
      </c>
    </row>
    <row r="309" spans="1:12" x14ac:dyDescent="0.25">
      <c r="A309" t="s">
        <v>13366</v>
      </c>
      <c r="B309" t="s">
        <v>13367</v>
      </c>
      <c r="I309" t="s">
        <v>13368</v>
      </c>
      <c r="J309" s="3">
        <v>9.6431879999999998E-2</v>
      </c>
      <c r="K309" s="3">
        <v>0.1493843</v>
      </c>
      <c r="L309" s="3">
        <v>-7.5375670000000006E-2</v>
      </c>
    </row>
    <row r="310" spans="1:12" x14ac:dyDescent="0.25">
      <c r="A310" t="s">
        <v>13363</v>
      </c>
      <c r="B310" t="s">
        <v>13364</v>
      </c>
      <c r="I310" t="s">
        <v>13365</v>
      </c>
      <c r="J310" s="3">
        <v>9.8852380000000004E-2</v>
      </c>
      <c r="K310" s="3">
        <v>-7.6461349999999997E-2</v>
      </c>
      <c r="L310" s="3">
        <v>-0.12500800000000001</v>
      </c>
    </row>
    <row r="311" spans="1:12" x14ac:dyDescent="0.25">
      <c r="A311" t="s">
        <v>13360</v>
      </c>
      <c r="B311" t="s">
        <v>13361</v>
      </c>
      <c r="I311" t="s">
        <v>13362</v>
      </c>
      <c r="J311" s="3">
        <v>-0.12084490000000001</v>
      </c>
      <c r="K311" s="3">
        <v>-0.29679430000000001</v>
      </c>
      <c r="L311" s="3">
        <v>-0.21243049999999999</v>
      </c>
    </row>
    <row r="312" spans="1:12" x14ac:dyDescent="0.25">
      <c r="A312" t="s">
        <v>13358</v>
      </c>
      <c r="B312" t="s">
        <v>957</v>
      </c>
      <c r="I312" t="s">
        <v>13359</v>
      </c>
      <c r="J312" s="3">
        <v>0.16249430000000001</v>
      </c>
      <c r="K312" s="3">
        <v>3.8939399999999999E-2</v>
      </c>
      <c r="L312" s="3">
        <v>-1.3317499999999999E-2</v>
      </c>
    </row>
    <row r="313" spans="1:12" x14ac:dyDescent="0.25">
      <c r="A313" t="s">
        <v>13355</v>
      </c>
      <c r="B313" t="s">
        <v>13356</v>
      </c>
      <c r="I313" t="s">
        <v>13357</v>
      </c>
      <c r="J313" s="3">
        <v>0.17390059999999999</v>
      </c>
      <c r="K313" s="3">
        <v>0.14894199999999999</v>
      </c>
      <c r="L313" s="3">
        <v>0.13774629999999999</v>
      </c>
    </row>
    <row r="314" spans="1:12" x14ac:dyDescent="0.25">
      <c r="A314" t="s">
        <v>13352</v>
      </c>
      <c r="B314" t="s">
        <v>13353</v>
      </c>
      <c r="I314" t="s">
        <v>13354</v>
      </c>
      <c r="J314" s="3">
        <v>0.67860399999999998</v>
      </c>
      <c r="K314" s="3">
        <v>0.75862660000000004</v>
      </c>
      <c r="L314" s="3">
        <v>0.4057151</v>
      </c>
    </row>
    <row r="315" spans="1:12" x14ac:dyDescent="0.25">
      <c r="A315" t="s">
        <v>13349</v>
      </c>
      <c r="B315" t="s">
        <v>13350</v>
      </c>
      <c r="I315" t="s">
        <v>13351</v>
      </c>
      <c r="J315" s="3">
        <v>0.4170644</v>
      </c>
      <c r="K315" s="3">
        <v>-9.2350999999999996E-3</v>
      </c>
      <c r="L315" s="3">
        <v>0.51138189999999994</v>
      </c>
    </row>
    <row r="316" spans="1:12" x14ac:dyDescent="0.25">
      <c r="A316" t="s">
        <v>13346</v>
      </c>
      <c r="B316" t="s">
        <v>13347</v>
      </c>
      <c r="I316" t="s">
        <v>13348</v>
      </c>
      <c r="J316" s="3">
        <v>0.2475378</v>
      </c>
      <c r="K316" s="3">
        <v>0.13543269999999999</v>
      </c>
      <c r="L316" s="3">
        <v>0.6553601</v>
      </c>
    </row>
    <row r="317" spans="1:12" x14ac:dyDescent="0.25">
      <c r="A317" t="s">
        <v>13343</v>
      </c>
      <c r="B317" t="s">
        <v>13344</v>
      </c>
      <c r="I317" t="s">
        <v>13345</v>
      </c>
      <c r="J317" s="3">
        <v>-0.1072845</v>
      </c>
      <c r="K317" s="3">
        <v>-0.96623599999999998</v>
      </c>
      <c r="L317" s="3">
        <v>-0.42606139999999998</v>
      </c>
    </row>
    <row r="318" spans="1:12" x14ac:dyDescent="0.25">
      <c r="A318" t="s">
        <v>13340</v>
      </c>
      <c r="B318" t="s">
        <v>13341</v>
      </c>
      <c r="I318" t="s">
        <v>13342</v>
      </c>
      <c r="J318" s="3">
        <v>-0.23446159999999999</v>
      </c>
      <c r="K318" s="3">
        <v>-0.56885989999999997</v>
      </c>
      <c r="L318" s="3">
        <v>-0.79228240000000005</v>
      </c>
    </row>
    <row r="319" spans="1:12" x14ac:dyDescent="0.25">
      <c r="A319" t="s">
        <v>13337</v>
      </c>
      <c r="B319" t="s">
        <v>13338</v>
      </c>
      <c r="I319" t="s">
        <v>13339</v>
      </c>
      <c r="J319" s="3">
        <v>0.56550849999999997</v>
      </c>
      <c r="K319" s="3">
        <v>0.1043477</v>
      </c>
      <c r="L319" s="3">
        <v>0.28244259999999999</v>
      </c>
    </row>
    <row r="320" spans="1:12" x14ac:dyDescent="0.25">
      <c r="A320" t="s">
        <v>13334</v>
      </c>
      <c r="B320" t="s">
        <v>13335</v>
      </c>
      <c r="I320" t="s">
        <v>13336</v>
      </c>
      <c r="J320" s="3">
        <v>1.2533319999999999</v>
      </c>
      <c r="K320" s="3">
        <v>1.668739</v>
      </c>
      <c r="L320" s="3">
        <v>1.2462260000000001</v>
      </c>
    </row>
    <row r="321" spans="1:12" x14ac:dyDescent="0.25">
      <c r="A321" t="s">
        <v>13332</v>
      </c>
      <c r="B321" t="s">
        <v>14116</v>
      </c>
      <c r="C321" t="s">
        <v>14117</v>
      </c>
      <c r="I321" t="s">
        <v>13333</v>
      </c>
      <c r="J321" s="3">
        <v>-1.193877E-2</v>
      </c>
      <c r="K321" s="3">
        <v>-9.3261720000000006E-2</v>
      </c>
      <c r="L321" s="3">
        <v>-6.5838629999999995E-2</v>
      </c>
    </row>
    <row r="322" spans="1:12" x14ac:dyDescent="0.25">
      <c r="A322" t="s">
        <v>13329</v>
      </c>
      <c r="B322" t="s">
        <v>13330</v>
      </c>
      <c r="I322" t="s">
        <v>13331</v>
      </c>
      <c r="J322" s="3">
        <v>-0.34975539999999999</v>
      </c>
      <c r="K322" s="3">
        <v>-0.80977359999999998</v>
      </c>
      <c r="L322" s="3">
        <v>-0.17913000000000001</v>
      </c>
    </row>
    <row r="323" spans="1:12" x14ac:dyDescent="0.25">
      <c r="A323" t="s">
        <v>13326</v>
      </c>
      <c r="B323" t="s">
        <v>13327</v>
      </c>
      <c r="I323" t="s">
        <v>13328</v>
      </c>
      <c r="J323" s="3">
        <v>-1.2234590000000001</v>
      </c>
      <c r="K323" s="3">
        <v>-1.5239210000000001</v>
      </c>
      <c r="L323" s="3">
        <v>-0.63576359999999998</v>
      </c>
    </row>
    <row r="324" spans="1:12" x14ac:dyDescent="0.25">
      <c r="A324" t="s">
        <v>13323</v>
      </c>
      <c r="B324" t="s">
        <v>13324</v>
      </c>
      <c r="I324" t="s">
        <v>13325</v>
      </c>
      <c r="J324" s="3">
        <v>7.8303979999999995E-2</v>
      </c>
      <c r="K324" s="3">
        <v>0.22121540000000001</v>
      </c>
      <c r="L324" s="3">
        <v>0.36489640000000001</v>
      </c>
    </row>
    <row r="325" spans="1:12" x14ac:dyDescent="0.25">
      <c r="A325" t="s">
        <v>13320</v>
      </c>
      <c r="B325" t="s">
        <v>13321</v>
      </c>
      <c r="I325" t="s">
        <v>13322</v>
      </c>
      <c r="J325" s="3">
        <v>-0.72825899999999999</v>
      </c>
      <c r="K325" s="3">
        <v>-1.208701</v>
      </c>
      <c r="L325" s="3">
        <v>-0.72817949999999998</v>
      </c>
    </row>
    <row r="326" spans="1:12" x14ac:dyDescent="0.25">
      <c r="A326" t="s">
        <v>13317</v>
      </c>
      <c r="B326" t="s">
        <v>13318</v>
      </c>
      <c r="I326" t="s">
        <v>13319</v>
      </c>
      <c r="J326" s="3">
        <v>-8.2587419999999995E-2</v>
      </c>
      <c r="K326" s="3">
        <v>-0.4580747</v>
      </c>
      <c r="L326" s="3">
        <v>8.4242230000000001E-2</v>
      </c>
    </row>
    <row r="327" spans="1:12" x14ac:dyDescent="0.25">
      <c r="A327" t="s">
        <v>13314</v>
      </c>
      <c r="B327" t="s">
        <v>13315</v>
      </c>
      <c r="I327" t="s">
        <v>13316</v>
      </c>
      <c r="J327" s="3">
        <v>-6.4435729999999997E-2</v>
      </c>
      <c r="K327" s="3">
        <v>-0.18118090000000001</v>
      </c>
      <c r="L327" s="3">
        <v>-6.3176070000000001E-2</v>
      </c>
    </row>
    <row r="328" spans="1:12" x14ac:dyDescent="0.25">
      <c r="A328" t="s">
        <v>13311</v>
      </c>
      <c r="B328" t="s">
        <v>13312</v>
      </c>
      <c r="I328" t="s">
        <v>13313</v>
      </c>
      <c r="J328" s="3">
        <v>-7.7733280000000002E-2</v>
      </c>
      <c r="K328" s="3">
        <v>5.0310460000000001E-2</v>
      </c>
      <c r="L328" s="3">
        <v>0.16866600000000001</v>
      </c>
    </row>
    <row r="329" spans="1:12" x14ac:dyDescent="0.25">
      <c r="A329" t="s">
        <v>13308</v>
      </c>
      <c r="B329" t="s">
        <v>13309</v>
      </c>
      <c r="I329" t="s">
        <v>13310</v>
      </c>
      <c r="J329" s="3">
        <v>0.29683110000000001</v>
      </c>
      <c r="K329" s="3">
        <v>0.40404259999999997</v>
      </c>
      <c r="L329" s="3">
        <v>0.48487730000000001</v>
      </c>
    </row>
    <row r="330" spans="1:12" x14ac:dyDescent="0.25">
      <c r="A330" t="s">
        <v>13305</v>
      </c>
      <c r="B330" t="s">
        <v>13306</v>
      </c>
      <c r="I330" t="s">
        <v>13307</v>
      </c>
      <c r="J330" s="3">
        <v>0.60169930000000005</v>
      </c>
      <c r="K330" s="3">
        <v>0.74054889999999995</v>
      </c>
      <c r="L330" s="3">
        <v>0.67521240000000005</v>
      </c>
    </row>
    <row r="331" spans="1:12" x14ac:dyDescent="0.25">
      <c r="A331" t="s">
        <v>13303</v>
      </c>
      <c r="B331" t="s">
        <v>13304</v>
      </c>
      <c r="I331" t="s">
        <v>19</v>
      </c>
      <c r="J331" s="3">
        <v>-0.26244410000000001</v>
      </c>
      <c r="K331" s="3">
        <v>-0.83467429999999998</v>
      </c>
      <c r="L331" s="3">
        <v>-0.34986970000000001</v>
      </c>
    </row>
    <row r="332" spans="1:12" x14ac:dyDescent="0.25">
      <c r="A332" t="s">
        <v>13300</v>
      </c>
      <c r="B332" t="s">
        <v>13301</v>
      </c>
      <c r="I332" t="s">
        <v>13302</v>
      </c>
      <c r="J332" s="3">
        <v>-5.0881889999999999E-2</v>
      </c>
      <c r="K332" s="3">
        <v>-0.24829889999999999</v>
      </c>
      <c r="L332" s="3">
        <v>1.481943E-2</v>
      </c>
    </row>
    <row r="333" spans="1:12" x14ac:dyDescent="0.25">
      <c r="A333" t="s">
        <v>13297</v>
      </c>
      <c r="B333" t="s">
        <v>13298</v>
      </c>
      <c r="I333" t="s">
        <v>13299</v>
      </c>
      <c r="J333" s="3">
        <v>0.1530087</v>
      </c>
      <c r="K333" s="3">
        <v>-0.31899719999999998</v>
      </c>
      <c r="L333" s="3">
        <v>-0.28701549999999998</v>
      </c>
    </row>
    <row r="334" spans="1:12" x14ac:dyDescent="0.25">
      <c r="A334" t="s">
        <v>13294</v>
      </c>
      <c r="B334" t="s">
        <v>13295</v>
      </c>
      <c r="I334" t="s">
        <v>13296</v>
      </c>
      <c r="J334" s="3">
        <v>-0.8944974</v>
      </c>
      <c r="K334" s="3">
        <v>-0.81614819999999999</v>
      </c>
      <c r="L334" s="3">
        <v>-0.73145269999999996</v>
      </c>
    </row>
    <row r="335" spans="1:12" x14ac:dyDescent="0.25">
      <c r="A335" t="s">
        <v>13017</v>
      </c>
      <c r="B335" t="s">
        <v>13018</v>
      </c>
      <c r="I335" t="s">
        <v>13293</v>
      </c>
      <c r="J335" s="3">
        <v>-0.71004869999999998</v>
      </c>
      <c r="K335" s="3">
        <v>-0.3106913</v>
      </c>
      <c r="L335" s="3">
        <v>-0.33286110000000002</v>
      </c>
    </row>
    <row r="336" spans="1:12" x14ac:dyDescent="0.25">
      <c r="A336" t="s">
        <v>13014</v>
      </c>
      <c r="B336" t="s">
        <v>13015</v>
      </c>
      <c r="I336" t="s">
        <v>13016</v>
      </c>
      <c r="J336" s="3">
        <v>0.91031519999999999</v>
      </c>
      <c r="K336" s="3">
        <v>0.79577699999999996</v>
      </c>
      <c r="L336" s="3">
        <v>0.64090460000000005</v>
      </c>
    </row>
    <row r="337" spans="1:12" x14ac:dyDescent="0.25">
      <c r="A337" t="s">
        <v>13011</v>
      </c>
      <c r="B337" t="s">
        <v>13012</v>
      </c>
      <c r="I337" t="s">
        <v>13013</v>
      </c>
      <c r="J337" s="3">
        <v>0.82297410000000004</v>
      </c>
      <c r="K337" s="3">
        <v>0.33118609999999998</v>
      </c>
      <c r="L337" s="3">
        <v>0.56372169999999999</v>
      </c>
    </row>
    <row r="338" spans="1:12" x14ac:dyDescent="0.25">
      <c r="A338" t="s">
        <v>13010</v>
      </c>
      <c r="B338" t="s">
        <v>957</v>
      </c>
      <c r="I338" t="s">
        <v>455</v>
      </c>
      <c r="J338" s="3">
        <v>-0.11478090000000001</v>
      </c>
      <c r="K338" s="3">
        <v>-0.2948075</v>
      </c>
      <c r="L338" s="3">
        <v>6.7173460000000004E-2</v>
      </c>
    </row>
    <row r="339" spans="1:12" x14ac:dyDescent="0.25">
      <c r="A339" t="s">
        <v>13008</v>
      </c>
      <c r="B339" t="s">
        <v>957</v>
      </c>
      <c r="I339" t="s">
        <v>13009</v>
      </c>
      <c r="J339" s="3">
        <v>7.488657E-2</v>
      </c>
      <c r="K339" s="3">
        <v>-1.37947E-2</v>
      </c>
      <c r="L339" s="3">
        <v>0.15585099999999999</v>
      </c>
    </row>
    <row r="340" spans="1:12" x14ac:dyDescent="0.25">
      <c r="A340" t="s">
        <v>13007</v>
      </c>
      <c r="B340" t="s">
        <v>957</v>
      </c>
      <c r="I340" t="s">
        <v>455</v>
      </c>
      <c r="J340" s="3">
        <v>7.4642879999999995E-2</v>
      </c>
      <c r="K340" s="3">
        <v>0.166189</v>
      </c>
      <c r="L340" s="3">
        <v>0.2421162</v>
      </c>
    </row>
    <row r="341" spans="1:12" x14ac:dyDescent="0.25">
      <c r="A341" t="s">
        <v>13004</v>
      </c>
      <c r="B341" t="s">
        <v>13005</v>
      </c>
      <c r="I341" t="s">
        <v>13006</v>
      </c>
      <c r="J341" s="3">
        <v>0.20752019999999999</v>
      </c>
      <c r="K341" s="3">
        <v>0.186836</v>
      </c>
      <c r="L341" s="3">
        <v>0.23217689999999999</v>
      </c>
    </row>
    <row r="342" spans="1:12" x14ac:dyDescent="0.25">
      <c r="A342" t="s">
        <v>13003</v>
      </c>
      <c r="B342" t="s">
        <v>957</v>
      </c>
      <c r="I342" t="s">
        <v>455</v>
      </c>
      <c r="J342" s="3">
        <v>-0.24348040000000001</v>
      </c>
      <c r="K342" s="3">
        <v>-0.21639829999999999</v>
      </c>
      <c r="L342" s="3">
        <v>-0.1787791</v>
      </c>
    </row>
    <row r="343" spans="1:12" x14ac:dyDescent="0.25">
      <c r="A343" t="s">
        <v>13000</v>
      </c>
      <c r="B343" t="s">
        <v>13001</v>
      </c>
      <c r="I343" t="s">
        <v>13002</v>
      </c>
      <c r="J343" s="3">
        <v>-0.73666569999999998</v>
      </c>
      <c r="K343" s="3">
        <v>-0.88271489999999997</v>
      </c>
      <c r="L343" s="3">
        <v>-0.75309179999999998</v>
      </c>
    </row>
    <row r="344" spans="1:12" x14ac:dyDescent="0.25">
      <c r="A344" t="s">
        <v>12997</v>
      </c>
      <c r="B344" t="s">
        <v>12998</v>
      </c>
      <c r="I344" t="s">
        <v>12999</v>
      </c>
      <c r="J344" s="3">
        <v>-0.25531350000000003</v>
      </c>
      <c r="K344" s="3">
        <v>-0.36334139999999998</v>
      </c>
      <c r="L344" s="3">
        <v>-0.24720829999999999</v>
      </c>
    </row>
    <row r="345" spans="1:12" x14ac:dyDescent="0.25">
      <c r="A345" t="s">
        <v>12994</v>
      </c>
      <c r="B345" t="s">
        <v>12995</v>
      </c>
      <c r="I345" t="s">
        <v>12996</v>
      </c>
      <c r="J345" s="3">
        <v>-0.38212879999999999</v>
      </c>
      <c r="K345" s="3">
        <v>-0.24426980000000001</v>
      </c>
      <c r="L345" s="3">
        <v>-0.50953760000000003</v>
      </c>
    </row>
    <row r="346" spans="1:12" x14ac:dyDescent="0.25">
      <c r="A346" t="s">
        <v>12992</v>
      </c>
      <c r="B346" t="s">
        <v>12993</v>
      </c>
      <c r="I346" t="s">
        <v>430</v>
      </c>
      <c r="J346" s="3">
        <v>-0.50899209999999995</v>
      </c>
      <c r="K346" s="3">
        <v>-1.165942</v>
      </c>
      <c r="L346" s="3">
        <v>-0.65745929999999997</v>
      </c>
    </row>
    <row r="347" spans="1:12" x14ac:dyDescent="0.25">
      <c r="A347" t="s">
        <v>12991</v>
      </c>
      <c r="B347" t="s">
        <v>957</v>
      </c>
      <c r="I347" t="s">
        <v>455</v>
      </c>
      <c r="J347" s="3">
        <v>0.3267216</v>
      </c>
      <c r="K347" s="3">
        <v>0.3601491</v>
      </c>
      <c r="L347" s="3">
        <v>0.33717469999999999</v>
      </c>
    </row>
    <row r="348" spans="1:12" x14ac:dyDescent="0.25">
      <c r="A348" t="s">
        <v>12988</v>
      </c>
      <c r="B348" t="s">
        <v>12989</v>
      </c>
      <c r="I348" t="s">
        <v>12990</v>
      </c>
      <c r="J348" s="3">
        <v>0.41379070000000001</v>
      </c>
      <c r="K348" s="3">
        <v>4.4696670000000001E-2</v>
      </c>
      <c r="L348" s="3">
        <v>0.1958955</v>
      </c>
    </row>
    <row r="349" spans="1:12" x14ac:dyDescent="0.25">
      <c r="A349" t="s">
        <v>12985</v>
      </c>
      <c r="B349" t="s">
        <v>12986</v>
      </c>
      <c r="I349" t="s">
        <v>12987</v>
      </c>
      <c r="J349" s="3">
        <v>0.4552601</v>
      </c>
      <c r="K349" s="3">
        <v>0.23206869999999999</v>
      </c>
      <c r="L349" s="3">
        <v>0.56856859999999998</v>
      </c>
    </row>
    <row r="350" spans="1:12" x14ac:dyDescent="0.25">
      <c r="A350" t="s">
        <v>12982</v>
      </c>
      <c r="B350" t="s">
        <v>12983</v>
      </c>
      <c r="I350" t="s">
        <v>12984</v>
      </c>
      <c r="J350" s="3">
        <v>6.7924250000000005E-2</v>
      </c>
      <c r="K350" s="3">
        <v>-0.4468319</v>
      </c>
      <c r="L350" s="3">
        <v>4.7918740000000001E-2</v>
      </c>
    </row>
    <row r="351" spans="1:12" x14ac:dyDescent="0.25">
      <c r="A351" t="s">
        <v>12979</v>
      </c>
      <c r="B351" t="s">
        <v>12980</v>
      </c>
      <c r="I351" t="s">
        <v>12981</v>
      </c>
      <c r="J351" s="3">
        <v>-0.38014049999999999</v>
      </c>
      <c r="K351" s="3">
        <v>-0.55252590000000001</v>
      </c>
      <c r="L351" s="3">
        <v>-0.49176789999999998</v>
      </c>
    </row>
    <row r="352" spans="1:12" x14ac:dyDescent="0.25">
      <c r="A352" t="s">
        <v>12084</v>
      </c>
      <c r="B352" t="s">
        <v>12977</v>
      </c>
      <c r="I352" t="s">
        <v>12978</v>
      </c>
      <c r="J352" s="3">
        <v>1.872412E-2</v>
      </c>
      <c r="K352" s="3">
        <v>-0.50313549999999996</v>
      </c>
      <c r="L352" s="3">
        <v>-0.28267249999999999</v>
      </c>
    </row>
    <row r="353" spans="1:12" x14ac:dyDescent="0.25">
      <c r="A353" t="s">
        <v>12081</v>
      </c>
      <c r="B353" t="s">
        <v>12082</v>
      </c>
      <c r="I353" t="s">
        <v>12083</v>
      </c>
      <c r="J353" s="3">
        <v>8.9405750000000006E-2</v>
      </c>
      <c r="K353" s="3">
        <v>-0.36761250000000001</v>
      </c>
      <c r="L353" s="3">
        <v>-0.2576985</v>
      </c>
    </row>
    <row r="354" spans="1:12" x14ac:dyDescent="0.25">
      <c r="A354" t="s">
        <v>12078</v>
      </c>
      <c r="B354" t="s">
        <v>12079</v>
      </c>
      <c r="I354" t="s">
        <v>12080</v>
      </c>
      <c r="J354" s="3">
        <v>-0.44639509999999999</v>
      </c>
      <c r="K354" s="3">
        <v>-0.66563879999999997</v>
      </c>
      <c r="L354" s="3">
        <v>-0.23782800000000001</v>
      </c>
    </row>
    <row r="355" spans="1:12" x14ac:dyDescent="0.25">
      <c r="A355" t="s">
        <v>12075</v>
      </c>
      <c r="B355" t="s">
        <v>12076</v>
      </c>
      <c r="I355" t="s">
        <v>12077</v>
      </c>
      <c r="J355" s="3">
        <v>2.8119000000000002E-2</v>
      </c>
      <c r="K355" s="3">
        <v>-0.66291500000000003</v>
      </c>
      <c r="L355" s="3">
        <v>-0.31693399999999999</v>
      </c>
    </row>
    <row r="356" spans="1:12" x14ac:dyDescent="0.25">
      <c r="A356" t="s">
        <v>12072</v>
      </c>
      <c r="B356" t="s">
        <v>12073</v>
      </c>
      <c r="I356" t="s">
        <v>12074</v>
      </c>
      <c r="J356" s="3">
        <v>-0.3210847</v>
      </c>
      <c r="K356" s="3">
        <v>-0.33002379999999998</v>
      </c>
      <c r="L356" s="3">
        <v>-0.1492849</v>
      </c>
    </row>
    <row r="357" spans="1:12" x14ac:dyDescent="0.25">
      <c r="A357" t="s">
        <v>12069</v>
      </c>
      <c r="B357" t="s">
        <v>12070</v>
      </c>
      <c r="I357" t="s">
        <v>12071</v>
      </c>
      <c r="J357" s="3">
        <v>0.45176339999999998</v>
      </c>
      <c r="K357" s="3">
        <v>0.27474599999999999</v>
      </c>
      <c r="L357" s="3">
        <v>0.144152</v>
      </c>
    </row>
    <row r="358" spans="1:12" x14ac:dyDescent="0.25">
      <c r="A358" t="s">
        <v>12066</v>
      </c>
      <c r="B358" t="s">
        <v>12067</v>
      </c>
      <c r="I358" t="s">
        <v>12068</v>
      </c>
      <c r="J358" s="3">
        <v>-0.26944580000000001</v>
      </c>
      <c r="K358" s="3">
        <v>0.1130616</v>
      </c>
      <c r="L358" s="3">
        <v>0.2326869</v>
      </c>
    </row>
    <row r="359" spans="1:12" x14ac:dyDescent="0.25">
      <c r="A359" t="s">
        <v>12064</v>
      </c>
      <c r="B359" t="s">
        <v>957</v>
      </c>
      <c r="I359" t="s">
        <v>12065</v>
      </c>
      <c r="J359" s="3">
        <v>0.18051229999999999</v>
      </c>
      <c r="K359" s="3">
        <v>0.71833780000000003</v>
      </c>
      <c r="L359" s="3">
        <v>0.2116381</v>
      </c>
    </row>
    <row r="360" spans="1:12" x14ac:dyDescent="0.25">
      <c r="A360" t="s">
        <v>12061</v>
      </c>
      <c r="B360" t="s">
        <v>12062</v>
      </c>
      <c r="I360" t="s">
        <v>12063</v>
      </c>
      <c r="J360" s="3">
        <v>-0.32297160000000003</v>
      </c>
      <c r="K360" s="3">
        <v>-0.44735530000000001</v>
      </c>
      <c r="L360" s="3">
        <v>0.13378200000000001</v>
      </c>
    </row>
    <row r="361" spans="1:12" x14ac:dyDescent="0.25">
      <c r="A361" t="s">
        <v>12058</v>
      </c>
      <c r="B361" t="s">
        <v>12059</v>
      </c>
      <c r="I361" t="s">
        <v>12060</v>
      </c>
      <c r="J361" s="3">
        <v>0.77866219999999997</v>
      </c>
      <c r="K361" s="3">
        <v>1.0991690000000001</v>
      </c>
      <c r="L361" s="3">
        <v>0.64082070000000002</v>
      </c>
    </row>
    <row r="362" spans="1:12" x14ac:dyDescent="0.25">
      <c r="A362" t="s">
        <v>12055</v>
      </c>
      <c r="B362" t="s">
        <v>12056</v>
      </c>
      <c r="I362" t="s">
        <v>12057</v>
      </c>
      <c r="J362" s="3">
        <v>9.3145099999999995E-2</v>
      </c>
      <c r="K362" s="3">
        <v>-0.20869960000000001</v>
      </c>
      <c r="L362" s="3">
        <v>1.0290760000000001</v>
      </c>
    </row>
    <row r="363" spans="1:12" x14ac:dyDescent="0.25">
      <c r="A363" t="s">
        <v>12052</v>
      </c>
      <c r="B363" t="s">
        <v>12053</v>
      </c>
      <c r="I363" t="s">
        <v>12054</v>
      </c>
      <c r="J363" s="3">
        <v>-0.3240673</v>
      </c>
      <c r="K363" s="3">
        <v>-0.9110781</v>
      </c>
      <c r="L363" s="3">
        <v>-4.163596E-2</v>
      </c>
    </row>
    <row r="364" spans="1:12" x14ac:dyDescent="0.25">
      <c r="A364" t="s">
        <v>12049</v>
      </c>
      <c r="B364" t="s">
        <v>12050</v>
      </c>
      <c r="I364" t="s">
        <v>12051</v>
      </c>
      <c r="J364" s="3">
        <v>0.26198139999999998</v>
      </c>
      <c r="K364" s="3">
        <v>0.10393230000000001</v>
      </c>
      <c r="L364" s="3">
        <v>8.0568329999999994E-3</v>
      </c>
    </row>
    <row r="365" spans="1:12" x14ac:dyDescent="0.25">
      <c r="A365" t="s">
        <v>12046</v>
      </c>
      <c r="B365" t="s">
        <v>12047</v>
      </c>
      <c r="I365" t="s">
        <v>12048</v>
      </c>
      <c r="J365" s="3">
        <v>-0.35105520000000001</v>
      </c>
      <c r="K365" s="3">
        <v>-0.87426780000000004</v>
      </c>
      <c r="L365" s="3">
        <v>0.1183847</v>
      </c>
    </row>
    <row r="366" spans="1:12" x14ac:dyDescent="0.25">
      <c r="A366" t="s">
        <v>12043</v>
      </c>
      <c r="B366" t="s">
        <v>12044</v>
      </c>
      <c r="I366" t="s">
        <v>12045</v>
      </c>
      <c r="J366" s="3">
        <v>8.7842439999999994E-2</v>
      </c>
      <c r="K366" s="3">
        <v>-5.383628E-2</v>
      </c>
      <c r="L366" s="3">
        <v>-0.29266320000000001</v>
      </c>
    </row>
    <row r="367" spans="1:12" x14ac:dyDescent="0.25">
      <c r="A367" t="s">
        <v>12040</v>
      </c>
      <c r="B367" t="s">
        <v>12041</v>
      </c>
      <c r="I367" t="s">
        <v>12042</v>
      </c>
      <c r="J367" s="3">
        <v>0.1503255</v>
      </c>
      <c r="K367" s="3">
        <v>0.17985029999999999</v>
      </c>
      <c r="L367" s="3">
        <v>2.9901790000000001E-2</v>
      </c>
    </row>
    <row r="368" spans="1:12" x14ac:dyDescent="0.25">
      <c r="A368" t="s">
        <v>12038</v>
      </c>
      <c r="B368" t="s">
        <v>12039</v>
      </c>
      <c r="I368" t="s">
        <v>2224</v>
      </c>
      <c r="J368" s="3">
        <v>-0.50995009999999996</v>
      </c>
      <c r="K368" s="3">
        <v>-0.74352580000000001</v>
      </c>
      <c r="L368" s="3">
        <v>-0.24440819999999999</v>
      </c>
    </row>
    <row r="369" spans="1:12" x14ac:dyDescent="0.25">
      <c r="A369" t="s">
        <v>12035</v>
      </c>
      <c r="B369" t="s">
        <v>12036</v>
      </c>
      <c r="I369" t="s">
        <v>12037</v>
      </c>
      <c r="J369" s="3">
        <v>0.26113999999999998</v>
      </c>
      <c r="K369" s="3">
        <v>0.22566369999999999</v>
      </c>
      <c r="L369" s="3">
        <v>0.1999244</v>
      </c>
    </row>
    <row r="370" spans="1:12" x14ac:dyDescent="0.25">
      <c r="A370" t="s">
        <v>12032</v>
      </c>
      <c r="B370" t="s">
        <v>12033</v>
      </c>
      <c r="I370" t="s">
        <v>12034</v>
      </c>
      <c r="J370" s="3">
        <v>0.48310199999999998</v>
      </c>
      <c r="K370" s="3">
        <v>0.35104079999999999</v>
      </c>
      <c r="L370" s="3">
        <v>0.34187190000000001</v>
      </c>
    </row>
    <row r="371" spans="1:12" x14ac:dyDescent="0.25">
      <c r="A371" t="s">
        <v>12029</v>
      </c>
      <c r="B371" t="s">
        <v>12030</v>
      </c>
      <c r="I371" t="s">
        <v>12031</v>
      </c>
      <c r="J371" s="3">
        <v>0.1495348</v>
      </c>
      <c r="K371" s="3">
        <v>0.14385770000000001</v>
      </c>
      <c r="L371" s="3">
        <v>-4.4344000000000001E-2</v>
      </c>
    </row>
    <row r="372" spans="1:12" x14ac:dyDescent="0.25">
      <c r="A372" t="s">
        <v>12027</v>
      </c>
      <c r="B372" t="s">
        <v>12028</v>
      </c>
      <c r="I372" t="s">
        <v>5423</v>
      </c>
      <c r="J372" s="3">
        <v>0.21785879999999999</v>
      </c>
      <c r="K372" s="3">
        <v>0.2571541</v>
      </c>
      <c r="L372" s="3">
        <v>0.12923299999999999</v>
      </c>
    </row>
    <row r="373" spans="1:12" x14ac:dyDescent="0.25">
      <c r="A373" t="s">
        <v>12024</v>
      </c>
      <c r="B373" t="s">
        <v>12025</v>
      </c>
      <c r="I373" t="s">
        <v>12026</v>
      </c>
      <c r="J373" s="3">
        <v>-0.91229320000000003</v>
      </c>
      <c r="K373" s="3">
        <v>-0.96487730000000005</v>
      </c>
      <c r="L373" s="3">
        <v>-0.97740519999999997</v>
      </c>
    </row>
    <row r="374" spans="1:12" x14ac:dyDescent="0.25">
      <c r="A374" t="s">
        <v>12021</v>
      </c>
      <c r="B374" t="s">
        <v>12022</v>
      </c>
      <c r="I374" t="s">
        <v>12023</v>
      </c>
      <c r="J374" s="3">
        <v>1.180262E-2</v>
      </c>
      <c r="K374" s="3">
        <v>-0.2312728</v>
      </c>
      <c r="L374" s="3">
        <v>0.25499699999999997</v>
      </c>
    </row>
    <row r="375" spans="1:12" x14ac:dyDescent="0.25">
      <c r="A375" t="s">
        <v>12018</v>
      </c>
      <c r="B375" t="s">
        <v>12019</v>
      </c>
      <c r="I375" t="s">
        <v>12020</v>
      </c>
      <c r="J375" s="3">
        <v>1.474954E-2</v>
      </c>
      <c r="K375" s="3">
        <v>1.1402080000000001</v>
      </c>
      <c r="L375" s="3">
        <v>6.3728049999999994E-2</v>
      </c>
    </row>
    <row r="376" spans="1:12" x14ac:dyDescent="0.25">
      <c r="A376" t="s">
        <v>13291</v>
      </c>
      <c r="B376" t="s">
        <v>13292</v>
      </c>
      <c r="I376" t="s">
        <v>12017</v>
      </c>
      <c r="J376" s="3">
        <v>-0.56919059999999999</v>
      </c>
      <c r="K376" s="3">
        <v>-0.71996280000000001</v>
      </c>
      <c r="L376" s="3">
        <v>-0.49916319999999997</v>
      </c>
    </row>
    <row r="377" spans="1:12" x14ac:dyDescent="0.25">
      <c r="A377" t="s">
        <v>13288</v>
      </c>
      <c r="B377" t="s">
        <v>13289</v>
      </c>
      <c r="I377" t="s">
        <v>13290</v>
      </c>
      <c r="J377" s="3">
        <v>-1.36612</v>
      </c>
      <c r="K377" s="3">
        <v>-0.37945580000000001</v>
      </c>
      <c r="L377" s="3">
        <v>-0.51365499999999997</v>
      </c>
    </row>
    <row r="378" spans="1:12" x14ac:dyDescent="0.25">
      <c r="A378" t="s">
        <v>13285</v>
      </c>
      <c r="B378" t="s">
        <v>13286</v>
      </c>
      <c r="I378" t="s">
        <v>13287</v>
      </c>
      <c r="J378" s="3">
        <v>-0.77352180000000004</v>
      </c>
      <c r="K378" s="3">
        <v>-1.3291029999999999</v>
      </c>
      <c r="L378" s="3">
        <v>-0.70355460000000003</v>
      </c>
    </row>
    <row r="379" spans="1:12" x14ac:dyDescent="0.25">
      <c r="A379" t="s">
        <v>13282</v>
      </c>
      <c r="B379" t="s">
        <v>13283</v>
      </c>
      <c r="I379" t="s">
        <v>13284</v>
      </c>
      <c r="J379" s="3">
        <v>0.11034770000000001</v>
      </c>
      <c r="K379" s="3">
        <v>7.6573359999999993E-2</v>
      </c>
      <c r="L379" s="3">
        <v>0.15270020000000001</v>
      </c>
    </row>
    <row r="380" spans="1:12" x14ac:dyDescent="0.25">
      <c r="A380" t="s">
        <v>13280</v>
      </c>
      <c r="B380" t="s">
        <v>14118</v>
      </c>
      <c r="C380" t="s">
        <v>14119</v>
      </c>
      <c r="I380" t="s">
        <v>13281</v>
      </c>
      <c r="J380" s="3">
        <v>0.2742619</v>
      </c>
      <c r="K380" s="3">
        <v>-0.1123383</v>
      </c>
      <c r="L380" s="3">
        <v>0.28851690000000002</v>
      </c>
    </row>
    <row r="381" spans="1:12" x14ac:dyDescent="0.25">
      <c r="A381" t="s">
        <v>13277</v>
      </c>
      <c r="B381" t="s">
        <v>13278</v>
      </c>
      <c r="I381" t="s">
        <v>13279</v>
      </c>
      <c r="J381" s="3">
        <v>0.49279299999999998</v>
      </c>
      <c r="K381" s="3">
        <v>0.7644261</v>
      </c>
      <c r="L381" s="3">
        <v>9.1691159999999994E-2</v>
      </c>
    </row>
    <row r="382" spans="1:12" x14ac:dyDescent="0.25">
      <c r="A382" t="s">
        <v>13276</v>
      </c>
      <c r="B382" t="s">
        <v>957</v>
      </c>
      <c r="I382" t="s">
        <v>453</v>
      </c>
      <c r="J382" s="3">
        <v>-5.4806609999999999E-2</v>
      </c>
      <c r="K382" s="3">
        <v>0.27003650000000001</v>
      </c>
      <c r="L382" s="3">
        <v>-0.14698310000000001</v>
      </c>
    </row>
    <row r="383" spans="1:12" x14ac:dyDescent="0.25">
      <c r="A383" t="s">
        <v>13273</v>
      </c>
      <c r="B383" t="s">
        <v>13274</v>
      </c>
      <c r="I383" t="s">
        <v>13275</v>
      </c>
      <c r="J383" s="3">
        <v>-0.31591799999999998</v>
      </c>
      <c r="K383" s="3">
        <v>-4.6730189999999998E-2</v>
      </c>
      <c r="L383" s="3">
        <v>-0.20821120000000001</v>
      </c>
    </row>
    <row r="384" spans="1:12" x14ac:dyDescent="0.25">
      <c r="A384" t="s">
        <v>13272</v>
      </c>
      <c r="B384" t="s">
        <v>957</v>
      </c>
      <c r="I384" t="s">
        <v>455</v>
      </c>
      <c r="J384" s="3">
        <v>0.2428053</v>
      </c>
      <c r="K384" s="3">
        <v>0.2028133</v>
      </c>
      <c r="L384" s="3">
        <v>0.44579839999999998</v>
      </c>
    </row>
    <row r="385" spans="1:12" x14ac:dyDescent="0.25">
      <c r="A385" t="s">
        <v>13269</v>
      </c>
      <c r="B385" t="s">
        <v>13270</v>
      </c>
      <c r="I385" t="s">
        <v>13271</v>
      </c>
      <c r="J385" s="3">
        <v>-0.9364228</v>
      </c>
      <c r="K385" s="3">
        <v>-0.72578220000000004</v>
      </c>
      <c r="L385" s="3">
        <v>-0.97134189999999998</v>
      </c>
    </row>
    <row r="386" spans="1:12" x14ac:dyDescent="0.25">
      <c r="A386" t="s">
        <v>13266</v>
      </c>
      <c r="B386" t="s">
        <v>13267</v>
      </c>
      <c r="I386" t="s">
        <v>13268</v>
      </c>
      <c r="J386" s="3">
        <v>-2.0106700000000002</v>
      </c>
      <c r="K386" s="3">
        <v>-1.3161529999999999</v>
      </c>
      <c r="L386" s="3">
        <v>-2.0226700000000002</v>
      </c>
    </row>
    <row r="387" spans="1:12" x14ac:dyDescent="0.25">
      <c r="A387" t="s">
        <v>13265</v>
      </c>
      <c r="B387" t="s">
        <v>957</v>
      </c>
      <c r="I387" t="s">
        <v>455</v>
      </c>
      <c r="J387" s="3">
        <v>-0.22816400000000001</v>
      </c>
      <c r="K387" s="3">
        <v>0.24884529999999999</v>
      </c>
      <c r="L387" s="3">
        <v>-0.25448850000000001</v>
      </c>
    </row>
    <row r="388" spans="1:12" x14ac:dyDescent="0.25">
      <c r="A388" t="s">
        <v>13262</v>
      </c>
      <c r="B388" t="s">
        <v>13263</v>
      </c>
      <c r="I388" t="s">
        <v>13264</v>
      </c>
      <c r="J388" s="3">
        <v>-0.39933869999999999</v>
      </c>
      <c r="K388" s="3">
        <v>-1.1364449999999999</v>
      </c>
      <c r="L388" s="3">
        <v>-5.9109689999999999E-2</v>
      </c>
    </row>
    <row r="389" spans="1:12" x14ac:dyDescent="0.25">
      <c r="A389" t="s">
        <v>13259</v>
      </c>
      <c r="B389" t="s">
        <v>13260</v>
      </c>
      <c r="I389" t="s">
        <v>13261</v>
      </c>
      <c r="J389" s="3">
        <v>1.0237099999999999</v>
      </c>
      <c r="K389" s="3">
        <v>0.88180979999999998</v>
      </c>
      <c r="L389" s="3">
        <v>1.196035</v>
      </c>
    </row>
    <row r="390" spans="1:12" x14ac:dyDescent="0.25">
      <c r="A390" t="s">
        <v>13258</v>
      </c>
      <c r="B390" t="s">
        <v>14120</v>
      </c>
      <c r="C390" t="s">
        <v>14121</v>
      </c>
      <c r="I390" t="s">
        <v>286</v>
      </c>
      <c r="J390" s="3">
        <v>0.58622249999999998</v>
      </c>
      <c r="K390" s="3">
        <v>0.35129199999999999</v>
      </c>
      <c r="L390" s="3">
        <v>0.56212039999999996</v>
      </c>
    </row>
    <row r="391" spans="1:12" x14ac:dyDescent="0.25">
      <c r="A391" t="s">
        <v>13255</v>
      </c>
      <c r="B391" t="s">
        <v>13256</v>
      </c>
      <c r="I391" t="s">
        <v>13257</v>
      </c>
      <c r="J391" s="3">
        <v>8.0933329999999998E-2</v>
      </c>
      <c r="K391" s="3">
        <v>-0.22288250000000001</v>
      </c>
      <c r="L391" s="3">
        <v>-0.27195730000000001</v>
      </c>
    </row>
    <row r="392" spans="1:12" x14ac:dyDescent="0.25">
      <c r="A392" t="s">
        <v>13253</v>
      </c>
      <c r="B392" t="s">
        <v>13254</v>
      </c>
      <c r="I392" t="s">
        <v>2441</v>
      </c>
      <c r="J392" s="3">
        <v>0.1331001</v>
      </c>
      <c r="K392" s="3">
        <v>-0.10405150000000001</v>
      </c>
      <c r="L392" s="3">
        <v>0.1126514</v>
      </c>
    </row>
    <row r="393" spans="1:12" x14ac:dyDescent="0.25">
      <c r="A393" t="s">
        <v>13251</v>
      </c>
      <c r="B393" t="s">
        <v>957</v>
      </c>
      <c r="I393" t="s">
        <v>13252</v>
      </c>
      <c r="J393" s="3">
        <v>-0.47319830000000002</v>
      </c>
      <c r="K393" s="3">
        <v>-0.55007819999999996</v>
      </c>
      <c r="L393" s="3">
        <v>8.1689860000000003E-2</v>
      </c>
    </row>
    <row r="394" spans="1:12" x14ac:dyDescent="0.25">
      <c r="A394" t="s">
        <v>13248</v>
      </c>
      <c r="B394" t="s">
        <v>13249</v>
      </c>
      <c r="I394" t="s">
        <v>13250</v>
      </c>
      <c r="J394" s="3">
        <v>0.46401579999999998</v>
      </c>
      <c r="K394" s="3">
        <v>0.46636440000000001</v>
      </c>
      <c r="L394" s="3">
        <v>0.131049</v>
      </c>
    </row>
    <row r="395" spans="1:12" x14ac:dyDescent="0.25">
      <c r="A395" t="s">
        <v>13245</v>
      </c>
      <c r="B395" t="s">
        <v>13246</v>
      </c>
      <c r="I395" t="s">
        <v>13247</v>
      </c>
      <c r="J395" s="3">
        <v>0.66224110000000003</v>
      </c>
      <c r="K395" s="3">
        <v>0.78769210000000001</v>
      </c>
      <c r="L395" s="3">
        <v>0.81033109999999997</v>
      </c>
    </row>
    <row r="396" spans="1:12" x14ac:dyDescent="0.25">
      <c r="A396" t="s">
        <v>13244</v>
      </c>
      <c r="B396" t="s">
        <v>957</v>
      </c>
      <c r="I396" t="s">
        <v>156</v>
      </c>
      <c r="J396" s="3">
        <v>-8.8223170000000004E-2</v>
      </c>
      <c r="K396" s="3">
        <v>0.594163</v>
      </c>
      <c r="L396" s="3">
        <v>-0.15771550000000001</v>
      </c>
    </row>
    <row r="397" spans="1:12" x14ac:dyDescent="0.25">
      <c r="A397" t="s">
        <v>13243</v>
      </c>
      <c r="B397" t="s">
        <v>957</v>
      </c>
      <c r="I397" t="s">
        <v>1207</v>
      </c>
      <c r="J397" s="3">
        <v>-0.14338590000000001</v>
      </c>
      <c r="K397" s="3">
        <v>-6.3047199999999998E-4</v>
      </c>
      <c r="L397" s="3">
        <v>-0.2226437</v>
      </c>
    </row>
    <row r="398" spans="1:12" x14ac:dyDescent="0.25">
      <c r="A398" t="s">
        <v>13242</v>
      </c>
      <c r="B398" t="s">
        <v>957</v>
      </c>
      <c r="I398" t="s">
        <v>455</v>
      </c>
      <c r="J398" s="3">
        <v>0.1120186</v>
      </c>
      <c r="K398" s="3">
        <v>-6.7449839999999997E-2</v>
      </c>
      <c r="L398" s="3">
        <v>1.9909340000000001E-2</v>
      </c>
    </row>
    <row r="399" spans="1:12" x14ac:dyDescent="0.25">
      <c r="A399" t="s">
        <v>13239</v>
      </c>
      <c r="B399" t="s">
        <v>13240</v>
      </c>
      <c r="I399" t="s">
        <v>13241</v>
      </c>
      <c r="J399" s="3">
        <v>0.1992775</v>
      </c>
      <c r="K399" s="3">
        <v>-6.2476080000000003E-2</v>
      </c>
      <c r="L399" s="3">
        <v>9.3634019999999998E-2</v>
      </c>
    </row>
    <row r="400" spans="1:12" x14ac:dyDescent="0.25">
      <c r="A400" t="s">
        <v>13237</v>
      </c>
      <c r="B400" t="s">
        <v>13238</v>
      </c>
      <c r="I400" t="s">
        <v>2795</v>
      </c>
      <c r="J400" s="3">
        <v>0.51532960000000005</v>
      </c>
      <c r="K400" s="3">
        <v>0.1237964</v>
      </c>
      <c r="L400" s="3">
        <v>0.33930979999999999</v>
      </c>
    </row>
    <row r="401" spans="1:12" x14ac:dyDescent="0.25">
      <c r="A401" t="s">
        <v>13234</v>
      </c>
      <c r="B401" t="s">
        <v>13235</v>
      </c>
      <c r="I401" t="s">
        <v>13236</v>
      </c>
      <c r="J401" s="3">
        <v>-0.4322145</v>
      </c>
      <c r="K401" s="3">
        <v>-1.1978789999999999</v>
      </c>
      <c r="L401" s="3">
        <v>-0.65523960000000003</v>
      </c>
    </row>
    <row r="402" spans="1:12" x14ac:dyDescent="0.25">
      <c r="A402" t="s">
        <v>13233</v>
      </c>
      <c r="B402" t="s">
        <v>957</v>
      </c>
      <c r="I402" t="s">
        <v>156</v>
      </c>
      <c r="J402" s="3">
        <v>-0.1196609</v>
      </c>
      <c r="K402" s="3">
        <v>-4.5283209999999997E-2</v>
      </c>
      <c r="L402" s="3">
        <v>0.1588377</v>
      </c>
    </row>
    <row r="403" spans="1:12" x14ac:dyDescent="0.25">
      <c r="A403" t="s">
        <v>13230</v>
      </c>
      <c r="B403" t="s">
        <v>13231</v>
      </c>
      <c r="I403" t="s">
        <v>13232</v>
      </c>
      <c r="J403" s="3">
        <v>0.56718599999999997</v>
      </c>
      <c r="K403" s="3">
        <v>0.1181879</v>
      </c>
      <c r="L403" s="3">
        <v>0.67364550000000001</v>
      </c>
    </row>
    <row r="404" spans="1:12" x14ac:dyDescent="0.25">
      <c r="A404" t="s">
        <v>13228</v>
      </c>
      <c r="B404" t="s">
        <v>13229</v>
      </c>
      <c r="I404" t="s">
        <v>5462</v>
      </c>
      <c r="J404" s="3">
        <v>0.49160799999999999</v>
      </c>
      <c r="K404" s="3">
        <v>0.1788874</v>
      </c>
      <c r="L404" s="3">
        <v>0.3328392</v>
      </c>
    </row>
    <row r="405" spans="1:12" x14ac:dyDescent="0.25">
      <c r="A405" t="s">
        <v>13225</v>
      </c>
      <c r="B405" t="s">
        <v>13226</v>
      </c>
      <c r="I405" t="s">
        <v>13227</v>
      </c>
      <c r="J405" s="3">
        <v>-0.3430144</v>
      </c>
      <c r="K405" s="3">
        <v>-4.7758090000000003E-2</v>
      </c>
      <c r="L405" s="3">
        <v>-0.37761670000000003</v>
      </c>
    </row>
    <row r="406" spans="1:12" x14ac:dyDescent="0.25">
      <c r="A406" t="s">
        <v>13224</v>
      </c>
      <c r="B406" t="s">
        <v>957</v>
      </c>
      <c r="I406" t="s">
        <v>455</v>
      </c>
      <c r="J406" s="3">
        <v>-0.29997380000000001</v>
      </c>
      <c r="K406" s="3">
        <v>-0.7924776</v>
      </c>
      <c r="L406" s="3">
        <v>-0.31049729999999998</v>
      </c>
    </row>
    <row r="407" spans="1:12" x14ac:dyDescent="0.25">
      <c r="A407" t="s">
        <v>13221</v>
      </c>
      <c r="B407" t="s">
        <v>13222</v>
      </c>
      <c r="I407" t="s">
        <v>13223</v>
      </c>
      <c r="J407" s="3">
        <v>-0.4282841</v>
      </c>
      <c r="K407" s="3">
        <v>-0.51293060000000001</v>
      </c>
      <c r="L407" s="3">
        <v>-0.42837340000000002</v>
      </c>
    </row>
    <row r="408" spans="1:12" x14ac:dyDescent="0.25">
      <c r="A408" t="s">
        <v>13218</v>
      </c>
      <c r="B408" t="s">
        <v>13219</v>
      </c>
      <c r="I408" t="s">
        <v>13220</v>
      </c>
      <c r="J408" s="3">
        <v>0.35581259999999998</v>
      </c>
      <c r="K408" s="3">
        <v>0.18079780000000001</v>
      </c>
      <c r="L408" s="3">
        <v>0.15042069999999999</v>
      </c>
    </row>
    <row r="409" spans="1:12" x14ac:dyDescent="0.25">
      <c r="A409" t="s">
        <v>13215</v>
      </c>
      <c r="B409" t="s">
        <v>13216</v>
      </c>
      <c r="I409" t="s">
        <v>13217</v>
      </c>
      <c r="J409" s="3">
        <v>1.0034959999999999</v>
      </c>
      <c r="K409" s="3">
        <v>0.88608600000000004</v>
      </c>
      <c r="L409" s="3">
        <v>0.84838429999999998</v>
      </c>
    </row>
    <row r="410" spans="1:12" x14ac:dyDescent="0.25">
      <c r="A410" t="s">
        <v>13212</v>
      </c>
      <c r="B410" t="s">
        <v>13213</v>
      </c>
      <c r="I410" t="s">
        <v>13214</v>
      </c>
      <c r="J410" s="3">
        <v>-0.25016430000000001</v>
      </c>
      <c r="K410" s="3">
        <v>2.1396849999999999E-2</v>
      </c>
      <c r="L410" s="3">
        <v>-1.1947959999999999E-3</v>
      </c>
    </row>
    <row r="411" spans="1:12" x14ac:dyDescent="0.25">
      <c r="A411" t="s">
        <v>13209</v>
      </c>
      <c r="B411" t="s">
        <v>13210</v>
      </c>
      <c r="I411" t="s">
        <v>13211</v>
      </c>
      <c r="J411" s="3">
        <v>-0.17292569999999999</v>
      </c>
      <c r="K411" s="3">
        <v>-0.56645210000000001</v>
      </c>
      <c r="L411" s="3">
        <v>-0.27093610000000001</v>
      </c>
    </row>
    <row r="412" spans="1:12" x14ac:dyDescent="0.25">
      <c r="A412" t="s">
        <v>13206</v>
      </c>
      <c r="B412" t="s">
        <v>13207</v>
      </c>
      <c r="I412" t="s">
        <v>13208</v>
      </c>
      <c r="J412" s="3">
        <v>0.1476634</v>
      </c>
      <c r="K412" s="3">
        <v>0.1066097</v>
      </c>
      <c r="L412" s="3">
        <v>0.2167355</v>
      </c>
    </row>
    <row r="413" spans="1:12" x14ac:dyDescent="0.25">
      <c r="A413" t="s">
        <v>13203</v>
      </c>
      <c r="B413" t="s">
        <v>13204</v>
      </c>
      <c r="I413" t="s">
        <v>13205</v>
      </c>
      <c r="J413" s="3">
        <v>-0.75184700000000004</v>
      </c>
      <c r="K413" s="3">
        <v>0.43738700000000003</v>
      </c>
      <c r="L413" s="3">
        <v>-0.24900890000000001</v>
      </c>
    </row>
    <row r="414" spans="1:12" x14ac:dyDescent="0.25">
      <c r="A414" t="s">
        <v>13200</v>
      </c>
      <c r="B414" t="s">
        <v>13201</v>
      </c>
      <c r="I414" t="s">
        <v>13202</v>
      </c>
      <c r="J414" s="3">
        <v>0.27493040000000002</v>
      </c>
      <c r="K414" s="3">
        <v>0.49656719999999999</v>
      </c>
      <c r="L414" s="3">
        <v>0.56221399999999999</v>
      </c>
    </row>
    <row r="415" spans="1:12" x14ac:dyDescent="0.25">
      <c r="A415" t="s">
        <v>13197</v>
      </c>
      <c r="B415" t="s">
        <v>13198</v>
      </c>
      <c r="I415" t="s">
        <v>13199</v>
      </c>
      <c r="J415" s="3">
        <v>-0.4774332</v>
      </c>
      <c r="K415" s="3">
        <v>-1.0662119999999999</v>
      </c>
      <c r="L415" s="3">
        <v>-0.30496830000000003</v>
      </c>
    </row>
    <row r="416" spans="1:12" x14ac:dyDescent="0.25">
      <c r="A416" t="s">
        <v>13194</v>
      </c>
      <c r="B416" t="s">
        <v>13195</v>
      </c>
      <c r="I416" t="s">
        <v>13196</v>
      </c>
      <c r="J416" s="3">
        <v>0.15962090000000001</v>
      </c>
      <c r="K416" s="3">
        <v>0.21022479999999999</v>
      </c>
      <c r="L416" s="3">
        <v>7.5653349999999994E-2</v>
      </c>
    </row>
    <row r="417" spans="1:12" x14ac:dyDescent="0.25">
      <c r="A417" t="s">
        <v>13191</v>
      </c>
      <c r="B417" t="s">
        <v>13192</v>
      </c>
      <c r="I417" t="s">
        <v>13193</v>
      </c>
      <c r="J417" s="3">
        <v>-0.16872709999999999</v>
      </c>
      <c r="K417" s="3">
        <v>-0.51165970000000005</v>
      </c>
      <c r="L417" s="3">
        <v>5.037581E-2</v>
      </c>
    </row>
    <row r="418" spans="1:12" x14ac:dyDescent="0.25">
      <c r="A418" t="s">
        <v>12883</v>
      </c>
      <c r="B418" t="s">
        <v>12884</v>
      </c>
      <c r="I418" t="s">
        <v>13190</v>
      </c>
      <c r="J418" s="3">
        <v>-0.20640249999999999</v>
      </c>
      <c r="K418" s="3">
        <v>-0.35466700000000001</v>
      </c>
      <c r="L418" s="3">
        <v>-0.52299910000000005</v>
      </c>
    </row>
    <row r="419" spans="1:12" x14ac:dyDescent="0.25">
      <c r="A419" t="s">
        <v>12882</v>
      </c>
      <c r="B419" t="s">
        <v>957</v>
      </c>
      <c r="I419" t="s">
        <v>455</v>
      </c>
      <c r="J419" s="3">
        <v>-0.97991419999999996</v>
      </c>
      <c r="K419" s="3">
        <v>-0.71065699999999998</v>
      </c>
      <c r="L419" s="3">
        <v>-0.75814060000000005</v>
      </c>
    </row>
    <row r="420" spans="1:12" x14ac:dyDescent="0.25">
      <c r="A420" t="s">
        <v>12881</v>
      </c>
      <c r="B420" t="s">
        <v>957</v>
      </c>
      <c r="I420" t="s">
        <v>205</v>
      </c>
      <c r="J420" s="3">
        <v>7.8613879999999997E-2</v>
      </c>
      <c r="K420" s="3">
        <v>0.69366090000000002</v>
      </c>
      <c r="L420" s="3">
        <v>0.20262530000000001</v>
      </c>
    </row>
    <row r="421" spans="1:12" x14ac:dyDescent="0.25">
      <c r="A421" t="s">
        <v>12878</v>
      </c>
      <c r="B421" t="s">
        <v>12879</v>
      </c>
      <c r="I421" t="s">
        <v>12880</v>
      </c>
      <c r="J421" s="3">
        <v>-0.47154750000000001</v>
      </c>
      <c r="K421" s="3">
        <v>-0.36598999999999998</v>
      </c>
      <c r="L421" s="3">
        <v>-0.39284400000000003</v>
      </c>
    </row>
    <row r="422" spans="1:12" x14ac:dyDescent="0.25">
      <c r="A422" t="s">
        <v>12877</v>
      </c>
      <c r="B422" t="s">
        <v>957</v>
      </c>
      <c r="I422" t="s">
        <v>1207</v>
      </c>
      <c r="J422" s="3">
        <v>-8.7050420000000003E-2</v>
      </c>
      <c r="K422" s="3">
        <v>-0.25313390000000002</v>
      </c>
      <c r="L422" s="3">
        <v>-0.13715550000000001</v>
      </c>
    </row>
    <row r="423" spans="1:12" x14ac:dyDescent="0.25">
      <c r="A423" t="s">
        <v>12874</v>
      </c>
      <c r="B423" t="s">
        <v>12875</v>
      </c>
      <c r="I423" t="s">
        <v>12876</v>
      </c>
      <c r="J423" s="3">
        <v>-0.49877290000000002</v>
      </c>
      <c r="K423" s="3">
        <v>-0.21178340000000001</v>
      </c>
      <c r="L423" s="3">
        <v>-0.68817519999999999</v>
      </c>
    </row>
    <row r="424" spans="1:12" x14ac:dyDescent="0.25">
      <c r="A424" t="s">
        <v>12871</v>
      </c>
      <c r="B424" t="s">
        <v>12872</v>
      </c>
      <c r="I424" t="s">
        <v>12873</v>
      </c>
      <c r="J424" s="3">
        <v>5.0226920000000001E-2</v>
      </c>
      <c r="K424" s="3">
        <v>0.45733740000000001</v>
      </c>
      <c r="L424" s="3">
        <v>5.4239639999999999E-2</v>
      </c>
    </row>
    <row r="425" spans="1:12" x14ac:dyDescent="0.25">
      <c r="A425" t="s">
        <v>12870</v>
      </c>
      <c r="B425" t="s">
        <v>957</v>
      </c>
      <c r="I425" t="s">
        <v>455</v>
      </c>
      <c r="J425" s="3">
        <v>0.25838689999999997</v>
      </c>
      <c r="K425" s="3">
        <v>0.28890979999999999</v>
      </c>
      <c r="L425" s="3">
        <v>8.0069570000000007E-2</v>
      </c>
    </row>
    <row r="426" spans="1:12" x14ac:dyDescent="0.25">
      <c r="A426" t="s">
        <v>12867</v>
      </c>
      <c r="B426" t="s">
        <v>12868</v>
      </c>
      <c r="I426" t="s">
        <v>12869</v>
      </c>
      <c r="J426" s="3">
        <v>0.53233220000000003</v>
      </c>
      <c r="K426" s="3">
        <v>0.2151236</v>
      </c>
      <c r="L426" s="3">
        <v>0.43802639999999998</v>
      </c>
    </row>
    <row r="427" spans="1:12" x14ac:dyDescent="0.25">
      <c r="A427" t="s">
        <v>12864</v>
      </c>
      <c r="B427" t="s">
        <v>12865</v>
      </c>
      <c r="I427" t="s">
        <v>12866</v>
      </c>
      <c r="J427" s="3">
        <v>-0.1037056</v>
      </c>
      <c r="K427" s="3">
        <v>-0.16278770000000001</v>
      </c>
      <c r="L427" s="3">
        <v>3.3536080000000003E-2</v>
      </c>
    </row>
    <row r="428" spans="1:12" x14ac:dyDescent="0.25">
      <c r="A428" t="s">
        <v>12861</v>
      </c>
      <c r="B428" t="s">
        <v>12862</v>
      </c>
      <c r="I428" t="s">
        <v>12863</v>
      </c>
      <c r="J428" s="3">
        <v>0.55525449999999998</v>
      </c>
      <c r="K428" s="3">
        <v>0.57939359999999995</v>
      </c>
      <c r="L428" s="3">
        <v>0.4584242</v>
      </c>
    </row>
    <row r="429" spans="1:12" x14ac:dyDescent="0.25">
      <c r="A429" t="s">
        <v>12860</v>
      </c>
      <c r="B429" t="s">
        <v>957</v>
      </c>
      <c r="I429" t="s">
        <v>455</v>
      </c>
      <c r="J429" s="3">
        <v>-0.1283183</v>
      </c>
      <c r="K429" s="3">
        <v>-0.16220879999999999</v>
      </c>
      <c r="L429" s="3">
        <v>-0.1982758</v>
      </c>
    </row>
    <row r="430" spans="1:12" x14ac:dyDescent="0.25">
      <c r="A430" t="s">
        <v>12859</v>
      </c>
      <c r="B430" t="s">
        <v>957</v>
      </c>
      <c r="I430" t="s">
        <v>957</v>
      </c>
      <c r="J430" s="3">
        <v>-1.376873</v>
      </c>
      <c r="K430" s="3">
        <v>-1.1622159999999999</v>
      </c>
      <c r="L430" s="3">
        <v>-0.63994359999999995</v>
      </c>
    </row>
    <row r="431" spans="1:12" x14ac:dyDescent="0.25">
      <c r="A431" t="s">
        <v>12857</v>
      </c>
      <c r="B431" t="s">
        <v>12858</v>
      </c>
      <c r="I431" t="s">
        <v>4180</v>
      </c>
      <c r="J431" s="3">
        <v>0.37036079999999999</v>
      </c>
      <c r="K431" s="3">
        <v>0.34550750000000002</v>
      </c>
      <c r="L431" s="3">
        <v>0.3253587</v>
      </c>
    </row>
    <row r="432" spans="1:12" x14ac:dyDescent="0.25">
      <c r="A432" t="s">
        <v>12854</v>
      </c>
      <c r="B432" t="s">
        <v>12855</v>
      </c>
      <c r="I432" t="s">
        <v>12856</v>
      </c>
      <c r="J432" s="3">
        <v>0.34999839999999999</v>
      </c>
      <c r="K432" s="3">
        <v>7.3912210000000006E-2</v>
      </c>
      <c r="L432" s="3">
        <v>7.9451110000000005E-2</v>
      </c>
    </row>
    <row r="433" spans="1:12" x14ac:dyDescent="0.25">
      <c r="A433" t="s">
        <v>12852</v>
      </c>
      <c r="B433" t="s">
        <v>12853</v>
      </c>
      <c r="I433" t="s">
        <v>5289</v>
      </c>
      <c r="J433" s="3">
        <v>-0.98480460000000003</v>
      </c>
      <c r="K433" s="3">
        <v>-1.179718</v>
      </c>
      <c r="L433" s="3">
        <v>-0.63586229999999999</v>
      </c>
    </row>
    <row r="434" spans="1:12" x14ac:dyDescent="0.25">
      <c r="A434" t="s">
        <v>12849</v>
      </c>
      <c r="B434" t="s">
        <v>12850</v>
      </c>
      <c r="I434" t="s">
        <v>12851</v>
      </c>
      <c r="J434" s="3">
        <v>-3.8619229999999997E-2</v>
      </c>
      <c r="K434" s="3">
        <v>0.48441859999999998</v>
      </c>
      <c r="L434" s="3">
        <v>0.31019980000000003</v>
      </c>
    </row>
    <row r="435" spans="1:12" x14ac:dyDescent="0.25">
      <c r="A435" t="s">
        <v>12848</v>
      </c>
      <c r="B435" t="s">
        <v>957</v>
      </c>
      <c r="I435" t="s">
        <v>455</v>
      </c>
      <c r="J435" s="3">
        <v>0.21077699999999999</v>
      </c>
      <c r="K435" s="3">
        <v>0.54781259999999998</v>
      </c>
      <c r="L435" s="3">
        <v>0.25173590000000001</v>
      </c>
    </row>
    <row r="436" spans="1:12" x14ac:dyDescent="0.25">
      <c r="A436" t="s">
        <v>12845</v>
      </c>
      <c r="B436" t="s">
        <v>12846</v>
      </c>
      <c r="I436" t="s">
        <v>12847</v>
      </c>
      <c r="J436" s="3">
        <v>-0.4861336</v>
      </c>
      <c r="K436" s="3">
        <v>-0.8615756</v>
      </c>
      <c r="L436" s="3">
        <v>-0.42858390000000002</v>
      </c>
    </row>
    <row r="437" spans="1:12" x14ac:dyDescent="0.25">
      <c r="A437" t="s">
        <v>12842</v>
      </c>
      <c r="B437" t="s">
        <v>12843</v>
      </c>
      <c r="I437" t="s">
        <v>12844</v>
      </c>
      <c r="J437" s="3">
        <v>-0.79989069999999995</v>
      </c>
      <c r="K437" s="3">
        <v>-1.6351830000000001</v>
      </c>
      <c r="L437" s="3">
        <v>-0.8388177</v>
      </c>
    </row>
    <row r="438" spans="1:12" x14ac:dyDescent="0.25">
      <c r="A438" t="s">
        <v>12841</v>
      </c>
      <c r="B438" t="s">
        <v>957</v>
      </c>
      <c r="I438" t="s">
        <v>455</v>
      </c>
      <c r="J438" s="3">
        <v>0.4040415</v>
      </c>
      <c r="K438" s="3">
        <v>1.859383</v>
      </c>
      <c r="L438" s="3">
        <v>0.52334539999999996</v>
      </c>
    </row>
    <row r="439" spans="1:12" x14ac:dyDescent="0.25">
      <c r="A439" t="s">
        <v>12840</v>
      </c>
      <c r="B439" t="s">
        <v>957</v>
      </c>
      <c r="I439" t="s">
        <v>455</v>
      </c>
      <c r="J439" s="3">
        <v>-0.33046599999999998</v>
      </c>
      <c r="K439" s="3">
        <v>1.0615330000000001</v>
      </c>
      <c r="L439" s="3">
        <v>-8.394132E-2</v>
      </c>
    </row>
    <row r="440" spans="1:12" x14ac:dyDescent="0.25">
      <c r="A440" t="s">
        <v>12837</v>
      </c>
      <c r="B440" t="s">
        <v>12838</v>
      </c>
      <c r="I440" t="s">
        <v>12839</v>
      </c>
      <c r="J440" s="3">
        <v>-3.4602050000000002E-2</v>
      </c>
      <c r="K440" s="3">
        <v>0.11591899999999999</v>
      </c>
      <c r="L440" s="3">
        <v>-0.33127590000000001</v>
      </c>
    </row>
    <row r="441" spans="1:12" x14ac:dyDescent="0.25">
      <c r="A441" t="s">
        <v>12836</v>
      </c>
      <c r="B441" t="s">
        <v>957</v>
      </c>
      <c r="I441" t="s">
        <v>455</v>
      </c>
      <c r="J441" s="3">
        <v>0.4253594</v>
      </c>
      <c r="K441" s="3">
        <v>0.83768869999999995</v>
      </c>
      <c r="L441" s="3">
        <v>0.27783059999999998</v>
      </c>
    </row>
    <row r="442" spans="1:12" x14ac:dyDescent="0.25">
      <c r="A442" t="s">
        <v>12835</v>
      </c>
      <c r="B442" t="s">
        <v>957</v>
      </c>
      <c r="I442" t="s">
        <v>455</v>
      </c>
      <c r="J442" s="3">
        <v>-8.3158399999999993E-2</v>
      </c>
      <c r="K442" s="3">
        <v>-0.71012710000000001</v>
      </c>
      <c r="L442" s="3">
        <v>-0.27783609999999997</v>
      </c>
    </row>
    <row r="443" spans="1:12" x14ac:dyDescent="0.25">
      <c r="A443" t="s">
        <v>12832</v>
      </c>
      <c r="B443" t="s">
        <v>12833</v>
      </c>
      <c r="I443" t="s">
        <v>12834</v>
      </c>
      <c r="J443" s="3">
        <v>-0.65138549999999995</v>
      </c>
      <c r="K443" s="3">
        <v>-0.22767709999999999</v>
      </c>
      <c r="L443" s="3">
        <v>-0.56082659999999995</v>
      </c>
    </row>
    <row r="444" spans="1:12" x14ac:dyDescent="0.25">
      <c r="A444" t="s">
        <v>12830</v>
      </c>
      <c r="B444" t="s">
        <v>12831</v>
      </c>
      <c r="I444" t="s">
        <v>6922</v>
      </c>
      <c r="J444" s="3">
        <v>0.51988679999999998</v>
      </c>
      <c r="K444" s="3">
        <v>0.60134520000000002</v>
      </c>
      <c r="L444" s="3">
        <v>0.27791779999999999</v>
      </c>
    </row>
    <row r="445" spans="1:12" x14ac:dyDescent="0.25">
      <c r="A445" t="s">
        <v>12827</v>
      </c>
      <c r="B445" t="s">
        <v>12828</v>
      </c>
      <c r="I445" t="s">
        <v>12829</v>
      </c>
      <c r="J445" s="3">
        <v>-0.1161136</v>
      </c>
      <c r="K445" s="3">
        <v>-0.2945139</v>
      </c>
      <c r="L445" s="3">
        <v>-6.1797919999999999E-3</v>
      </c>
    </row>
    <row r="446" spans="1:12" x14ac:dyDescent="0.25">
      <c r="A446" t="s">
        <v>12826</v>
      </c>
      <c r="B446" t="s">
        <v>957</v>
      </c>
      <c r="I446" t="s">
        <v>455</v>
      </c>
      <c r="J446" s="3">
        <v>-4.636154E-2</v>
      </c>
      <c r="K446" s="3">
        <v>0.39702989999999999</v>
      </c>
      <c r="L446" s="3">
        <v>0.16099269999999999</v>
      </c>
    </row>
    <row r="447" spans="1:12" x14ac:dyDescent="0.25">
      <c r="A447" t="s">
        <v>12823</v>
      </c>
      <c r="B447" t="s">
        <v>12824</v>
      </c>
      <c r="I447" t="s">
        <v>12825</v>
      </c>
      <c r="J447" s="3">
        <v>1.8169109999999999E-2</v>
      </c>
      <c r="K447" s="3">
        <v>0.31743850000000001</v>
      </c>
      <c r="L447" s="3">
        <v>2.0837690000000001E-3</v>
      </c>
    </row>
    <row r="448" spans="1:12" x14ac:dyDescent="0.25">
      <c r="A448" t="s">
        <v>12820</v>
      </c>
      <c r="B448" t="s">
        <v>12821</v>
      </c>
      <c r="I448" t="s">
        <v>12822</v>
      </c>
      <c r="J448" s="3">
        <v>0.16079579999999999</v>
      </c>
      <c r="K448" s="3">
        <v>-0.61009500000000005</v>
      </c>
      <c r="L448" s="3">
        <v>-0.315224</v>
      </c>
    </row>
    <row r="449" spans="1:12" x14ac:dyDescent="0.25">
      <c r="A449" t="s">
        <v>12817</v>
      </c>
      <c r="B449" t="s">
        <v>12818</v>
      </c>
      <c r="I449" t="s">
        <v>12819</v>
      </c>
      <c r="J449" s="3">
        <v>0.34420200000000001</v>
      </c>
      <c r="K449" s="3">
        <v>0.59377049999999998</v>
      </c>
      <c r="L449" s="3">
        <v>9.7661799999999993E-3</v>
      </c>
    </row>
    <row r="450" spans="1:12" x14ac:dyDescent="0.25">
      <c r="A450" t="s">
        <v>12816</v>
      </c>
      <c r="B450" t="s">
        <v>957</v>
      </c>
      <c r="I450" t="s">
        <v>455</v>
      </c>
      <c r="J450" s="3">
        <v>0.33690819999999999</v>
      </c>
      <c r="K450" s="3">
        <v>0.46873510000000002</v>
      </c>
      <c r="L450" s="3">
        <v>0.1227268</v>
      </c>
    </row>
    <row r="451" spans="1:12" x14ac:dyDescent="0.25">
      <c r="A451" t="s">
        <v>12814</v>
      </c>
      <c r="B451" t="s">
        <v>12815</v>
      </c>
      <c r="I451" t="s">
        <v>430</v>
      </c>
      <c r="J451" s="3">
        <v>-0.87081500000000001</v>
      </c>
      <c r="K451" s="3">
        <v>-1.187478</v>
      </c>
      <c r="L451" s="3">
        <v>-0.76288440000000002</v>
      </c>
    </row>
    <row r="452" spans="1:12" x14ac:dyDescent="0.25">
      <c r="A452" t="s">
        <v>12811</v>
      </c>
      <c r="B452" t="s">
        <v>12812</v>
      </c>
      <c r="I452" t="s">
        <v>12813</v>
      </c>
      <c r="J452" s="3">
        <v>0.63379419999999997</v>
      </c>
      <c r="K452" s="3">
        <v>1.170528</v>
      </c>
      <c r="L452" s="3">
        <v>0.58725780000000005</v>
      </c>
    </row>
    <row r="453" spans="1:12" x14ac:dyDescent="0.25">
      <c r="A453" t="s">
        <v>12808</v>
      </c>
      <c r="B453" t="s">
        <v>12809</v>
      </c>
      <c r="I453" t="s">
        <v>12810</v>
      </c>
      <c r="J453" s="3">
        <v>-0.26195370000000001</v>
      </c>
      <c r="K453" s="3">
        <v>-0.4442449</v>
      </c>
      <c r="L453" s="3">
        <v>8.5549959999999994E-2</v>
      </c>
    </row>
    <row r="454" spans="1:12" x14ac:dyDescent="0.25">
      <c r="A454" t="s">
        <v>12805</v>
      </c>
      <c r="B454" t="s">
        <v>12806</v>
      </c>
      <c r="I454" t="s">
        <v>12807</v>
      </c>
      <c r="J454" s="3">
        <v>0.28501539999999997</v>
      </c>
      <c r="K454" s="3">
        <v>0.22787099999999999</v>
      </c>
      <c r="L454" s="3">
        <v>0.4885312</v>
      </c>
    </row>
    <row r="455" spans="1:12" x14ac:dyDescent="0.25">
      <c r="A455" t="s">
        <v>12804</v>
      </c>
      <c r="B455" t="s">
        <v>957</v>
      </c>
      <c r="I455" t="s">
        <v>1973</v>
      </c>
      <c r="J455" s="3">
        <v>5.1723480000000002E-2</v>
      </c>
      <c r="K455" s="3">
        <v>0.36544270000000001</v>
      </c>
      <c r="L455" s="3">
        <v>0.17169880000000001</v>
      </c>
    </row>
    <row r="456" spans="1:12" x14ac:dyDescent="0.25">
      <c r="A456" t="s">
        <v>12802</v>
      </c>
      <c r="B456" t="s">
        <v>957</v>
      </c>
      <c r="I456" t="s">
        <v>12803</v>
      </c>
      <c r="J456" s="3">
        <v>0.14641979999999999</v>
      </c>
      <c r="K456" s="3">
        <v>-0.22794159999999999</v>
      </c>
      <c r="L456" s="3">
        <v>3.6694129999999998E-2</v>
      </c>
    </row>
    <row r="457" spans="1:12" x14ac:dyDescent="0.25">
      <c r="A457" t="s">
        <v>12799</v>
      </c>
      <c r="B457" t="s">
        <v>12800</v>
      </c>
      <c r="I457" t="s">
        <v>12801</v>
      </c>
      <c r="J457" s="3">
        <v>-0.21286720000000001</v>
      </c>
      <c r="K457" s="3">
        <v>-0.92919600000000002</v>
      </c>
      <c r="L457" s="3">
        <v>-0.47957539999999999</v>
      </c>
    </row>
    <row r="458" spans="1:12" x14ac:dyDescent="0.25">
      <c r="A458" t="s">
        <v>12797</v>
      </c>
      <c r="B458" t="s">
        <v>12798</v>
      </c>
      <c r="I458" t="s">
        <v>3411</v>
      </c>
      <c r="J458" s="3">
        <v>-0.63153740000000003</v>
      </c>
      <c r="K458" s="3">
        <v>-1.1687160000000001</v>
      </c>
      <c r="L458" s="3">
        <v>-0.66602729999999999</v>
      </c>
    </row>
    <row r="459" spans="1:12" x14ac:dyDescent="0.25">
      <c r="A459" t="s">
        <v>12794</v>
      </c>
      <c r="B459" t="s">
        <v>12795</v>
      </c>
      <c r="I459" t="s">
        <v>12796</v>
      </c>
      <c r="J459" s="3">
        <v>-0.75861160000000005</v>
      </c>
      <c r="K459" s="3">
        <v>-0.62338959999999999</v>
      </c>
      <c r="L459" s="3">
        <v>-0.1093032</v>
      </c>
    </row>
    <row r="460" spans="1:12" x14ac:dyDescent="0.25">
      <c r="A460" t="s">
        <v>12793</v>
      </c>
      <c r="B460" t="s">
        <v>957</v>
      </c>
      <c r="I460" t="s">
        <v>455</v>
      </c>
      <c r="J460" s="3">
        <v>-4.517003E-2</v>
      </c>
      <c r="K460" s="3">
        <v>1.4091279999999999E-2</v>
      </c>
      <c r="L460" s="3">
        <v>-0.1489249</v>
      </c>
    </row>
    <row r="461" spans="1:12" x14ac:dyDescent="0.25">
      <c r="A461" t="s">
        <v>12790</v>
      </c>
      <c r="B461" t="s">
        <v>12791</v>
      </c>
      <c r="I461" t="s">
        <v>12792</v>
      </c>
      <c r="J461" s="3">
        <v>0.34622940000000002</v>
      </c>
      <c r="K461" s="3">
        <v>0.35082439999999998</v>
      </c>
      <c r="L461" s="3">
        <v>0.2091228</v>
      </c>
    </row>
    <row r="462" spans="1:12" x14ac:dyDescent="0.25">
      <c r="A462" t="s">
        <v>12789</v>
      </c>
      <c r="B462" t="s">
        <v>957</v>
      </c>
      <c r="I462" t="s">
        <v>1059</v>
      </c>
      <c r="J462" s="3">
        <v>-0.1720768</v>
      </c>
      <c r="K462" s="3">
        <v>-0.26296580000000003</v>
      </c>
      <c r="L462" s="3">
        <v>0.19225690000000001</v>
      </c>
    </row>
    <row r="463" spans="1:12" x14ac:dyDescent="0.25">
      <c r="A463" t="s">
        <v>12788</v>
      </c>
      <c r="B463" t="s">
        <v>957</v>
      </c>
      <c r="I463" t="s">
        <v>823</v>
      </c>
      <c r="J463" s="3">
        <v>-0.51795829999999998</v>
      </c>
      <c r="K463" s="3">
        <v>-0.68436830000000004</v>
      </c>
      <c r="L463" s="3">
        <v>-0.47133029999999998</v>
      </c>
    </row>
    <row r="464" spans="1:12" x14ac:dyDescent="0.25">
      <c r="A464" t="s">
        <v>12785</v>
      </c>
      <c r="B464" t="s">
        <v>12786</v>
      </c>
      <c r="I464" t="s">
        <v>12787</v>
      </c>
      <c r="J464" s="3">
        <v>-7.7498410000000004E-3</v>
      </c>
      <c r="K464" s="3">
        <v>0.1172527</v>
      </c>
      <c r="L464" s="3">
        <v>0.1150605</v>
      </c>
    </row>
    <row r="465" spans="1:12" x14ac:dyDescent="0.25">
      <c r="A465" t="s">
        <v>12782</v>
      </c>
      <c r="B465" t="s">
        <v>12783</v>
      </c>
      <c r="I465" t="s">
        <v>12784</v>
      </c>
      <c r="J465" s="3">
        <v>-0.6222261</v>
      </c>
      <c r="K465" s="3">
        <v>-1.058948</v>
      </c>
      <c r="L465" s="3">
        <v>-0.1223513</v>
      </c>
    </row>
    <row r="466" spans="1:12" x14ac:dyDescent="0.25">
      <c r="A466" t="s">
        <v>12779</v>
      </c>
      <c r="B466" t="s">
        <v>12780</v>
      </c>
      <c r="I466" t="s">
        <v>12781</v>
      </c>
      <c r="J466" s="3">
        <v>0.43694070000000002</v>
      </c>
      <c r="K466" s="3">
        <v>0.71235360000000003</v>
      </c>
      <c r="L466" s="3">
        <v>0.57546070000000005</v>
      </c>
    </row>
    <row r="467" spans="1:12" x14ac:dyDescent="0.25">
      <c r="A467" t="s">
        <v>12776</v>
      </c>
      <c r="B467" t="s">
        <v>12777</v>
      </c>
      <c r="I467" t="s">
        <v>12778</v>
      </c>
      <c r="J467" s="3">
        <v>0.13846359999999999</v>
      </c>
      <c r="K467" s="3">
        <v>0.12804840000000001</v>
      </c>
      <c r="L467" s="3">
        <v>0.2150772</v>
      </c>
    </row>
    <row r="468" spans="1:12" x14ac:dyDescent="0.25">
      <c r="A468" t="s">
        <v>12774</v>
      </c>
      <c r="B468" t="s">
        <v>12775</v>
      </c>
      <c r="I468" t="s">
        <v>593</v>
      </c>
      <c r="J468" s="3">
        <v>-1.122185</v>
      </c>
      <c r="K468" s="3">
        <v>-1.313307</v>
      </c>
      <c r="L468" s="3">
        <v>-0.67068309999999998</v>
      </c>
    </row>
    <row r="469" spans="1:12" x14ac:dyDescent="0.25">
      <c r="A469" t="s">
        <v>12773</v>
      </c>
      <c r="B469" t="s">
        <v>957</v>
      </c>
      <c r="I469" t="s">
        <v>823</v>
      </c>
      <c r="J469" s="3">
        <v>0.24974199999999999</v>
      </c>
      <c r="K469" s="3">
        <v>0.28957709999999998</v>
      </c>
      <c r="L469" s="3">
        <v>0.18500130000000001</v>
      </c>
    </row>
    <row r="470" spans="1:12" x14ac:dyDescent="0.25">
      <c r="A470" t="s">
        <v>12772</v>
      </c>
      <c r="B470" t="s">
        <v>957</v>
      </c>
      <c r="I470" t="s">
        <v>455</v>
      </c>
      <c r="J470" s="3">
        <v>0.4469825</v>
      </c>
      <c r="K470" s="3">
        <v>0.52891929999999998</v>
      </c>
      <c r="L470" s="3">
        <v>0.28171010000000002</v>
      </c>
    </row>
    <row r="471" spans="1:12" x14ac:dyDescent="0.25">
      <c r="A471" t="s">
        <v>12771</v>
      </c>
      <c r="B471" t="s">
        <v>957</v>
      </c>
      <c r="I471" t="s">
        <v>1059</v>
      </c>
      <c r="J471" s="3">
        <v>-4.646202E-2</v>
      </c>
      <c r="K471" s="3">
        <v>-1.6085760000000001E-2</v>
      </c>
      <c r="L471" s="3">
        <v>-6.1846909999999998E-2</v>
      </c>
    </row>
    <row r="472" spans="1:12" x14ac:dyDescent="0.25">
      <c r="A472" t="s">
        <v>12768</v>
      </c>
      <c r="B472" t="s">
        <v>12769</v>
      </c>
      <c r="I472" t="s">
        <v>12770</v>
      </c>
      <c r="J472" s="3">
        <v>-0.57875330000000003</v>
      </c>
      <c r="K472" s="3">
        <v>-0.7582797</v>
      </c>
      <c r="L472" s="3">
        <v>-0.35032029999999997</v>
      </c>
    </row>
    <row r="473" spans="1:12" x14ac:dyDescent="0.25">
      <c r="A473" t="s">
        <v>12766</v>
      </c>
      <c r="B473" t="s">
        <v>12767</v>
      </c>
      <c r="I473" t="s">
        <v>4494</v>
      </c>
      <c r="J473" s="3">
        <v>0.22115319999999999</v>
      </c>
      <c r="K473" s="3">
        <v>-0.34135460000000001</v>
      </c>
      <c r="L473" s="3">
        <v>0.31930069999999999</v>
      </c>
    </row>
    <row r="474" spans="1:12" x14ac:dyDescent="0.25">
      <c r="A474" t="s">
        <v>12763</v>
      </c>
      <c r="B474" t="s">
        <v>12764</v>
      </c>
      <c r="I474" t="s">
        <v>12765</v>
      </c>
      <c r="J474" s="3">
        <v>4.5193249999999997E-2</v>
      </c>
      <c r="K474" s="3">
        <v>0.14395810000000001</v>
      </c>
      <c r="L474" s="3">
        <v>-0.1735961</v>
      </c>
    </row>
    <row r="475" spans="1:12" x14ac:dyDescent="0.25">
      <c r="A475" t="s">
        <v>13188</v>
      </c>
      <c r="B475" t="s">
        <v>13189</v>
      </c>
      <c r="I475" t="s">
        <v>12762</v>
      </c>
      <c r="J475" s="3">
        <v>0.39237149999999998</v>
      </c>
      <c r="K475" s="3">
        <v>-0.5326573</v>
      </c>
      <c r="L475" s="3">
        <v>0.42077300000000001</v>
      </c>
    </row>
    <row r="476" spans="1:12" x14ac:dyDescent="0.25">
      <c r="A476" t="s">
        <v>13185</v>
      </c>
      <c r="B476" t="s">
        <v>13186</v>
      </c>
      <c r="I476" t="s">
        <v>13187</v>
      </c>
      <c r="J476" s="3">
        <v>0.11847249999999999</v>
      </c>
      <c r="K476" s="3">
        <v>-0.17375299999999999</v>
      </c>
      <c r="L476" s="3">
        <v>9.7576200000000002E-2</v>
      </c>
    </row>
    <row r="477" spans="1:12" x14ac:dyDescent="0.25">
      <c r="A477" t="s">
        <v>13182</v>
      </c>
      <c r="B477" t="s">
        <v>13183</v>
      </c>
      <c r="I477" t="s">
        <v>13184</v>
      </c>
      <c r="J477" s="3">
        <v>3.3318090000000002E-2</v>
      </c>
      <c r="K477" s="3">
        <v>-0.34524080000000001</v>
      </c>
      <c r="L477" s="3">
        <v>0.65364860000000002</v>
      </c>
    </row>
    <row r="478" spans="1:12" x14ac:dyDescent="0.25">
      <c r="A478" t="s">
        <v>13179</v>
      </c>
      <c r="B478" t="s">
        <v>13180</v>
      </c>
      <c r="I478" t="s">
        <v>13181</v>
      </c>
      <c r="J478" s="3">
        <v>-0.1798582</v>
      </c>
      <c r="K478" s="3">
        <v>-0.98097440000000002</v>
      </c>
      <c r="L478" s="3">
        <v>-0.1764039</v>
      </c>
    </row>
    <row r="479" spans="1:12" x14ac:dyDescent="0.25">
      <c r="A479" t="s">
        <v>13178</v>
      </c>
      <c r="B479" t="s">
        <v>957</v>
      </c>
      <c r="I479" t="s">
        <v>455</v>
      </c>
      <c r="J479" s="3">
        <v>0.28101399999999999</v>
      </c>
      <c r="K479" s="3">
        <v>0.24450720000000001</v>
      </c>
      <c r="L479" s="3">
        <v>0.25702770000000003</v>
      </c>
    </row>
    <row r="480" spans="1:12" x14ac:dyDescent="0.25">
      <c r="A480" t="s">
        <v>13177</v>
      </c>
      <c r="B480" t="s">
        <v>957</v>
      </c>
      <c r="I480" t="s">
        <v>455</v>
      </c>
      <c r="J480" s="3">
        <v>-0.157335</v>
      </c>
      <c r="K480" s="3">
        <v>-0.43317600000000001</v>
      </c>
      <c r="L480" s="3">
        <v>-0.22588929999999999</v>
      </c>
    </row>
    <row r="481" spans="1:12" x14ac:dyDescent="0.25">
      <c r="A481" t="s">
        <v>13175</v>
      </c>
      <c r="B481" t="s">
        <v>13176</v>
      </c>
      <c r="I481" t="s">
        <v>593</v>
      </c>
      <c r="J481" s="3">
        <v>-0.78320100000000004</v>
      </c>
      <c r="K481" s="3">
        <v>-1.141294</v>
      </c>
      <c r="L481" s="3">
        <v>-0.71793439999999997</v>
      </c>
    </row>
    <row r="482" spans="1:12" x14ac:dyDescent="0.25">
      <c r="A482" t="s">
        <v>13172</v>
      </c>
      <c r="B482" t="s">
        <v>13173</v>
      </c>
      <c r="I482" t="s">
        <v>13174</v>
      </c>
      <c r="J482" s="3">
        <v>7.56579E-2</v>
      </c>
      <c r="K482" s="3">
        <v>0.40498319999999999</v>
      </c>
      <c r="L482" s="3">
        <v>8.9653120000000003E-2</v>
      </c>
    </row>
    <row r="483" spans="1:12" x14ac:dyDescent="0.25">
      <c r="A483" t="s">
        <v>13171</v>
      </c>
      <c r="B483" t="s">
        <v>957</v>
      </c>
      <c r="I483" t="s">
        <v>455</v>
      </c>
      <c r="J483" s="3">
        <v>-1.7493249999999998E-2</v>
      </c>
      <c r="K483" s="3">
        <v>0.42239700000000002</v>
      </c>
      <c r="L483" s="3">
        <v>-5.1232090000000001E-2</v>
      </c>
    </row>
    <row r="484" spans="1:12" x14ac:dyDescent="0.25">
      <c r="A484" t="s">
        <v>13170</v>
      </c>
      <c r="B484" t="s">
        <v>957</v>
      </c>
      <c r="I484" t="s">
        <v>455</v>
      </c>
      <c r="J484" s="3">
        <v>0.71968929999999998</v>
      </c>
      <c r="K484" s="3">
        <v>1.120886</v>
      </c>
      <c r="L484" s="3">
        <v>1.148847</v>
      </c>
    </row>
    <row r="485" spans="1:12" x14ac:dyDescent="0.25">
      <c r="A485" t="s">
        <v>13167</v>
      </c>
      <c r="B485" t="s">
        <v>13168</v>
      </c>
      <c r="I485" t="s">
        <v>13169</v>
      </c>
      <c r="J485" s="3">
        <v>0.20602429999999999</v>
      </c>
      <c r="K485" s="3">
        <v>0.37834420000000002</v>
      </c>
      <c r="L485" s="3">
        <v>0.3129461</v>
      </c>
    </row>
    <row r="486" spans="1:12" x14ac:dyDescent="0.25">
      <c r="A486" t="s">
        <v>13165</v>
      </c>
      <c r="B486" t="s">
        <v>957</v>
      </c>
      <c r="I486" t="s">
        <v>13166</v>
      </c>
      <c r="J486" s="3">
        <v>5.5645399999999998E-2</v>
      </c>
      <c r="K486" s="3">
        <v>0.13854830000000001</v>
      </c>
      <c r="L486" s="3">
        <v>9.9896600000000002E-2</v>
      </c>
    </row>
    <row r="487" spans="1:12" x14ac:dyDescent="0.25">
      <c r="A487" t="s">
        <v>13162</v>
      </c>
      <c r="B487" t="s">
        <v>13163</v>
      </c>
      <c r="I487" t="s">
        <v>13164</v>
      </c>
      <c r="J487" s="3">
        <v>-0.45182919999999999</v>
      </c>
      <c r="K487" s="3">
        <v>-0.69157740000000001</v>
      </c>
      <c r="L487" s="3">
        <v>-0.36299680000000001</v>
      </c>
    </row>
    <row r="488" spans="1:12" x14ac:dyDescent="0.25">
      <c r="A488" t="s">
        <v>13159</v>
      </c>
      <c r="B488" t="s">
        <v>13160</v>
      </c>
      <c r="I488" t="s">
        <v>13161</v>
      </c>
      <c r="J488" s="3">
        <v>0.20122580000000001</v>
      </c>
      <c r="K488" s="3">
        <v>-3.4320799999999999E-2</v>
      </c>
      <c r="L488" s="3">
        <v>0.24085770000000001</v>
      </c>
    </row>
    <row r="489" spans="1:12" x14ac:dyDescent="0.25">
      <c r="A489" t="s">
        <v>13156</v>
      </c>
      <c r="B489" t="s">
        <v>13157</v>
      </c>
      <c r="I489" t="s">
        <v>13158</v>
      </c>
      <c r="J489" s="3">
        <v>-0.37124239999999997</v>
      </c>
      <c r="K489" s="3">
        <v>-0.94683090000000003</v>
      </c>
      <c r="L489" s="3">
        <v>-0.519621</v>
      </c>
    </row>
    <row r="490" spans="1:12" x14ac:dyDescent="0.25">
      <c r="A490" t="s">
        <v>13153</v>
      </c>
      <c r="B490" t="s">
        <v>13154</v>
      </c>
      <c r="I490" t="s">
        <v>13155</v>
      </c>
      <c r="J490" s="3">
        <v>0.117784</v>
      </c>
      <c r="K490" s="3">
        <v>0.51298960000000005</v>
      </c>
      <c r="L490" s="3">
        <v>0.21403730000000001</v>
      </c>
    </row>
    <row r="491" spans="1:12" x14ac:dyDescent="0.25">
      <c r="A491" t="s">
        <v>13151</v>
      </c>
      <c r="B491" t="s">
        <v>13152</v>
      </c>
      <c r="I491" t="s">
        <v>4446</v>
      </c>
      <c r="J491" s="3">
        <v>-2.485494E-3</v>
      </c>
      <c r="K491" s="3">
        <v>0.43184289999999997</v>
      </c>
      <c r="L491" s="3">
        <v>6.163544E-3</v>
      </c>
    </row>
    <row r="492" spans="1:12" x14ac:dyDescent="0.25">
      <c r="A492" t="s">
        <v>13149</v>
      </c>
      <c r="B492" t="s">
        <v>13150</v>
      </c>
      <c r="I492" t="s">
        <v>4894</v>
      </c>
      <c r="J492" s="3">
        <v>0.89219119999999996</v>
      </c>
      <c r="K492" s="3">
        <v>3.406072</v>
      </c>
      <c r="L492" s="3">
        <v>1.5704750000000001</v>
      </c>
    </row>
    <row r="493" spans="1:12" x14ac:dyDescent="0.25">
      <c r="A493" t="s">
        <v>13146</v>
      </c>
      <c r="B493" t="s">
        <v>13147</v>
      </c>
      <c r="I493" t="s">
        <v>13148</v>
      </c>
      <c r="J493" s="3">
        <v>0.90880510000000003</v>
      </c>
      <c r="K493" s="3">
        <v>1.031963</v>
      </c>
      <c r="L493" s="3">
        <v>0.95036980000000004</v>
      </c>
    </row>
    <row r="494" spans="1:12" x14ac:dyDescent="0.25">
      <c r="A494" t="s">
        <v>13143</v>
      </c>
      <c r="B494" t="s">
        <v>13144</v>
      </c>
      <c r="I494" t="s">
        <v>13145</v>
      </c>
      <c r="J494" s="3">
        <v>-0.29316179999999997</v>
      </c>
      <c r="K494" s="3">
        <v>-0.72472360000000002</v>
      </c>
      <c r="L494" s="3">
        <v>0.45107580000000003</v>
      </c>
    </row>
    <row r="495" spans="1:12" x14ac:dyDescent="0.25">
      <c r="A495" t="s">
        <v>13142</v>
      </c>
      <c r="B495" t="s">
        <v>957</v>
      </c>
      <c r="I495" t="s">
        <v>453</v>
      </c>
      <c r="J495" s="3">
        <v>-0.23165830000000001</v>
      </c>
      <c r="K495" s="3">
        <v>7.8179380000000007E-2</v>
      </c>
      <c r="L495" s="3">
        <v>-7.4451879999999998E-2</v>
      </c>
    </row>
    <row r="496" spans="1:12" x14ac:dyDescent="0.25">
      <c r="A496" t="s">
        <v>13139</v>
      </c>
      <c r="B496" t="s">
        <v>13140</v>
      </c>
      <c r="I496" t="s">
        <v>13141</v>
      </c>
      <c r="J496" s="3">
        <v>-0.57109270000000001</v>
      </c>
      <c r="K496" s="3">
        <v>-0.6203381</v>
      </c>
      <c r="L496" s="3">
        <v>-0.5776519</v>
      </c>
    </row>
    <row r="497" spans="1:12" x14ac:dyDescent="0.25">
      <c r="A497" t="s">
        <v>13136</v>
      </c>
      <c r="B497" t="s">
        <v>13137</v>
      </c>
      <c r="I497" t="s">
        <v>13138</v>
      </c>
      <c r="J497" s="3">
        <v>-0.25826660000000001</v>
      </c>
      <c r="K497" s="3">
        <v>3.8841109999999998E-2</v>
      </c>
      <c r="L497" s="3">
        <v>-0.36376229999999998</v>
      </c>
    </row>
    <row r="498" spans="1:12" x14ac:dyDescent="0.25">
      <c r="A498" t="s">
        <v>13135</v>
      </c>
      <c r="B498" t="s">
        <v>957</v>
      </c>
      <c r="I498" t="s">
        <v>453</v>
      </c>
      <c r="J498" s="3">
        <v>9.7959669999999999E-2</v>
      </c>
      <c r="K498" s="3">
        <v>2.6403309999999999E-2</v>
      </c>
      <c r="L498" s="3">
        <v>-0.25986609999999999</v>
      </c>
    </row>
    <row r="499" spans="1:12" x14ac:dyDescent="0.25">
      <c r="A499" t="s">
        <v>13133</v>
      </c>
      <c r="B499" t="s">
        <v>14122</v>
      </c>
      <c r="C499" t="s">
        <v>14123</v>
      </c>
      <c r="I499" t="s">
        <v>13134</v>
      </c>
      <c r="J499" s="3">
        <v>-0.16375239999999999</v>
      </c>
      <c r="K499" s="3">
        <v>0.40740470000000001</v>
      </c>
      <c r="L499" s="3">
        <v>0.16539490000000001</v>
      </c>
    </row>
    <row r="500" spans="1:12" x14ac:dyDescent="0.25">
      <c r="A500" t="s">
        <v>13132</v>
      </c>
      <c r="B500" t="s">
        <v>14086</v>
      </c>
      <c r="C500" t="s">
        <v>14087</v>
      </c>
      <c r="D500" t="s">
        <v>14088</v>
      </c>
      <c r="E500" t="s">
        <v>14089</v>
      </c>
      <c r="F500" t="s">
        <v>14090</v>
      </c>
      <c r="I500" t="s">
        <v>5044</v>
      </c>
      <c r="J500" s="3">
        <v>-0.34082990000000002</v>
      </c>
      <c r="K500" s="3">
        <v>0.77416240000000003</v>
      </c>
      <c r="L500" s="3">
        <v>0.22247140000000001</v>
      </c>
    </row>
    <row r="501" spans="1:12" x14ac:dyDescent="0.25">
      <c r="A501" t="s">
        <v>13130</v>
      </c>
      <c r="B501" t="s">
        <v>14124</v>
      </c>
      <c r="C501" t="s">
        <v>14125</v>
      </c>
      <c r="I501" t="s">
        <v>13131</v>
      </c>
      <c r="J501" s="3">
        <v>-0.47281010000000001</v>
      </c>
      <c r="K501" s="3">
        <v>0.45952179999999998</v>
      </c>
      <c r="L501" s="3">
        <v>0.39071139999999999</v>
      </c>
    </row>
    <row r="502" spans="1:12" x14ac:dyDescent="0.25">
      <c r="A502" t="s">
        <v>13127</v>
      </c>
      <c r="B502" t="s">
        <v>13128</v>
      </c>
      <c r="I502" t="s">
        <v>13129</v>
      </c>
      <c r="J502" s="3">
        <v>0.6140274</v>
      </c>
      <c r="K502" s="3">
        <v>0.61326619999999998</v>
      </c>
      <c r="L502" s="3">
        <v>0.68031319999999995</v>
      </c>
    </row>
    <row r="503" spans="1:12" x14ac:dyDescent="0.25">
      <c r="A503" t="s">
        <v>13126</v>
      </c>
      <c r="B503" t="s">
        <v>957</v>
      </c>
      <c r="I503" t="s">
        <v>455</v>
      </c>
      <c r="J503" s="3">
        <v>-0.44850420000000002</v>
      </c>
      <c r="K503" s="3">
        <v>9.1899229999999998E-2</v>
      </c>
      <c r="L503" s="3">
        <v>-0.17351469999999999</v>
      </c>
    </row>
    <row r="504" spans="1:12" x14ac:dyDescent="0.25">
      <c r="A504" t="s">
        <v>13125</v>
      </c>
      <c r="B504" t="s">
        <v>957</v>
      </c>
      <c r="I504" t="s">
        <v>1973</v>
      </c>
      <c r="J504" s="3">
        <v>-0.1649775</v>
      </c>
      <c r="K504" s="3">
        <v>-2.944952E-2</v>
      </c>
      <c r="L504" s="3">
        <v>-8.8001880000000005E-2</v>
      </c>
    </row>
    <row r="505" spans="1:12" x14ac:dyDescent="0.25">
      <c r="A505" t="s">
        <v>13124</v>
      </c>
      <c r="B505" t="s">
        <v>957</v>
      </c>
      <c r="I505" t="s">
        <v>455</v>
      </c>
      <c r="J505" s="3">
        <v>-0.1890462</v>
      </c>
      <c r="K505" s="3">
        <v>0.35967749999999998</v>
      </c>
      <c r="L505" s="3">
        <v>-6.2167840000000002E-2</v>
      </c>
    </row>
    <row r="506" spans="1:12" x14ac:dyDescent="0.25">
      <c r="A506" t="s">
        <v>13121</v>
      </c>
      <c r="B506" t="s">
        <v>13122</v>
      </c>
      <c r="I506" t="s">
        <v>13123</v>
      </c>
      <c r="J506" s="3">
        <v>0.1650211</v>
      </c>
      <c r="K506" s="3">
        <v>0.26513100000000001</v>
      </c>
      <c r="L506" s="3">
        <v>3.0431239999999998E-2</v>
      </c>
    </row>
    <row r="507" spans="1:12" x14ac:dyDescent="0.25">
      <c r="A507" t="s">
        <v>12976</v>
      </c>
      <c r="B507" t="s">
        <v>957</v>
      </c>
      <c r="I507" t="s">
        <v>455</v>
      </c>
      <c r="J507" s="3">
        <v>-0.13745199999999999</v>
      </c>
      <c r="K507" s="3">
        <v>0.3590932</v>
      </c>
      <c r="L507" s="3">
        <v>-5.6060550000000001E-2</v>
      </c>
    </row>
    <row r="508" spans="1:12" x14ac:dyDescent="0.25">
      <c r="A508" t="s">
        <v>12973</v>
      </c>
      <c r="B508" t="s">
        <v>12974</v>
      </c>
      <c r="I508" t="s">
        <v>12975</v>
      </c>
      <c r="J508" s="3">
        <v>-0.1108538</v>
      </c>
      <c r="K508" s="3">
        <v>-8.1971539999999996E-2</v>
      </c>
      <c r="L508" s="3">
        <v>0.11262709999999999</v>
      </c>
    </row>
    <row r="509" spans="1:12" x14ac:dyDescent="0.25">
      <c r="A509" t="s">
        <v>12970</v>
      </c>
      <c r="B509" t="s">
        <v>12971</v>
      </c>
      <c r="I509" t="s">
        <v>12972</v>
      </c>
      <c r="J509" s="3">
        <v>-0.22030530000000001</v>
      </c>
      <c r="K509" s="3">
        <v>0.11500929999999999</v>
      </c>
      <c r="L509" s="3">
        <v>0.182563</v>
      </c>
    </row>
    <row r="510" spans="1:12" x14ac:dyDescent="0.25">
      <c r="A510" t="s">
        <v>12967</v>
      </c>
      <c r="B510" t="s">
        <v>12968</v>
      </c>
      <c r="I510" t="s">
        <v>12969</v>
      </c>
      <c r="J510" s="3">
        <v>3.8326810000000003E-2</v>
      </c>
      <c r="K510" s="3">
        <v>0.11479060000000001</v>
      </c>
      <c r="L510" s="3">
        <v>-8.9575550000000004E-2</v>
      </c>
    </row>
    <row r="511" spans="1:12" x14ac:dyDescent="0.25">
      <c r="A511" t="s">
        <v>12964</v>
      </c>
      <c r="B511" t="s">
        <v>12965</v>
      </c>
      <c r="I511" t="s">
        <v>12966</v>
      </c>
      <c r="J511" s="3">
        <v>-0.28666249999999999</v>
      </c>
      <c r="K511" s="3">
        <v>-0.42020190000000002</v>
      </c>
      <c r="L511" s="3">
        <v>-0.19220619999999999</v>
      </c>
    </row>
    <row r="512" spans="1:12" x14ac:dyDescent="0.25">
      <c r="A512" t="s">
        <v>12961</v>
      </c>
      <c r="B512" t="s">
        <v>12962</v>
      </c>
      <c r="I512" t="s">
        <v>12963</v>
      </c>
      <c r="J512" s="3">
        <v>-0.39462520000000001</v>
      </c>
      <c r="K512" s="3">
        <v>-0.60460230000000004</v>
      </c>
      <c r="L512" s="3">
        <v>-0.2045004</v>
      </c>
    </row>
    <row r="513" spans="1:12" x14ac:dyDescent="0.25">
      <c r="A513" t="s">
        <v>12959</v>
      </c>
      <c r="B513" t="s">
        <v>957</v>
      </c>
      <c r="I513" t="s">
        <v>12960</v>
      </c>
      <c r="J513" s="3">
        <v>0.70303110000000002</v>
      </c>
      <c r="K513" s="3">
        <v>0.86979499999999998</v>
      </c>
      <c r="L513" s="3">
        <v>0.55366550000000003</v>
      </c>
    </row>
    <row r="514" spans="1:12" x14ac:dyDescent="0.25">
      <c r="A514" t="s">
        <v>12956</v>
      </c>
      <c r="B514" t="s">
        <v>12957</v>
      </c>
      <c r="I514" t="s">
        <v>12958</v>
      </c>
      <c r="J514" s="3">
        <v>-0.1032949</v>
      </c>
      <c r="K514" s="3">
        <v>-0.35591590000000001</v>
      </c>
      <c r="L514" s="3">
        <v>5.8486139999999999E-2</v>
      </c>
    </row>
    <row r="515" spans="1:12" x14ac:dyDescent="0.25">
      <c r="A515" t="s">
        <v>12953</v>
      </c>
      <c r="B515" t="s">
        <v>12954</v>
      </c>
      <c r="I515" t="s">
        <v>12955</v>
      </c>
      <c r="J515" s="3">
        <v>-0.36999939999999998</v>
      </c>
      <c r="K515" s="3">
        <v>-0.63912449999999998</v>
      </c>
      <c r="L515" s="3">
        <v>-0.24825939999999999</v>
      </c>
    </row>
    <row r="516" spans="1:12" x14ac:dyDescent="0.25">
      <c r="A516" t="s">
        <v>12950</v>
      </c>
      <c r="B516" t="s">
        <v>12951</v>
      </c>
      <c r="I516" t="s">
        <v>12952</v>
      </c>
      <c r="J516" s="3">
        <v>0.1703364</v>
      </c>
      <c r="K516" s="3">
        <v>1.1107880000000001</v>
      </c>
      <c r="L516" s="3">
        <v>0.14156299999999999</v>
      </c>
    </row>
    <row r="517" spans="1:12" x14ac:dyDescent="0.25">
      <c r="A517" t="s">
        <v>12947</v>
      </c>
      <c r="B517" t="s">
        <v>12948</v>
      </c>
      <c r="I517" t="s">
        <v>12949</v>
      </c>
      <c r="J517" s="3">
        <v>0.68676470000000001</v>
      </c>
      <c r="K517" s="3">
        <v>0.85611000000000004</v>
      </c>
      <c r="L517" s="3">
        <v>0.57579559999999996</v>
      </c>
    </row>
    <row r="518" spans="1:12" x14ac:dyDescent="0.25">
      <c r="A518" t="s">
        <v>12946</v>
      </c>
      <c r="B518" t="s">
        <v>957</v>
      </c>
      <c r="I518" t="s">
        <v>455</v>
      </c>
      <c r="J518" s="3">
        <v>-1.0215080000000001</v>
      </c>
      <c r="K518" s="3">
        <v>-0.62365499999999996</v>
      </c>
      <c r="L518" s="3">
        <v>-8.0674399999999993E-2</v>
      </c>
    </row>
    <row r="519" spans="1:12" x14ac:dyDescent="0.25">
      <c r="A519" t="s">
        <v>12943</v>
      </c>
      <c r="B519" t="s">
        <v>12944</v>
      </c>
      <c r="I519" t="s">
        <v>12945</v>
      </c>
      <c r="J519" s="3">
        <v>-0.84594060000000004</v>
      </c>
      <c r="K519" s="3">
        <v>-1.3152619999999999</v>
      </c>
      <c r="L519" s="3">
        <v>-0.353547</v>
      </c>
    </row>
    <row r="520" spans="1:12" x14ac:dyDescent="0.25">
      <c r="A520" t="s">
        <v>12940</v>
      </c>
      <c r="B520" t="s">
        <v>12941</v>
      </c>
      <c r="I520" t="s">
        <v>12942</v>
      </c>
      <c r="J520" s="3">
        <v>5.7922660000000001E-2</v>
      </c>
      <c r="K520" s="3">
        <v>-0.57243469999999996</v>
      </c>
      <c r="L520" s="3">
        <v>-1.8110089999999999E-3</v>
      </c>
    </row>
    <row r="521" spans="1:12" x14ac:dyDescent="0.25">
      <c r="A521" t="s">
        <v>12937</v>
      </c>
      <c r="B521" t="s">
        <v>12938</v>
      </c>
      <c r="I521" t="s">
        <v>12939</v>
      </c>
      <c r="J521" s="3">
        <v>-1.059121</v>
      </c>
      <c r="K521" s="3">
        <v>0.26566909999999999</v>
      </c>
      <c r="L521" s="3">
        <v>-0.1206105</v>
      </c>
    </row>
    <row r="522" spans="1:12" x14ac:dyDescent="0.25">
      <c r="A522" t="s">
        <v>12936</v>
      </c>
      <c r="B522" t="s">
        <v>957</v>
      </c>
      <c r="I522" t="s">
        <v>455</v>
      </c>
      <c r="J522" s="3">
        <v>0.46063359999999998</v>
      </c>
      <c r="K522" s="3">
        <v>1.003512</v>
      </c>
      <c r="L522" s="3">
        <v>0.57261819999999997</v>
      </c>
    </row>
    <row r="523" spans="1:12" x14ac:dyDescent="0.25">
      <c r="A523" t="s">
        <v>12933</v>
      </c>
      <c r="B523" t="s">
        <v>12934</v>
      </c>
      <c r="I523" t="s">
        <v>12935</v>
      </c>
      <c r="J523" s="3">
        <v>-0.1095004</v>
      </c>
      <c r="K523" s="3">
        <v>8.5776489999999997E-2</v>
      </c>
      <c r="L523" s="3">
        <v>-5.1844700000000001E-3</v>
      </c>
    </row>
    <row r="524" spans="1:12" x14ac:dyDescent="0.25">
      <c r="A524" t="s">
        <v>12930</v>
      </c>
      <c r="B524" t="s">
        <v>12931</v>
      </c>
      <c r="I524" t="s">
        <v>12932</v>
      </c>
      <c r="J524" s="3">
        <v>-0.1038506</v>
      </c>
      <c r="K524" s="3">
        <v>-0.49285849999999998</v>
      </c>
      <c r="L524" s="3">
        <v>-0.1680411</v>
      </c>
    </row>
    <row r="525" spans="1:12" x14ac:dyDescent="0.25">
      <c r="A525" t="s">
        <v>12927</v>
      </c>
      <c r="B525" t="s">
        <v>12928</v>
      </c>
      <c r="I525" t="s">
        <v>12929</v>
      </c>
      <c r="J525" s="3">
        <v>0.12366870000000001</v>
      </c>
      <c r="K525" s="3">
        <v>-0.60699040000000004</v>
      </c>
      <c r="L525" s="3">
        <v>0.13069</v>
      </c>
    </row>
    <row r="526" spans="1:12" x14ac:dyDescent="0.25">
      <c r="A526" t="s">
        <v>12924</v>
      </c>
      <c r="B526" t="s">
        <v>12925</v>
      </c>
      <c r="I526" t="s">
        <v>12926</v>
      </c>
      <c r="J526" s="3">
        <v>-8.6043069999999999E-2</v>
      </c>
      <c r="K526" s="3">
        <v>-0.48741659999999998</v>
      </c>
      <c r="L526" s="3">
        <v>-0.47029409999999999</v>
      </c>
    </row>
    <row r="527" spans="1:12" x14ac:dyDescent="0.25">
      <c r="A527" t="s">
        <v>11731</v>
      </c>
      <c r="B527" t="s">
        <v>11732</v>
      </c>
      <c r="I527" t="s">
        <v>12923</v>
      </c>
      <c r="J527" s="3">
        <v>0.1031871</v>
      </c>
      <c r="K527" s="3">
        <v>-0.4868613</v>
      </c>
      <c r="L527" s="3">
        <v>-0.15392210000000001</v>
      </c>
    </row>
    <row r="528" spans="1:12" x14ac:dyDescent="0.25">
      <c r="A528" t="s">
        <v>11728</v>
      </c>
      <c r="B528" t="s">
        <v>11729</v>
      </c>
      <c r="I528" t="s">
        <v>11730</v>
      </c>
      <c r="J528" s="3">
        <v>-1.6222279999999999E-2</v>
      </c>
      <c r="K528" s="3">
        <v>-0.62968259999999998</v>
      </c>
      <c r="L528" s="3">
        <v>0.2289929</v>
      </c>
    </row>
    <row r="529" spans="1:12" x14ac:dyDescent="0.25">
      <c r="A529" t="s">
        <v>11727</v>
      </c>
      <c r="B529" t="s">
        <v>957</v>
      </c>
      <c r="I529" t="s">
        <v>455</v>
      </c>
      <c r="J529" s="3">
        <v>0.4109312</v>
      </c>
      <c r="K529" s="3">
        <v>0.42090860000000002</v>
      </c>
      <c r="L529" s="3">
        <v>0.48990790000000001</v>
      </c>
    </row>
    <row r="530" spans="1:12" x14ac:dyDescent="0.25">
      <c r="A530" t="s">
        <v>11724</v>
      </c>
      <c r="B530" t="s">
        <v>11725</v>
      </c>
      <c r="I530" t="s">
        <v>11726</v>
      </c>
      <c r="J530" s="3">
        <v>0.2587045</v>
      </c>
      <c r="K530" s="3">
        <v>-5.4907989999999997E-2</v>
      </c>
      <c r="L530" s="3">
        <v>0.45829409999999998</v>
      </c>
    </row>
    <row r="531" spans="1:12" x14ac:dyDescent="0.25">
      <c r="A531" t="s">
        <v>11721</v>
      </c>
      <c r="B531" t="s">
        <v>11722</v>
      </c>
      <c r="I531" t="s">
        <v>11723</v>
      </c>
      <c r="J531" s="3">
        <v>-9.2645569999999997E-2</v>
      </c>
      <c r="K531" s="3">
        <v>-9.6792509999999998E-2</v>
      </c>
      <c r="L531" s="3">
        <v>8.3397579999999999E-2</v>
      </c>
    </row>
    <row r="532" spans="1:12" x14ac:dyDescent="0.25">
      <c r="A532" t="s">
        <v>11718</v>
      </c>
      <c r="B532" t="s">
        <v>11719</v>
      </c>
      <c r="I532" t="s">
        <v>11720</v>
      </c>
      <c r="J532" s="3">
        <v>-0.29688999999999999</v>
      </c>
      <c r="K532" s="3">
        <v>0.29364889999999999</v>
      </c>
      <c r="L532" s="3">
        <v>0.17848049999999999</v>
      </c>
    </row>
    <row r="533" spans="1:12" x14ac:dyDescent="0.25">
      <c r="A533" t="s">
        <v>12695</v>
      </c>
      <c r="B533" t="s">
        <v>12696</v>
      </c>
      <c r="I533" t="s">
        <v>11717</v>
      </c>
      <c r="J533" s="3">
        <v>1.512819E-2</v>
      </c>
      <c r="K533" s="3">
        <v>0.96609279999999997</v>
      </c>
      <c r="L533" s="3">
        <v>7.661917E-2</v>
      </c>
    </row>
    <row r="534" spans="1:12" x14ac:dyDescent="0.25">
      <c r="A534" t="s">
        <v>13606</v>
      </c>
      <c r="B534" t="s">
        <v>13607</v>
      </c>
      <c r="I534" t="s">
        <v>12694</v>
      </c>
      <c r="J534" s="3">
        <v>0.38665290000000002</v>
      </c>
      <c r="K534" s="3">
        <v>0.55059199999999997</v>
      </c>
      <c r="L534" s="3">
        <v>0.22054879999999999</v>
      </c>
    </row>
    <row r="535" spans="1:12" x14ac:dyDescent="0.25">
      <c r="A535" t="s">
        <v>13603</v>
      </c>
      <c r="B535" t="s">
        <v>13604</v>
      </c>
      <c r="I535" t="s">
        <v>13605</v>
      </c>
      <c r="J535" s="3">
        <v>8.3151039999999996E-2</v>
      </c>
      <c r="K535" s="3">
        <v>-0.17071819999999999</v>
      </c>
      <c r="L535" s="3">
        <v>2.5029900000000001E-3</v>
      </c>
    </row>
    <row r="536" spans="1:12" x14ac:dyDescent="0.25">
      <c r="A536" t="s">
        <v>13602</v>
      </c>
      <c r="B536" t="s">
        <v>13600</v>
      </c>
      <c r="I536" t="s">
        <v>13601</v>
      </c>
      <c r="J536" s="3">
        <v>-0.1404841</v>
      </c>
      <c r="K536" s="3">
        <v>-0.11627999999999999</v>
      </c>
      <c r="L536" s="3">
        <v>-9.0581670000000003E-2</v>
      </c>
    </row>
    <row r="537" spans="1:12" x14ac:dyDescent="0.25">
      <c r="A537" t="s">
        <v>13599</v>
      </c>
      <c r="B537" t="s">
        <v>13600</v>
      </c>
      <c r="I537" t="s">
        <v>13601</v>
      </c>
      <c r="J537" s="3">
        <v>0.25657360000000001</v>
      </c>
      <c r="K537" s="3">
        <v>0.4859407</v>
      </c>
      <c r="L537" s="3">
        <v>0.16407969999999999</v>
      </c>
    </row>
    <row r="538" spans="1:12" x14ac:dyDescent="0.25">
      <c r="A538" t="s">
        <v>13596</v>
      </c>
      <c r="B538" t="s">
        <v>13597</v>
      </c>
      <c r="I538" t="s">
        <v>13598</v>
      </c>
      <c r="J538" s="3">
        <v>-0.1225359</v>
      </c>
      <c r="K538" s="3">
        <v>-9.1773060000000004E-2</v>
      </c>
      <c r="L538" s="3">
        <v>-0.12136280000000001</v>
      </c>
    </row>
    <row r="539" spans="1:12" x14ac:dyDescent="0.25">
      <c r="A539" t="s">
        <v>13595</v>
      </c>
      <c r="B539" t="s">
        <v>957</v>
      </c>
      <c r="I539" t="s">
        <v>455</v>
      </c>
      <c r="J539" s="3">
        <v>0.32981569999999999</v>
      </c>
      <c r="K539" s="3">
        <v>0.64805729999999995</v>
      </c>
      <c r="L539" s="3">
        <v>0.4342434</v>
      </c>
    </row>
    <row r="540" spans="1:12" x14ac:dyDescent="0.25">
      <c r="A540" t="s">
        <v>13594</v>
      </c>
      <c r="B540" t="s">
        <v>957</v>
      </c>
      <c r="I540" t="s">
        <v>455</v>
      </c>
      <c r="J540" s="3">
        <v>8.8314340000000005E-2</v>
      </c>
      <c r="K540" s="3">
        <v>0.21425930000000001</v>
      </c>
      <c r="L540" s="3">
        <v>0.1360971</v>
      </c>
    </row>
    <row r="541" spans="1:12" x14ac:dyDescent="0.25">
      <c r="A541" t="s">
        <v>13593</v>
      </c>
      <c r="B541" t="s">
        <v>957</v>
      </c>
      <c r="I541" t="s">
        <v>455</v>
      </c>
      <c r="J541" s="3">
        <v>0.83506579999999997</v>
      </c>
      <c r="K541" s="3">
        <v>0.58630769999999999</v>
      </c>
      <c r="L541" s="3">
        <v>0.75885449999999999</v>
      </c>
    </row>
    <row r="542" spans="1:12" x14ac:dyDescent="0.25">
      <c r="A542" t="s">
        <v>13590</v>
      </c>
      <c r="B542" t="s">
        <v>13591</v>
      </c>
      <c r="I542" t="s">
        <v>13592</v>
      </c>
      <c r="J542" s="3">
        <v>-0.73889689999999997</v>
      </c>
      <c r="K542" s="3">
        <v>0.2018585</v>
      </c>
      <c r="L542" s="3">
        <v>0.59498930000000005</v>
      </c>
    </row>
    <row r="543" spans="1:12" x14ac:dyDescent="0.25">
      <c r="A543" t="s">
        <v>13589</v>
      </c>
      <c r="B543" t="s">
        <v>957</v>
      </c>
      <c r="I543" t="s">
        <v>455</v>
      </c>
      <c r="J543" s="3">
        <v>-0.2914331</v>
      </c>
      <c r="K543" s="3">
        <v>-0.30470659999999999</v>
      </c>
      <c r="L543" s="3">
        <v>-0.43613869999999999</v>
      </c>
    </row>
    <row r="544" spans="1:12" x14ac:dyDescent="0.25">
      <c r="A544" t="s">
        <v>13586</v>
      </c>
      <c r="B544" t="s">
        <v>13587</v>
      </c>
      <c r="I544" t="s">
        <v>13588</v>
      </c>
      <c r="J544" s="3">
        <v>6.9581359999999995E-2</v>
      </c>
      <c r="K544" s="3">
        <v>0.2375611</v>
      </c>
      <c r="L544" s="3">
        <v>0.18217829999999999</v>
      </c>
    </row>
    <row r="545" spans="1:12" x14ac:dyDescent="0.25">
      <c r="A545" t="s">
        <v>13583</v>
      </c>
      <c r="B545" t="s">
        <v>13584</v>
      </c>
      <c r="I545" t="s">
        <v>13585</v>
      </c>
      <c r="J545" s="3">
        <v>-3.036548E-2</v>
      </c>
      <c r="K545" s="3">
        <v>-0.66172299999999995</v>
      </c>
      <c r="L545" s="3">
        <v>-0.24807109999999999</v>
      </c>
    </row>
    <row r="546" spans="1:12" x14ac:dyDescent="0.25">
      <c r="A546" t="s">
        <v>13580</v>
      </c>
      <c r="B546" t="s">
        <v>13581</v>
      </c>
      <c r="I546" t="s">
        <v>13582</v>
      </c>
      <c r="J546" s="3">
        <v>8.1389459999999997E-2</v>
      </c>
      <c r="K546" s="3">
        <v>-0.22749849999999999</v>
      </c>
      <c r="L546" s="3">
        <v>3.0428710000000001E-2</v>
      </c>
    </row>
    <row r="547" spans="1:12" x14ac:dyDescent="0.25">
      <c r="A547" t="s">
        <v>13577</v>
      </c>
      <c r="B547" t="s">
        <v>13578</v>
      </c>
      <c r="I547" t="s">
        <v>13579</v>
      </c>
      <c r="J547" s="3">
        <v>-1.9044510000000001E-2</v>
      </c>
      <c r="K547" s="3">
        <v>-0.39652720000000002</v>
      </c>
      <c r="L547" s="3">
        <v>-0.11888120000000001</v>
      </c>
    </row>
    <row r="548" spans="1:12" x14ac:dyDescent="0.25">
      <c r="A548" t="s">
        <v>13574</v>
      </c>
      <c r="B548" t="s">
        <v>13575</v>
      </c>
      <c r="I548" t="s">
        <v>13576</v>
      </c>
      <c r="J548" s="3">
        <v>-0.1113619</v>
      </c>
      <c r="K548" s="3">
        <v>-0.15526719999999999</v>
      </c>
      <c r="L548" s="3">
        <v>-3.7768490000000002E-2</v>
      </c>
    </row>
    <row r="549" spans="1:12" x14ac:dyDescent="0.25">
      <c r="A549" t="s">
        <v>13573</v>
      </c>
      <c r="B549" t="s">
        <v>957</v>
      </c>
      <c r="I549" t="s">
        <v>475</v>
      </c>
      <c r="J549" s="3">
        <v>-0.24604490000000001</v>
      </c>
      <c r="K549" s="3">
        <v>-0.52883970000000002</v>
      </c>
      <c r="L549" s="3">
        <v>-9.0887430000000005E-2</v>
      </c>
    </row>
    <row r="550" spans="1:12" x14ac:dyDescent="0.25">
      <c r="A550" t="s">
        <v>13571</v>
      </c>
      <c r="B550" t="s">
        <v>957</v>
      </c>
      <c r="I550" t="s">
        <v>13572</v>
      </c>
      <c r="J550" s="3">
        <v>-0.2124607</v>
      </c>
      <c r="K550" s="3">
        <v>-0.24858640000000001</v>
      </c>
      <c r="L550" s="3">
        <v>-0.14945639999999999</v>
      </c>
    </row>
    <row r="551" spans="1:12" x14ac:dyDescent="0.25">
      <c r="A551" t="s">
        <v>13568</v>
      </c>
      <c r="B551" t="s">
        <v>13569</v>
      </c>
      <c r="I551" t="s">
        <v>13570</v>
      </c>
      <c r="J551" s="3">
        <v>-0.42954029999999999</v>
      </c>
      <c r="K551" s="3">
        <v>-0.15847539999999999</v>
      </c>
      <c r="L551" s="3">
        <v>-0.333949</v>
      </c>
    </row>
    <row r="552" spans="1:12" x14ac:dyDescent="0.25">
      <c r="A552" t="s">
        <v>13565</v>
      </c>
      <c r="B552" t="s">
        <v>13566</v>
      </c>
      <c r="I552" t="s">
        <v>13567</v>
      </c>
      <c r="J552" s="3">
        <v>-0.42832100000000001</v>
      </c>
      <c r="K552" s="3">
        <v>-0.30915749999999997</v>
      </c>
      <c r="L552" s="3">
        <v>-0.1876353</v>
      </c>
    </row>
    <row r="553" spans="1:12" x14ac:dyDescent="0.25">
      <c r="A553" t="s">
        <v>13562</v>
      </c>
      <c r="B553" t="s">
        <v>13563</v>
      </c>
      <c r="I553" t="s">
        <v>13564</v>
      </c>
      <c r="J553" s="3">
        <v>-0.2455408</v>
      </c>
      <c r="K553" s="3">
        <v>-0.7006114</v>
      </c>
      <c r="L553" s="3">
        <v>-7.4804049999999997E-2</v>
      </c>
    </row>
    <row r="554" spans="1:12" x14ac:dyDescent="0.25">
      <c r="A554" t="s">
        <v>13559</v>
      </c>
      <c r="B554" t="s">
        <v>13560</v>
      </c>
      <c r="I554" t="s">
        <v>13561</v>
      </c>
      <c r="J554" s="3">
        <v>-0.43583899999999998</v>
      </c>
      <c r="K554" s="3">
        <v>-0.99659929999999997</v>
      </c>
      <c r="L554" s="3">
        <v>0.1111636</v>
      </c>
    </row>
    <row r="555" spans="1:12" x14ac:dyDescent="0.25">
      <c r="A555" t="s">
        <v>13556</v>
      </c>
      <c r="B555" t="s">
        <v>13557</v>
      </c>
      <c r="I555" t="s">
        <v>13558</v>
      </c>
      <c r="J555" s="3">
        <v>-0.11603670000000001</v>
      </c>
      <c r="K555" s="3">
        <v>-1.136215</v>
      </c>
      <c r="L555" s="3">
        <v>-0.51583000000000001</v>
      </c>
    </row>
    <row r="556" spans="1:12" x14ac:dyDescent="0.25">
      <c r="A556" t="s">
        <v>13553</v>
      </c>
      <c r="B556" t="s">
        <v>13554</v>
      </c>
      <c r="I556" t="s">
        <v>13555</v>
      </c>
      <c r="J556" s="3">
        <v>-0.26687539999999998</v>
      </c>
      <c r="K556" s="3">
        <v>-2.8619059999999998</v>
      </c>
      <c r="L556" s="3">
        <v>-0.4374111</v>
      </c>
    </row>
    <row r="557" spans="1:12" x14ac:dyDescent="0.25">
      <c r="A557" t="s">
        <v>13551</v>
      </c>
      <c r="B557" t="s">
        <v>14126</v>
      </c>
      <c r="C557" t="s">
        <v>14127</v>
      </c>
      <c r="I557" t="s">
        <v>13552</v>
      </c>
      <c r="J557" s="3">
        <v>-0.2715439</v>
      </c>
      <c r="K557" s="3">
        <v>0.36576819999999999</v>
      </c>
      <c r="L557" s="3">
        <v>-9.8745330000000006E-2</v>
      </c>
    </row>
    <row r="558" spans="1:12" x14ac:dyDescent="0.25">
      <c r="A558" t="s">
        <v>13548</v>
      </c>
      <c r="B558" t="s">
        <v>13549</v>
      </c>
      <c r="I558" t="s">
        <v>13550</v>
      </c>
      <c r="J558" s="3">
        <v>0.49055029999999999</v>
      </c>
      <c r="K558" s="3">
        <v>0.6697495</v>
      </c>
      <c r="L558" s="3">
        <v>0.40466200000000002</v>
      </c>
    </row>
    <row r="559" spans="1:12" x14ac:dyDescent="0.25">
      <c r="A559" t="s">
        <v>13545</v>
      </c>
      <c r="B559" t="s">
        <v>13546</v>
      </c>
      <c r="I559" t="s">
        <v>13547</v>
      </c>
      <c r="J559" s="3">
        <v>2.008899</v>
      </c>
      <c r="K559" s="3">
        <v>1.9599230000000001</v>
      </c>
      <c r="L559" s="3">
        <v>0.60816689999999995</v>
      </c>
    </row>
    <row r="560" spans="1:12" x14ac:dyDescent="0.25">
      <c r="A560" t="s">
        <v>13543</v>
      </c>
      <c r="B560" t="s">
        <v>957</v>
      </c>
      <c r="I560" t="s">
        <v>13544</v>
      </c>
      <c r="J560" s="3">
        <v>0.18826229999999999</v>
      </c>
      <c r="K560" s="3">
        <v>0.50114099999999995</v>
      </c>
      <c r="L560" s="3">
        <v>9.2467060000000004E-2</v>
      </c>
    </row>
    <row r="561" spans="1:12" x14ac:dyDescent="0.25">
      <c r="A561" t="s">
        <v>13541</v>
      </c>
      <c r="B561" t="s">
        <v>13542</v>
      </c>
      <c r="I561" t="s">
        <v>5372</v>
      </c>
      <c r="J561" s="3">
        <v>-0.28118549999999998</v>
      </c>
      <c r="K561" s="3">
        <v>-0.4761917</v>
      </c>
      <c r="L561" s="3">
        <v>-3.3764080000000002E-2</v>
      </c>
    </row>
    <row r="562" spans="1:12" x14ac:dyDescent="0.25">
      <c r="A562" t="s">
        <v>13539</v>
      </c>
      <c r="B562" t="s">
        <v>13540</v>
      </c>
      <c r="I562" t="s">
        <v>593</v>
      </c>
      <c r="J562" s="3">
        <v>-0.83167630000000003</v>
      </c>
      <c r="K562" s="3">
        <v>-1.1908840000000001</v>
      </c>
      <c r="L562" s="3">
        <v>-0.54245540000000003</v>
      </c>
    </row>
    <row r="563" spans="1:12" x14ac:dyDescent="0.25">
      <c r="A563" t="s">
        <v>13536</v>
      </c>
      <c r="B563" t="s">
        <v>13537</v>
      </c>
      <c r="I563" t="s">
        <v>13538</v>
      </c>
      <c r="J563" s="3">
        <v>0.4932047</v>
      </c>
      <c r="K563" s="3">
        <v>0.50266900000000003</v>
      </c>
      <c r="L563" s="3">
        <v>0.53818920000000003</v>
      </c>
    </row>
    <row r="564" spans="1:12" x14ac:dyDescent="0.25">
      <c r="A564" t="s">
        <v>13533</v>
      </c>
      <c r="B564" t="s">
        <v>13534</v>
      </c>
      <c r="I564" t="s">
        <v>13535</v>
      </c>
      <c r="J564" s="3">
        <v>-0.37581310000000001</v>
      </c>
      <c r="K564" s="3">
        <v>-0.48421700000000001</v>
      </c>
      <c r="L564" s="3">
        <v>-0.4416621</v>
      </c>
    </row>
    <row r="565" spans="1:12" x14ac:dyDescent="0.25">
      <c r="A565" t="s">
        <v>13531</v>
      </c>
      <c r="B565" t="s">
        <v>957</v>
      </c>
      <c r="I565" t="s">
        <v>13532</v>
      </c>
      <c r="J565" s="3">
        <v>-0.7311436</v>
      </c>
      <c r="K565" s="3">
        <v>-0.97125939999999999</v>
      </c>
      <c r="L565" s="3">
        <v>-0.25156610000000001</v>
      </c>
    </row>
    <row r="566" spans="1:12" x14ac:dyDescent="0.25">
      <c r="A566" t="s">
        <v>13528</v>
      </c>
      <c r="B566" t="s">
        <v>13529</v>
      </c>
      <c r="I566" t="s">
        <v>13530</v>
      </c>
      <c r="J566" s="3">
        <v>-0.39757199999999998</v>
      </c>
      <c r="K566" s="3">
        <v>-0.90312239999999999</v>
      </c>
      <c r="L566" s="3">
        <v>-0.71972250000000004</v>
      </c>
    </row>
    <row r="567" spans="1:12" x14ac:dyDescent="0.25">
      <c r="A567" t="s">
        <v>12589</v>
      </c>
      <c r="B567" t="s">
        <v>12590</v>
      </c>
      <c r="I567" t="s">
        <v>13527</v>
      </c>
      <c r="J567" s="3">
        <v>-1.113198E-2</v>
      </c>
      <c r="K567" s="3">
        <v>-0.27590170000000003</v>
      </c>
      <c r="L567" s="3">
        <v>0.1393027</v>
      </c>
    </row>
    <row r="568" spans="1:12" x14ac:dyDescent="0.25">
      <c r="A568" t="s">
        <v>12586</v>
      </c>
      <c r="B568" t="s">
        <v>12587</v>
      </c>
      <c r="I568" t="s">
        <v>12588</v>
      </c>
      <c r="J568" s="3">
        <v>-0.57311529999999999</v>
      </c>
      <c r="K568" s="3">
        <v>-0.435838</v>
      </c>
      <c r="L568" s="3">
        <v>-0.42104399999999997</v>
      </c>
    </row>
    <row r="569" spans="1:12" x14ac:dyDescent="0.25">
      <c r="A569" t="s">
        <v>12583</v>
      </c>
      <c r="B569" t="s">
        <v>12584</v>
      </c>
      <c r="I569" t="s">
        <v>12585</v>
      </c>
      <c r="J569" s="3">
        <v>0.44781769999999999</v>
      </c>
      <c r="K569" s="3">
        <v>0.62764880000000001</v>
      </c>
      <c r="L569" s="3">
        <v>0.59478529999999996</v>
      </c>
    </row>
    <row r="570" spans="1:12" x14ac:dyDescent="0.25">
      <c r="A570" t="s">
        <v>12580</v>
      </c>
      <c r="B570" t="s">
        <v>12581</v>
      </c>
      <c r="I570" t="s">
        <v>12582</v>
      </c>
      <c r="J570" s="3">
        <v>0.84974799999999995</v>
      </c>
      <c r="K570" s="3">
        <v>1.1996910000000001</v>
      </c>
      <c r="L570" s="3">
        <v>1.190842</v>
      </c>
    </row>
    <row r="571" spans="1:12" x14ac:dyDescent="0.25">
      <c r="A571" t="s">
        <v>12577</v>
      </c>
      <c r="B571" t="s">
        <v>12578</v>
      </c>
      <c r="I571" t="s">
        <v>12579</v>
      </c>
      <c r="J571" s="3">
        <v>0.5373966</v>
      </c>
      <c r="K571" s="3">
        <v>9.4881419999999994E-2</v>
      </c>
      <c r="L571" s="3">
        <v>0.39640760000000003</v>
      </c>
    </row>
    <row r="572" spans="1:12" x14ac:dyDescent="0.25">
      <c r="A572" t="s">
        <v>12576</v>
      </c>
      <c r="B572" t="s">
        <v>957</v>
      </c>
      <c r="I572" t="s">
        <v>455</v>
      </c>
      <c r="J572" s="3">
        <v>9.1261239999999993E-2</v>
      </c>
      <c r="K572" s="3">
        <v>0.41349350000000001</v>
      </c>
      <c r="L572" s="3">
        <v>0.74810659999999995</v>
      </c>
    </row>
    <row r="573" spans="1:12" x14ac:dyDescent="0.25">
      <c r="A573" t="s">
        <v>12575</v>
      </c>
      <c r="B573" t="s">
        <v>957</v>
      </c>
      <c r="I573" t="s">
        <v>455</v>
      </c>
      <c r="J573" s="3">
        <v>-6.3869960000000003E-2</v>
      </c>
      <c r="K573" s="3">
        <v>-0.40016940000000001</v>
      </c>
      <c r="L573" s="3">
        <v>-9.5203070000000001E-2</v>
      </c>
    </row>
    <row r="574" spans="1:12" x14ac:dyDescent="0.25">
      <c r="A574" t="s">
        <v>11715</v>
      </c>
      <c r="B574" t="s">
        <v>11716</v>
      </c>
      <c r="I574" t="s">
        <v>12574</v>
      </c>
      <c r="J574" s="3">
        <v>-0.41215689999999999</v>
      </c>
      <c r="K574" s="3">
        <v>-7.1615570000000003E-2</v>
      </c>
      <c r="L574" s="3">
        <v>-0.29366150000000002</v>
      </c>
    </row>
    <row r="575" spans="1:12" x14ac:dyDescent="0.25">
      <c r="A575" t="s">
        <v>11712</v>
      </c>
      <c r="B575" t="s">
        <v>11713</v>
      </c>
      <c r="I575" t="s">
        <v>11714</v>
      </c>
      <c r="J575" s="3">
        <v>-0.1040199</v>
      </c>
      <c r="K575" s="3">
        <v>0.30790650000000003</v>
      </c>
      <c r="L575" s="3">
        <v>0.3758455</v>
      </c>
    </row>
    <row r="576" spans="1:12" x14ac:dyDescent="0.25">
      <c r="A576" t="s">
        <v>11709</v>
      </c>
      <c r="B576" t="s">
        <v>11710</v>
      </c>
      <c r="I576" t="s">
        <v>11711</v>
      </c>
      <c r="J576" s="3">
        <v>-6.904217E-2</v>
      </c>
      <c r="K576" s="3">
        <v>-3.586669E-2</v>
      </c>
      <c r="L576" s="3">
        <v>4.4539239999999997E-3</v>
      </c>
    </row>
    <row r="577" spans="1:12" x14ac:dyDescent="0.25">
      <c r="A577" t="s">
        <v>11707</v>
      </c>
      <c r="B577" t="s">
        <v>11708</v>
      </c>
      <c r="I577" t="s">
        <v>76</v>
      </c>
      <c r="J577" s="3">
        <v>0.3275129</v>
      </c>
      <c r="K577" s="3">
        <v>0.2989038</v>
      </c>
      <c r="L577" s="3">
        <v>0.2291337</v>
      </c>
    </row>
    <row r="578" spans="1:12" x14ac:dyDescent="0.25">
      <c r="A578" t="s">
        <v>11704</v>
      </c>
      <c r="B578" t="s">
        <v>11705</v>
      </c>
      <c r="I578" t="s">
        <v>11706</v>
      </c>
      <c r="J578" s="3">
        <v>-0.39370110000000003</v>
      </c>
      <c r="K578" s="3">
        <v>-3.5157270000000002E-3</v>
      </c>
      <c r="L578" s="3">
        <v>-6.8027829999999997E-2</v>
      </c>
    </row>
    <row r="579" spans="1:12" x14ac:dyDescent="0.25">
      <c r="A579" t="s">
        <v>11701</v>
      </c>
      <c r="B579" t="s">
        <v>11702</v>
      </c>
      <c r="I579" t="s">
        <v>11703</v>
      </c>
      <c r="J579" s="3">
        <v>-0.83489000000000002</v>
      </c>
      <c r="K579" s="3">
        <v>-0.93099240000000005</v>
      </c>
      <c r="L579" s="3">
        <v>-0.34452539999999998</v>
      </c>
    </row>
    <row r="580" spans="1:12" x14ac:dyDescent="0.25">
      <c r="A580" t="s">
        <v>11698</v>
      </c>
      <c r="B580" t="s">
        <v>11699</v>
      </c>
      <c r="I580" t="s">
        <v>11700</v>
      </c>
      <c r="J580" s="3">
        <v>8.3919099999999996E-2</v>
      </c>
      <c r="K580" s="3">
        <v>0.16604820000000001</v>
      </c>
      <c r="L580" s="3">
        <v>0.14459130000000001</v>
      </c>
    </row>
    <row r="581" spans="1:12" x14ac:dyDescent="0.25">
      <c r="A581" t="s">
        <v>11697</v>
      </c>
      <c r="B581" t="s">
        <v>957</v>
      </c>
      <c r="I581" t="s">
        <v>455</v>
      </c>
      <c r="J581" s="3">
        <v>-7.183784E-2</v>
      </c>
      <c r="K581" s="3">
        <v>-0.39080429999999999</v>
      </c>
      <c r="L581" s="3">
        <v>-0.30086459999999998</v>
      </c>
    </row>
    <row r="582" spans="1:12" x14ac:dyDescent="0.25">
      <c r="A582" t="s">
        <v>11694</v>
      </c>
      <c r="B582" t="s">
        <v>11695</v>
      </c>
      <c r="I582" t="s">
        <v>11696</v>
      </c>
      <c r="J582" s="3">
        <v>-0.43142540000000001</v>
      </c>
      <c r="K582" s="3">
        <v>0.23533190000000001</v>
      </c>
      <c r="L582" s="3">
        <v>-0.29042659999999998</v>
      </c>
    </row>
    <row r="583" spans="1:12" x14ac:dyDescent="0.25">
      <c r="A583" t="s">
        <v>11691</v>
      </c>
      <c r="B583" t="s">
        <v>11692</v>
      </c>
      <c r="I583" t="s">
        <v>11693</v>
      </c>
      <c r="J583" s="3">
        <v>0.28227229999999998</v>
      </c>
      <c r="K583" s="3">
        <v>0.49091770000000001</v>
      </c>
      <c r="L583" s="3">
        <v>6.9107580000000002E-2</v>
      </c>
    </row>
    <row r="584" spans="1:12" x14ac:dyDescent="0.25">
      <c r="A584" t="s">
        <v>11690</v>
      </c>
      <c r="B584" t="s">
        <v>957</v>
      </c>
      <c r="I584" t="s">
        <v>1207</v>
      </c>
      <c r="J584" s="3">
        <v>0.35349940000000002</v>
      </c>
      <c r="K584" s="3">
        <v>0.44722620000000002</v>
      </c>
      <c r="L584" s="3">
        <v>0.2482269</v>
      </c>
    </row>
    <row r="585" spans="1:12" x14ac:dyDescent="0.25">
      <c r="A585" t="s">
        <v>11689</v>
      </c>
      <c r="B585" t="s">
        <v>957</v>
      </c>
      <c r="I585" t="s">
        <v>455</v>
      </c>
      <c r="J585" s="3">
        <v>0.2244264</v>
      </c>
      <c r="K585" s="3">
        <v>-0.12545510000000001</v>
      </c>
      <c r="L585" s="3">
        <v>0.1107853</v>
      </c>
    </row>
    <row r="586" spans="1:12" x14ac:dyDescent="0.25">
      <c r="A586" t="s">
        <v>11686</v>
      </c>
      <c r="B586" t="s">
        <v>11687</v>
      </c>
      <c r="I586" t="s">
        <v>11688</v>
      </c>
      <c r="J586" s="3">
        <v>1.7805209999999998E-2</v>
      </c>
      <c r="K586" s="3">
        <v>0.35208800000000001</v>
      </c>
      <c r="L586" s="3">
        <v>-0.21267050000000001</v>
      </c>
    </row>
    <row r="587" spans="1:12" x14ac:dyDescent="0.25">
      <c r="A587" t="s">
        <v>11683</v>
      </c>
      <c r="B587" t="s">
        <v>11684</v>
      </c>
      <c r="I587" t="s">
        <v>11685</v>
      </c>
      <c r="J587" s="3">
        <v>-0.19640850000000001</v>
      </c>
      <c r="K587" s="3">
        <v>0.1629669</v>
      </c>
      <c r="L587" s="3">
        <v>-0.22534309999999999</v>
      </c>
    </row>
    <row r="588" spans="1:12" x14ac:dyDescent="0.25">
      <c r="A588" t="s">
        <v>11680</v>
      </c>
      <c r="B588" t="s">
        <v>11681</v>
      </c>
      <c r="I588" t="s">
        <v>11682</v>
      </c>
      <c r="J588" s="3">
        <v>0.20610300000000001</v>
      </c>
      <c r="K588" s="3">
        <v>0.2296697</v>
      </c>
      <c r="L588" s="3">
        <v>0.40604849999999998</v>
      </c>
    </row>
    <row r="589" spans="1:12" x14ac:dyDescent="0.25">
      <c r="A589" t="s">
        <v>11677</v>
      </c>
      <c r="B589" t="s">
        <v>11678</v>
      </c>
      <c r="I589" t="s">
        <v>11679</v>
      </c>
      <c r="J589" s="3">
        <v>0.80213279999999998</v>
      </c>
      <c r="K589" s="3">
        <v>1.1620999999999999</v>
      </c>
      <c r="L589" s="3">
        <v>1.112582</v>
      </c>
    </row>
    <row r="590" spans="1:12" x14ac:dyDescent="0.25">
      <c r="A590" t="s">
        <v>11676</v>
      </c>
      <c r="B590" t="s">
        <v>14128</v>
      </c>
      <c r="C590" t="s">
        <v>14129</v>
      </c>
      <c r="I590" t="s">
        <v>6323</v>
      </c>
      <c r="J590" s="3">
        <v>0.27814460000000002</v>
      </c>
      <c r="K590" s="3">
        <v>0.24415729999999999</v>
      </c>
      <c r="L590" s="3">
        <v>0.31274740000000001</v>
      </c>
    </row>
    <row r="591" spans="1:12" x14ac:dyDescent="0.25">
      <c r="A591" t="s">
        <v>11673</v>
      </c>
      <c r="B591" t="s">
        <v>11674</v>
      </c>
      <c r="I591" t="s">
        <v>11675</v>
      </c>
      <c r="J591" s="3">
        <v>0.58868379999999998</v>
      </c>
      <c r="K591" s="3">
        <v>5.7408899999999999E-2</v>
      </c>
      <c r="L591" s="3">
        <v>0.49543989999999999</v>
      </c>
    </row>
    <row r="592" spans="1:12" x14ac:dyDescent="0.25">
      <c r="A592" t="s">
        <v>11670</v>
      </c>
      <c r="B592" t="s">
        <v>11671</v>
      </c>
      <c r="I592" t="s">
        <v>11672</v>
      </c>
      <c r="J592" s="3">
        <v>-0.23176250000000001</v>
      </c>
      <c r="K592" s="3">
        <v>-0.3227602</v>
      </c>
      <c r="L592" s="3">
        <v>-0.28973139999999997</v>
      </c>
    </row>
    <row r="593" spans="1:12" x14ac:dyDescent="0.25">
      <c r="A593" t="s">
        <v>11667</v>
      </c>
      <c r="B593" t="s">
        <v>11668</v>
      </c>
      <c r="I593" t="s">
        <v>11669</v>
      </c>
      <c r="J593" s="3">
        <v>-4.9173209999999997E-3</v>
      </c>
      <c r="K593" s="3">
        <v>0.92954780000000004</v>
      </c>
      <c r="L593" s="3">
        <v>0.37460399999999999</v>
      </c>
    </row>
    <row r="594" spans="1:12" x14ac:dyDescent="0.25">
      <c r="A594" t="s">
        <v>11664</v>
      </c>
      <c r="B594" t="s">
        <v>11665</v>
      </c>
      <c r="I594" t="s">
        <v>11666</v>
      </c>
      <c r="J594" s="3">
        <v>6.9754300000000005E-2</v>
      </c>
      <c r="K594" s="3">
        <v>-0.72569550000000005</v>
      </c>
      <c r="L594" s="3">
        <v>-0.1427706</v>
      </c>
    </row>
    <row r="595" spans="1:12" x14ac:dyDescent="0.25">
      <c r="A595" t="s">
        <v>11661</v>
      </c>
      <c r="B595" t="s">
        <v>11662</v>
      </c>
      <c r="I595" t="s">
        <v>11663</v>
      </c>
      <c r="J595" s="3">
        <v>0.17559830000000001</v>
      </c>
      <c r="K595" s="3">
        <v>-2.8449849999999999E-2</v>
      </c>
      <c r="L595" s="3">
        <v>2.961198E-2</v>
      </c>
    </row>
    <row r="596" spans="1:12" x14ac:dyDescent="0.25">
      <c r="A596" t="s">
        <v>11658</v>
      </c>
      <c r="B596" t="s">
        <v>11659</v>
      </c>
      <c r="I596" t="s">
        <v>11660</v>
      </c>
      <c r="J596" s="3">
        <v>-0.17079330000000001</v>
      </c>
      <c r="K596" s="3">
        <v>0.29612820000000001</v>
      </c>
      <c r="L596" s="3">
        <v>0.1487935</v>
      </c>
    </row>
    <row r="597" spans="1:12" x14ac:dyDescent="0.25">
      <c r="A597" t="s">
        <v>11656</v>
      </c>
      <c r="B597" t="s">
        <v>14130</v>
      </c>
      <c r="C597" t="s">
        <v>13549</v>
      </c>
      <c r="D597" t="s">
        <v>14131</v>
      </c>
      <c r="E597" t="s">
        <v>14132</v>
      </c>
      <c r="I597" t="s">
        <v>11657</v>
      </c>
      <c r="J597" s="3">
        <v>0.62925830000000005</v>
      </c>
      <c r="K597" s="3">
        <v>0.44563659999999999</v>
      </c>
      <c r="L597" s="3">
        <v>0.4490961</v>
      </c>
    </row>
    <row r="598" spans="1:12" x14ac:dyDescent="0.25">
      <c r="A598" t="s">
        <v>11653</v>
      </c>
      <c r="B598" t="s">
        <v>11654</v>
      </c>
      <c r="I598" t="s">
        <v>11655</v>
      </c>
      <c r="J598" s="3">
        <v>-0.29605680000000001</v>
      </c>
      <c r="K598" s="3">
        <v>-0.82467299999999999</v>
      </c>
      <c r="L598" s="3">
        <v>-0.3780155</v>
      </c>
    </row>
    <row r="599" spans="1:12" x14ac:dyDescent="0.25">
      <c r="A599" t="s">
        <v>11652</v>
      </c>
      <c r="B599" t="s">
        <v>957</v>
      </c>
      <c r="I599" t="s">
        <v>455</v>
      </c>
      <c r="J599" s="3">
        <v>-0.85933999999999999</v>
      </c>
      <c r="K599" s="3">
        <v>2.601761E-2</v>
      </c>
      <c r="L599" s="3">
        <v>-0.60466319999999996</v>
      </c>
    </row>
    <row r="600" spans="1:12" x14ac:dyDescent="0.25">
      <c r="A600" t="s">
        <v>11649</v>
      </c>
      <c r="B600" t="s">
        <v>11650</v>
      </c>
      <c r="I600" t="s">
        <v>11651</v>
      </c>
      <c r="J600" s="3">
        <v>-2.160256E-2</v>
      </c>
      <c r="K600" s="3">
        <v>0.92386840000000003</v>
      </c>
      <c r="L600" s="3">
        <v>0.3156332</v>
      </c>
    </row>
    <row r="601" spans="1:12" x14ac:dyDescent="0.25">
      <c r="A601" t="s">
        <v>11648</v>
      </c>
      <c r="B601" t="s">
        <v>957</v>
      </c>
      <c r="I601" t="s">
        <v>455</v>
      </c>
      <c r="J601" s="3">
        <v>-0.61613439999999997</v>
      </c>
      <c r="K601" s="3">
        <v>-0.32921620000000001</v>
      </c>
      <c r="L601" s="3">
        <v>-0.47417740000000003</v>
      </c>
    </row>
    <row r="602" spans="1:12" x14ac:dyDescent="0.25">
      <c r="A602" t="s">
        <v>11645</v>
      </c>
      <c r="B602" t="s">
        <v>11646</v>
      </c>
      <c r="I602" t="s">
        <v>11647</v>
      </c>
      <c r="J602" s="3">
        <v>4.7264109999999998E-2</v>
      </c>
      <c r="K602" s="3">
        <v>0.15307809999999999</v>
      </c>
      <c r="L602" s="3">
        <v>-8.8274179999999994E-2</v>
      </c>
    </row>
    <row r="603" spans="1:12" x14ac:dyDescent="0.25">
      <c r="A603" t="s">
        <v>11643</v>
      </c>
      <c r="B603" t="s">
        <v>11644</v>
      </c>
      <c r="I603" t="s">
        <v>2383</v>
      </c>
      <c r="J603" s="3">
        <v>-1.2631140000000001E-2</v>
      </c>
      <c r="K603" s="3">
        <v>-0.27892070000000002</v>
      </c>
      <c r="L603" s="3">
        <v>-7.7369820000000006E-2</v>
      </c>
    </row>
    <row r="604" spans="1:12" x14ac:dyDescent="0.25">
      <c r="A604" t="s">
        <v>11640</v>
      </c>
      <c r="B604" t="s">
        <v>11641</v>
      </c>
      <c r="I604" t="s">
        <v>11642</v>
      </c>
      <c r="J604" s="3">
        <v>3.2623309999999998E-3</v>
      </c>
      <c r="K604" s="3">
        <v>0.74883699999999997</v>
      </c>
      <c r="L604" s="3">
        <v>7.8280630000000004E-2</v>
      </c>
    </row>
    <row r="605" spans="1:12" x14ac:dyDescent="0.25">
      <c r="A605" t="s">
        <v>11639</v>
      </c>
      <c r="B605" t="s">
        <v>957</v>
      </c>
      <c r="I605" t="s">
        <v>455</v>
      </c>
      <c r="J605" s="3">
        <v>0.40288279999999999</v>
      </c>
      <c r="K605" s="3">
        <v>6.8933850000000005E-2</v>
      </c>
      <c r="L605" s="3">
        <v>0.62976460000000001</v>
      </c>
    </row>
    <row r="606" spans="1:12" x14ac:dyDescent="0.25">
      <c r="A606" t="s">
        <v>11636</v>
      </c>
      <c r="B606" t="s">
        <v>11637</v>
      </c>
      <c r="I606" t="s">
        <v>11638</v>
      </c>
      <c r="J606" s="3">
        <v>0.4111399</v>
      </c>
      <c r="K606" s="3">
        <v>0.1730005</v>
      </c>
      <c r="L606" s="3">
        <v>0.24716189999999999</v>
      </c>
    </row>
    <row r="607" spans="1:12" x14ac:dyDescent="0.25">
      <c r="A607" t="s">
        <v>12514</v>
      </c>
      <c r="B607" t="s">
        <v>12515</v>
      </c>
      <c r="I607" t="s">
        <v>11635</v>
      </c>
      <c r="J607" s="3">
        <v>0.29594350000000003</v>
      </c>
      <c r="K607" s="3">
        <v>1.310921E-2</v>
      </c>
      <c r="L607" s="3">
        <v>-1.452814E-2</v>
      </c>
    </row>
    <row r="608" spans="1:12" x14ac:dyDescent="0.25">
      <c r="A608" t="s">
        <v>12512</v>
      </c>
      <c r="B608" t="s">
        <v>12513</v>
      </c>
      <c r="I608" t="s">
        <v>6159</v>
      </c>
      <c r="J608" s="3">
        <v>0.1916969</v>
      </c>
      <c r="K608" s="3">
        <v>0.1212275</v>
      </c>
      <c r="L608" s="3">
        <v>-5.287683E-2</v>
      </c>
    </row>
    <row r="609" spans="1:12" x14ac:dyDescent="0.25">
      <c r="A609" t="s">
        <v>12509</v>
      </c>
      <c r="B609" t="s">
        <v>12510</v>
      </c>
      <c r="I609" t="s">
        <v>12511</v>
      </c>
      <c r="J609" s="3">
        <v>-0.48836829999999998</v>
      </c>
      <c r="K609" s="3">
        <v>-7.5194869999999997E-2</v>
      </c>
      <c r="L609" s="3">
        <v>-0.64202409999999999</v>
      </c>
    </row>
    <row r="610" spans="1:12" x14ac:dyDescent="0.25">
      <c r="A610" t="s">
        <v>12506</v>
      </c>
      <c r="B610" t="s">
        <v>12507</v>
      </c>
      <c r="I610" t="s">
        <v>12508</v>
      </c>
      <c r="J610" s="3">
        <v>0.4706225</v>
      </c>
      <c r="K610" s="3">
        <v>1.1610050000000001</v>
      </c>
      <c r="L610" s="3">
        <v>0.36360569999999998</v>
      </c>
    </row>
    <row r="611" spans="1:12" x14ac:dyDescent="0.25">
      <c r="A611" t="s">
        <v>12503</v>
      </c>
      <c r="B611" t="s">
        <v>12504</v>
      </c>
      <c r="I611" t="s">
        <v>12505</v>
      </c>
      <c r="J611" s="3">
        <v>-2.2708270000000002</v>
      </c>
      <c r="K611" s="3">
        <v>-2.2187790000000001</v>
      </c>
      <c r="L611" s="3">
        <v>-1.830112</v>
      </c>
    </row>
    <row r="612" spans="1:12" x14ac:dyDescent="0.25">
      <c r="A612" t="s">
        <v>12502</v>
      </c>
      <c r="B612" t="s">
        <v>957</v>
      </c>
      <c r="I612" t="s">
        <v>475</v>
      </c>
      <c r="J612" s="3">
        <v>4.22137E-2</v>
      </c>
      <c r="K612" s="3">
        <v>0.5003725</v>
      </c>
      <c r="L612" s="3">
        <v>-0.1149626</v>
      </c>
    </row>
    <row r="613" spans="1:12" x14ac:dyDescent="0.25">
      <c r="A613" t="s">
        <v>12500</v>
      </c>
      <c r="B613" t="s">
        <v>12501</v>
      </c>
      <c r="I613" t="s">
        <v>2383</v>
      </c>
      <c r="J613" s="3">
        <v>0.2282169</v>
      </c>
      <c r="K613" s="3">
        <v>0.50504979999999999</v>
      </c>
      <c r="L613" s="3">
        <v>-2.6859449999999999E-3</v>
      </c>
    </row>
    <row r="614" spans="1:12" x14ac:dyDescent="0.25">
      <c r="A614" t="s">
        <v>12497</v>
      </c>
      <c r="B614" t="s">
        <v>12498</v>
      </c>
      <c r="I614" t="s">
        <v>12499</v>
      </c>
      <c r="J614" s="3">
        <v>0.43040990000000001</v>
      </c>
      <c r="K614" s="3">
        <v>1.1914849999999999</v>
      </c>
      <c r="L614" s="3">
        <v>0.71523919999999996</v>
      </c>
    </row>
    <row r="615" spans="1:12" x14ac:dyDescent="0.25">
      <c r="A615" t="s">
        <v>12494</v>
      </c>
      <c r="B615" t="s">
        <v>12495</v>
      </c>
      <c r="I615" t="s">
        <v>12496</v>
      </c>
      <c r="J615" s="3">
        <v>-4.2753859999999998E-2</v>
      </c>
      <c r="K615" s="3">
        <v>-0.54977140000000002</v>
      </c>
      <c r="L615" s="3">
        <v>-0.2565963</v>
      </c>
    </row>
    <row r="616" spans="1:12" x14ac:dyDescent="0.25">
      <c r="A616" t="s">
        <v>12491</v>
      </c>
      <c r="B616" t="s">
        <v>12492</v>
      </c>
      <c r="I616" t="s">
        <v>12493</v>
      </c>
      <c r="J616" s="3">
        <v>-9.9138100000000007E-2</v>
      </c>
      <c r="K616" s="3">
        <v>0.61636880000000005</v>
      </c>
      <c r="L616" s="3">
        <v>0.28039009999999998</v>
      </c>
    </row>
    <row r="617" spans="1:12" x14ac:dyDescent="0.25">
      <c r="A617" t="s">
        <v>12488</v>
      </c>
      <c r="B617" t="s">
        <v>12489</v>
      </c>
      <c r="I617" t="s">
        <v>12490</v>
      </c>
      <c r="J617" s="3">
        <v>0.43165170000000003</v>
      </c>
      <c r="K617" s="3">
        <v>0.54437869999999999</v>
      </c>
      <c r="L617" s="3">
        <v>0.24340249999999999</v>
      </c>
    </row>
    <row r="618" spans="1:12" x14ac:dyDescent="0.25">
      <c r="A618" t="s">
        <v>12486</v>
      </c>
      <c r="B618" t="s">
        <v>12487</v>
      </c>
      <c r="I618" t="s">
        <v>7688</v>
      </c>
      <c r="J618" s="3">
        <v>0.20574580000000001</v>
      </c>
      <c r="K618" s="3">
        <v>0.34107409999999999</v>
      </c>
      <c r="L618" s="3">
        <v>0.16503000000000001</v>
      </c>
    </row>
    <row r="619" spans="1:12" x14ac:dyDescent="0.25">
      <c r="A619" t="s">
        <v>12484</v>
      </c>
      <c r="B619" t="s">
        <v>12485</v>
      </c>
      <c r="I619" t="s">
        <v>430</v>
      </c>
      <c r="J619" s="3">
        <v>-1.135769</v>
      </c>
      <c r="K619" s="3">
        <v>-1.648854</v>
      </c>
      <c r="L619" s="3">
        <v>-0.99953369999999997</v>
      </c>
    </row>
    <row r="620" spans="1:12" x14ac:dyDescent="0.25">
      <c r="A620" t="s">
        <v>12483</v>
      </c>
      <c r="B620" t="s">
        <v>957</v>
      </c>
      <c r="I620" t="s">
        <v>2</v>
      </c>
      <c r="J620" s="3">
        <v>-0.23646329999999999</v>
      </c>
      <c r="K620" s="3">
        <v>0.37538630000000001</v>
      </c>
      <c r="L620" s="3">
        <v>-0.48861969999999999</v>
      </c>
    </row>
    <row r="621" spans="1:12" x14ac:dyDescent="0.25">
      <c r="A621" t="s">
        <v>12480</v>
      </c>
      <c r="B621" t="s">
        <v>12481</v>
      </c>
      <c r="I621" t="s">
        <v>12482</v>
      </c>
      <c r="J621" s="3">
        <v>0.58732740000000005</v>
      </c>
      <c r="K621" s="3">
        <v>-2.0325920000000001E-2</v>
      </c>
      <c r="L621" s="3">
        <v>0.43383339999999998</v>
      </c>
    </row>
    <row r="622" spans="1:12" x14ac:dyDescent="0.25">
      <c r="A622" t="s">
        <v>12477</v>
      </c>
      <c r="B622" t="s">
        <v>12478</v>
      </c>
      <c r="I622" t="s">
        <v>12479</v>
      </c>
      <c r="J622" s="3">
        <v>0.10812190000000001</v>
      </c>
      <c r="K622" s="3">
        <v>0.13542290000000001</v>
      </c>
      <c r="L622" s="3">
        <v>-8.3659600000000001E-2</v>
      </c>
    </row>
    <row r="623" spans="1:12" x14ac:dyDescent="0.25">
      <c r="A623" t="s">
        <v>12474</v>
      </c>
      <c r="B623" t="s">
        <v>12475</v>
      </c>
      <c r="I623" t="s">
        <v>12476</v>
      </c>
      <c r="J623" s="3">
        <v>0.76430929999999997</v>
      </c>
      <c r="K623" s="3">
        <v>1.299939</v>
      </c>
      <c r="L623" s="3">
        <v>0.90628830000000005</v>
      </c>
    </row>
    <row r="624" spans="1:12" x14ac:dyDescent="0.25">
      <c r="A624" t="s">
        <v>12473</v>
      </c>
      <c r="B624" t="s">
        <v>957</v>
      </c>
      <c r="I624" t="s">
        <v>614</v>
      </c>
      <c r="J624" s="3">
        <v>0.1238987</v>
      </c>
      <c r="K624" s="3">
        <v>3.2230300000000003E-2</v>
      </c>
      <c r="L624" s="3">
        <v>0.1942749</v>
      </c>
    </row>
    <row r="625" spans="1:12" x14ac:dyDescent="0.25">
      <c r="A625" t="s">
        <v>12472</v>
      </c>
      <c r="B625" t="s">
        <v>957</v>
      </c>
      <c r="I625" t="s">
        <v>455</v>
      </c>
      <c r="J625" s="3">
        <v>0.41904730000000001</v>
      </c>
      <c r="K625" s="3">
        <v>0.66346280000000002</v>
      </c>
      <c r="L625" s="3">
        <v>0.45425510000000002</v>
      </c>
    </row>
    <row r="626" spans="1:12" x14ac:dyDescent="0.25">
      <c r="A626" t="s">
        <v>12469</v>
      </c>
      <c r="B626" t="s">
        <v>12470</v>
      </c>
      <c r="I626" t="s">
        <v>12471</v>
      </c>
      <c r="J626" s="3">
        <v>0.1054496</v>
      </c>
      <c r="K626" s="3">
        <v>0.33193529999999999</v>
      </c>
      <c r="L626" s="3">
        <v>7.0036929999999997E-2</v>
      </c>
    </row>
    <row r="627" spans="1:12" x14ac:dyDescent="0.25">
      <c r="A627" t="s">
        <v>12468</v>
      </c>
      <c r="B627" t="s">
        <v>957</v>
      </c>
      <c r="I627" t="s">
        <v>455</v>
      </c>
      <c r="J627" s="3">
        <v>0.253577</v>
      </c>
      <c r="K627" s="3">
        <v>0.70909710000000004</v>
      </c>
      <c r="L627" s="3">
        <v>0.18783949999999999</v>
      </c>
    </row>
    <row r="628" spans="1:12" x14ac:dyDescent="0.25">
      <c r="A628" t="s">
        <v>12465</v>
      </c>
      <c r="B628" t="s">
        <v>12466</v>
      </c>
      <c r="I628" t="s">
        <v>12467</v>
      </c>
      <c r="J628" s="3">
        <v>0.40569470000000002</v>
      </c>
      <c r="K628" s="3">
        <v>-6.9454379999999996E-2</v>
      </c>
      <c r="L628" s="3">
        <v>0.18103330000000001</v>
      </c>
    </row>
    <row r="629" spans="1:12" x14ac:dyDescent="0.25">
      <c r="A629" t="s">
        <v>12463</v>
      </c>
      <c r="B629" t="s">
        <v>957</v>
      </c>
      <c r="I629" t="s">
        <v>12464</v>
      </c>
      <c r="J629" s="3">
        <v>-0.19263079999999999</v>
      </c>
      <c r="K629" s="3">
        <v>-0.59692920000000005</v>
      </c>
      <c r="L629" s="3">
        <v>-7.7913079999999996E-2</v>
      </c>
    </row>
    <row r="630" spans="1:12" x14ac:dyDescent="0.25">
      <c r="A630" t="s">
        <v>12460</v>
      </c>
      <c r="B630" t="s">
        <v>12461</v>
      </c>
      <c r="I630" t="s">
        <v>12462</v>
      </c>
      <c r="J630" s="3">
        <v>0.5721813</v>
      </c>
      <c r="K630" s="3">
        <v>0.45063520000000001</v>
      </c>
      <c r="L630" s="3">
        <v>0.55718480000000004</v>
      </c>
    </row>
    <row r="631" spans="1:12" x14ac:dyDescent="0.25">
      <c r="A631" t="s">
        <v>12457</v>
      </c>
      <c r="B631" t="s">
        <v>12458</v>
      </c>
      <c r="I631" t="s">
        <v>12459</v>
      </c>
      <c r="J631" s="3">
        <v>0.42068830000000002</v>
      </c>
      <c r="K631" s="3">
        <v>0.67536309999999999</v>
      </c>
      <c r="L631" s="3">
        <v>0.34798479999999998</v>
      </c>
    </row>
    <row r="632" spans="1:12" x14ac:dyDescent="0.25">
      <c r="A632" t="s">
        <v>12454</v>
      </c>
      <c r="B632" t="s">
        <v>12455</v>
      </c>
      <c r="I632" t="s">
        <v>12456</v>
      </c>
      <c r="J632" s="3">
        <v>-0.1552229</v>
      </c>
      <c r="K632" s="3">
        <v>-0.49515199999999998</v>
      </c>
      <c r="L632" s="3">
        <v>-3.7331910000000003E-2</v>
      </c>
    </row>
    <row r="633" spans="1:12" x14ac:dyDescent="0.25">
      <c r="A633" t="s">
        <v>12453</v>
      </c>
      <c r="B633" t="s">
        <v>957</v>
      </c>
      <c r="I633" t="s">
        <v>455</v>
      </c>
      <c r="J633" s="3">
        <v>-0.65338739999999995</v>
      </c>
      <c r="K633" s="3">
        <v>-0.39810279999999998</v>
      </c>
      <c r="L633" s="3">
        <v>2.5083210000000002E-2</v>
      </c>
    </row>
    <row r="634" spans="1:12" x14ac:dyDescent="0.25">
      <c r="A634" t="s">
        <v>12450</v>
      </c>
      <c r="B634" t="s">
        <v>12451</v>
      </c>
      <c r="I634" t="s">
        <v>12452</v>
      </c>
      <c r="J634" s="3">
        <v>0.25023980000000001</v>
      </c>
      <c r="K634" s="3">
        <v>5.6446910000000003E-2</v>
      </c>
      <c r="L634" s="3">
        <v>0.53016010000000002</v>
      </c>
    </row>
    <row r="635" spans="1:12" x14ac:dyDescent="0.25">
      <c r="A635" t="s">
        <v>12447</v>
      </c>
      <c r="B635" t="s">
        <v>12448</v>
      </c>
      <c r="I635" t="s">
        <v>12449</v>
      </c>
      <c r="J635" s="3">
        <v>-9.4018809999999994E-2</v>
      </c>
      <c r="K635" s="3">
        <v>0.63182700000000003</v>
      </c>
      <c r="L635" s="3">
        <v>-4.1700500000000001E-2</v>
      </c>
    </row>
    <row r="636" spans="1:12" x14ac:dyDescent="0.25">
      <c r="A636" t="s">
        <v>12446</v>
      </c>
      <c r="B636" t="s">
        <v>957</v>
      </c>
      <c r="I636" t="s">
        <v>455</v>
      </c>
      <c r="J636" s="3">
        <v>-0.36617640000000001</v>
      </c>
      <c r="K636" s="3">
        <v>-0.51551849999999999</v>
      </c>
      <c r="L636" s="3">
        <v>-0.13909289999999999</v>
      </c>
    </row>
    <row r="637" spans="1:12" x14ac:dyDescent="0.25">
      <c r="A637" t="s">
        <v>12443</v>
      </c>
      <c r="B637" t="s">
        <v>12444</v>
      </c>
      <c r="I637" t="s">
        <v>12445</v>
      </c>
      <c r="J637" s="3">
        <v>0.40880719999999998</v>
      </c>
      <c r="K637" s="3">
        <v>-6.4663609999999996E-2</v>
      </c>
      <c r="L637" s="3">
        <v>0.43159229999999998</v>
      </c>
    </row>
    <row r="638" spans="1:12" x14ac:dyDescent="0.25">
      <c r="A638" t="s">
        <v>12440</v>
      </c>
      <c r="B638" t="s">
        <v>12441</v>
      </c>
      <c r="I638" t="s">
        <v>12442</v>
      </c>
      <c r="J638" s="3">
        <v>0.19585910000000001</v>
      </c>
      <c r="K638" s="3">
        <v>0.33298220000000001</v>
      </c>
      <c r="L638" s="3">
        <v>0.17981349999999999</v>
      </c>
    </row>
    <row r="639" spans="1:12" x14ac:dyDescent="0.25">
      <c r="A639" t="s">
        <v>12438</v>
      </c>
      <c r="B639" t="s">
        <v>12439</v>
      </c>
      <c r="I639" t="s">
        <v>11410</v>
      </c>
      <c r="J639" s="3">
        <v>0.35716409999999998</v>
      </c>
      <c r="K639" s="3">
        <v>-0.15261459999999999</v>
      </c>
      <c r="L639" s="3">
        <v>0.12777330000000001</v>
      </c>
    </row>
    <row r="640" spans="1:12" x14ac:dyDescent="0.25">
      <c r="A640" t="s">
        <v>12435</v>
      </c>
      <c r="B640" t="s">
        <v>12436</v>
      </c>
      <c r="I640" t="s">
        <v>12437</v>
      </c>
      <c r="J640" s="3">
        <v>0.17694489999999999</v>
      </c>
      <c r="K640" s="3">
        <v>-6.01661E-2</v>
      </c>
      <c r="L640" s="3">
        <v>0.17432300000000001</v>
      </c>
    </row>
    <row r="641" spans="1:12" x14ac:dyDescent="0.25">
      <c r="A641" t="s">
        <v>12434</v>
      </c>
      <c r="B641" t="s">
        <v>957</v>
      </c>
      <c r="I641" t="s">
        <v>2724</v>
      </c>
      <c r="J641" s="3">
        <v>-0.29848190000000002</v>
      </c>
      <c r="K641" s="3">
        <v>-0.66707989999999995</v>
      </c>
      <c r="L641" s="3">
        <v>-0.2214122</v>
      </c>
    </row>
    <row r="642" spans="1:12" x14ac:dyDescent="0.25">
      <c r="A642" t="s">
        <v>13490</v>
      </c>
      <c r="B642" t="s">
        <v>14130</v>
      </c>
      <c r="C642" t="s">
        <v>13549</v>
      </c>
      <c r="D642" t="s">
        <v>14131</v>
      </c>
      <c r="E642" t="s">
        <v>14132</v>
      </c>
      <c r="I642" t="s">
        <v>12433</v>
      </c>
      <c r="J642" s="3">
        <v>-0.79466000000000003</v>
      </c>
      <c r="K642" s="3">
        <v>-0.90121899999999999</v>
      </c>
      <c r="L642" s="3">
        <v>-0.17286940000000001</v>
      </c>
    </row>
    <row r="643" spans="1:12" x14ac:dyDescent="0.25">
      <c r="A643" t="s">
        <v>13487</v>
      </c>
      <c r="B643" t="s">
        <v>13488</v>
      </c>
      <c r="I643" t="s">
        <v>13489</v>
      </c>
      <c r="J643" s="3">
        <v>4.426215E-2</v>
      </c>
      <c r="K643" s="3">
        <v>1.446061E-2</v>
      </c>
      <c r="L643" s="3">
        <v>4.6901539999999999E-2</v>
      </c>
    </row>
    <row r="644" spans="1:12" x14ac:dyDescent="0.25">
      <c r="A644" t="s">
        <v>12404</v>
      </c>
      <c r="B644" t="s">
        <v>12405</v>
      </c>
      <c r="I644" t="s">
        <v>13486</v>
      </c>
      <c r="J644" s="3">
        <v>-0.29713440000000002</v>
      </c>
      <c r="K644" s="3">
        <v>0.716113</v>
      </c>
      <c r="L644" s="3">
        <v>0.1693597</v>
      </c>
    </row>
    <row r="645" spans="1:12" x14ac:dyDescent="0.25">
      <c r="A645" t="s">
        <v>12403</v>
      </c>
      <c r="B645" t="s">
        <v>957</v>
      </c>
      <c r="I645" t="s">
        <v>205</v>
      </c>
      <c r="J645" s="3">
        <v>0.44121359999999998</v>
      </c>
      <c r="K645" s="3">
        <v>0.85408600000000001</v>
      </c>
      <c r="L645" s="3">
        <v>0.39635860000000001</v>
      </c>
    </row>
    <row r="646" spans="1:12" x14ac:dyDescent="0.25">
      <c r="A646" t="s">
        <v>12402</v>
      </c>
      <c r="B646" t="s">
        <v>957</v>
      </c>
      <c r="I646" t="s">
        <v>205</v>
      </c>
      <c r="J646" s="3">
        <v>0.59644770000000003</v>
      </c>
      <c r="K646" s="3">
        <v>1.0021500000000001</v>
      </c>
      <c r="L646" s="3">
        <v>0.39839170000000002</v>
      </c>
    </row>
    <row r="647" spans="1:12" x14ac:dyDescent="0.25">
      <c r="A647" t="s">
        <v>12401</v>
      </c>
      <c r="B647" t="s">
        <v>957</v>
      </c>
      <c r="I647" t="s">
        <v>455</v>
      </c>
      <c r="J647" s="3">
        <v>0.23406260000000001</v>
      </c>
      <c r="K647" s="3">
        <v>0.45439429999999997</v>
      </c>
      <c r="L647" s="3">
        <v>3.9163999999999997E-2</v>
      </c>
    </row>
    <row r="648" spans="1:12" x14ac:dyDescent="0.25">
      <c r="A648" t="s">
        <v>12400</v>
      </c>
      <c r="B648" t="s">
        <v>957</v>
      </c>
      <c r="I648" t="s">
        <v>205</v>
      </c>
      <c r="J648" s="3">
        <v>-0.1138796</v>
      </c>
      <c r="K648" s="3">
        <v>1.1352500000000001</v>
      </c>
      <c r="L648" s="3">
        <v>0.31556600000000001</v>
      </c>
    </row>
    <row r="649" spans="1:12" x14ac:dyDescent="0.25">
      <c r="A649" t="s">
        <v>12399</v>
      </c>
      <c r="B649" t="s">
        <v>1498</v>
      </c>
      <c r="I649" t="s">
        <v>1499</v>
      </c>
      <c r="J649" s="3">
        <v>0.25124590000000002</v>
      </c>
      <c r="K649" s="3">
        <v>1.133289</v>
      </c>
      <c r="L649" s="3">
        <v>-0.22598280000000001</v>
      </c>
    </row>
    <row r="650" spans="1:12" x14ac:dyDescent="0.25">
      <c r="A650" t="s">
        <v>12396</v>
      </c>
      <c r="B650" t="s">
        <v>12397</v>
      </c>
      <c r="I650" t="s">
        <v>12398</v>
      </c>
      <c r="J650" s="3">
        <v>0.1492753</v>
      </c>
      <c r="K650" s="3">
        <v>0.5020637</v>
      </c>
      <c r="L650" s="3">
        <v>0.29086289999999998</v>
      </c>
    </row>
    <row r="651" spans="1:12" x14ac:dyDescent="0.25">
      <c r="A651" t="s">
        <v>12393</v>
      </c>
      <c r="B651" t="s">
        <v>12394</v>
      </c>
      <c r="I651" t="s">
        <v>12395</v>
      </c>
      <c r="J651" s="3">
        <v>-0.19533900000000001</v>
      </c>
      <c r="K651" s="3">
        <v>-0.22588749999999999</v>
      </c>
      <c r="L651" s="3">
        <v>-0.38430170000000002</v>
      </c>
    </row>
    <row r="652" spans="1:12" x14ac:dyDescent="0.25">
      <c r="A652" t="s">
        <v>12391</v>
      </c>
      <c r="B652" t="s">
        <v>14133</v>
      </c>
      <c r="C652" t="s">
        <v>14134</v>
      </c>
      <c r="I652" t="s">
        <v>12392</v>
      </c>
      <c r="J652" s="3">
        <v>3.900323E-2</v>
      </c>
      <c r="K652" s="3">
        <v>6.4073140000000001E-2</v>
      </c>
      <c r="L652" s="3">
        <v>-2.0830169999999999E-2</v>
      </c>
    </row>
    <row r="653" spans="1:12" x14ac:dyDescent="0.25">
      <c r="A653" t="s">
        <v>12390</v>
      </c>
      <c r="B653" t="s">
        <v>957</v>
      </c>
      <c r="I653" t="s">
        <v>9530</v>
      </c>
      <c r="J653" s="3">
        <v>-0.3561474</v>
      </c>
      <c r="K653" s="3">
        <v>0.40342420000000001</v>
      </c>
      <c r="L653" s="3">
        <v>0.19776160000000001</v>
      </c>
    </row>
    <row r="654" spans="1:12" x14ac:dyDescent="0.25">
      <c r="A654" t="s">
        <v>12387</v>
      </c>
      <c r="B654" t="s">
        <v>12388</v>
      </c>
      <c r="I654" t="s">
        <v>12389</v>
      </c>
      <c r="J654" s="3">
        <v>-0.54011010000000004</v>
      </c>
      <c r="K654" s="3">
        <v>-0.72046500000000002</v>
      </c>
      <c r="L654" s="3">
        <v>-0.3749982</v>
      </c>
    </row>
    <row r="655" spans="1:12" x14ac:dyDescent="0.25">
      <c r="A655" t="s">
        <v>12384</v>
      </c>
      <c r="B655" t="s">
        <v>12385</v>
      </c>
      <c r="I655" t="s">
        <v>12386</v>
      </c>
      <c r="J655" s="3">
        <v>-0.2051617</v>
      </c>
      <c r="K655" s="3">
        <v>-0.95027130000000004</v>
      </c>
      <c r="L655" s="3">
        <v>6.155923E-2</v>
      </c>
    </row>
    <row r="656" spans="1:12" x14ac:dyDescent="0.25">
      <c r="A656" t="s">
        <v>12381</v>
      </c>
      <c r="B656" t="s">
        <v>12382</v>
      </c>
      <c r="I656" t="s">
        <v>12383</v>
      </c>
      <c r="J656" s="3">
        <v>-0.41939379999999998</v>
      </c>
      <c r="K656" s="3">
        <v>0.5463403</v>
      </c>
      <c r="L656" s="3">
        <v>0.46455410000000003</v>
      </c>
    </row>
    <row r="657" spans="1:12" x14ac:dyDescent="0.25">
      <c r="A657" t="s">
        <v>12378</v>
      </c>
      <c r="B657" t="s">
        <v>12379</v>
      </c>
      <c r="I657" t="s">
        <v>12380</v>
      </c>
      <c r="J657" s="3">
        <v>-0.2331046</v>
      </c>
      <c r="K657" s="3">
        <v>-0.23363639999999999</v>
      </c>
      <c r="L657" s="3">
        <v>-0.19351560000000001</v>
      </c>
    </row>
    <row r="658" spans="1:12" x14ac:dyDescent="0.25">
      <c r="A658" t="s">
        <v>12375</v>
      </c>
      <c r="B658" t="s">
        <v>12376</v>
      </c>
      <c r="I658" t="s">
        <v>12377</v>
      </c>
      <c r="J658" s="3">
        <v>-0.55472589999999999</v>
      </c>
      <c r="K658" s="3">
        <v>-1.2867710000000001</v>
      </c>
      <c r="L658" s="3">
        <v>-0.62371889999999997</v>
      </c>
    </row>
    <row r="659" spans="1:12" x14ac:dyDescent="0.25">
      <c r="A659" t="s">
        <v>12372</v>
      </c>
      <c r="B659" t="s">
        <v>12373</v>
      </c>
      <c r="I659" t="s">
        <v>12374</v>
      </c>
      <c r="J659" s="3">
        <v>-0.34352070000000001</v>
      </c>
      <c r="K659" s="3">
        <v>-0.93641730000000001</v>
      </c>
      <c r="L659" s="3">
        <v>-0.48597279999999998</v>
      </c>
    </row>
    <row r="660" spans="1:12" x14ac:dyDescent="0.25">
      <c r="A660" t="s">
        <v>12369</v>
      </c>
      <c r="B660" t="s">
        <v>12370</v>
      </c>
      <c r="I660" t="s">
        <v>12371</v>
      </c>
      <c r="J660" s="3">
        <v>-0.3452286</v>
      </c>
      <c r="K660" s="3">
        <v>-0.87713649999999999</v>
      </c>
      <c r="L660" s="3">
        <v>-0.25183260000000002</v>
      </c>
    </row>
    <row r="661" spans="1:12" x14ac:dyDescent="0.25">
      <c r="A661" t="s">
        <v>12366</v>
      </c>
      <c r="B661" t="s">
        <v>12367</v>
      </c>
      <c r="I661" t="s">
        <v>12368</v>
      </c>
      <c r="J661" s="3">
        <v>0.1158406</v>
      </c>
      <c r="K661" s="3">
        <v>-3.129328E-2</v>
      </c>
      <c r="L661" s="3">
        <v>0.38474580000000003</v>
      </c>
    </row>
    <row r="662" spans="1:12" x14ac:dyDescent="0.25">
      <c r="A662" t="s">
        <v>12365</v>
      </c>
      <c r="B662" t="s">
        <v>957</v>
      </c>
      <c r="I662" t="s">
        <v>455</v>
      </c>
      <c r="J662" s="3">
        <v>-0.51267750000000001</v>
      </c>
      <c r="K662" s="3">
        <v>-1.3217950000000001</v>
      </c>
      <c r="L662" s="3">
        <v>-0.61889879999999997</v>
      </c>
    </row>
    <row r="663" spans="1:12" x14ac:dyDescent="0.25">
      <c r="A663" t="s">
        <v>12363</v>
      </c>
      <c r="B663" t="s">
        <v>957</v>
      </c>
      <c r="I663" t="s">
        <v>12364</v>
      </c>
      <c r="J663" s="3">
        <v>-0.1372284</v>
      </c>
      <c r="K663" s="3">
        <v>-0.31705420000000001</v>
      </c>
      <c r="L663" s="3">
        <v>-0.1647479</v>
      </c>
    </row>
    <row r="664" spans="1:12" x14ac:dyDescent="0.25">
      <c r="A664" t="s">
        <v>12360</v>
      </c>
      <c r="B664" t="s">
        <v>12361</v>
      </c>
      <c r="I664" t="s">
        <v>12362</v>
      </c>
      <c r="J664" s="3">
        <v>-8.4645399999999996E-2</v>
      </c>
      <c r="K664" s="3">
        <v>-0.34470119999999999</v>
      </c>
      <c r="L664" s="3">
        <v>-7.2536710000000004E-2</v>
      </c>
    </row>
    <row r="665" spans="1:12" x14ac:dyDescent="0.25">
      <c r="A665" t="s">
        <v>12357</v>
      </c>
      <c r="B665" t="s">
        <v>12358</v>
      </c>
      <c r="I665" t="s">
        <v>12359</v>
      </c>
      <c r="J665" s="3">
        <v>7.7194310000000002E-2</v>
      </c>
      <c r="K665" s="3">
        <v>0.70575460000000001</v>
      </c>
      <c r="L665" s="3">
        <v>-0.17139509999999999</v>
      </c>
    </row>
    <row r="666" spans="1:12" x14ac:dyDescent="0.25">
      <c r="A666" t="s">
        <v>12354</v>
      </c>
      <c r="B666" t="s">
        <v>12355</v>
      </c>
      <c r="I666" t="s">
        <v>12356</v>
      </c>
      <c r="J666" s="3">
        <v>0.38105450000000002</v>
      </c>
      <c r="K666" s="3">
        <v>0.55217859999999996</v>
      </c>
      <c r="L666" s="3">
        <v>0.39273750000000002</v>
      </c>
    </row>
    <row r="667" spans="1:12" x14ac:dyDescent="0.25">
      <c r="A667" t="s">
        <v>12351</v>
      </c>
      <c r="B667" t="s">
        <v>12352</v>
      </c>
      <c r="I667" t="s">
        <v>12353</v>
      </c>
      <c r="J667" s="3">
        <v>-0.71317560000000002</v>
      </c>
      <c r="K667" s="3">
        <v>-0.59904329999999995</v>
      </c>
      <c r="L667" s="3">
        <v>-0.52654489999999998</v>
      </c>
    </row>
    <row r="668" spans="1:12" x14ac:dyDescent="0.25">
      <c r="A668" t="s">
        <v>12349</v>
      </c>
      <c r="B668" t="s">
        <v>12350</v>
      </c>
      <c r="I668" t="s">
        <v>1934</v>
      </c>
      <c r="J668" s="3">
        <v>-8.6540549999999994E-2</v>
      </c>
      <c r="K668" s="3">
        <v>-0.1069992</v>
      </c>
      <c r="L668" s="3">
        <v>-2.9429440000000001E-2</v>
      </c>
    </row>
    <row r="669" spans="1:12" x14ac:dyDescent="0.25">
      <c r="A669" t="s">
        <v>12347</v>
      </c>
      <c r="B669" t="s">
        <v>12348</v>
      </c>
      <c r="I669" t="s">
        <v>7628</v>
      </c>
      <c r="J669" s="3">
        <v>2.2344200000000002E-2</v>
      </c>
      <c r="K669" s="3">
        <v>-0.13492190000000001</v>
      </c>
      <c r="L669" s="3">
        <v>8.3340549999999999E-2</v>
      </c>
    </row>
    <row r="670" spans="1:12" x14ac:dyDescent="0.25">
      <c r="A670" t="s">
        <v>12344</v>
      </c>
      <c r="B670" t="s">
        <v>12345</v>
      </c>
      <c r="I670" t="s">
        <v>12346</v>
      </c>
      <c r="J670" s="3">
        <v>-7.5327809999999995E-2</v>
      </c>
      <c r="K670" s="3">
        <v>-0.39678360000000001</v>
      </c>
      <c r="L670" s="3">
        <v>-0.41061769999999997</v>
      </c>
    </row>
    <row r="671" spans="1:12" x14ac:dyDescent="0.25">
      <c r="A671" t="s">
        <v>12342</v>
      </c>
      <c r="B671" t="s">
        <v>12343</v>
      </c>
      <c r="I671" t="s">
        <v>2115</v>
      </c>
      <c r="J671" s="3">
        <v>1.494208</v>
      </c>
      <c r="K671" s="3">
        <v>1.286721</v>
      </c>
      <c r="L671" s="3">
        <v>1.9998689999999999</v>
      </c>
    </row>
    <row r="672" spans="1:12" x14ac:dyDescent="0.25">
      <c r="A672" t="s">
        <v>12339</v>
      </c>
      <c r="B672" t="s">
        <v>12340</v>
      </c>
      <c r="I672" t="s">
        <v>12341</v>
      </c>
      <c r="J672" s="3">
        <v>1.242645</v>
      </c>
      <c r="K672" s="3">
        <v>1.4596039999999999</v>
      </c>
      <c r="L672" s="3">
        <v>1.2939510000000001</v>
      </c>
    </row>
    <row r="673" spans="1:12" x14ac:dyDescent="0.25">
      <c r="A673" t="s">
        <v>12337</v>
      </c>
      <c r="B673" t="s">
        <v>12338</v>
      </c>
      <c r="I673" t="s">
        <v>2452</v>
      </c>
      <c r="J673" s="3">
        <v>-0.55185070000000003</v>
      </c>
      <c r="K673" s="3">
        <v>0.2247422</v>
      </c>
      <c r="L673" s="3">
        <v>-0.54191180000000005</v>
      </c>
    </row>
    <row r="674" spans="1:12" x14ac:dyDescent="0.25">
      <c r="A674" t="s">
        <v>12335</v>
      </c>
      <c r="B674" t="s">
        <v>957</v>
      </c>
      <c r="I674" t="s">
        <v>12336</v>
      </c>
      <c r="J674" s="3">
        <v>-0.54071910000000001</v>
      </c>
      <c r="K674" s="3">
        <v>-1.128004</v>
      </c>
      <c r="L674" s="3">
        <v>-0.54394350000000002</v>
      </c>
    </row>
    <row r="675" spans="1:12" x14ac:dyDescent="0.25">
      <c r="A675" t="s">
        <v>12334</v>
      </c>
      <c r="B675" t="s">
        <v>957</v>
      </c>
      <c r="I675" t="s">
        <v>455</v>
      </c>
      <c r="J675" s="3">
        <v>0.3155365</v>
      </c>
      <c r="K675" s="3">
        <v>-9.0825719999999999E-2</v>
      </c>
      <c r="L675" s="3">
        <v>0.25563239999999998</v>
      </c>
    </row>
    <row r="676" spans="1:12" x14ac:dyDescent="0.25">
      <c r="A676" t="s">
        <v>12331</v>
      </c>
      <c r="B676" t="s">
        <v>12332</v>
      </c>
      <c r="I676" t="s">
        <v>12333</v>
      </c>
      <c r="J676" s="3">
        <v>1.551019E-2</v>
      </c>
      <c r="K676" s="3">
        <v>0.11235050000000001</v>
      </c>
      <c r="L676" s="3">
        <v>-7.47E-5</v>
      </c>
    </row>
    <row r="677" spans="1:12" x14ac:dyDescent="0.25">
      <c r="A677" t="s">
        <v>12329</v>
      </c>
      <c r="B677" t="s">
        <v>12330</v>
      </c>
      <c r="I677" t="s">
        <v>6165</v>
      </c>
      <c r="J677" s="3">
        <v>-6.5662020000000001E-2</v>
      </c>
      <c r="K677" s="3">
        <v>-0.4471714</v>
      </c>
      <c r="L677" s="3">
        <v>-3.2275730000000002E-2</v>
      </c>
    </row>
    <row r="678" spans="1:12" x14ac:dyDescent="0.25">
      <c r="A678" t="s">
        <v>12326</v>
      </c>
      <c r="B678" t="s">
        <v>12327</v>
      </c>
      <c r="I678" t="s">
        <v>12328</v>
      </c>
      <c r="J678" s="3">
        <v>-0.221524</v>
      </c>
      <c r="K678" s="3">
        <v>-0.36901729999999999</v>
      </c>
      <c r="L678" s="3">
        <v>-0.23927570000000001</v>
      </c>
    </row>
    <row r="679" spans="1:12" x14ac:dyDescent="0.25">
      <c r="A679" t="s">
        <v>12323</v>
      </c>
      <c r="B679" t="s">
        <v>12324</v>
      </c>
      <c r="I679" t="s">
        <v>12325</v>
      </c>
      <c r="J679" s="3">
        <v>-0.22629759999999999</v>
      </c>
      <c r="K679" s="3">
        <v>-0.64386220000000005</v>
      </c>
      <c r="L679" s="3">
        <v>-0.18619160000000001</v>
      </c>
    </row>
    <row r="680" spans="1:12" x14ac:dyDescent="0.25">
      <c r="A680" t="s">
        <v>12320</v>
      </c>
      <c r="B680" t="s">
        <v>12321</v>
      </c>
      <c r="I680" t="s">
        <v>12322</v>
      </c>
      <c r="J680" s="3">
        <v>-0.20087969999999999</v>
      </c>
      <c r="K680" s="3">
        <v>0.36303419999999997</v>
      </c>
      <c r="L680" s="3">
        <v>3.1025049999999998E-2</v>
      </c>
    </row>
    <row r="681" spans="1:12" x14ac:dyDescent="0.25">
      <c r="A681" t="s">
        <v>12317</v>
      </c>
      <c r="B681" t="s">
        <v>12318</v>
      </c>
      <c r="I681" t="s">
        <v>12319</v>
      </c>
      <c r="J681" s="3">
        <v>0.1325664</v>
      </c>
      <c r="K681" s="3">
        <v>-0.20847460000000001</v>
      </c>
      <c r="L681" s="3">
        <v>7.5657730000000006E-2</v>
      </c>
    </row>
    <row r="682" spans="1:12" x14ac:dyDescent="0.25">
      <c r="A682" t="s">
        <v>12316</v>
      </c>
      <c r="B682" t="s">
        <v>957</v>
      </c>
      <c r="I682" t="s">
        <v>455</v>
      </c>
      <c r="J682" s="3">
        <v>-0.21515500000000001</v>
      </c>
      <c r="K682" s="3">
        <v>-0.74605089999999996</v>
      </c>
      <c r="L682" s="3">
        <v>-0.1254468</v>
      </c>
    </row>
    <row r="683" spans="1:12" x14ac:dyDescent="0.25">
      <c r="A683" t="s">
        <v>12313</v>
      </c>
      <c r="B683" t="s">
        <v>12314</v>
      </c>
      <c r="I683" t="s">
        <v>12315</v>
      </c>
      <c r="J683" s="3">
        <v>-0.65675649999999997</v>
      </c>
      <c r="K683" s="3">
        <v>0.76018390000000002</v>
      </c>
      <c r="L683" s="3">
        <v>-1.4284920000000001</v>
      </c>
    </row>
    <row r="684" spans="1:12" x14ac:dyDescent="0.25">
      <c r="A684" t="s">
        <v>12312</v>
      </c>
      <c r="B684" t="s">
        <v>12310</v>
      </c>
      <c r="I684" t="s">
        <v>12311</v>
      </c>
      <c r="J684" s="3">
        <v>-0.71734319999999996</v>
      </c>
      <c r="K684" s="3">
        <v>0.59946929999999998</v>
      </c>
      <c r="L684" s="3">
        <v>-1.555723</v>
      </c>
    </row>
    <row r="685" spans="1:12" x14ac:dyDescent="0.25">
      <c r="A685" t="s">
        <v>12309</v>
      </c>
      <c r="B685" t="s">
        <v>12310</v>
      </c>
      <c r="I685" t="s">
        <v>12311</v>
      </c>
      <c r="J685" s="3">
        <v>-0.56495859999999998</v>
      </c>
      <c r="K685" s="3">
        <v>0.55845690000000003</v>
      </c>
      <c r="L685" s="3">
        <v>-1.2786470000000001</v>
      </c>
    </row>
    <row r="686" spans="1:12" x14ac:dyDescent="0.25">
      <c r="A686" t="s">
        <v>12307</v>
      </c>
      <c r="B686" t="s">
        <v>12308</v>
      </c>
      <c r="I686" t="s">
        <v>1416</v>
      </c>
      <c r="J686" s="3">
        <v>-0.30276609999999998</v>
      </c>
      <c r="K686" s="3">
        <v>-0.1199841</v>
      </c>
      <c r="L686" s="3">
        <v>-1.7086299999999999E-2</v>
      </c>
    </row>
    <row r="687" spans="1:12" x14ac:dyDescent="0.25">
      <c r="A687" t="s">
        <v>12304</v>
      </c>
      <c r="B687" t="s">
        <v>12305</v>
      </c>
      <c r="I687" t="s">
        <v>12306</v>
      </c>
      <c r="J687" s="3">
        <v>0.97622750000000003</v>
      </c>
      <c r="K687" s="3">
        <v>0.62758119999999995</v>
      </c>
      <c r="L687" s="3">
        <v>0.83826089999999998</v>
      </c>
    </row>
    <row r="688" spans="1:12" x14ac:dyDescent="0.25">
      <c r="A688" t="s">
        <v>12302</v>
      </c>
      <c r="B688" t="s">
        <v>12303</v>
      </c>
      <c r="I688" t="s">
        <v>6302</v>
      </c>
      <c r="J688" s="3">
        <v>-0.15597949999999999</v>
      </c>
      <c r="K688" s="3">
        <v>-0.28235110000000002</v>
      </c>
      <c r="L688" s="3">
        <v>9.2049249999999999E-2</v>
      </c>
    </row>
    <row r="689" spans="1:12" x14ac:dyDescent="0.25">
      <c r="A689" t="s">
        <v>12299</v>
      </c>
      <c r="B689" t="s">
        <v>12300</v>
      </c>
      <c r="I689" t="s">
        <v>12301</v>
      </c>
      <c r="J689" s="3">
        <v>-0.2807692</v>
      </c>
      <c r="K689" s="3">
        <v>-0.67281170000000001</v>
      </c>
      <c r="L689" s="3">
        <v>-0.1624314</v>
      </c>
    </row>
    <row r="690" spans="1:12" x14ac:dyDescent="0.25">
      <c r="A690" t="s">
        <v>13396</v>
      </c>
      <c r="B690" t="s">
        <v>12297</v>
      </c>
      <c r="I690" t="s">
        <v>12298</v>
      </c>
      <c r="J690" s="3">
        <v>0.20031470000000001</v>
      </c>
      <c r="K690" s="3">
        <v>-0.1263939</v>
      </c>
      <c r="L690" s="3">
        <v>0.16035579999999999</v>
      </c>
    </row>
    <row r="691" spans="1:12" x14ac:dyDescent="0.25">
      <c r="A691" t="s">
        <v>13394</v>
      </c>
      <c r="B691" t="s">
        <v>13395</v>
      </c>
      <c r="I691" t="s">
        <v>430</v>
      </c>
      <c r="J691" s="3">
        <v>-0.54357489999999997</v>
      </c>
      <c r="K691" s="3">
        <v>-0.96290500000000001</v>
      </c>
      <c r="L691" s="3">
        <v>-0.6899518</v>
      </c>
    </row>
    <row r="692" spans="1:12" x14ac:dyDescent="0.25">
      <c r="A692" t="s">
        <v>13392</v>
      </c>
      <c r="B692" t="s">
        <v>957</v>
      </c>
      <c r="I692" t="s">
        <v>13393</v>
      </c>
      <c r="J692" s="3">
        <v>0.28030620000000001</v>
      </c>
      <c r="K692" s="3">
        <v>0.43895010000000001</v>
      </c>
      <c r="L692" s="3">
        <v>0.33270759999999999</v>
      </c>
    </row>
    <row r="693" spans="1:12" x14ac:dyDescent="0.25">
      <c r="A693" t="s">
        <v>13389</v>
      </c>
      <c r="B693" t="s">
        <v>13390</v>
      </c>
      <c r="I693" t="s">
        <v>13391</v>
      </c>
      <c r="J693" s="3">
        <v>0.2286668</v>
      </c>
      <c r="K693" s="3">
        <v>3.4864970000000002E-2</v>
      </c>
      <c r="L693" s="3">
        <v>-0.1632034</v>
      </c>
    </row>
    <row r="694" spans="1:12" x14ac:dyDescent="0.25">
      <c r="A694" t="s">
        <v>13386</v>
      </c>
      <c r="B694" t="s">
        <v>13387</v>
      </c>
      <c r="I694" t="s">
        <v>13388</v>
      </c>
      <c r="J694" s="3">
        <v>0.44434610000000002</v>
      </c>
      <c r="K694" s="3">
        <v>0.3011104</v>
      </c>
      <c r="L694" s="3">
        <v>0.14929200000000001</v>
      </c>
    </row>
    <row r="695" spans="1:12" x14ac:dyDescent="0.25">
      <c r="A695" t="s">
        <v>13383</v>
      </c>
      <c r="B695" t="s">
        <v>13384</v>
      </c>
      <c r="I695" t="s">
        <v>13385</v>
      </c>
      <c r="J695" s="3">
        <v>1.144001</v>
      </c>
      <c r="K695" s="3">
        <v>-0.1155529</v>
      </c>
      <c r="L695" s="3">
        <v>0.66613920000000004</v>
      </c>
    </row>
    <row r="696" spans="1:12" x14ac:dyDescent="0.25">
      <c r="A696" t="s">
        <v>13380</v>
      </c>
      <c r="B696" t="s">
        <v>13381</v>
      </c>
      <c r="I696" t="s">
        <v>13382</v>
      </c>
      <c r="J696" s="3">
        <v>0.37510399999999999</v>
      </c>
      <c r="K696" s="3">
        <v>-7.1074509999999994E-2</v>
      </c>
      <c r="L696" s="3">
        <v>0.42455569999999998</v>
      </c>
    </row>
    <row r="697" spans="1:12" x14ac:dyDescent="0.25">
      <c r="A697" t="s">
        <v>12292</v>
      </c>
      <c r="B697" t="s">
        <v>12293</v>
      </c>
      <c r="I697" t="s">
        <v>13379</v>
      </c>
      <c r="J697" s="3">
        <v>-0.1687477</v>
      </c>
      <c r="K697" s="3">
        <v>0.45288450000000002</v>
      </c>
      <c r="L697" s="3">
        <v>-1.9633109999999999E-2</v>
      </c>
    </row>
    <row r="698" spans="1:12" x14ac:dyDescent="0.25">
      <c r="A698" t="s">
        <v>12289</v>
      </c>
      <c r="B698" t="s">
        <v>12290</v>
      </c>
      <c r="I698" t="s">
        <v>12291</v>
      </c>
      <c r="J698" s="3">
        <v>-0.39814749999999999</v>
      </c>
      <c r="K698" s="3">
        <v>-1.2382899999999999</v>
      </c>
      <c r="L698" s="3">
        <v>-0.63727160000000005</v>
      </c>
    </row>
    <row r="699" spans="1:12" x14ac:dyDescent="0.25">
      <c r="A699" t="s">
        <v>12287</v>
      </c>
      <c r="B699" t="s">
        <v>12288</v>
      </c>
      <c r="I699" t="s">
        <v>702</v>
      </c>
      <c r="J699" s="3">
        <v>-0.15104110000000001</v>
      </c>
      <c r="K699" s="3">
        <v>-8.7725899999999996E-2</v>
      </c>
      <c r="L699" s="3">
        <v>-0.35448410000000002</v>
      </c>
    </row>
    <row r="700" spans="1:12" x14ac:dyDescent="0.25">
      <c r="A700" t="s">
        <v>12284</v>
      </c>
      <c r="B700" t="s">
        <v>12285</v>
      </c>
      <c r="I700" t="s">
        <v>12286</v>
      </c>
      <c r="J700" s="3">
        <v>0.46188299999999999</v>
      </c>
      <c r="K700" s="3">
        <v>0.17286570000000001</v>
      </c>
      <c r="L700" s="3">
        <v>0.31536350000000002</v>
      </c>
    </row>
    <row r="701" spans="1:12" x14ac:dyDescent="0.25">
      <c r="A701" t="s">
        <v>12281</v>
      </c>
      <c r="B701" t="s">
        <v>12282</v>
      </c>
      <c r="I701" t="s">
        <v>12283</v>
      </c>
      <c r="J701" s="3">
        <v>-0.32502589999999998</v>
      </c>
      <c r="K701" s="3">
        <v>-0.75172079999999997</v>
      </c>
      <c r="L701" s="3">
        <v>-0.40191399999999999</v>
      </c>
    </row>
    <row r="702" spans="1:12" x14ac:dyDescent="0.25">
      <c r="A702" t="s">
        <v>12280</v>
      </c>
      <c r="B702" t="s">
        <v>957</v>
      </c>
      <c r="I702" t="s">
        <v>455</v>
      </c>
      <c r="J702" s="3">
        <v>1.627739</v>
      </c>
      <c r="K702" s="3">
        <v>1.8224279999999999</v>
      </c>
      <c r="L702" s="3">
        <v>1.39689</v>
      </c>
    </row>
    <row r="703" spans="1:12" x14ac:dyDescent="0.25">
      <c r="A703" t="s">
        <v>12277</v>
      </c>
      <c r="B703" t="s">
        <v>12278</v>
      </c>
      <c r="I703" t="s">
        <v>12279</v>
      </c>
      <c r="J703" s="3">
        <v>-6.2409379999999997E-3</v>
      </c>
      <c r="K703" s="3">
        <v>-0.87065219999999999</v>
      </c>
      <c r="L703" s="3">
        <v>2.3228410000000001E-2</v>
      </c>
    </row>
    <row r="704" spans="1:12" x14ac:dyDescent="0.25">
      <c r="A704" t="s">
        <v>12274</v>
      </c>
      <c r="B704" t="s">
        <v>12275</v>
      </c>
      <c r="I704" t="s">
        <v>12276</v>
      </c>
      <c r="J704" s="3">
        <v>-4.9745249999999998E-2</v>
      </c>
      <c r="K704" s="3">
        <v>1.1536409999999999</v>
      </c>
      <c r="L704" s="3">
        <v>0.72502449999999996</v>
      </c>
    </row>
    <row r="705" spans="1:12" x14ac:dyDescent="0.25">
      <c r="A705" t="s">
        <v>12271</v>
      </c>
      <c r="B705" t="s">
        <v>12272</v>
      </c>
      <c r="I705" t="s">
        <v>12273</v>
      </c>
      <c r="J705" s="3">
        <v>0.34465580000000001</v>
      </c>
      <c r="K705" s="3">
        <v>0.56942950000000003</v>
      </c>
      <c r="L705" s="3">
        <v>0.28382800000000002</v>
      </c>
    </row>
    <row r="706" spans="1:12" x14ac:dyDescent="0.25">
      <c r="A706" t="s">
        <v>12270</v>
      </c>
      <c r="B706" t="s">
        <v>14135</v>
      </c>
      <c r="C706" t="s">
        <v>14136</v>
      </c>
      <c r="I706" t="s">
        <v>4171</v>
      </c>
      <c r="J706" s="3">
        <v>0.28253</v>
      </c>
      <c r="K706" s="3">
        <v>0.3275496</v>
      </c>
      <c r="L706" s="3">
        <v>0.38123839999999998</v>
      </c>
    </row>
    <row r="707" spans="1:12" x14ac:dyDescent="0.25">
      <c r="A707" t="s">
        <v>12269</v>
      </c>
      <c r="B707" t="s">
        <v>957</v>
      </c>
      <c r="I707" t="s">
        <v>455</v>
      </c>
      <c r="J707" s="3">
        <v>-0.1809337</v>
      </c>
      <c r="K707" s="3">
        <v>-0.35764000000000001</v>
      </c>
      <c r="L707" s="3">
        <v>-0.48177409999999998</v>
      </c>
    </row>
    <row r="708" spans="1:12" x14ac:dyDescent="0.25">
      <c r="A708" t="s">
        <v>12266</v>
      </c>
      <c r="B708" t="s">
        <v>12267</v>
      </c>
      <c r="I708" t="s">
        <v>12268</v>
      </c>
      <c r="J708" s="3">
        <v>8.1953880000000007E-2</v>
      </c>
      <c r="K708" s="3">
        <v>6.9221160000000004E-2</v>
      </c>
      <c r="L708" s="3">
        <v>-5.2413500000000002E-2</v>
      </c>
    </row>
    <row r="709" spans="1:12" x14ac:dyDescent="0.25">
      <c r="A709" t="s">
        <v>12263</v>
      </c>
      <c r="B709" t="s">
        <v>12264</v>
      </c>
      <c r="I709" t="s">
        <v>12265</v>
      </c>
      <c r="J709" s="3">
        <v>-0.60369249999999997</v>
      </c>
      <c r="K709" s="3">
        <v>-0.92755010000000004</v>
      </c>
      <c r="L709" s="3">
        <v>-0.45937830000000002</v>
      </c>
    </row>
    <row r="710" spans="1:12" x14ac:dyDescent="0.25">
      <c r="A710" t="s">
        <v>12260</v>
      </c>
      <c r="B710" t="s">
        <v>12261</v>
      </c>
      <c r="I710" t="s">
        <v>12262</v>
      </c>
      <c r="J710" s="3">
        <v>-7.994946E-2</v>
      </c>
      <c r="K710" s="3">
        <v>-8.0419980000000002E-2</v>
      </c>
      <c r="L710" s="3">
        <v>-0.224105</v>
      </c>
    </row>
    <row r="711" spans="1:12" x14ac:dyDescent="0.25">
      <c r="A711" t="s">
        <v>12257</v>
      </c>
      <c r="B711" t="s">
        <v>12258</v>
      </c>
      <c r="I711" t="s">
        <v>12259</v>
      </c>
      <c r="J711" s="3">
        <v>-0.26578079999999998</v>
      </c>
      <c r="K711" s="3">
        <v>-0.18865589999999999</v>
      </c>
      <c r="L711" s="3">
        <v>-0.2413651</v>
      </c>
    </row>
    <row r="712" spans="1:12" x14ac:dyDescent="0.25">
      <c r="A712" t="s">
        <v>12254</v>
      </c>
      <c r="B712" t="s">
        <v>12255</v>
      </c>
      <c r="I712" t="s">
        <v>12256</v>
      </c>
      <c r="J712" s="3">
        <v>0.170935</v>
      </c>
      <c r="K712" s="3">
        <v>4.8843079999999997E-2</v>
      </c>
      <c r="L712" s="3">
        <v>0.1153634</v>
      </c>
    </row>
    <row r="713" spans="1:12" x14ac:dyDescent="0.25">
      <c r="A713" t="s">
        <v>12251</v>
      </c>
      <c r="B713" t="s">
        <v>12252</v>
      </c>
      <c r="I713" t="s">
        <v>12253</v>
      </c>
      <c r="J713" s="3">
        <v>-0.64456590000000002</v>
      </c>
      <c r="K713" s="3">
        <v>-1.289539</v>
      </c>
      <c r="L713" s="3">
        <v>-0.61129940000000005</v>
      </c>
    </row>
    <row r="714" spans="1:12" x14ac:dyDescent="0.25">
      <c r="A714" t="s">
        <v>12250</v>
      </c>
      <c r="B714" t="s">
        <v>957</v>
      </c>
      <c r="I714" t="s">
        <v>3537</v>
      </c>
      <c r="J714" s="3">
        <v>0.44697759999999997</v>
      </c>
      <c r="K714" s="3">
        <v>0.63728940000000001</v>
      </c>
      <c r="L714" s="3">
        <v>0.53705099999999995</v>
      </c>
    </row>
    <row r="715" spans="1:12" x14ac:dyDescent="0.25">
      <c r="A715" t="s">
        <v>12249</v>
      </c>
      <c r="B715" t="s">
        <v>957</v>
      </c>
      <c r="I715" t="s">
        <v>455</v>
      </c>
      <c r="J715" s="3">
        <v>-0.14960419999999999</v>
      </c>
      <c r="K715" s="3">
        <v>-4.7482320000000001E-2</v>
      </c>
      <c r="L715" s="3">
        <v>-0.1556013</v>
      </c>
    </row>
    <row r="716" spans="1:12" x14ac:dyDescent="0.25">
      <c r="A716" t="s">
        <v>12246</v>
      </c>
      <c r="B716" t="s">
        <v>12247</v>
      </c>
      <c r="I716" t="s">
        <v>12248</v>
      </c>
      <c r="J716" s="3">
        <v>-0.49554939999999997</v>
      </c>
      <c r="K716" s="3">
        <v>-0.89982770000000001</v>
      </c>
      <c r="L716" s="3">
        <v>-0.59950210000000004</v>
      </c>
    </row>
    <row r="717" spans="1:12" x14ac:dyDescent="0.25">
      <c r="A717" t="s">
        <v>12245</v>
      </c>
      <c r="B717" t="s">
        <v>14137</v>
      </c>
      <c r="C717" t="s">
        <v>14138</v>
      </c>
      <c r="I717" t="s">
        <v>4117</v>
      </c>
      <c r="J717" s="3">
        <v>0.36891570000000001</v>
      </c>
      <c r="K717" s="3">
        <v>0.10441930000000001</v>
      </c>
      <c r="L717" s="3">
        <v>0.51540589999999997</v>
      </c>
    </row>
    <row r="718" spans="1:12" x14ac:dyDescent="0.25">
      <c r="A718" t="s">
        <v>12242</v>
      </c>
      <c r="B718" t="s">
        <v>12243</v>
      </c>
      <c r="I718" t="s">
        <v>12244</v>
      </c>
      <c r="J718" s="3">
        <v>0.63915679999999997</v>
      </c>
      <c r="K718" s="3">
        <v>0.144814</v>
      </c>
      <c r="L718" s="3">
        <v>0.18686120000000001</v>
      </c>
    </row>
    <row r="719" spans="1:12" x14ac:dyDescent="0.25">
      <c r="A719" t="s">
        <v>12239</v>
      </c>
      <c r="B719" t="s">
        <v>12240</v>
      </c>
      <c r="I719" t="s">
        <v>12241</v>
      </c>
      <c r="J719" s="3">
        <v>0.39821669999999998</v>
      </c>
      <c r="K719" s="3">
        <v>-6.2545199999999995E-2</v>
      </c>
      <c r="L719" s="3">
        <v>0.34884870000000001</v>
      </c>
    </row>
    <row r="720" spans="1:12" x14ac:dyDescent="0.25">
      <c r="A720" t="s">
        <v>12236</v>
      </c>
      <c r="B720" t="s">
        <v>12237</v>
      </c>
      <c r="I720" t="s">
        <v>12238</v>
      </c>
      <c r="J720" s="3">
        <v>-0.14508650000000001</v>
      </c>
      <c r="K720" s="3">
        <v>-0.23454710000000001</v>
      </c>
      <c r="L720" s="3">
        <v>-0.16983509999999999</v>
      </c>
    </row>
    <row r="721" spans="1:12" x14ac:dyDescent="0.25">
      <c r="A721" t="s">
        <v>12233</v>
      </c>
      <c r="B721" t="s">
        <v>12234</v>
      </c>
      <c r="I721" t="s">
        <v>12235</v>
      </c>
      <c r="J721" s="3">
        <v>7.2846519999999998E-2</v>
      </c>
      <c r="K721" s="3">
        <v>0.42333130000000002</v>
      </c>
      <c r="L721" s="3">
        <v>0.37768940000000001</v>
      </c>
    </row>
    <row r="722" spans="1:12" x14ac:dyDescent="0.25">
      <c r="A722" t="s">
        <v>12230</v>
      </c>
      <c r="B722" t="s">
        <v>12231</v>
      </c>
      <c r="I722" t="s">
        <v>12232</v>
      </c>
      <c r="J722" s="3">
        <v>-0.23215839999999999</v>
      </c>
      <c r="K722" s="3">
        <v>-0.37714229999999999</v>
      </c>
      <c r="L722" s="3">
        <v>-0.25495509999999999</v>
      </c>
    </row>
    <row r="723" spans="1:12" x14ac:dyDescent="0.25">
      <c r="A723" t="s">
        <v>12227</v>
      </c>
      <c r="B723" t="s">
        <v>12228</v>
      </c>
      <c r="I723" t="s">
        <v>12229</v>
      </c>
      <c r="J723" s="3">
        <v>0.39417059999999998</v>
      </c>
      <c r="K723" s="3">
        <v>0.408273</v>
      </c>
      <c r="L723" s="3">
        <v>0.35509200000000002</v>
      </c>
    </row>
    <row r="724" spans="1:12" x14ac:dyDescent="0.25">
      <c r="A724" t="s">
        <v>12226</v>
      </c>
      <c r="B724" t="s">
        <v>14139</v>
      </c>
      <c r="C724" t="s">
        <v>14140</v>
      </c>
      <c r="I724" t="s">
        <v>3310</v>
      </c>
      <c r="J724" s="3">
        <v>1.21262</v>
      </c>
      <c r="K724" s="3">
        <v>0.7665729</v>
      </c>
      <c r="L724" s="3">
        <v>1.2543150000000001</v>
      </c>
    </row>
    <row r="725" spans="1:12" x14ac:dyDescent="0.25">
      <c r="A725" t="s">
        <v>12223</v>
      </c>
      <c r="B725" t="s">
        <v>12224</v>
      </c>
      <c r="I725" t="s">
        <v>12225</v>
      </c>
      <c r="J725" s="3">
        <v>0.84398499999999999</v>
      </c>
      <c r="K725" s="3">
        <v>0.74551900000000004</v>
      </c>
      <c r="L725" s="3">
        <v>0.86889249999999996</v>
      </c>
    </row>
    <row r="726" spans="1:12" x14ac:dyDescent="0.25">
      <c r="A726" t="s">
        <v>12220</v>
      </c>
      <c r="B726" t="s">
        <v>12221</v>
      </c>
      <c r="I726" t="s">
        <v>12222</v>
      </c>
      <c r="J726" s="3">
        <v>-0.25965339999999998</v>
      </c>
      <c r="K726" s="3">
        <v>-0.28741260000000002</v>
      </c>
      <c r="L726" s="3">
        <v>-0.25223909999999999</v>
      </c>
    </row>
    <row r="727" spans="1:12" x14ac:dyDescent="0.25">
      <c r="A727" t="s">
        <v>12219</v>
      </c>
      <c r="B727" t="s">
        <v>957</v>
      </c>
      <c r="I727" t="s">
        <v>455</v>
      </c>
      <c r="J727" s="3">
        <v>-1.4385220000000001</v>
      </c>
      <c r="K727" s="3">
        <v>-1.3574710000000001</v>
      </c>
      <c r="L727" s="3">
        <v>-0.4971025</v>
      </c>
    </row>
    <row r="728" spans="1:12" x14ac:dyDescent="0.25">
      <c r="A728" t="s">
        <v>12217</v>
      </c>
      <c r="B728" t="s">
        <v>12218</v>
      </c>
      <c r="I728" t="s">
        <v>3304</v>
      </c>
      <c r="J728" s="3">
        <v>0.1160288</v>
      </c>
      <c r="K728" s="3">
        <v>0.26443040000000001</v>
      </c>
      <c r="L728" s="3">
        <v>0.16409860000000001</v>
      </c>
    </row>
    <row r="729" spans="1:12" x14ac:dyDescent="0.25">
      <c r="A729" t="s">
        <v>12216</v>
      </c>
      <c r="B729" t="s">
        <v>957</v>
      </c>
      <c r="I729" t="s">
        <v>455</v>
      </c>
      <c r="J729" s="3">
        <v>1.9940159999999998E-2</v>
      </c>
      <c r="K729" s="3">
        <v>0.37055460000000001</v>
      </c>
      <c r="L729" s="3">
        <v>0.13602510000000001</v>
      </c>
    </row>
    <row r="730" spans="1:12" x14ac:dyDescent="0.25">
      <c r="A730" t="s">
        <v>12213</v>
      </c>
      <c r="B730" t="s">
        <v>12214</v>
      </c>
      <c r="I730" t="s">
        <v>12215</v>
      </c>
      <c r="J730" s="3">
        <v>2.7029879999999999E-3</v>
      </c>
      <c r="K730" s="3">
        <v>-0.3116913</v>
      </c>
      <c r="L730" s="3">
        <v>-3.371789E-2</v>
      </c>
    </row>
    <row r="731" spans="1:12" x14ac:dyDescent="0.25">
      <c r="A731" t="s">
        <v>12210</v>
      </c>
      <c r="B731" t="s">
        <v>12211</v>
      </c>
      <c r="I731" t="s">
        <v>12212</v>
      </c>
      <c r="J731" s="3">
        <v>-0.17096900000000001</v>
      </c>
      <c r="K731" s="3">
        <v>-0.41972369999999998</v>
      </c>
      <c r="L731" s="3">
        <v>-0.16579340000000001</v>
      </c>
    </row>
    <row r="732" spans="1:12" x14ac:dyDescent="0.25">
      <c r="A732" t="s">
        <v>12208</v>
      </c>
      <c r="B732" t="s">
        <v>957</v>
      </c>
      <c r="I732" t="s">
        <v>12209</v>
      </c>
      <c r="J732" s="3">
        <v>0.107761</v>
      </c>
      <c r="K732" s="3">
        <v>3.7989580000000002E-2</v>
      </c>
      <c r="L732" s="3">
        <v>-1.4954700000000001E-4</v>
      </c>
    </row>
    <row r="733" spans="1:12" x14ac:dyDescent="0.25">
      <c r="A733" t="s">
        <v>12205</v>
      </c>
      <c r="B733" t="s">
        <v>12206</v>
      </c>
      <c r="I733" t="s">
        <v>12207</v>
      </c>
      <c r="J733" s="3">
        <v>-0.7177983</v>
      </c>
      <c r="K733" s="3">
        <v>-0.44157689999999999</v>
      </c>
      <c r="L733" s="3">
        <v>-0.24519579999999999</v>
      </c>
    </row>
    <row r="734" spans="1:12" x14ac:dyDescent="0.25">
      <c r="A734" t="s">
        <v>12202</v>
      </c>
      <c r="B734" t="s">
        <v>12203</v>
      </c>
      <c r="I734" t="s">
        <v>12204</v>
      </c>
      <c r="J734" s="3">
        <v>0.21688930000000001</v>
      </c>
      <c r="K734" s="3">
        <v>-8.2394499999999996E-2</v>
      </c>
      <c r="L734" s="3">
        <v>0.3857603</v>
      </c>
    </row>
    <row r="735" spans="1:12" x14ac:dyDescent="0.25">
      <c r="A735" t="s">
        <v>11475</v>
      </c>
      <c r="B735" t="s">
        <v>12200</v>
      </c>
      <c r="I735" t="s">
        <v>12201</v>
      </c>
      <c r="J735" s="3">
        <v>-0.4337298</v>
      </c>
      <c r="K735" s="3">
        <v>-0.94059349999999997</v>
      </c>
      <c r="L735" s="3">
        <v>-0.30620429999999998</v>
      </c>
    </row>
    <row r="736" spans="1:12" x14ac:dyDescent="0.25">
      <c r="A736" t="s">
        <v>11472</v>
      </c>
      <c r="B736" t="s">
        <v>11473</v>
      </c>
      <c r="I736" t="s">
        <v>11474</v>
      </c>
      <c r="J736" s="3">
        <v>-0.22303609999999999</v>
      </c>
      <c r="K736" s="3">
        <v>0.19032589999999999</v>
      </c>
      <c r="L736" s="3">
        <v>-0.30487120000000001</v>
      </c>
    </row>
    <row r="737" spans="1:12" x14ac:dyDescent="0.25">
      <c r="A737" t="s">
        <v>11469</v>
      </c>
      <c r="B737" t="s">
        <v>11470</v>
      </c>
      <c r="I737" t="s">
        <v>11471</v>
      </c>
      <c r="J737" s="3">
        <v>-6.9836330000000002E-2</v>
      </c>
      <c r="K737" s="3">
        <v>-7.1373790000000006E-2</v>
      </c>
      <c r="L737" s="3">
        <v>-0.15957569999999999</v>
      </c>
    </row>
    <row r="738" spans="1:12" x14ac:dyDescent="0.25">
      <c r="A738" t="s">
        <v>11466</v>
      </c>
      <c r="B738" t="s">
        <v>11467</v>
      </c>
      <c r="I738" t="s">
        <v>11468</v>
      </c>
      <c r="J738" s="3">
        <v>-0.38374619999999998</v>
      </c>
      <c r="K738" s="3">
        <v>-0.78799710000000001</v>
      </c>
      <c r="L738" s="3">
        <v>-0.3092608</v>
      </c>
    </row>
    <row r="739" spans="1:12" x14ac:dyDescent="0.25">
      <c r="A739" t="s">
        <v>13119</v>
      </c>
      <c r="B739" t="s">
        <v>13120</v>
      </c>
      <c r="I739" t="s">
        <v>11465</v>
      </c>
      <c r="J739" s="3">
        <v>0.45944550000000001</v>
      </c>
      <c r="K739" s="3">
        <v>-1.448761E-2</v>
      </c>
      <c r="L739" s="3">
        <v>0.39695429999999998</v>
      </c>
    </row>
    <row r="740" spans="1:12" x14ac:dyDescent="0.25">
      <c r="A740" t="s">
        <v>13118</v>
      </c>
      <c r="B740" t="s">
        <v>957</v>
      </c>
      <c r="I740" t="s">
        <v>475</v>
      </c>
      <c r="J740" s="3">
        <v>-9.3914919999999999E-2</v>
      </c>
      <c r="K740" s="3">
        <v>-0.48369610000000002</v>
      </c>
      <c r="L740" s="3">
        <v>2.6570070000000001E-2</v>
      </c>
    </row>
    <row r="741" spans="1:12" x14ac:dyDescent="0.25">
      <c r="A741" t="s">
        <v>13115</v>
      </c>
      <c r="B741" t="s">
        <v>13116</v>
      </c>
      <c r="I741" t="s">
        <v>13117</v>
      </c>
      <c r="J741" s="3">
        <v>-0.54548739999999996</v>
      </c>
      <c r="K741" s="3">
        <v>-0.58630819999999995</v>
      </c>
      <c r="L741" s="3">
        <v>-0.20502790000000001</v>
      </c>
    </row>
    <row r="742" spans="1:12" x14ac:dyDescent="0.25">
      <c r="A742" t="s">
        <v>13112</v>
      </c>
      <c r="B742" t="s">
        <v>13113</v>
      </c>
      <c r="I742" t="s">
        <v>13114</v>
      </c>
      <c r="J742" s="3">
        <v>-2.533144E-2</v>
      </c>
      <c r="K742" s="3">
        <v>0.2334021</v>
      </c>
      <c r="L742" s="3">
        <v>0.2123582</v>
      </c>
    </row>
    <row r="743" spans="1:12" x14ac:dyDescent="0.25">
      <c r="A743" t="s">
        <v>13109</v>
      </c>
      <c r="B743" t="s">
        <v>13110</v>
      </c>
      <c r="I743" t="s">
        <v>13111</v>
      </c>
      <c r="J743" s="3">
        <v>-0.38942640000000001</v>
      </c>
      <c r="K743" s="3">
        <v>-0.85347200000000001</v>
      </c>
      <c r="L743" s="3">
        <v>-0.31108560000000002</v>
      </c>
    </row>
    <row r="744" spans="1:12" x14ac:dyDescent="0.25">
      <c r="A744" t="s">
        <v>13106</v>
      </c>
      <c r="B744" t="s">
        <v>13107</v>
      </c>
      <c r="I744" t="s">
        <v>13108</v>
      </c>
      <c r="J744" s="3">
        <v>-0.25156899999999999</v>
      </c>
      <c r="K744" s="3">
        <v>-0.46058710000000003</v>
      </c>
      <c r="L744" s="3">
        <v>-4.7285069999999998E-2</v>
      </c>
    </row>
    <row r="745" spans="1:12" x14ac:dyDescent="0.25">
      <c r="A745" t="s">
        <v>13103</v>
      </c>
      <c r="B745" t="s">
        <v>13104</v>
      </c>
      <c r="I745" t="s">
        <v>13105</v>
      </c>
      <c r="J745" s="3">
        <v>0.13936860000000001</v>
      </c>
      <c r="K745" s="3">
        <v>-4.3143470000000003E-2</v>
      </c>
      <c r="L745" s="3">
        <v>0.2200154</v>
      </c>
    </row>
    <row r="746" spans="1:12" x14ac:dyDescent="0.25">
      <c r="A746" t="s">
        <v>13100</v>
      </c>
      <c r="B746" t="s">
        <v>13101</v>
      </c>
      <c r="I746" t="s">
        <v>13102</v>
      </c>
      <c r="J746" s="3">
        <v>-7.9699690000000004E-2</v>
      </c>
      <c r="K746" s="3">
        <v>-0.2101489</v>
      </c>
      <c r="L746" s="3">
        <v>-5.686915E-2</v>
      </c>
    </row>
    <row r="747" spans="1:12" x14ac:dyDescent="0.25">
      <c r="A747" t="s">
        <v>13097</v>
      </c>
      <c r="B747" t="s">
        <v>13098</v>
      </c>
      <c r="I747" t="s">
        <v>13099</v>
      </c>
      <c r="J747" s="3">
        <v>-0.60707219999999995</v>
      </c>
      <c r="K747" s="3">
        <v>-0.79264679999999998</v>
      </c>
      <c r="L747" s="3">
        <v>-0.51959180000000005</v>
      </c>
    </row>
    <row r="748" spans="1:12" x14ac:dyDescent="0.25">
      <c r="A748" t="s">
        <v>13094</v>
      </c>
      <c r="B748" t="s">
        <v>13095</v>
      </c>
      <c r="I748" t="s">
        <v>13096</v>
      </c>
      <c r="J748" s="3">
        <v>-0.55029919999999999</v>
      </c>
      <c r="K748" s="3">
        <v>-0.82086809999999999</v>
      </c>
      <c r="L748" s="3">
        <v>-0.34536149999999999</v>
      </c>
    </row>
    <row r="749" spans="1:12" x14ac:dyDescent="0.25">
      <c r="A749" t="s">
        <v>13091</v>
      </c>
      <c r="B749" t="s">
        <v>13092</v>
      </c>
      <c r="I749" t="s">
        <v>13093</v>
      </c>
      <c r="J749" s="3">
        <v>6.3605259999999997E-2</v>
      </c>
      <c r="K749" s="3">
        <v>-0.18089730000000001</v>
      </c>
      <c r="L749" s="3">
        <v>-1.7957810000000001E-2</v>
      </c>
    </row>
    <row r="750" spans="1:12" x14ac:dyDescent="0.25">
      <c r="A750" t="s">
        <v>13090</v>
      </c>
      <c r="B750" t="s">
        <v>957</v>
      </c>
      <c r="I750" t="s">
        <v>455</v>
      </c>
      <c r="J750" s="3">
        <v>0.54715400000000003</v>
      </c>
      <c r="K750" s="3">
        <v>0.64318620000000004</v>
      </c>
      <c r="L750" s="3">
        <v>8.3950549999999999E-2</v>
      </c>
    </row>
    <row r="751" spans="1:12" x14ac:dyDescent="0.25">
      <c r="A751" t="s">
        <v>13089</v>
      </c>
      <c r="B751" t="s">
        <v>957</v>
      </c>
      <c r="I751" t="s">
        <v>455</v>
      </c>
      <c r="J751" s="3">
        <v>0.70048560000000004</v>
      </c>
      <c r="K751" s="3">
        <v>7.4057540000000005E-2</v>
      </c>
      <c r="L751" s="3">
        <v>0.70914619999999995</v>
      </c>
    </row>
    <row r="752" spans="1:12" x14ac:dyDescent="0.25">
      <c r="A752" t="s">
        <v>13086</v>
      </c>
      <c r="B752" t="s">
        <v>13087</v>
      </c>
      <c r="I752" t="s">
        <v>13088</v>
      </c>
      <c r="J752" s="3">
        <v>0.53177140000000001</v>
      </c>
      <c r="K752" s="3">
        <v>0.67727990000000005</v>
      </c>
      <c r="L752" s="3">
        <v>0.18100359999999999</v>
      </c>
    </row>
    <row r="753" spans="1:12" x14ac:dyDescent="0.25">
      <c r="A753" t="s">
        <v>13083</v>
      </c>
      <c r="B753" t="s">
        <v>13084</v>
      </c>
      <c r="I753" t="s">
        <v>13085</v>
      </c>
      <c r="J753" s="3">
        <v>-0.88864370000000004</v>
      </c>
      <c r="K753" s="3">
        <v>-0.34467730000000002</v>
      </c>
      <c r="L753" s="3">
        <v>-0.27705950000000001</v>
      </c>
    </row>
    <row r="754" spans="1:12" x14ac:dyDescent="0.25">
      <c r="A754" t="s">
        <v>13080</v>
      </c>
      <c r="B754" t="s">
        <v>13081</v>
      </c>
      <c r="I754" t="s">
        <v>13082</v>
      </c>
      <c r="J754" s="3">
        <v>-5.7989539999999999E-2</v>
      </c>
      <c r="K754" s="3">
        <v>-0.8806484</v>
      </c>
      <c r="L754" s="3">
        <v>-2.241814E-2</v>
      </c>
    </row>
    <row r="755" spans="1:12" x14ac:dyDescent="0.25">
      <c r="A755" t="s">
        <v>13079</v>
      </c>
      <c r="B755" t="s">
        <v>957</v>
      </c>
      <c r="I755" t="s">
        <v>455</v>
      </c>
      <c r="J755" s="3">
        <v>7.9029199999999994E-2</v>
      </c>
      <c r="K755" s="3">
        <v>0.37520029999999999</v>
      </c>
      <c r="L755" s="3">
        <v>0.1540839</v>
      </c>
    </row>
    <row r="756" spans="1:12" x14ac:dyDescent="0.25">
      <c r="A756" t="s">
        <v>13076</v>
      </c>
      <c r="B756" t="s">
        <v>13077</v>
      </c>
      <c r="I756" t="s">
        <v>13078</v>
      </c>
      <c r="J756" s="3">
        <v>-0.23725350000000001</v>
      </c>
      <c r="K756" s="3">
        <v>-0.63483319999999999</v>
      </c>
      <c r="L756" s="3">
        <v>-6.8076200000000003E-2</v>
      </c>
    </row>
    <row r="757" spans="1:12" x14ac:dyDescent="0.25">
      <c r="A757" t="s">
        <v>13073</v>
      </c>
      <c r="B757" t="s">
        <v>13074</v>
      </c>
      <c r="I757" t="s">
        <v>13075</v>
      </c>
      <c r="J757" s="3">
        <v>-0.2433892</v>
      </c>
      <c r="K757" s="3">
        <v>-0.42835380000000001</v>
      </c>
      <c r="L757" s="3">
        <v>-0.20401949999999999</v>
      </c>
    </row>
    <row r="758" spans="1:12" x14ac:dyDescent="0.25">
      <c r="A758" t="s">
        <v>13070</v>
      </c>
      <c r="B758" t="s">
        <v>13071</v>
      </c>
      <c r="I758" t="s">
        <v>13072</v>
      </c>
      <c r="J758" s="3">
        <v>0.39489049999999998</v>
      </c>
      <c r="K758" s="3">
        <v>0.76038079999999997</v>
      </c>
      <c r="L758" s="3">
        <v>0.34948780000000002</v>
      </c>
    </row>
    <row r="759" spans="1:12" x14ac:dyDescent="0.25">
      <c r="A759" t="s">
        <v>13069</v>
      </c>
      <c r="B759" t="s">
        <v>957</v>
      </c>
      <c r="I759" t="s">
        <v>455</v>
      </c>
      <c r="J759" s="3">
        <v>0.2650498</v>
      </c>
      <c r="K759" s="3">
        <v>5.8886279999999999E-2</v>
      </c>
      <c r="L759" s="3">
        <v>3.5243959999999998E-2</v>
      </c>
    </row>
    <row r="760" spans="1:12" x14ac:dyDescent="0.25">
      <c r="A760" t="s">
        <v>13066</v>
      </c>
      <c r="B760" t="s">
        <v>13067</v>
      </c>
      <c r="I760" t="s">
        <v>13068</v>
      </c>
      <c r="J760" s="3">
        <v>-1.14079</v>
      </c>
      <c r="K760" s="3">
        <v>-1.474</v>
      </c>
      <c r="L760" s="3">
        <v>-0.95784630000000004</v>
      </c>
    </row>
    <row r="761" spans="1:12" x14ac:dyDescent="0.25">
      <c r="A761" t="s">
        <v>13065</v>
      </c>
      <c r="B761" t="s">
        <v>957</v>
      </c>
      <c r="I761" t="s">
        <v>455</v>
      </c>
      <c r="J761" s="3">
        <v>-6.1678829999999997E-2</v>
      </c>
      <c r="K761" s="3">
        <v>-0.11775960000000001</v>
      </c>
      <c r="L761" s="3">
        <v>0.32288040000000001</v>
      </c>
    </row>
    <row r="762" spans="1:12" x14ac:dyDescent="0.25">
      <c r="A762" t="s">
        <v>13062</v>
      </c>
      <c r="B762" t="s">
        <v>13063</v>
      </c>
      <c r="I762" t="s">
        <v>13064</v>
      </c>
      <c r="J762" s="3">
        <v>-9.7820690000000002E-2</v>
      </c>
      <c r="K762" s="3">
        <v>-0.64063700000000001</v>
      </c>
      <c r="L762" s="3">
        <v>-0.51016139999999999</v>
      </c>
    </row>
    <row r="763" spans="1:12" x14ac:dyDescent="0.25">
      <c r="A763" t="s">
        <v>13059</v>
      </c>
      <c r="B763" t="s">
        <v>13060</v>
      </c>
      <c r="I763" t="s">
        <v>13061</v>
      </c>
      <c r="J763" s="3">
        <v>0.1839655</v>
      </c>
      <c r="K763" s="3">
        <v>0.29960320000000001</v>
      </c>
      <c r="L763" s="3">
        <v>4.18807E-2</v>
      </c>
    </row>
    <row r="764" spans="1:12" x14ac:dyDescent="0.25">
      <c r="A764" t="s">
        <v>13057</v>
      </c>
      <c r="B764" t="s">
        <v>957</v>
      </c>
      <c r="I764" t="s">
        <v>13058</v>
      </c>
      <c r="J764" s="3">
        <v>0.21272250000000001</v>
      </c>
      <c r="K764" s="3">
        <v>0.21048349999999999</v>
      </c>
      <c r="L764" s="3">
        <v>0.16094929999999999</v>
      </c>
    </row>
    <row r="765" spans="1:12" x14ac:dyDescent="0.25">
      <c r="A765" t="s">
        <v>13054</v>
      </c>
      <c r="B765" t="s">
        <v>13055</v>
      </c>
      <c r="I765" t="s">
        <v>13056</v>
      </c>
      <c r="J765" s="3">
        <v>7.2900060000000003E-2</v>
      </c>
      <c r="K765" s="3">
        <v>0.3614773</v>
      </c>
      <c r="L765" s="3">
        <v>0.117604</v>
      </c>
    </row>
    <row r="766" spans="1:12" x14ac:dyDescent="0.25">
      <c r="A766" t="s">
        <v>13051</v>
      </c>
      <c r="B766" t="s">
        <v>13052</v>
      </c>
      <c r="I766" t="s">
        <v>13053</v>
      </c>
      <c r="J766" s="3">
        <v>-9.320428E-2</v>
      </c>
      <c r="K766" s="3">
        <v>-0.32251570000000002</v>
      </c>
      <c r="L766" s="3">
        <v>-9.2100310000000005E-2</v>
      </c>
    </row>
    <row r="767" spans="1:12" x14ac:dyDescent="0.25">
      <c r="A767" t="s">
        <v>13048</v>
      </c>
      <c r="B767" t="s">
        <v>13049</v>
      </c>
      <c r="I767" t="s">
        <v>13050</v>
      </c>
      <c r="J767" s="3">
        <v>0.1238754</v>
      </c>
      <c r="K767" s="3">
        <v>4.5591769999999997E-2</v>
      </c>
      <c r="L767" s="3">
        <v>0.26873449999999999</v>
      </c>
    </row>
    <row r="768" spans="1:12" x14ac:dyDescent="0.25">
      <c r="A768" t="s">
        <v>13045</v>
      </c>
      <c r="B768" t="s">
        <v>13046</v>
      </c>
      <c r="I768" t="s">
        <v>13047</v>
      </c>
      <c r="J768" s="3">
        <v>0.21016750000000001</v>
      </c>
      <c r="K768" s="3">
        <v>0.50268020000000002</v>
      </c>
      <c r="L768" s="3">
        <v>8.316047E-2</v>
      </c>
    </row>
    <row r="769" spans="1:12" x14ac:dyDescent="0.25">
      <c r="A769" t="s">
        <v>13044</v>
      </c>
      <c r="B769" t="s">
        <v>957</v>
      </c>
      <c r="I769" t="s">
        <v>455</v>
      </c>
      <c r="J769" s="3">
        <v>1.009592</v>
      </c>
      <c r="K769" s="3">
        <v>0.39251160000000002</v>
      </c>
      <c r="L769" s="3">
        <v>0.18425710000000001</v>
      </c>
    </row>
    <row r="770" spans="1:12" x14ac:dyDescent="0.25">
      <c r="A770" t="s">
        <v>13041</v>
      </c>
      <c r="B770" t="s">
        <v>13042</v>
      </c>
      <c r="I770" t="s">
        <v>13043</v>
      </c>
      <c r="J770" s="3">
        <v>0.8519525</v>
      </c>
      <c r="K770" s="3">
        <v>1.006229</v>
      </c>
      <c r="L770" s="3">
        <v>1.038208</v>
      </c>
    </row>
    <row r="771" spans="1:12" x14ac:dyDescent="0.25">
      <c r="A771" t="s">
        <v>13039</v>
      </c>
      <c r="B771" t="s">
        <v>13040</v>
      </c>
      <c r="I771" t="s">
        <v>9589</v>
      </c>
      <c r="J771" s="3">
        <v>-0.23875080000000001</v>
      </c>
      <c r="K771" s="3">
        <v>-0.41220109999999999</v>
      </c>
      <c r="L771" s="3">
        <v>-5.4701640000000003E-2</v>
      </c>
    </row>
    <row r="772" spans="1:12" x14ac:dyDescent="0.25">
      <c r="A772" t="s">
        <v>13036</v>
      </c>
      <c r="B772" t="s">
        <v>13037</v>
      </c>
      <c r="I772" t="s">
        <v>13038</v>
      </c>
      <c r="J772" s="3">
        <v>0.2148051</v>
      </c>
      <c r="K772" s="3">
        <v>-0.17289399999999999</v>
      </c>
      <c r="L772" s="3">
        <v>7.4540789999999996E-2</v>
      </c>
    </row>
    <row r="773" spans="1:12" x14ac:dyDescent="0.25">
      <c r="A773" t="s">
        <v>13033</v>
      </c>
      <c r="B773" t="s">
        <v>13034</v>
      </c>
      <c r="I773" t="s">
        <v>13035</v>
      </c>
      <c r="J773" s="3">
        <v>0.25194250000000001</v>
      </c>
      <c r="K773" s="3">
        <v>-0.33086559999999998</v>
      </c>
      <c r="L773" s="3">
        <v>0.2817788</v>
      </c>
    </row>
    <row r="774" spans="1:12" x14ac:dyDescent="0.25">
      <c r="A774" t="s">
        <v>13032</v>
      </c>
      <c r="B774" t="s">
        <v>957</v>
      </c>
      <c r="I774" t="s">
        <v>455</v>
      </c>
      <c r="J774" s="3">
        <v>0.31941890000000001</v>
      </c>
      <c r="K774" s="3">
        <v>2.2596970000000001E-2</v>
      </c>
      <c r="L774" s="3">
        <v>0.2115938</v>
      </c>
    </row>
    <row r="775" spans="1:12" x14ac:dyDescent="0.25">
      <c r="A775" t="s">
        <v>13029</v>
      </c>
      <c r="B775" t="s">
        <v>13030</v>
      </c>
      <c r="I775" t="s">
        <v>13031</v>
      </c>
      <c r="J775" s="3">
        <v>0.1432465</v>
      </c>
      <c r="K775" s="3">
        <v>2.0936010000000001E-2</v>
      </c>
      <c r="L775" s="3">
        <v>0.1310172</v>
      </c>
    </row>
    <row r="776" spans="1:12" x14ac:dyDescent="0.25">
      <c r="A776" t="s">
        <v>13026</v>
      </c>
      <c r="B776" t="s">
        <v>13027</v>
      </c>
      <c r="I776" t="s">
        <v>13028</v>
      </c>
      <c r="J776" s="3">
        <v>-0.18596799999999999</v>
      </c>
      <c r="K776" s="3">
        <v>-0.84586810000000001</v>
      </c>
      <c r="L776" s="3">
        <v>-8.4544400000000006E-2</v>
      </c>
    </row>
    <row r="777" spans="1:12" x14ac:dyDescent="0.25">
      <c r="A777" t="s">
        <v>13023</v>
      </c>
      <c r="B777" t="s">
        <v>13024</v>
      </c>
      <c r="I777" t="s">
        <v>13025</v>
      </c>
      <c r="J777" s="3">
        <v>-7.5450530000000002E-2</v>
      </c>
      <c r="K777" s="3">
        <v>-0.12442979999999999</v>
      </c>
      <c r="L777" s="3">
        <v>-0.1203327</v>
      </c>
    </row>
    <row r="778" spans="1:12" x14ac:dyDescent="0.25">
      <c r="A778" t="s">
        <v>13020</v>
      </c>
      <c r="B778" t="s">
        <v>13021</v>
      </c>
      <c r="I778" t="s">
        <v>13022</v>
      </c>
      <c r="J778" s="3">
        <v>0.49468329999999999</v>
      </c>
      <c r="K778" s="3">
        <v>0.94109160000000003</v>
      </c>
      <c r="L778" s="3">
        <v>0.22015870000000001</v>
      </c>
    </row>
    <row r="779" spans="1:12" x14ac:dyDescent="0.25">
      <c r="A779" t="s">
        <v>11463</v>
      </c>
      <c r="B779" t="s">
        <v>11464</v>
      </c>
      <c r="I779" t="s">
        <v>13019</v>
      </c>
      <c r="J779" s="3">
        <v>-0.1777347</v>
      </c>
      <c r="K779" s="3">
        <v>-0.59288949999999996</v>
      </c>
      <c r="L779" s="3">
        <v>6.8004239999999994E-2</v>
      </c>
    </row>
    <row r="780" spans="1:12" x14ac:dyDescent="0.25">
      <c r="A780" t="s">
        <v>11460</v>
      </c>
      <c r="B780" t="s">
        <v>11461</v>
      </c>
      <c r="I780" t="s">
        <v>11462</v>
      </c>
      <c r="J780" s="3">
        <v>0.1323906</v>
      </c>
      <c r="K780" s="3">
        <v>0.4554724</v>
      </c>
      <c r="L780" s="3">
        <v>0.38988299999999998</v>
      </c>
    </row>
    <row r="781" spans="1:12" x14ac:dyDescent="0.25">
      <c r="A781" t="s">
        <v>11457</v>
      </c>
      <c r="B781" t="s">
        <v>11458</v>
      </c>
      <c r="I781" t="s">
        <v>11459</v>
      </c>
      <c r="J781" s="3">
        <v>-4.122841E-2</v>
      </c>
      <c r="K781" s="3">
        <v>0.29710799999999998</v>
      </c>
      <c r="L781" s="3">
        <v>-0.27871639999999998</v>
      </c>
    </row>
    <row r="782" spans="1:12" x14ac:dyDescent="0.25">
      <c r="A782" t="s">
        <v>11454</v>
      </c>
      <c r="B782" t="s">
        <v>11455</v>
      </c>
      <c r="I782" t="s">
        <v>11456</v>
      </c>
      <c r="J782" s="3">
        <v>0.28465190000000001</v>
      </c>
      <c r="K782" s="3">
        <v>0.43521579999999999</v>
      </c>
      <c r="L782" s="3">
        <v>0.48654140000000001</v>
      </c>
    </row>
    <row r="783" spans="1:12" x14ac:dyDescent="0.25">
      <c r="A783" t="s">
        <v>11452</v>
      </c>
      <c r="B783" t="s">
        <v>11453</v>
      </c>
      <c r="I783" t="s">
        <v>6168</v>
      </c>
      <c r="J783" s="3">
        <v>-7.7387839999999999E-2</v>
      </c>
      <c r="K783" s="3">
        <v>-5.4574269999999999E-3</v>
      </c>
      <c r="L783" s="3">
        <v>-0.13730300000000001</v>
      </c>
    </row>
    <row r="784" spans="1:12" x14ac:dyDescent="0.25">
      <c r="A784" t="s">
        <v>11451</v>
      </c>
      <c r="B784" t="s">
        <v>957</v>
      </c>
      <c r="I784" t="s">
        <v>455</v>
      </c>
      <c r="J784" s="3">
        <v>0.34605150000000001</v>
      </c>
      <c r="K784" s="3">
        <v>0.62308249999999998</v>
      </c>
      <c r="L784" s="3">
        <v>0.65993900000000005</v>
      </c>
    </row>
    <row r="785" spans="1:12" x14ac:dyDescent="0.25">
      <c r="A785" t="s">
        <v>11448</v>
      </c>
      <c r="B785" t="s">
        <v>11449</v>
      </c>
      <c r="I785" t="s">
        <v>11450</v>
      </c>
      <c r="J785" s="3">
        <v>0.43729079999999998</v>
      </c>
      <c r="K785" s="3">
        <v>0.46056560000000002</v>
      </c>
      <c r="L785" s="3">
        <v>0.25266650000000002</v>
      </c>
    </row>
    <row r="786" spans="1:12" x14ac:dyDescent="0.25">
      <c r="A786" t="s">
        <v>11447</v>
      </c>
      <c r="B786" t="s">
        <v>957</v>
      </c>
      <c r="I786" t="s">
        <v>1114</v>
      </c>
      <c r="J786" s="3">
        <v>3.1401459999999999E-2</v>
      </c>
      <c r="K786" s="3">
        <v>0.61868999999999996</v>
      </c>
      <c r="L786" s="3">
        <v>0.3561261</v>
      </c>
    </row>
    <row r="787" spans="1:12" x14ac:dyDescent="0.25">
      <c r="A787" t="s">
        <v>11444</v>
      </c>
      <c r="B787" t="s">
        <v>11445</v>
      </c>
      <c r="I787" t="s">
        <v>11446</v>
      </c>
      <c r="J787" s="3">
        <v>-0.53135010000000005</v>
      </c>
      <c r="K787" s="3">
        <v>-0.96777979999999997</v>
      </c>
      <c r="L787" s="3">
        <v>-0.51337600000000005</v>
      </c>
    </row>
    <row r="788" spans="1:12" x14ac:dyDescent="0.25">
      <c r="A788" t="s">
        <v>11441</v>
      </c>
      <c r="B788" t="s">
        <v>11442</v>
      </c>
      <c r="I788" t="s">
        <v>11443</v>
      </c>
      <c r="J788" s="3">
        <v>-0.30705460000000001</v>
      </c>
      <c r="K788" s="3">
        <v>-8.9823150000000004E-2</v>
      </c>
      <c r="L788" s="3">
        <v>-0.10432669999999999</v>
      </c>
    </row>
    <row r="789" spans="1:12" x14ac:dyDescent="0.25">
      <c r="A789" t="s">
        <v>11438</v>
      </c>
      <c r="B789" t="s">
        <v>11439</v>
      </c>
      <c r="I789" t="s">
        <v>11440</v>
      </c>
      <c r="J789" s="3">
        <v>0.46517750000000002</v>
      </c>
      <c r="K789" s="3">
        <v>0.1679938</v>
      </c>
      <c r="L789" s="3">
        <v>0.42999559999999998</v>
      </c>
    </row>
    <row r="790" spans="1:12" x14ac:dyDescent="0.25">
      <c r="A790" t="s">
        <v>11435</v>
      </c>
      <c r="B790" t="s">
        <v>11436</v>
      </c>
      <c r="I790" t="s">
        <v>11437</v>
      </c>
      <c r="J790" s="3">
        <v>-0.23858779999999999</v>
      </c>
      <c r="K790" s="3">
        <v>-0.44595230000000002</v>
      </c>
      <c r="L790" s="3">
        <v>-0.49191420000000002</v>
      </c>
    </row>
    <row r="791" spans="1:12" x14ac:dyDescent="0.25">
      <c r="A791" t="s">
        <v>11432</v>
      </c>
      <c r="B791" t="s">
        <v>11433</v>
      </c>
      <c r="I791" t="s">
        <v>11434</v>
      </c>
      <c r="J791" s="3">
        <v>-0.87359819999999999</v>
      </c>
      <c r="K791" s="3">
        <v>-1.060853</v>
      </c>
      <c r="L791" s="3">
        <v>-0.67688000000000004</v>
      </c>
    </row>
    <row r="792" spans="1:12" x14ac:dyDescent="0.25">
      <c r="A792" t="s">
        <v>11429</v>
      </c>
      <c r="B792" t="s">
        <v>11430</v>
      </c>
      <c r="I792" t="s">
        <v>11431</v>
      </c>
      <c r="J792" s="3">
        <v>0.15505289999999999</v>
      </c>
      <c r="K792" s="3">
        <v>0.29814380000000001</v>
      </c>
      <c r="L792" s="3">
        <v>0.32993549999999999</v>
      </c>
    </row>
    <row r="793" spans="1:12" x14ac:dyDescent="0.25">
      <c r="A793" t="s">
        <v>11427</v>
      </c>
      <c r="B793" t="s">
        <v>11428</v>
      </c>
      <c r="I793" t="s">
        <v>4611</v>
      </c>
      <c r="J793" s="3">
        <v>0.59274740000000004</v>
      </c>
      <c r="K793" s="3">
        <v>0.67342290000000005</v>
      </c>
      <c r="L793" s="3">
        <v>0.4593043</v>
      </c>
    </row>
    <row r="794" spans="1:12" x14ac:dyDescent="0.25">
      <c r="A794" t="s">
        <v>11426</v>
      </c>
      <c r="B794" t="s">
        <v>957</v>
      </c>
      <c r="I794" t="s">
        <v>455</v>
      </c>
      <c r="J794" s="3">
        <v>-0.33977390000000002</v>
      </c>
      <c r="K794" s="3">
        <v>-0.49545899999999998</v>
      </c>
      <c r="L794" s="3">
        <v>-0.51341959999999998</v>
      </c>
    </row>
    <row r="795" spans="1:12" x14ac:dyDescent="0.25">
      <c r="A795" t="s">
        <v>11425</v>
      </c>
      <c r="B795" t="s">
        <v>957</v>
      </c>
      <c r="I795" t="s">
        <v>455</v>
      </c>
      <c r="J795" s="3">
        <v>-0.34033449999999998</v>
      </c>
      <c r="K795" s="3">
        <v>-0.39640019999999998</v>
      </c>
      <c r="L795" s="3">
        <v>-0.25207590000000002</v>
      </c>
    </row>
    <row r="796" spans="1:12" x14ac:dyDescent="0.25">
      <c r="A796" t="s">
        <v>11422</v>
      </c>
      <c r="B796" t="s">
        <v>11423</v>
      </c>
      <c r="I796" t="s">
        <v>11424</v>
      </c>
      <c r="J796" s="3">
        <v>-0.22806979999999999</v>
      </c>
      <c r="K796" s="3">
        <v>-0.80933129999999998</v>
      </c>
      <c r="L796" s="3">
        <v>-0.40918890000000002</v>
      </c>
    </row>
    <row r="797" spans="1:12" x14ac:dyDescent="0.25">
      <c r="A797" t="s">
        <v>11421</v>
      </c>
      <c r="B797" t="s">
        <v>957</v>
      </c>
      <c r="I797" t="s">
        <v>1973</v>
      </c>
      <c r="J797" s="3">
        <v>-3.2296419999999999E-2</v>
      </c>
      <c r="K797" s="3">
        <v>-0.13949120000000001</v>
      </c>
      <c r="L797" s="3">
        <v>-8.5835449999999994E-2</v>
      </c>
    </row>
    <row r="798" spans="1:12" x14ac:dyDescent="0.25">
      <c r="A798" t="s">
        <v>11418</v>
      </c>
      <c r="B798" t="s">
        <v>11419</v>
      </c>
      <c r="I798" t="s">
        <v>11420</v>
      </c>
      <c r="J798" s="3">
        <v>-0.37054730000000002</v>
      </c>
      <c r="K798" s="3">
        <v>2.997988E-2</v>
      </c>
      <c r="L798" s="3">
        <v>-0.36088500000000001</v>
      </c>
    </row>
    <row r="799" spans="1:12" x14ac:dyDescent="0.25">
      <c r="A799" t="s">
        <v>11417</v>
      </c>
      <c r="B799" t="s">
        <v>957</v>
      </c>
      <c r="I799" t="s">
        <v>614</v>
      </c>
      <c r="J799" s="3">
        <v>-3.7924920000000001E-2</v>
      </c>
      <c r="K799" s="3">
        <v>-0.31008000000000002</v>
      </c>
      <c r="L799" s="3">
        <v>4.1050169999999997E-2</v>
      </c>
    </row>
    <row r="800" spans="1:12" x14ac:dyDescent="0.25">
      <c r="A800" t="s">
        <v>11414</v>
      </c>
      <c r="B800" t="s">
        <v>11415</v>
      </c>
      <c r="I800" t="s">
        <v>11416</v>
      </c>
      <c r="J800" s="3">
        <v>-6.1587459999999997E-2</v>
      </c>
      <c r="K800" s="3">
        <v>-0.78785539999999998</v>
      </c>
      <c r="L800" s="3">
        <v>5.6992540000000001E-2</v>
      </c>
    </row>
    <row r="801" spans="1:12" x14ac:dyDescent="0.25">
      <c r="A801" t="s">
        <v>11411</v>
      </c>
      <c r="B801" t="s">
        <v>11412</v>
      </c>
      <c r="I801" t="s">
        <v>11413</v>
      </c>
      <c r="J801" s="3">
        <v>0.10859729999999999</v>
      </c>
      <c r="K801" s="3">
        <v>0.35559800000000003</v>
      </c>
      <c r="L801" s="3">
        <v>4.8784189999999998E-2</v>
      </c>
    </row>
    <row r="802" spans="1:12" x14ac:dyDescent="0.25">
      <c r="A802" t="s">
        <v>11408</v>
      </c>
      <c r="B802" t="s">
        <v>11409</v>
      </c>
      <c r="I802" t="s">
        <v>11410</v>
      </c>
      <c r="J802" s="3">
        <v>-0.32953749999999998</v>
      </c>
      <c r="K802" s="3">
        <v>-0.53872359999999997</v>
      </c>
      <c r="L802" s="3">
        <v>-0.34147939999999999</v>
      </c>
    </row>
    <row r="803" spans="1:12" x14ac:dyDescent="0.25">
      <c r="A803" t="s">
        <v>11405</v>
      </c>
      <c r="B803" t="s">
        <v>11406</v>
      </c>
      <c r="I803" t="s">
        <v>11407</v>
      </c>
      <c r="J803" s="3">
        <v>-0.63667669999999998</v>
      </c>
      <c r="K803" s="3">
        <v>-0.64176219999999995</v>
      </c>
      <c r="L803" s="3">
        <v>-0.15780140000000001</v>
      </c>
    </row>
    <row r="804" spans="1:12" x14ac:dyDescent="0.25">
      <c r="A804" t="s">
        <v>11402</v>
      </c>
      <c r="B804" t="s">
        <v>11403</v>
      </c>
      <c r="I804" t="s">
        <v>11404</v>
      </c>
      <c r="J804" s="3">
        <v>-0.20255809999999999</v>
      </c>
      <c r="K804" s="3">
        <v>0.21530289999999999</v>
      </c>
      <c r="L804" s="3">
        <v>-9.2823470000000005E-2</v>
      </c>
    </row>
    <row r="805" spans="1:12" x14ac:dyDescent="0.25">
      <c r="A805" t="s">
        <v>11399</v>
      </c>
      <c r="B805" t="s">
        <v>11400</v>
      </c>
      <c r="I805" t="s">
        <v>11401</v>
      </c>
      <c r="J805" s="3">
        <v>0.34947709999999998</v>
      </c>
      <c r="K805" s="3">
        <v>0.66820089999999999</v>
      </c>
      <c r="L805" s="3">
        <v>0.39529449999999999</v>
      </c>
    </row>
    <row r="806" spans="1:12" x14ac:dyDescent="0.25">
      <c r="A806" t="s">
        <v>11397</v>
      </c>
      <c r="B806" t="s">
        <v>11398</v>
      </c>
      <c r="I806" t="s">
        <v>4888</v>
      </c>
      <c r="J806" s="3">
        <v>0.24928839999999999</v>
      </c>
      <c r="K806" s="3">
        <v>-0.59954689999999999</v>
      </c>
      <c r="L806" s="3">
        <v>0.50220969999999998</v>
      </c>
    </row>
    <row r="807" spans="1:12" x14ac:dyDescent="0.25">
      <c r="A807" t="s">
        <v>11394</v>
      </c>
      <c r="B807" t="s">
        <v>11395</v>
      </c>
      <c r="I807" t="s">
        <v>11396</v>
      </c>
      <c r="J807" s="3">
        <v>3.6498709999999997E-2</v>
      </c>
      <c r="K807" s="3">
        <v>-0.37581710000000002</v>
      </c>
      <c r="L807" s="3">
        <v>-0.49496050000000003</v>
      </c>
    </row>
    <row r="808" spans="1:12" x14ac:dyDescent="0.25">
      <c r="A808" t="s">
        <v>11391</v>
      </c>
      <c r="B808" t="s">
        <v>11392</v>
      </c>
      <c r="I808" t="s">
        <v>11393</v>
      </c>
      <c r="J808" s="3">
        <v>-1.139119</v>
      </c>
      <c r="K808" s="3">
        <v>-0.88255519999999998</v>
      </c>
      <c r="L808" s="3">
        <v>-1.2553479999999999</v>
      </c>
    </row>
    <row r="809" spans="1:12" x14ac:dyDescent="0.25">
      <c r="A809" t="s">
        <v>11390</v>
      </c>
      <c r="B809" t="s">
        <v>957</v>
      </c>
      <c r="I809" t="s">
        <v>455</v>
      </c>
      <c r="J809" s="3">
        <v>8.8301930000000001E-3</v>
      </c>
      <c r="K809" s="3">
        <v>-1.1420509999999999</v>
      </c>
      <c r="L809" s="3">
        <v>-0.37316129999999997</v>
      </c>
    </row>
    <row r="810" spans="1:12" x14ac:dyDescent="0.25">
      <c r="A810" t="s">
        <v>11387</v>
      </c>
      <c r="B810" t="s">
        <v>11388</v>
      </c>
      <c r="I810" t="s">
        <v>11389</v>
      </c>
      <c r="J810" s="3">
        <v>-0.57262159999999995</v>
      </c>
      <c r="K810" s="3">
        <v>-1.115408</v>
      </c>
      <c r="L810" s="3">
        <v>-0.63947229999999999</v>
      </c>
    </row>
    <row r="811" spans="1:12" x14ac:dyDescent="0.25">
      <c r="A811" t="s">
        <v>11384</v>
      </c>
      <c r="B811" t="s">
        <v>11385</v>
      </c>
      <c r="I811" t="s">
        <v>11386</v>
      </c>
      <c r="J811" s="3">
        <v>-0.17091600000000001</v>
      </c>
      <c r="K811" s="3">
        <v>-0.82638100000000003</v>
      </c>
      <c r="L811" s="3">
        <v>-1.225098E-2</v>
      </c>
    </row>
    <row r="812" spans="1:12" x14ac:dyDescent="0.25">
      <c r="A812" t="s">
        <v>11383</v>
      </c>
      <c r="B812" t="s">
        <v>957</v>
      </c>
      <c r="I812" t="s">
        <v>455</v>
      </c>
      <c r="J812" s="3">
        <v>-0.63546469999999999</v>
      </c>
      <c r="K812" s="3">
        <v>-1.1442270000000001</v>
      </c>
      <c r="L812" s="3">
        <v>-0.70534640000000004</v>
      </c>
    </row>
    <row r="813" spans="1:12" x14ac:dyDescent="0.25">
      <c r="A813" t="s">
        <v>11382</v>
      </c>
      <c r="B813" t="s">
        <v>957</v>
      </c>
      <c r="I813" t="s">
        <v>455</v>
      </c>
      <c r="J813" s="3">
        <v>-0.17041210000000001</v>
      </c>
      <c r="K813" s="3">
        <v>-0.68650820000000001</v>
      </c>
      <c r="L813" s="3">
        <v>-0.25944519999999999</v>
      </c>
    </row>
    <row r="814" spans="1:12" x14ac:dyDescent="0.25">
      <c r="A814" t="s">
        <v>11379</v>
      </c>
      <c r="B814" t="s">
        <v>11380</v>
      </c>
      <c r="I814" t="s">
        <v>11381</v>
      </c>
      <c r="J814" s="3">
        <v>-0.14761170000000001</v>
      </c>
      <c r="K814" s="3">
        <v>-0.22231210000000001</v>
      </c>
      <c r="L814" s="3">
        <v>-6.7568550000000005E-2</v>
      </c>
    </row>
    <row r="815" spans="1:12" x14ac:dyDescent="0.25">
      <c r="A815" t="s">
        <v>11376</v>
      </c>
      <c r="B815" t="s">
        <v>11377</v>
      </c>
      <c r="I815" t="s">
        <v>11378</v>
      </c>
      <c r="J815" s="3">
        <v>0.25095669999999998</v>
      </c>
      <c r="K815" s="3">
        <v>0.57108150000000002</v>
      </c>
      <c r="L815" s="3">
        <v>0.41816720000000002</v>
      </c>
    </row>
    <row r="816" spans="1:12" x14ac:dyDescent="0.25">
      <c r="A816" t="s">
        <v>11375</v>
      </c>
      <c r="B816" t="s">
        <v>957</v>
      </c>
      <c r="I816" t="s">
        <v>455</v>
      </c>
      <c r="J816" s="3">
        <v>-0.54994810000000005</v>
      </c>
      <c r="K816" s="3">
        <v>-0.22929179999999999</v>
      </c>
      <c r="L816" s="3">
        <v>-0.2659784</v>
      </c>
    </row>
    <row r="817" spans="1:12" x14ac:dyDescent="0.25">
      <c r="A817" t="s">
        <v>11372</v>
      </c>
      <c r="B817" t="s">
        <v>11373</v>
      </c>
      <c r="I817" t="s">
        <v>11374</v>
      </c>
      <c r="J817" s="3">
        <v>-0.1381367</v>
      </c>
      <c r="K817" s="3">
        <v>-0.2421238</v>
      </c>
      <c r="L817" s="3">
        <v>-0.15953429999999999</v>
      </c>
    </row>
    <row r="818" spans="1:12" x14ac:dyDescent="0.25">
      <c r="A818" t="s">
        <v>11369</v>
      </c>
      <c r="B818" t="s">
        <v>11370</v>
      </c>
      <c r="I818" t="s">
        <v>11371</v>
      </c>
      <c r="J818" s="3">
        <v>-0.18629370000000001</v>
      </c>
      <c r="K818" s="3">
        <v>-0.18167710000000001</v>
      </c>
      <c r="L818" s="3">
        <v>-0.45538960000000001</v>
      </c>
    </row>
    <row r="819" spans="1:12" x14ac:dyDescent="0.25">
      <c r="A819" t="s">
        <v>11368</v>
      </c>
      <c r="B819" t="s">
        <v>957</v>
      </c>
      <c r="I819" t="s">
        <v>455</v>
      </c>
      <c r="J819" s="3">
        <v>-0.1856968</v>
      </c>
      <c r="K819" s="3">
        <v>-0.53798219999999997</v>
      </c>
      <c r="L819" s="3">
        <v>-0.2834412</v>
      </c>
    </row>
    <row r="820" spans="1:12" x14ac:dyDescent="0.25">
      <c r="A820" t="s">
        <v>12016</v>
      </c>
      <c r="B820" t="s">
        <v>14141</v>
      </c>
      <c r="C820" t="s">
        <v>14142</v>
      </c>
      <c r="I820" t="s">
        <v>11367</v>
      </c>
      <c r="J820" s="3">
        <v>0.17497109999999999</v>
      </c>
      <c r="K820" s="3">
        <v>-0.33704020000000001</v>
      </c>
      <c r="L820" s="3">
        <v>3.8749800000000001E-2</v>
      </c>
    </row>
    <row r="821" spans="1:12" x14ac:dyDescent="0.25">
      <c r="A821" t="s">
        <v>12013</v>
      </c>
      <c r="B821" t="s">
        <v>12014</v>
      </c>
      <c r="I821" t="s">
        <v>12015</v>
      </c>
      <c r="J821" s="3">
        <v>-7.0539030000000003E-2</v>
      </c>
      <c r="K821" s="3">
        <v>8.3375169999999998E-2</v>
      </c>
      <c r="L821" s="3">
        <v>3.9419330000000002E-2</v>
      </c>
    </row>
    <row r="822" spans="1:12" x14ac:dyDescent="0.25">
      <c r="A822" t="s">
        <v>12012</v>
      </c>
      <c r="B822" t="s">
        <v>957</v>
      </c>
      <c r="I822" t="s">
        <v>455</v>
      </c>
      <c r="J822" s="3">
        <v>2.1234309999999999E-2</v>
      </c>
      <c r="K822" s="3">
        <v>0.12780859999999999</v>
      </c>
      <c r="L822" s="3">
        <v>0.145231</v>
      </c>
    </row>
    <row r="823" spans="1:12" x14ac:dyDescent="0.25">
      <c r="A823" t="s">
        <v>12009</v>
      </c>
      <c r="B823" t="s">
        <v>12010</v>
      </c>
      <c r="I823" t="s">
        <v>12011</v>
      </c>
      <c r="J823" s="3">
        <v>1.0559909999999999</v>
      </c>
      <c r="K823" s="3">
        <v>1.180088</v>
      </c>
      <c r="L823" s="3">
        <v>0.98799320000000002</v>
      </c>
    </row>
    <row r="824" spans="1:12" x14ac:dyDescent="0.25">
      <c r="A824" t="s">
        <v>12006</v>
      </c>
      <c r="B824" t="s">
        <v>12007</v>
      </c>
      <c r="I824" t="s">
        <v>12008</v>
      </c>
      <c r="J824" s="3">
        <v>-2.6956600000000001E-2</v>
      </c>
      <c r="K824" s="3">
        <v>-0.17796239999999999</v>
      </c>
      <c r="L824" s="3">
        <v>4.497777E-2</v>
      </c>
    </row>
    <row r="825" spans="1:12" x14ac:dyDescent="0.25">
      <c r="A825" t="s">
        <v>12003</v>
      </c>
      <c r="B825" t="s">
        <v>12004</v>
      </c>
      <c r="I825" t="s">
        <v>12005</v>
      </c>
      <c r="J825" s="3">
        <v>-4.7970939999999997E-2</v>
      </c>
      <c r="K825" s="3">
        <v>-0.42708699999999999</v>
      </c>
      <c r="L825" s="3">
        <v>-9.3694929999999996E-2</v>
      </c>
    </row>
    <row r="826" spans="1:12" x14ac:dyDescent="0.25">
      <c r="A826" t="s">
        <v>12001</v>
      </c>
      <c r="B826" t="s">
        <v>14143</v>
      </c>
      <c r="C826" t="s">
        <v>14144</v>
      </c>
      <c r="I826" t="s">
        <v>12002</v>
      </c>
      <c r="J826" s="3">
        <v>6.4159259999999996E-2</v>
      </c>
      <c r="K826" s="3">
        <v>-0.26997979999999999</v>
      </c>
      <c r="L826" s="3">
        <v>0.27398860000000003</v>
      </c>
    </row>
    <row r="827" spans="1:12" x14ac:dyDescent="0.25">
      <c r="A827" t="s">
        <v>11998</v>
      </c>
      <c r="B827" t="s">
        <v>11999</v>
      </c>
      <c r="I827" t="s">
        <v>12000</v>
      </c>
      <c r="J827" s="3">
        <v>-0.22488349999999999</v>
      </c>
      <c r="K827" s="3">
        <v>-0.45630379999999998</v>
      </c>
      <c r="L827" s="3">
        <v>-0.1000157</v>
      </c>
    </row>
    <row r="828" spans="1:12" x14ac:dyDescent="0.25">
      <c r="A828" t="s">
        <v>11997</v>
      </c>
      <c r="B828" t="s">
        <v>957</v>
      </c>
      <c r="I828" t="s">
        <v>2</v>
      </c>
      <c r="J828" s="3">
        <v>0.24036669999999999</v>
      </c>
      <c r="K828" s="3">
        <v>0.3383565</v>
      </c>
      <c r="L828" s="3">
        <v>0.2781556</v>
      </c>
    </row>
    <row r="829" spans="1:12" x14ac:dyDescent="0.25">
      <c r="A829" t="s">
        <v>11994</v>
      </c>
      <c r="B829" t="s">
        <v>11995</v>
      </c>
      <c r="I829" t="s">
        <v>11996</v>
      </c>
      <c r="J829" s="3">
        <v>-0.1410372</v>
      </c>
      <c r="K829" s="3">
        <v>-0.35130129999999998</v>
      </c>
      <c r="L829" s="3">
        <v>-0.15272359999999999</v>
      </c>
    </row>
    <row r="830" spans="1:12" x14ac:dyDescent="0.25">
      <c r="A830" t="s">
        <v>11991</v>
      </c>
      <c r="B830" t="s">
        <v>11992</v>
      </c>
      <c r="I830" t="s">
        <v>11993</v>
      </c>
      <c r="J830" s="3">
        <v>0.1071112</v>
      </c>
      <c r="K830" s="3">
        <v>0.3869592</v>
      </c>
      <c r="L830" s="3">
        <v>0.32137070000000001</v>
      </c>
    </row>
    <row r="831" spans="1:12" x14ac:dyDescent="0.25">
      <c r="A831" t="s">
        <v>11988</v>
      </c>
      <c r="B831" t="s">
        <v>11989</v>
      </c>
      <c r="I831" t="s">
        <v>11990</v>
      </c>
      <c r="J831" s="3">
        <v>0.2285961</v>
      </c>
      <c r="K831" s="3">
        <v>-0.22509709999999999</v>
      </c>
      <c r="L831" s="3">
        <v>9.4167819999999999E-2</v>
      </c>
    </row>
    <row r="832" spans="1:12" x14ac:dyDescent="0.25">
      <c r="A832" t="s">
        <v>11985</v>
      </c>
      <c r="B832" t="s">
        <v>11986</v>
      </c>
      <c r="I832" t="s">
        <v>11987</v>
      </c>
      <c r="J832" s="3">
        <v>-0.52604340000000005</v>
      </c>
      <c r="K832" s="3">
        <v>-0.50339769999999995</v>
      </c>
      <c r="L832" s="3">
        <v>-0.68965940000000003</v>
      </c>
    </row>
    <row r="833" spans="1:12" x14ac:dyDescent="0.25">
      <c r="A833" t="s">
        <v>11984</v>
      </c>
      <c r="B833" t="s">
        <v>957</v>
      </c>
      <c r="I833" t="s">
        <v>455</v>
      </c>
      <c r="J833" s="3">
        <v>8.3626149999999996E-2</v>
      </c>
      <c r="K833" s="3">
        <v>0.46633580000000002</v>
      </c>
      <c r="L833" s="3">
        <v>0.33265600000000001</v>
      </c>
    </row>
    <row r="834" spans="1:12" x14ac:dyDescent="0.25">
      <c r="A834" t="s">
        <v>11981</v>
      </c>
      <c r="B834" t="s">
        <v>11982</v>
      </c>
      <c r="I834" t="s">
        <v>11983</v>
      </c>
      <c r="J834" s="3">
        <v>0.17693159999999999</v>
      </c>
      <c r="K834" s="3">
        <v>-0.54443799999999998</v>
      </c>
      <c r="L834" s="3">
        <v>0.38135219999999997</v>
      </c>
    </row>
    <row r="835" spans="1:12" x14ac:dyDescent="0.25">
      <c r="A835" t="s">
        <v>11979</v>
      </c>
      <c r="B835" t="s">
        <v>11980</v>
      </c>
      <c r="I835" t="s">
        <v>12639</v>
      </c>
      <c r="J835" s="3">
        <v>-0.2827424</v>
      </c>
      <c r="K835" s="3">
        <v>-7.0148619999999995E-2</v>
      </c>
      <c r="L835" s="3">
        <v>4.6567249999999998E-2</v>
      </c>
    </row>
    <row r="836" spans="1:12" x14ac:dyDescent="0.25">
      <c r="A836" t="s">
        <v>11977</v>
      </c>
      <c r="B836" t="s">
        <v>11978</v>
      </c>
      <c r="I836" t="s">
        <v>593</v>
      </c>
      <c r="J836" s="3">
        <v>-0.8056527</v>
      </c>
      <c r="K836" s="3">
        <v>-1.31891</v>
      </c>
      <c r="L836" s="3">
        <v>-0.8810538</v>
      </c>
    </row>
    <row r="837" spans="1:12" x14ac:dyDescent="0.25">
      <c r="A837" t="s">
        <v>11976</v>
      </c>
      <c r="B837" t="s">
        <v>957</v>
      </c>
      <c r="I837" t="s">
        <v>455</v>
      </c>
      <c r="J837" s="3">
        <v>-0.24961720000000001</v>
      </c>
      <c r="K837" s="3">
        <v>-0.66443940000000001</v>
      </c>
      <c r="L837" s="3">
        <v>-0.3308276</v>
      </c>
    </row>
    <row r="838" spans="1:12" x14ac:dyDescent="0.25">
      <c r="A838" t="s">
        <v>11974</v>
      </c>
      <c r="B838" t="s">
        <v>11975</v>
      </c>
      <c r="I838" t="s">
        <v>11550</v>
      </c>
      <c r="J838" s="3">
        <v>1.8560939999999999</v>
      </c>
      <c r="K838" s="3">
        <v>2.0320619999999998</v>
      </c>
      <c r="L838" s="3">
        <v>1.629853</v>
      </c>
    </row>
    <row r="839" spans="1:12" x14ac:dyDescent="0.25">
      <c r="A839" t="s">
        <v>11971</v>
      </c>
      <c r="B839" t="s">
        <v>11972</v>
      </c>
      <c r="I839" t="s">
        <v>11973</v>
      </c>
      <c r="J839" s="3">
        <v>-0.4174851</v>
      </c>
      <c r="K839" s="3">
        <v>-0.17683479999999999</v>
      </c>
      <c r="L839" s="3">
        <v>-0.70100899999999999</v>
      </c>
    </row>
    <row r="840" spans="1:12" x14ac:dyDescent="0.25">
      <c r="A840" t="s">
        <v>11970</v>
      </c>
      <c r="B840" t="s">
        <v>957</v>
      </c>
      <c r="I840" t="s">
        <v>455</v>
      </c>
      <c r="J840" s="3">
        <v>0.16837659999999999</v>
      </c>
      <c r="K840" s="3">
        <v>0.32456689999999999</v>
      </c>
      <c r="L840" s="3">
        <v>-3.1434190000000001E-2</v>
      </c>
    </row>
    <row r="841" spans="1:12" x14ac:dyDescent="0.25">
      <c r="A841" t="s">
        <v>11967</v>
      </c>
      <c r="B841" t="s">
        <v>11968</v>
      </c>
      <c r="I841" t="s">
        <v>11969</v>
      </c>
      <c r="J841" s="3">
        <v>0.1748497</v>
      </c>
      <c r="K841" s="3">
        <v>-0.1031653</v>
      </c>
      <c r="L841" s="3">
        <v>4.407237E-2</v>
      </c>
    </row>
    <row r="842" spans="1:12" x14ac:dyDescent="0.25">
      <c r="A842" t="s">
        <v>11964</v>
      </c>
      <c r="B842" t="s">
        <v>11965</v>
      </c>
      <c r="I842" t="s">
        <v>11966</v>
      </c>
      <c r="J842" s="3">
        <v>-0.42336649999999998</v>
      </c>
      <c r="K842" s="3">
        <v>-0.51137270000000001</v>
      </c>
      <c r="L842" s="3">
        <v>-0.2268221</v>
      </c>
    </row>
    <row r="843" spans="1:12" x14ac:dyDescent="0.25">
      <c r="A843" t="s">
        <v>11961</v>
      </c>
      <c r="B843" t="s">
        <v>11962</v>
      </c>
      <c r="I843" t="s">
        <v>11963</v>
      </c>
      <c r="J843" s="3">
        <v>0.35131869999999998</v>
      </c>
      <c r="K843" s="3">
        <v>6.0548449999999997E-2</v>
      </c>
      <c r="L843" s="3">
        <v>0.10867159999999999</v>
      </c>
    </row>
    <row r="844" spans="1:12" x14ac:dyDescent="0.25">
      <c r="A844" t="s">
        <v>11958</v>
      </c>
      <c r="B844" t="s">
        <v>11959</v>
      </c>
      <c r="I844" t="s">
        <v>11960</v>
      </c>
      <c r="J844" s="3">
        <v>-0.84864830000000002</v>
      </c>
      <c r="K844" s="3">
        <v>0.51870609999999995</v>
      </c>
      <c r="L844" s="3">
        <v>-0.44494800000000001</v>
      </c>
    </row>
    <row r="845" spans="1:12" x14ac:dyDescent="0.25">
      <c r="A845" t="s">
        <v>11957</v>
      </c>
      <c r="B845" t="s">
        <v>957</v>
      </c>
      <c r="I845" t="s">
        <v>455</v>
      </c>
      <c r="J845" s="3">
        <v>-1.9491140000000001E-2</v>
      </c>
      <c r="K845" s="3">
        <v>0.67625199999999996</v>
      </c>
      <c r="L845" s="3">
        <v>5.9597810000000001E-2</v>
      </c>
    </row>
    <row r="846" spans="1:12" x14ac:dyDescent="0.25">
      <c r="A846" t="s">
        <v>11954</v>
      </c>
      <c r="B846" t="s">
        <v>11955</v>
      </c>
      <c r="I846" t="s">
        <v>11956</v>
      </c>
      <c r="J846" s="3">
        <v>0.35289530000000002</v>
      </c>
      <c r="K846" s="3">
        <v>0.5578921</v>
      </c>
      <c r="L846" s="3">
        <v>0.35888819999999999</v>
      </c>
    </row>
    <row r="847" spans="1:12" x14ac:dyDescent="0.25">
      <c r="A847" t="s">
        <v>11951</v>
      </c>
      <c r="B847" t="s">
        <v>11952</v>
      </c>
      <c r="I847" t="s">
        <v>11953</v>
      </c>
      <c r="J847" s="3">
        <v>-0.38302120000000001</v>
      </c>
      <c r="K847" s="3">
        <v>-0.74583739999999998</v>
      </c>
      <c r="L847" s="3">
        <v>-0.1239252</v>
      </c>
    </row>
    <row r="848" spans="1:12" x14ac:dyDescent="0.25">
      <c r="A848" t="s">
        <v>11949</v>
      </c>
      <c r="B848" t="s">
        <v>11950</v>
      </c>
      <c r="I848" t="s">
        <v>6723</v>
      </c>
      <c r="J848" s="3">
        <v>0.76634060000000004</v>
      </c>
      <c r="K848" s="3">
        <v>0.93151019999999995</v>
      </c>
      <c r="L848" s="3">
        <v>0.71418470000000001</v>
      </c>
    </row>
    <row r="849" spans="1:12" x14ac:dyDescent="0.25">
      <c r="A849" t="s">
        <v>12902</v>
      </c>
      <c r="B849" t="s">
        <v>12903</v>
      </c>
      <c r="I849" t="s">
        <v>11948</v>
      </c>
      <c r="J849" s="3">
        <v>-0.4112711</v>
      </c>
      <c r="K849" s="3">
        <v>-0.60048179999999995</v>
      </c>
      <c r="L849" s="3">
        <v>-0.42293330000000001</v>
      </c>
    </row>
    <row r="850" spans="1:12" x14ac:dyDescent="0.25">
      <c r="A850" t="s">
        <v>12899</v>
      </c>
      <c r="B850" t="s">
        <v>12900</v>
      </c>
      <c r="I850" t="s">
        <v>12901</v>
      </c>
      <c r="J850" s="3">
        <v>0.39030310000000001</v>
      </c>
      <c r="K850" s="3">
        <v>-0.17737169999999999</v>
      </c>
      <c r="L850" s="3">
        <v>0.317608</v>
      </c>
    </row>
    <row r="851" spans="1:12" x14ac:dyDescent="0.25">
      <c r="A851" t="s">
        <v>12896</v>
      </c>
      <c r="B851" t="s">
        <v>12897</v>
      </c>
      <c r="I851" t="s">
        <v>12898</v>
      </c>
      <c r="J851" s="3">
        <v>-0.31029839999999997</v>
      </c>
      <c r="K851" s="3">
        <v>-0.26667809999999997</v>
      </c>
      <c r="L851" s="3">
        <v>-0.30859750000000002</v>
      </c>
    </row>
    <row r="852" spans="1:12" x14ac:dyDescent="0.25">
      <c r="A852" t="s">
        <v>12895</v>
      </c>
      <c r="B852" t="s">
        <v>957</v>
      </c>
      <c r="I852" t="s">
        <v>455</v>
      </c>
      <c r="J852" s="3">
        <v>4.6032570000000002</v>
      </c>
      <c r="K852" s="3">
        <v>5.3685369999999999</v>
      </c>
      <c r="L852" s="3">
        <v>3.343194</v>
      </c>
    </row>
    <row r="853" spans="1:12" x14ac:dyDescent="0.25">
      <c r="A853" t="s">
        <v>12892</v>
      </c>
      <c r="B853" t="s">
        <v>12893</v>
      </c>
      <c r="I853" t="s">
        <v>12894</v>
      </c>
      <c r="J853" s="3">
        <v>-0.62505730000000004</v>
      </c>
      <c r="K853" s="3">
        <v>-0.77595219999999998</v>
      </c>
      <c r="L853" s="3">
        <v>2.091788E-2</v>
      </c>
    </row>
    <row r="854" spans="1:12" x14ac:dyDescent="0.25">
      <c r="A854" t="s">
        <v>12889</v>
      </c>
      <c r="B854" t="s">
        <v>12890</v>
      </c>
      <c r="I854" t="s">
        <v>12891</v>
      </c>
      <c r="J854" s="3">
        <v>0.2996103</v>
      </c>
      <c r="K854" s="3">
        <v>0.67847020000000002</v>
      </c>
      <c r="L854" s="3">
        <v>0.1801046</v>
      </c>
    </row>
    <row r="855" spans="1:12" x14ac:dyDescent="0.25">
      <c r="A855" t="s">
        <v>12886</v>
      </c>
      <c r="B855" t="s">
        <v>12887</v>
      </c>
      <c r="I855" t="s">
        <v>12888</v>
      </c>
      <c r="J855" s="3">
        <v>2.1799499999999998</v>
      </c>
      <c r="K855" s="3">
        <v>2.331572</v>
      </c>
      <c r="L855" s="3">
        <v>2.1425960000000002</v>
      </c>
    </row>
    <row r="856" spans="1:12" x14ac:dyDescent="0.25">
      <c r="A856" t="s">
        <v>11365</v>
      </c>
      <c r="B856" t="s">
        <v>11366</v>
      </c>
      <c r="I856" t="s">
        <v>12885</v>
      </c>
      <c r="J856" s="3">
        <v>2.2902209999999998</v>
      </c>
      <c r="K856" s="3">
        <v>2.3934389999999999</v>
      </c>
      <c r="L856" s="3">
        <v>1.744443</v>
      </c>
    </row>
    <row r="857" spans="1:12" x14ac:dyDescent="0.25">
      <c r="A857" t="s">
        <v>11362</v>
      </c>
      <c r="B857" t="s">
        <v>11363</v>
      </c>
      <c r="I857" t="s">
        <v>11364</v>
      </c>
      <c r="J857" s="3">
        <v>0.2599533</v>
      </c>
      <c r="K857" s="3">
        <v>0.40037240000000002</v>
      </c>
      <c r="L857" s="3">
        <v>0.2090774</v>
      </c>
    </row>
    <row r="858" spans="1:12" x14ac:dyDescent="0.25">
      <c r="A858" t="s">
        <v>11359</v>
      </c>
      <c r="B858" t="s">
        <v>11360</v>
      </c>
      <c r="I858" t="s">
        <v>11361</v>
      </c>
      <c r="J858" s="3">
        <v>-0.79300490000000001</v>
      </c>
      <c r="K858" s="3">
        <v>-1.11151</v>
      </c>
      <c r="L858" s="3">
        <v>-0.6669756</v>
      </c>
    </row>
    <row r="859" spans="1:12" x14ac:dyDescent="0.25">
      <c r="A859" t="s">
        <v>11356</v>
      </c>
      <c r="B859" t="s">
        <v>11357</v>
      </c>
      <c r="I859" t="s">
        <v>11358</v>
      </c>
      <c r="J859" s="3">
        <v>0.2233637</v>
      </c>
      <c r="K859" s="3">
        <v>-9.5871799999999993E-2</v>
      </c>
      <c r="L859" s="3">
        <v>8.5947899999999994E-2</v>
      </c>
    </row>
    <row r="860" spans="1:12" x14ac:dyDescent="0.25">
      <c r="A860" t="s">
        <v>11353</v>
      </c>
      <c r="B860" t="s">
        <v>11354</v>
      </c>
      <c r="I860" t="s">
        <v>11355</v>
      </c>
      <c r="J860" s="3">
        <v>-0.2128505</v>
      </c>
      <c r="K860" s="3">
        <v>0.1608716</v>
      </c>
      <c r="L860" s="3">
        <v>0.21784990000000001</v>
      </c>
    </row>
    <row r="861" spans="1:12" x14ac:dyDescent="0.25">
      <c r="A861" t="s">
        <v>11352</v>
      </c>
      <c r="B861" t="s">
        <v>14145</v>
      </c>
      <c r="C861" t="s">
        <v>14146</v>
      </c>
      <c r="I861" t="s">
        <v>3439</v>
      </c>
      <c r="J861" s="3">
        <v>9.3278959999999994E-2</v>
      </c>
      <c r="K861" s="3">
        <v>0.29729990000000001</v>
      </c>
      <c r="L861" s="3">
        <v>0.20699239999999999</v>
      </c>
    </row>
    <row r="862" spans="1:12" x14ac:dyDescent="0.25">
      <c r="A862" t="s">
        <v>11349</v>
      </c>
      <c r="B862" t="s">
        <v>11350</v>
      </c>
      <c r="I862" t="s">
        <v>11351</v>
      </c>
      <c r="J862" s="3">
        <v>-0.36261569999999999</v>
      </c>
      <c r="K862" s="3">
        <v>9.4763299999999998E-3</v>
      </c>
      <c r="L862" s="3">
        <v>-0.16717960000000001</v>
      </c>
    </row>
    <row r="863" spans="1:12" x14ac:dyDescent="0.25">
      <c r="A863" t="s">
        <v>11346</v>
      </c>
      <c r="B863" t="s">
        <v>11347</v>
      </c>
      <c r="I863" t="s">
        <v>11348</v>
      </c>
      <c r="J863" s="3">
        <v>-0.19815360000000001</v>
      </c>
      <c r="K863" s="3">
        <v>-0.41512769999999999</v>
      </c>
      <c r="L863" s="3">
        <v>-0.35567110000000002</v>
      </c>
    </row>
    <row r="864" spans="1:12" x14ac:dyDescent="0.25">
      <c r="A864" t="s">
        <v>11343</v>
      </c>
      <c r="B864" t="s">
        <v>11344</v>
      </c>
      <c r="I864" t="s">
        <v>11345</v>
      </c>
      <c r="J864" s="3">
        <v>5.4439260000000003E-2</v>
      </c>
      <c r="K864" s="3">
        <v>0.4333649</v>
      </c>
      <c r="L864" s="3">
        <v>9.0763430000000006E-2</v>
      </c>
    </row>
    <row r="865" spans="1:12" x14ac:dyDescent="0.25">
      <c r="A865" t="s">
        <v>11342</v>
      </c>
      <c r="B865" t="s">
        <v>957</v>
      </c>
      <c r="I865" t="s">
        <v>455</v>
      </c>
      <c r="J865" s="3">
        <v>0.52778400000000003</v>
      </c>
      <c r="K865" s="3">
        <v>-0.22573199999999999</v>
      </c>
      <c r="L865" s="3">
        <v>2.4835079999999999E-2</v>
      </c>
    </row>
    <row r="866" spans="1:12" x14ac:dyDescent="0.25">
      <c r="A866" t="s">
        <v>11339</v>
      </c>
      <c r="B866" t="s">
        <v>11340</v>
      </c>
      <c r="I866" t="s">
        <v>11341</v>
      </c>
      <c r="J866" s="3">
        <v>0.4879059</v>
      </c>
      <c r="K866" s="3">
        <v>-0.31043150000000003</v>
      </c>
      <c r="L866" s="3">
        <v>0.159776</v>
      </c>
    </row>
    <row r="867" spans="1:12" x14ac:dyDescent="0.25">
      <c r="A867" t="s">
        <v>11336</v>
      </c>
      <c r="B867" t="s">
        <v>11337</v>
      </c>
      <c r="I867" t="s">
        <v>11338</v>
      </c>
      <c r="J867" s="3">
        <v>-0.16439400000000001</v>
      </c>
      <c r="K867" s="3">
        <v>-0.54200269999999995</v>
      </c>
      <c r="L867" s="3">
        <v>-0.1009119</v>
      </c>
    </row>
    <row r="868" spans="1:12" x14ac:dyDescent="0.25">
      <c r="A868" t="s">
        <v>11333</v>
      </c>
      <c r="B868" t="s">
        <v>11334</v>
      </c>
      <c r="I868" t="s">
        <v>11335</v>
      </c>
      <c r="J868" s="3">
        <v>0.2703451</v>
      </c>
      <c r="K868" s="3">
        <v>0.66683510000000001</v>
      </c>
      <c r="L868" s="3">
        <v>0.21095220000000001</v>
      </c>
    </row>
    <row r="869" spans="1:12" x14ac:dyDescent="0.25">
      <c r="A869" t="s">
        <v>11332</v>
      </c>
      <c r="B869" t="s">
        <v>957</v>
      </c>
      <c r="I869" t="s">
        <v>455</v>
      </c>
      <c r="J869" s="3">
        <v>-0.15451210000000001</v>
      </c>
      <c r="K869" s="3">
        <v>4.187039E-2</v>
      </c>
      <c r="L869" s="3">
        <v>-0.27471040000000002</v>
      </c>
    </row>
    <row r="870" spans="1:12" x14ac:dyDescent="0.25">
      <c r="A870" t="s">
        <v>12185</v>
      </c>
      <c r="B870" t="s">
        <v>11330</v>
      </c>
      <c r="I870" t="s">
        <v>11331</v>
      </c>
      <c r="J870" s="3">
        <v>0.2642582</v>
      </c>
      <c r="K870" s="3">
        <v>0.88192329999999997</v>
      </c>
      <c r="L870" s="3">
        <v>0.65379759999999998</v>
      </c>
    </row>
    <row r="871" spans="1:12" x14ac:dyDescent="0.25">
      <c r="A871" t="s">
        <v>12182</v>
      </c>
      <c r="B871" t="s">
        <v>12183</v>
      </c>
      <c r="I871" t="s">
        <v>12184</v>
      </c>
      <c r="J871" s="3">
        <v>8.7834519999999999E-2</v>
      </c>
      <c r="K871" s="3">
        <v>-0.4902937</v>
      </c>
      <c r="L871" s="3">
        <v>-0.22067429999999999</v>
      </c>
    </row>
    <row r="872" spans="1:12" x14ac:dyDescent="0.25">
      <c r="A872" t="s">
        <v>12179</v>
      </c>
      <c r="B872" t="s">
        <v>12180</v>
      </c>
      <c r="I872" t="s">
        <v>12181</v>
      </c>
      <c r="J872" s="3">
        <v>-1.810871E-2</v>
      </c>
      <c r="K872" s="3">
        <v>6.5814449999999997E-2</v>
      </c>
      <c r="L872" s="3">
        <v>-0.15472849999999999</v>
      </c>
    </row>
    <row r="873" spans="1:12" x14ac:dyDescent="0.25">
      <c r="A873" t="s">
        <v>12178</v>
      </c>
      <c r="B873" t="s">
        <v>957</v>
      </c>
      <c r="I873" t="s">
        <v>455</v>
      </c>
      <c r="J873" s="3">
        <v>-1.2794650000000001</v>
      </c>
      <c r="K873" s="3">
        <v>-0.88800570000000001</v>
      </c>
      <c r="L873" s="3">
        <v>-0.75304150000000003</v>
      </c>
    </row>
    <row r="874" spans="1:12" x14ac:dyDescent="0.25">
      <c r="A874" t="s">
        <v>12176</v>
      </c>
      <c r="B874" t="s">
        <v>14147</v>
      </c>
      <c r="C874" t="s">
        <v>14148</v>
      </c>
      <c r="I874" t="s">
        <v>12177</v>
      </c>
      <c r="J874" s="3">
        <v>-0.93843560000000004</v>
      </c>
      <c r="K874" s="3">
        <v>-0.3718786</v>
      </c>
      <c r="L874" s="3">
        <v>-0.62292840000000005</v>
      </c>
    </row>
    <row r="875" spans="1:12" x14ac:dyDescent="0.25">
      <c r="A875" t="s">
        <v>12174</v>
      </c>
      <c r="B875" t="s">
        <v>14149</v>
      </c>
      <c r="C875" t="s">
        <v>14150</v>
      </c>
      <c r="D875" t="s">
        <v>14151</v>
      </c>
      <c r="E875" t="s">
        <v>14152</v>
      </c>
      <c r="I875" t="s">
        <v>12175</v>
      </c>
      <c r="J875" s="3">
        <v>5.1404150000000003E-2</v>
      </c>
      <c r="K875" s="3">
        <v>0.78768780000000005</v>
      </c>
      <c r="L875" s="3">
        <v>0.59805339999999996</v>
      </c>
    </row>
    <row r="876" spans="1:12" x14ac:dyDescent="0.25">
      <c r="A876" t="s">
        <v>12173</v>
      </c>
      <c r="B876" t="s">
        <v>14153</v>
      </c>
      <c r="C876" t="s">
        <v>14154</v>
      </c>
      <c r="I876" t="s">
        <v>2947</v>
      </c>
      <c r="J876" s="3">
        <v>-0.1067483</v>
      </c>
      <c r="K876" s="3">
        <v>3.3189999999999997E-2</v>
      </c>
      <c r="L876" s="3">
        <v>2.2147099999999999E-2</v>
      </c>
    </row>
    <row r="877" spans="1:12" x14ac:dyDescent="0.25">
      <c r="A877" t="s">
        <v>12171</v>
      </c>
      <c r="B877" t="s">
        <v>14155</v>
      </c>
      <c r="C877" t="s">
        <v>14156</v>
      </c>
      <c r="I877" t="s">
        <v>12172</v>
      </c>
      <c r="J877" s="3">
        <v>-0.50396890000000005</v>
      </c>
      <c r="K877" s="3">
        <v>0.31642290000000001</v>
      </c>
      <c r="L877" s="3">
        <v>-7.3192560000000004E-2</v>
      </c>
    </row>
    <row r="878" spans="1:12" x14ac:dyDescent="0.25">
      <c r="A878" t="s">
        <v>12168</v>
      </c>
      <c r="B878" t="s">
        <v>12169</v>
      </c>
      <c r="I878" t="s">
        <v>12170</v>
      </c>
      <c r="J878" s="3">
        <v>-0.32569680000000001</v>
      </c>
      <c r="K878" s="3">
        <v>0.29887439999999998</v>
      </c>
      <c r="L878" s="3">
        <v>1.597254E-2</v>
      </c>
    </row>
    <row r="879" spans="1:12" x14ac:dyDescent="0.25">
      <c r="A879" t="s">
        <v>12166</v>
      </c>
      <c r="B879" t="s">
        <v>14157</v>
      </c>
      <c r="C879" t="s">
        <v>14158</v>
      </c>
      <c r="I879" t="s">
        <v>12167</v>
      </c>
      <c r="J879" s="3">
        <v>-0.30526710000000001</v>
      </c>
      <c r="K879" s="3">
        <v>0.53732639999999998</v>
      </c>
      <c r="L879" s="3">
        <v>0.2114531</v>
      </c>
    </row>
    <row r="880" spans="1:12" x14ac:dyDescent="0.25">
      <c r="A880" t="s">
        <v>12163</v>
      </c>
      <c r="B880" t="s">
        <v>12164</v>
      </c>
      <c r="I880" t="s">
        <v>12165</v>
      </c>
      <c r="J880" s="3">
        <v>-8.3183380000000001E-2</v>
      </c>
      <c r="K880" s="3">
        <v>-7.799768E-2</v>
      </c>
      <c r="L880" s="3">
        <v>-9.8147280000000003E-2</v>
      </c>
    </row>
    <row r="881" spans="1:12" x14ac:dyDescent="0.25">
      <c r="A881" t="s">
        <v>12160</v>
      </c>
      <c r="B881" t="s">
        <v>12161</v>
      </c>
      <c r="I881" t="s">
        <v>12162</v>
      </c>
      <c r="J881" s="3">
        <v>-7.4265230000000002E-2</v>
      </c>
      <c r="K881" s="3">
        <v>-0.44384600000000002</v>
      </c>
      <c r="L881" s="3">
        <v>6.4105549999999997E-2</v>
      </c>
    </row>
    <row r="882" spans="1:12" x14ac:dyDescent="0.25">
      <c r="A882" t="s">
        <v>12157</v>
      </c>
      <c r="B882" t="s">
        <v>12158</v>
      </c>
      <c r="I882" t="s">
        <v>12159</v>
      </c>
      <c r="J882" s="3">
        <v>0.77949639999999998</v>
      </c>
      <c r="K882" s="3">
        <v>0.6569005</v>
      </c>
      <c r="L882" s="3">
        <v>0.67713400000000001</v>
      </c>
    </row>
    <row r="883" spans="1:12" x14ac:dyDescent="0.25">
      <c r="A883" t="s">
        <v>12156</v>
      </c>
      <c r="B883" t="s">
        <v>957</v>
      </c>
      <c r="I883" t="s">
        <v>1207</v>
      </c>
      <c r="J883" s="3">
        <v>9.2224899999999999E-2</v>
      </c>
      <c r="K883" s="3">
        <v>0.11999020000000001</v>
      </c>
      <c r="L883" s="3">
        <v>-4.1730490000000002E-2</v>
      </c>
    </row>
    <row r="884" spans="1:12" x14ac:dyDescent="0.25">
      <c r="A884" t="s">
        <v>12153</v>
      </c>
      <c r="B884" t="s">
        <v>12154</v>
      </c>
      <c r="I884" t="s">
        <v>12155</v>
      </c>
      <c r="J884" s="3">
        <v>-0.29710399999999998</v>
      </c>
      <c r="K884" s="3">
        <v>-0.47668120000000003</v>
      </c>
      <c r="L884" s="3">
        <v>-0.48393999999999998</v>
      </c>
    </row>
    <row r="885" spans="1:12" x14ac:dyDescent="0.25">
      <c r="A885" t="s">
        <v>12150</v>
      </c>
      <c r="B885" t="s">
        <v>12151</v>
      </c>
      <c r="I885" t="s">
        <v>12152</v>
      </c>
      <c r="J885" s="3">
        <v>0.47975810000000002</v>
      </c>
      <c r="K885" s="3">
        <v>0.41167769999999998</v>
      </c>
      <c r="L885" s="3">
        <v>0.35892550000000001</v>
      </c>
    </row>
    <row r="886" spans="1:12" x14ac:dyDescent="0.25">
      <c r="A886" t="s">
        <v>12147</v>
      </c>
      <c r="B886" t="s">
        <v>12148</v>
      </c>
      <c r="I886" t="s">
        <v>12149</v>
      </c>
      <c r="J886" s="3">
        <v>-0.30307669999999998</v>
      </c>
      <c r="K886" s="3">
        <v>-0.70694000000000001</v>
      </c>
      <c r="L886" s="3">
        <v>-0.52135569999999998</v>
      </c>
    </row>
    <row r="887" spans="1:12" x14ac:dyDescent="0.25">
      <c r="A887" t="s">
        <v>12144</v>
      </c>
      <c r="B887" t="s">
        <v>12145</v>
      </c>
      <c r="I887" t="s">
        <v>12146</v>
      </c>
      <c r="J887" s="3">
        <v>-1.045166</v>
      </c>
      <c r="K887" s="3">
        <v>-1.008874</v>
      </c>
      <c r="L887" s="3">
        <v>-0.99017739999999999</v>
      </c>
    </row>
    <row r="888" spans="1:12" x14ac:dyDescent="0.25">
      <c r="A888" t="s">
        <v>12141</v>
      </c>
      <c r="B888" t="s">
        <v>12142</v>
      </c>
      <c r="I888" t="s">
        <v>12143</v>
      </c>
      <c r="J888" s="3">
        <v>0.36256539999999998</v>
      </c>
      <c r="K888" s="3">
        <v>0.57906080000000004</v>
      </c>
      <c r="L888" s="3">
        <v>0.25972980000000001</v>
      </c>
    </row>
    <row r="889" spans="1:12" x14ac:dyDescent="0.25">
      <c r="A889" t="s">
        <v>12760</v>
      </c>
      <c r="B889" t="s">
        <v>12761</v>
      </c>
      <c r="I889" t="s">
        <v>12140</v>
      </c>
      <c r="J889" s="3">
        <v>0.49836510000000001</v>
      </c>
      <c r="K889" s="3">
        <v>0.81676249999999995</v>
      </c>
      <c r="L889" s="3">
        <v>0.55783799999999995</v>
      </c>
    </row>
    <row r="890" spans="1:12" x14ac:dyDescent="0.25">
      <c r="A890" t="s">
        <v>12758</v>
      </c>
      <c r="B890" t="s">
        <v>12759</v>
      </c>
      <c r="I890" t="s">
        <v>2003</v>
      </c>
      <c r="J890" s="3">
        <v>9.1249729999999998E-3</v>
      </c>
      <c r="K890" s="3">
        <v>-5.4857019999999999E-2</v>
      </c>
      <c r="L890" s="3">
        <v>5.7857899999999997E-2</v>
      </c>
    </row>
    <row r="891" spans="1:12" x14ac:dyDescent="0.25">
      <c r="A891" t="s">
        <v>12755</v>
      </c>
      <c r="B891" t="s">
        <v>12756</v>
      </c>
      <c r="I891" t="s">
        <v>12757</v>
      </c>
      <c r="J891" s="3">
        <v>-0.146345</v>
      </c>
      <c r="K891" s="3">
        <v>-0.62289450000000002</v>
      </c>
      <c r="L891" s="3">
        <v>-9.1018989999999994E-2</v>
      </c>
    </row>
    <row r="892" spans="1:12" x14ac:dyDescent="0.25">
      <c r="A892" t="s">
        <v>12753</v>
      </c>
      <c r="B892" t="s">
        <v>12754</v>
      </c>
      <c r="I892" t="s">
        <v>5289</v>
      </c>
      <c r="J892" s="3">
        <v>-0.34015810000000002</v>
      </c>
      <c r="K892" s="3">
        <v>-0.34975200000000001</v>
      </c>
      <c r="L892" s="3">
        <v>-0.1106263</v>
      </c>
    </row>
    <row r="893" spans="1:12" x14ac:dyDescent="0.25">
      <c r="A893" t="s">
        <v>12750</v>
      </c>
      <c r="B893" t="s">
        <v>12751</v>
      </c>
      <c r="I893" t="s">
        <v>12752</v>
      </c>
      <c r="J893" s="3">
        <v>-0.45473400000000003</v>
      </c>
      <c r="K893" s="3">
        <v>-0.82278130000000005</v>
      </c>
      <c r="L893" s="3">
        <v>-0.47856769999999998</v>
      </c>
    </row>
    <row r="894" spans="1:12" x14ac:dyDescent="0.25">
      <c r="A894" t="s">
        <v>12749</v>
      </c>
      <c r="B894" t="s">
        <v>957</v>
      </c>
      <c r="I894" t="s">
        <v>455</v>
      </c>
      <c r="J894" s="3">
        <v>0.12610830000000001</v>
      </c>
      <c r="K894" s="3">
        <v>0.44110700000000003</v>
      </c>
      <c r="L894" s="3">
        <v>0.15143119999999999</v>
      </c>
    </row>
    <row r="895" spans="1:12" x14ac:dyDescent="0.25">
      <c r="A895" t="s">
        <v>12746</v>
      </c>
      <c r="B895" t="s">
        <v>12747</v>
      </c>
      <c r="I895" t="s">
        <v>12748</v>
      </c>
      <c r="J895" s="3">
        <v>0.67111129999999997</v>
      </c>
      <c r="K895" s="3">
        <v>0.27079979999999998</v>
      </c>
      <c r="L895" s="3">
        <v>1.276858</v>
      </c>
    </row>
    <row r="896" spans="1:12" x14ac:dyDescent="0.25">
      <c r="A896" t="s">
        <v>12745</v>
      </c>
      <c r="B896" t="s">
        <v>957</v>
      </c>
      <c r="I896" t="s">
        <v>455</v>
      </c>
      <c r="J896" s="3">
        <v>-2.9549559999999999E-2</v>
      </c>
      <c r="K896" s="3">
        <v>7.4449760000000004E-2</v>
      </c>
      <c r="L896" s="3">
        <v>9.5057740000000002E-2</v>
      </c>
    </row>
    <row r="897" spans="1:12" x14ac:dyDescent="0.25">
      <c r="A897" t="s">
        <v>12742</v>
      </c>
      <c r="B897" t="s">
        <v>12743</v>
      </c>
      <c r="I897" t="s">
        <v>12744</v>
      </c>
      <c r="J897" s="3">
        <v>-0.29618080000000002</v>
      </c>
      <c r="K897" s="3">
        <v>-0.21017340000000001</v>
      </c>
      <c r="L897" s="3">
        <v>-0.30197499999999999</v>
      </c>
    </row>
    <row r="898" spans="1:12" x14ac:dyDescent="0.25">
      <c r="A898" t="s">
        <v>12739</v>
      </c>
      <c r="B898" t="s">
        <v>12740</v>
      </c>
      <c r="I898" t="s">
        <v>12741</v>
      </c>
      <c r="J898" s="3">
        <v>-0.1154255</v>
      </c>
      <c r="K898" s="3">
        <v>0.12595329999999999</v>
      </c>
      <c r="L898" s="3">
        <v>0.45883049999999997</v>
      </c>
    </row>
    <row r="899" spans="1:12" x14ac:dyDescent="0.25">
      <c r="A899" t="s">
        <v>11804</v>
      </c>
      <c r="B899" t="s">
        <v>11805</v>
      </c>
      <c r="I899" t="s">
        <v>12738</v>
      </c>
      <c r="J899" s="3">
        <v>-0.1031774</v>
      </c>
      <c r="K899" s="3">
        <v>-0.15915080000000001</v>
      </c>
      <c r="L899" s="3">
        <v>0.2013693</v>
      </c>
    </row>
    <row r="900" spans="1:12" x14ac:dyDescent="0.25">
      <c r="A900" t="s">
        <v>11802</v>
      </c>
      <c r="B900" t="s">
        <v>14114</v>
      </c>
      <c r="C900" t="s">
        <v>14115</v>
      </c>
      <c r="I900" t="s">
        <v>11803</v>
      </c>
      <c r="J900" s="3">
        <v>0.92966059999999995</v>
      </c>
      <c r="K900" s="3">
        <v>0.58750040000000003</v>
      </c>
      <c r="L900" s="3">
        <v>0.87347719999999995</v>
      </c>
    </row>
    <row r="901" spans="1:12" x14ac:dyDescent="0.25">
      <c r="A901" t="s">
        <v>11801</v>
      </c>
      <c r="B901" t="s">
        <v>957</v>
      </c>
      <c r="I901" t="s">
        <v>455</v>
      </c>
      <c r="J901" s="3">
        <v>0.1642576</v>
      </c>
      <c r="K901" s="3">
        <v>-0.64882740000000005</v>
      </c>
      <c r="L901" s="3">
        <v>-8.8175030000000001E-2</v>
      </c>
    </row>
    <row r="902" spans="1:12" x14ac:dyDescent="0.25">
      <c r="A902" t="s">
        <v>11798</v>
      </c>
      <c r="B902" t="s">
        <v>11799</v>
      </c>
      <c r="I902" t="s">
        <v>11800</v>
      </c>
      <c r="J902" s="3">
        <v>0.73352620000000002</v>
      </c>
      <c r="K902" s="3">
        <v>1.1638299999999999</v>
      </c>
      <c r="L902" s="3">
        <v>0.70682129999999999</v>
      </c>
    </row>
    <row r="903" spans="1:12" x14ac:dyDescent="0.25">
      <c r="A903" t="s">
        <v>11795</v>
      </c>
      <c r="B903" t="s">
        <v>11796</v>
      </c>
      <c r="I903" t="s">
        <v>11797</v>
      </c>
      <c r="J903" s="3">
        <v>-0.54930889999999999</v>
      </c>
      <c r="K903" s="3">
        <v>-1.221676</v>
      </c>
      <c r="L903" s="3">
        <v>-0.66864429999999997</v>
      </c>
    </row>
    <row r="904" spans="1:12" x14ac:dyDescent="0.25">
      <c r="A904" t="s">
        <v>11792</v>
      </c>
      <c r="B904" t="s">
        <v>11793</v>
      </c>
      <c r="I904" t="s">
        <v>11794</v>
      </c>
      <c r="J904" s="3">
        <v>-0.1668055</v>
      </c>
      <c r="K904" s="3">
        <v>-0.55694399999999999</v>
      </c>
      <c r="L904" s="3">
        <v>-3.0112360000000001E-2</v>
      </c>
    </row>
    <row r="905" spans="1:12" x14ac:dyDescent="0.25">
      <c r="A905" t="s">
        <v>11791</v>
      </c>
      <c r="B905" t="s">
        <v>957</v>
      </c>
      <c r="I905" t="s">
        <v>455</v>
      </c>
      <c r="J905" s="3">
        <v>-0.77878999999999998</v>
      </c>
      <c r="K905" s="3">
        <v>-0.8993331</v>
      </c>
      <c r="L905" s="3">
        <v>-0.55685929999999995</v>
      </c>
    </row>
    <row r="906" spans="1:12" x14ac:dyDescent="0.25">
      <c r="A906" t="s">
        <v>11788</v>
      </c>
      <c r="B906" t="s">
        <v>11789</v>
      </c>
      <c r="I906" t="s">
        <v>11790</v>
      </c>
      <c r="J906" s="3">
        <v>0.29437489999999999</v>
      </c>
      <c r="K906" s="3">
        <v>0.61608099999999999</v>
      </c>
      <c r="L906" s="3">
        <v>0.43691079999999999</v>
      </c>
    </row>
    <row r="907" spans="1:12" x14ac:dyDescent="0.25">
      <c r="A907" t="s">
        <v>11785</v>
      </c>
      <c r="B907" t="s">
        <v>11786</v>
      </c>
      <c r="I907" t="s">
        <v>11787</v>
      </c>
      <c r="J907" s="3">
        <v>0.54507510000000003</v>
      </c>
      <c r="K907" s="3">
        <v>0.7795105</v>
      </c>
      <c r="L907" s="3">
        <v>0.63594010000000001</v>
      </c>
    </row>
    <row r="908" spans="1:12" x14ac:dyDescent="0.25">
      <c r="A908" t="s">
        <v>11782</v>
      </c>
      <c r="B908" t="s">
        <v>11783</v>
      </c>
      <c r="I908" t="s">
        <v>11784</v>
      </c>
      <c r="J908" s="3">
        <v>-0.57627439999999996</v>
      </c>
      <c r="K908" s="3">
        <v>-1.158261</v>
      </c>
      <c r="L908" s="3">
        <v>-0.79485939999999999</v>
      </c>
    </row>
    <row r="909" spans="1:12" x14ac:dyDescent="0.25">
      <c r="A909" t="s">
        <v>11780</v>
      </c>
      <c r="B909" t="s">
        <v>1019</v>
      </c>
      <c r="I909" t="s">
        <v>11781</v>
      </c>
      <c r="J909" s="3">
        <v>0.55239539999999998</v>
      </c>
      <c r="K909" s="3">
        <v>1.0922590000000001</v>
      </c>
      <c r="L909" s="3">
        <v>0.15917410000000001</v>
      </c>
    </row>
    <row r="910" spans="1:12" x14ac:dyDescent="0.25">
      <c r="A910" t="s">
        <v>11779</v>
      </c>
      <c r="B910" t="s">
        <v>957</v>
      </c>
      <c r="I910" t="s">
        <v>4450</v>
      </c>
      <c r="J910" s="3">
        <v>1.3414090000000001</v>
      </c>
      <c r="K910" s="3">
        <v>1.7229779999999999</v>
      </c>
      <c r="L910" s="3">
        <v>1.294813</v>
      </c>
    </row>
    <row r="911" spans="1:12" x14ac:dyDescent="0.25">
      <c r="A911" t="s">
        <v>11776</v>
      </c>
      <c r="B911" t="s">
        <v>11777</v>
      </c>
      <c r="I911" t="s">
        <v>11778</v>
      </c>
      <c r="J911" s="3">
        <v>0.14916840000000001</v>
      </c>
      <c r="K911" s="3">
        <v>-0.64554480000000003</v>
      </c>
      <c r="L911" s="3">
        <v>-0.52721899999999999</v>
      </c>
    </row>
    <row r="912" spans="1:12" x14ac:dyDescent="0.25">
      <c r="A912" t="s">
        <v>11773</v>
      </c>
      <c r="B912" t="s">
        <v>11774</v>
      </c>
      <c r="I912" t="s">
        <v>11775</v>
      </c>
      <c r="J912" s="3">
        <v>-0.24203</v>
      </c>
      <c r="K912" s="3">
        <v>-0.93822039999999995</v>
      </c>
      <c r="L912" s="3">
        <v>-0.68568980000000002</v>
      </c>
    </row>
    <row r="913" spans="1:12" x14ac:dyDescent="0.25">
      <c r="A913" t="s">
        <v>11770</v>
      </c>
      <c r="B913" t="s">
        <v>11771</v>
      </c>
      <c r="I913" t="s">
        <v>11772</v>
      </c>
      <c r="J913" s="3">
        <v>-0.2145716</v>
      </c>
      <c r="K913" s="3">
        <v>-0.90422360000000002</v>
      </c>
      <c r="L913" s="3">
        <v>-0.89160399999999995</v>
      </c>
    </row>
    <row r="914" spans="1:12" x14ac:dyDescent="0.25">
      <c r="A914" t="s">
        <v>11768</v>
      </c>
      <c r="B914" t="s">
        <v>14159</v>
      </c>
      <c r="C914" t="s">
        <v>14160</v>
      </c>
      <c r="D914" t="s">
        <v>14161</v>
      </c>
      <c r="I914" t="s">
        <v>11769</v>
      </c>
      <c r="J914" s="3">
        <v>0.2492637</v>
      </c>
      <c r="K914" s="3">
        <v>0.53677589999999997</v>
      </c>
      <c r="L914" s="3">
        <v>0.36353940000000001</v>
      </c>
    </row>
    <row r="915" spans="1:12" x14ac:dyDescent="0.25">
      <c r="A915" t="s">
        <v>11765</v>
      </c>
      <c r="B915" t="s">
        <v>11766</v>
      </c>
      <c r="I915" t="s">
        <v>11767</v>
      </c>
      <c r="J915" s="3">
        <v>-0.77875179999999999</v>
      </c>
      <c r="K915" s="3">
        <v>-1.2584299999999999</v>
      </c>
      <c r="L915" s="3">
        <v>-0.5976515</v>
      </c>
    </row>
    <row r="916" spans="1:12" x14ac:dyDescent="0.25">
      <c r="A916" t="s">
        <v>11764</v>
      </c>
      <c r="B916" t="s">
        <v>957</v>
      </c>
      <c r="I916" t="s">
        <v>455</v>
      </c>
      <c r="J916" s="3">
        <v>-0.4324711</v>
      </c>
      <c r="K916" s="3">
        <v>0.1504923</v>
      </c>
      <c r="L916" s="3">
        <v>2.899871E-2</v>
      </c>
    </row>
    <row r="917" spans="1:12" x14ac:dyDescent="0.25">
      <c r="A917" t="s">
        <v>11761</v>
      </c>
      <c r="B917" t="s">
        <v>11762</v>
      </c>
      <c r="I917" t="s">
        <v>11763</v>
      </c>
      <c r="J917" s="3">
        <v>-7.6136349999999997E-3</v>
      </c>
      <c r="K917" s="3">
        <v>-0.52094200000000002</v>
      </c>
      <c r="L917" s="3">
        <v>-0.37284879999999998</v>
      </c>
    </row>
    <row r="918" spans="1:12" x14ac:dyDescent="0.25">
      <c r="A918" t="s">
        <v>11758</v>
      </c>
      <c r="B918" t="s">
        <v>11759</v>
      </c>
      <c r="I918" t="s">
        <v>11760</v>
      </c>
      <c r="J918" s="3">
        <v>-1.124706</v>
      </c>
      <c r="K918" s="3">
        <v>-0.48108230000000002</v>
      </c>
      <c r="L918" s="3">
        <v>-0.79877350000000003</v>
      </c>
    </row>
    <row r="919" spans="1:12" x14ac:dyDescent="0.25">
      <c r="A919" t="s">
        <v>11755</v>
      </c>
      <c r="B919" t="s">
        <v>11756</v>
      </c>
      <c r="I919" t="s">
        <v>11757</v>
      </c>
      <c r="J919" s="3">
        <v>-0.7350023</v>
      </c>
      <c r="K919" s="3">
        <v>-0.91212300000000002</v>
      </c>
      <c r="L919" s="3">
        <v>-0.4572058</v>
      </c>
    </row>
    <row r="920" spans="1:12" x14ac:dyDescent="0.25">
      <c r="A920" t="s">
        <v>11752</v>
      </c>
      <c r="B920" t="s">
        <v>11753</v>
      </c>
      <c r="I920" t="s">
        <v>11754</v>
      </c>
      <c r="J920" s="3">
        <v>0.11228580000000001</v>
      </c>
      <c r="K920" s="3">
        <v>0.77787989999999996</v>
      </c>
      <c r="L920" s="3">
        <v>-0.29104469999999999</v>
      </c>
    </row>
    <row r="921" spans="1:12" x14ac:dyDescent="0.25">
      <c r="A921" t="s">
        <v>11749</v>
      </c>
      <c r="B921" t="s">
        <v>11750</v>
      </c>
      <c r="I921" t="s">
        <v>11751</v>
      </c>
      <c r="J921" s="3">
        <v>-0.18483179999999999</v>
      </c>
      <c r="K921" s="3">
        <v>0.44500970000000001</v>
      </c>
      <c r="L921" s="3">
        <v>-0.20971690000000001</v>
      </c>
    </row>
    <row r="922" spans="1:12" x14ac:dyDescent="0.25">
      <c r="A922" t="s">
        <v>11748</v>
      </c>
      <c r="B922" t="s">
        <v>957</v>
      </c>
      <c r="I922" t="s">
        <v>455</v>
      </c>
      <c r="J922" s="3">
        <v>-0.37211539999999999</v>
      </c>
      <c r="K922" s="3">
        <v>-1.1335569999999999</v>
      </c>
      <c r="L922" s="3">
        <v>-0.68096730000000005</v>
      </c>
    </row>
    <row r="923" spans="1:12" x14ac:dyDescent="0.25">
      <c r="A923" t="s">
        <v>11745</v>
      </c>
      <c r="B923" t="s">
        <v>11746</v>
      </c>
      <c r="I923" t="s">
        <v>11747</v>
      </c>
      <c r="J923" s="3">
        <v>0.35093370000000002</v>
      </c>
      <c r="K923" s="3">
        <v>0.51460499999999998</v>
      </c>
      <c r="L923" s="3">
        <v>0.46818389999999999</v>
      </c>
    </row>
    <row r="924" spans="1:12" x14ac:dyDescent="0.25">
      <c r="A924" t="s">
        <v>11744</v>
      </c>
      <c r="B924" t="s">
        <v>957</v>
      </c>
      <c r="I924" t="s">
        <v>455</v>
      </c>
      <c r="J924" s="3">
        <v>-0.7544573</v>
      </c>
      <c r="K924" s="3">
        <v>-0.96967570000000003</v>
      </c>
      <c r="L924" s="3">
        <v>-0.46869329999999998</v>
      </c>
    </row>
    <row r="925" spans="1:12" x14ac:dyDescent="0.25">
      <c r="A925" t="s">
        <v>11741</v>
      </c>
      <c r="B925" t="s">
        <v>11742</v>
      </c>
      <c r="I925" t="s">
        <v>11743</v>
      </c>
      <c r="J925" s="3">
        <v>-0.1251147</v>
      </c>
      <c r="K925" s="3">
        <v>-0.84482880000000005</v>
      </c>
      <c r="L925" s="3">
        <v>-0.49641930000000001</v>
      </c>
    </row>
    <row r="926" spans="1:12" x14ac:dyDescent="0.25">
      <c r="A926" t="s">
        <v>11738</v>
      </c>
      <c r="B926" t="s">
        <v>11739</v>
      </c>
      <c r="I926" t="s">
        <v>11740</v>
      </c>
      <c r="J926" s="3">
        <v>-0.38696750000000002</v>
      </c>
      <c r="K926" s="3">
        <v>-0.96363500000000002</v>
      </c>
      <c r="L926" s="3">
        <v>-0.62303050000000004</v>
      </c>
    </row>
    <row r="927" spans="1:12" x14ac:dyDescent="0.25">
      <c r="A927" t="s">
        <v>11735</v>
      </c>
      <c r="B927" t="s">
        <v>11736</v>
      </c>
      <c r="I927" t="s">
        <v>11737</v>
      </c>
      <c r="J927" s="3">
        <v>0.29005999999999998</v>
      </c>
      <c r="K927" s="3">
        <v>0.1129295</v>
      </c>
      <c r="L927" s="3">
        <v>-0.14785000000000001</v>
      </c>
    </row>
    <row r="928" spans="1:12" x14ac:dyDescent="0.25">
      <c r="A928" t="s">
        <v>11734</v>
      </c>
      <c r="B928" t="s">
        <v>957</v>
      </c>
      <c r="I928" t="s">
        <v>455</v>
      </c>
      <c r="J928" s="3">
        <v>-0.11940000000000001</v>
      </c>
      <c r="K928" s="3">
        <v>-0.4851724</v>
      </c>
      <c r="L928" s="3">
        <v>0.16492329999999999</v>
      </c>
    </row>
    <row r="929" spans="1:12" x14ac:dyDescent="0.25">
      <c r="A929" t="s">
        <v>12138</v>
      </c>
      <c r="B929" t="s">
        <v>12139</v>
      </c>
      <c r="I929" t="s">
        <v>11733</v>
      </c>
      <c r="J929" s="3">
        <v>-4.727667E-2</v>
      </c>
      <c r="K929" s="3">
        <v>-0.40443820000000003</v>
      </c>
      <c r="L929" s="3">
        <v>-1.5900899999999999E-2</v>
      </c>
    </row>
    <row r="930" spans="1:12" x14ac:dyDescent="0.25">
      <c r="A930" t="s">
        <v>12135</v>
      </c>
      <c r="B930" t="s">
        <v>12136</v>
      </c>
      <c r="I930" t="s">
        <v>12137</v>
      </c>
      <c r="J930" s="3">
        <v>0.28207559999999998</v>
      </c>
      <c r="K930" s="3">
        <v>0.3714189</v>
      </c>
      <c r="L930" s="3">
        <v>0.2420929</v>
      </c>
    </row>
    <row r="931" spans="1:12" x14ac:dyDescent="0.25">
      <c r="A931" t="s">
        <v>12132</v>
      </c>
      <c r="B931" t="s">
        <v>12133</v>
      </c>
      <c r="I931" t="s">
        <v>12134</v>
      </c>
      <c r="J931" s="3">
        <v>4.8051400000000001E-2</v>
      </c>
      <c r="K931" s="3">
        <v>0.1642081</v>
      </c>
      <c r="L931" s="3">
        <v>7.0213029999999996E-2</v>
      </c>
    </row>
    <row r="932" spans="1:12" x14ac:dyDescent="0.25">
      <c r="A932" t="s">
        <v>12129</v>
      </c>
      <c r="B932" t="s">
        <v>12130</v>
      </c>
      <c r="I932" t="s">
        <v>12131</v>
      </c>
      <c r="J932" s="3">
        <v>-0.8338892</v>
      </c>
      <c r="K932" s="3">
        <v>-1.0500050000000001</v>
      </c>
      <c r="L932" s="3">
        <v>-0.54200740000000003</v>
      </c>
    </row>
    <row r="933" spans="1:12" x14ac:dyDescent="0.25">
      <c r="A933" t="s">
        <v>12127</v>
      </c>
      <c r="B933" t="s">
        <v>957</v>
      </c>
      <c r="I933" t="s">
        <v>12128</v>
      </c>
      <c r="J933" s="3">
        <v>-0.28849609999999998</v>
      </c>
      <c r="K933" s="3">
        <v>-0.41574299999999997</v>
      </c>
      <c r="L933" s="3">
        <v>-0.29275489999999998</v>
      </c>
    </row>
    <row r="934" spans="1:12" x14ac:dyDescent="0.25">
      <c r="A934" t="s">
        <v>12124</v>
      </c>
      <c r="B934" t="s">
        <v>12125</v>
      </c>
      <c r="I934" t="s">
        <v>12126</v>
      </c>
      <c r="J934" s="3">
        <v>0.19206790000000001</v>
      </c>
      <c r="K934" s="3">
        <v>0.18634809999999999</v>
      </c>
      <c r="L934" s="3">
        <v>-0.1343646</v>
      </c>
    </row>
    <row r="935" spans="1:12" x14ac:dyDescent="0.25">
      <c r="A935" t="s">
        <v>12123</v>
      </c>
      <c r="B935" t="s">
        <v>957</v>
      </c>
      <c r="I935" t="s">
        <v>455</v>
      </c>
      <c r="J935" s="3">
        <v>0.49130170000000001</v>
      </c>
      <c r="K935" s="3">
        <v>0.28685759999999999</v>
      </c>
      <c r="L935" s="3">
        <v>0.78141329999999998</v>
      </c>
    </row>
    <row r="936" spans="1:12" x14ac:dyDescent="0.25">
      <c r="A936" t="s">
        <v>12120</v>
      </c>
      <c r="B936" t="s">
        <v>12121</v>
      </c>
      <c r="I936" t="s">
        <v>12122</v>
      </c>
      <c r="J936" s="3">
        <v>0.68193579999999998</v>
      </c>
      <c r="K936" s="3">
        <v>0.73824270000000003</v>
      </c>
      <c r="L936" s="3">
        <v>0.8027725</v>
      </c>
    </row>
    <row r="937" spans="1:12" x14ac:dyDescent="0.25">
      <c r="A937" t="s">
        <v>12119</v>
      </c>
      <c r="B937" t="s">
        <v>957</v>
      </c>
      <c r="I937" t="s">
        <v>455</v>
      </c>
      <c r="J937" s="3">
        <v>2.2383469999999999E-2</v>
      </c>
      <c r="K937" s="3">
        <v>0.52085800000000004</v>
      </c>
      <c r="L937" s="3">
        <v>0.23348260000000001</v>
      </c>
    </row>
    <row r="938" spans="1:12" x14ac:dyDescent="0.25">
      <c r="A938" t="s">
        <v>12118</v>
      </c>
      <c r="B938" t="s">
        <v>957</v>
      </c>
      <c r="I938" t="s">
        <v>455</v>
      </c>
      <c r="J938" s="3">
        <v>0.2335062</v>
      </c>
      <c r="K938" s="3">
        <v>0.76211960000000001</v>
      </c>
      <c r="L938" s="3">
        <v>0.66540359999999998</v>
      </c>
    </row>
    <row r="939" spans="1:12" x14ac:dyDescent="0.25">
      <c r="A939" t="s">
        <v>12117</v>
      </c>
      <c r="B939" t="s">
        <v>957</v>
      </c>
      <c r="I939" t="s">
        <v>2724</v>
      </c>
      <c r="J939" s="3">
        <v>7.0976579999999997E-2</v>
      </c>
      <c r="K939" s="3">
        <v>-0.4639702</v>
      </c>
      <c r="L939" s="3">
        <v>0.35730390000000001</v>
      </c>
    </row>
    <row r="940" spans="1:12" x14ac:dyDescent="0.25">
      <c r="A940" t="s">
        <v>12114</v>
      </c>
      <c r="B940" t="s">
        <v>12115</v>
      </c>
      <c r="I940" t="s">
        <v>12116</v>
      </c>
      <c r="J940" s="3">
        <v>-0.71283229999999997</v>
      </c>
      <c r="K940" s="3">
        <v>-1.402477</v>
      </c>
      <c r="L940" s="3">
        <v>-0.14537340000000001</v>
      </c>
    </row>
    <row r="941" spans="1:12" x14ac:dyDescent="0.25">
      <c r="A941" t="s">
        <v>12111</v>
      </c>
      <c r="B941" t="s">
        <v>12112</v>
      </c>
      <c r="I941" t="s">
        <v>12113</v>
      </c>
      <c r="J941" s="3">
        <v>-0.1134114</v>
      </c>
      <c r="K941" s="3">
        <v>7.8960180000000005E-2</v>
      </c>
      <c r="L941" s="3">
        <v>9.6073779999999998E-2</v>
      </c>
    </row>
    <row r="942" spans="1:12" x14ac:dyDescent="0.25">
      <c r="A942" t="s">
        <v>12110</v>
      </c>
      <c r="B942" t="s">
        <v>957</v>
      </c>
      <c r="I942" t="s">
        <v>823</v>
      </c>
      <c r="J942" s="3">
        <v>0.2985275</v>
      </c>
      <c r="K942" s="3">
        <v>0.30265690000000001</v>
      </c>
      <c r="L942" s="3">
        <v>0.2104927</v>
      </c>
    </row>
    <row r="943" spans="1:12" x14ac:dyDescent="0.25">
      <c r="A943" t="s">
        <v>12107</v>
      </c>
      <c r="B943" t="s">
        <v>12108</v>
      </c>
      <c r="I943" t="s">
        <v>12109</v>
      </c>
      <c r="J943" s="3">
        <v>-0.44427090000000002</v>
      </c>
      <c r="K943" s="3">
        <v>-0.83310839999999997</v>
      </c>
      <c r="L943" s="3">
        <v>-5.257945E-2</v>
      </c>
    </row>
    <row r="944" spans="1:12" x14ac:dyDescent="0.25">
      <c r="A944" t="s">
        <v>12104</v>
      </c>
      <c r="B944" t="s">
        <v>12105</v>
      </c>
      <c r="I944" t="s">
        <v>12106</v>
      </c>
      <c r="J944" s="3">
        <v>4.958663E-2</v>
      </c>
      <c r="K944" s="3">
        <v>-1.6052690000000001E-2</v>
      </c>
      <c r="L944" s="3">
        <v>-0.16541819999999999</v>
      </c>
    </row>
    <row r="945" spans="1:12" x14ac:dyDescent="0.25">
      <c r="A945" t="s">
        <v>12101</v>
      </c>
      <c r="B945" t="s">
        <v>12102</v>
      </c>
      <c r="I945" t="s">
        <v>12103</v>
      </c>
      <c r="J945" s="3">
        <v>-0.27472590000000002</v>
      </c>
      <c r="K945" s="3">
        <v>-0.64848819999999996</v>
      </c>
      <c r="L945" s="3">
        <v>-0.12267599999999999</v>
      </c>
    </row>
    <row r="946" spans="1:12" x14ac:dyDescent="0.25">
      <c r="A946" t="s">
        <v>12098</v>
      </c>
      <c r="B946" t="s">
        <v>12099</v>
      </c>
      <c r="I946" t="s">
        <v>12100</v>
      </c>
      <c r="J946" s="3">
        <v>0.29229119999999997</v>
      </c>
      <c r="K946" s="3">
        <v>0.4642326</v>
      </c>
      <c r="L946" s="3">
        <v>0.32625470000000001</v>
      </c>
    </row>
    <row r="947" spans="1:12" x14ac:dyDescent="0.25">
      <c r="A947" t="s">
        <v>12095</v>
      </c>
      <c r="B947" t="s">
        <v>12096</v>
      </c>
      <c r="I947" t="s">
        <v>12097</v>
      </c>
      <c r="J947" s="3">
        <v>-0.28024260000000001</v>
      </c>
      <c r="K947" s="3">
        <v>-0.924979</v>
      </c>
      <c r="L947" s="3">
        <v>-0.45447349999999997</v>
      </c>
    </row>
    <row r="948" spans="1:12" x14ac:dyDescent="0.25">
      <c r="A948" t="s">
        <v>12092</v>
      </c>
      <c r="B948" t="s">
        <v>12093</v>
      </c>
      <c r="I948" t="s">
        <v>12094</v>
      </c>
      <c r="J948" s="3">
        <v>0.18053649999999999</v>
      </c>
      <c r="K948" s="3">
        <v>0.1495705</v>
      </c>
      <c r="L948" s="3">
        <v>0.1536894</v>
      </c>
    </row>
    <row r="949" spans="1:12" x14ac:dyDescent="0.25">
      <c r="A949" t="s">
        <v>12089</v>
      </c>
      <c r="B949" t="s">
        <v>12090</v>
      </c>
      <c r="I949" t="s">
        <v>12091</v>
      </c>
      <c r="J949" s="3">
        <v>0.15415319999999999</v>
      </c>
      <c r="K949" s="3">
        <v>1.316233E-2</v>
      </c>
      <c r="L949" s="3">
        <v>4.5841029999999998E-2</v>
      </c>
    </row>
    <row r="950" spans="1:12" x14ac:dyDescent="0.25">
      <c r="A950" t="s">
        <v>12086</v>
      </c>
      <c r="B950" t="s">
        <v>12087</v>
      </c>
      <c r="I950" t="s">
        <v>12088</v>
      </c>
      <c r="J950" s="3">
        <v>0.27981400000000001</v>
      </c>
      <c r="K950" s="3">
        <v>0.64376540000000004</v>
      </c>
      <c r="L950" s="3">
        <v>0.57227530000000004</v>
      </c>
    </row>
    <row r="951" spans="1:12" x14ac:dyDescent="0.25">
      <c r="A951" t="s">
        <v>11946</v>
      </c>
      <c r="B951" t="s">
        <v>11947</v>
      </c>
      <c r="I951" t="s">
        <v>12085</v>
      </c>
      <c r="J951" s="3">
        <v>-0.39008720000000002</v>
      </c>
      <c r="K951" s="3">
        <v>-0.35458650000000003</v>
      </c>
      <c r="L951" s="3">
        <v>0.38215310000000002</v>
      </c>
    </row>
    <row r="952" spans="1:12" x14ac:dyDescent="0.25">
      <c r="A952" t="s">
        <v>11943</v>
      </c>
      <c r="B952" t="s">
        <v>11944</v>
      </c>
      <c r="I952" t="s">
        <v>11945</v>
      </c>
      <c r="J952" s="3">
        <v>-1.1873579999999999</v>
      </c>
      <c r="K952" s="3">
        <v>-1.1274310000000001</v>
      </c>
      <c r="L952" s="3">
        <v>-1.08697</v>
      </c>
    </row>
    <row r="953" spans="1:12" x14ac:dyDescent="0.25">
      <c r="A953" t="s">
        <v>11940</v>
      </c>
      <c r="B953" t="s">
        <v>11941</v>
      </c>
      <c r="I953" t="s">
        <v>11942</v>
      </c>
      <c r="J953" s="3">
        <v>-0.2398884</v>
      </c>
      <c r="K953" s="3">
        <v>-0.78101790000000004</v>
      </c>
      <c r="L953" s="3">
        <v>-6.821315E-2</v>
      </c>
    </row>
    <row r="954" spans="1:12" x14ac:dyDescent="0.25">
      <c r="A954" t="s">
        <v>11937</v>
      </c>
      <c r="B954" t="s">
        <v>11938</v>
      </c>
      <c r="I954" t="s">
        <v>11939</v>
      </c>
      <c r="J954" s="3">
        <v>0.14738989999999999</v>
      </c>
      <c r="K954" s="3">
        <v>-4.8205320000000003E-2</v>
      </c>
      <c r="L954" s="3">
        <v>2.1568009999999999E-2</v>
      </c>
    </row>
    <row r="955" spans="1:12" x14ac:dyDescent="0.25">
      <c r="A955" t="s">
        <v>11934</v>
      </c>
      <c r="B955" t="s">
        <v>11935</v>
      </c>
      <c r="I955" t="s">
        <v>11936</v>
      </c>
      <c r="J955" s="3">
        <v>-0.210981</v>
      </c>
      <c r="K955" s="3">
        <v>-0.48087390000000002</v>
      </c>
      <c r="L955" s="3">
        <v>-0.25912750000000001</v>
      </c>
    </row>
    <row r="956" spans="1:12" x14ac:dyDescent="0.25">
      <c r="A956" t="s">
        <v>11931</v>
      </c>
      <c r="B956" t="s">
        <v>11932</v>
      </c>
      <c r="I956" t="s">
        <v>11933</v>
      </c>
      <c r="J956" s="3">
        <v>3.5438369999999997E-2</v>
      </c>
      <c r="K956" s="3">
        <v>0.45156010000000002</v>
      </c>
      <c r="L956" s="3">
        <v>0.37571759999999998</v>
      </c>
    </row>
    <row r="957" spans="1:12" x14ac:dyDescent="0.25">
      <c r="A957" t="s">
        <v>11930</v>
      </c>
      <c r="B957" t="s">
        <v>957</v>
      </c>
      <c r="I957" t="s">
        <v>6296</v>
      </c>
      <c r="J957" s="3">
        <v>5.8847200000000002E-2</v>
      </c>
      <c r="K957" s="3">
        <v>0.3522477</v>
      </c>
      <c r="L957" s="3">
        <v>0.30276950000000002</v>
      </c>
    </row>
    <row r="958" spans="1:12" x14ac:dyDescent="0.25">
      <c r="A958" t="s">
        <v>11927</v>
      </c>
      <c r="B958" t="s">
        <v>11928</v>
      </c>
      <c r="I958" t="s">
        <v>11929</v>
      </c>
      <c r="J958" s="3">
        <v>0.26550659999999998</v>
      </c>
      <c r="K958" s="3">
        <v>-0.55896840000000003</v>
      </c>
      <c r="L958" s="3">
        <v>8.0546899999999995E-4</v>
      </c>
    </row>
    <row r="959" spans="1:12" x14ac:dyDescent="0.25">
      <c r="A959" t="s">
        <v>11924</v>
      </c>
      <c r="B959" t="s">
        <v>11925</v>
      </c>
      <c r="I959" t="s">
        <v>11926</v>
      </c>
      <c r="J959" s="3">
        <v>-0.25266169999999999</v>
      </c>
      <c r="K959" s="3">
        <v>-0.38915880000000003</v>
      </c>
      <c r="L959" s="3">
        <v>-9.152747E-2</v>
      </c>
    </row>
    <row r="960" spans="1:12" x14ac:dyDescent="0.25">
      <c r="A960" t="s">
        <v>11921</v>
      </c>
      <c r="B960" t="s">
        <v>11922</v>
      </c>
      <c r="I960" t="s">
        <v>11923</v>
      </c>
      <c r="J960" s="3">
        <v>-0.1433275</v>
      </c>
      <c r="K960" s="3">
        <v>0.17258309999999999</v>
      </c>
      <c r="L960" s="3">
        <v>0.245057</v>
      </c>
    </row>
    <row r="961" spans="1:12" x14ac:dyDescent="0.25">
      <c r="A961" t="s">
        <v>11918</v>
      </c>
      <c r="B961" t="s">
        <v>11919</v>
      </c>
      <c r="I961" t="s">
        <v>11920</v>
      </c>
      <c r="J961" s="3">
        <v>-0.23245660000000001</v>
      </c>
      <c r="K961" s="3">
        <v>-0.66911149999999997</v>
      </c>
      <c r="L961" s="3">
        <v>-1.010633E-2</v>
      </c>
    </row>
    <row r="962" spans="1:12" x14ac:dyDescent="0.25">
      <c r="A962" t="s">
        <v>11917</v>
      </c>
      <c r="B962" t="s">
        <v>957</v>
      </c>
      <c r="I962" t="s">
        <v>455</v>
      </c>
      <c r="J962" s="3">
        <v>0.3097029</v>
      </c>
      <c r="K962" s="3">
        <v>0.81746289999999999</v>
      </c>
      <c r="L962" s="3">
        <v>0.4271488</v>
      </c>
    </row>
    <row r="963" spans="1:12" x14ac:dyDescent="0.25">
      <c r="A963" t="s">
        <v>11916</v>
      </c>
      <c r="B963" t="s">
        <v>957</v>
      </c>
      <c r="I963" t="s">
        <v>455</v>
      </c>
      <c r="J963" s="3">
        <v>-4.698277E-2</v>
      </c>
      <c r="K963" s="3">
        <v>6.5850469999999994E-2</v>
      </c>
      <c r="L963" s="3">
        <v>0.10006420000000001</v>
      </c>
    </row>
    <row r="964" spans="1:12" x14ac:dyDescent="0.25">
      <c r="A964" t="s">
        <v>11913</v>
      </c>
      <c r="B964" t="s">
        <v>11914</v>
      </c>
      <c r="I964" t="s">
        <v>11915</v>
      </c>
      <c r="J964" s="3">
        <v>-0.16199939999999999</v>
      </c>
      <c r="K964" s="3">
        <v>0.61112540000000004</v>
      </c>
      <c r="L964" s="3">
        <v>-0.42918070000000003</v>
      </c>
    </row>
    <row r="965" spans="1:12" x14ac:dyDescent="0.25">
      <c r="A965" t="s">
        <v>11910</v>
      </c>
      <c r="B965" t="s">
        <v>11911</v>
      </c>
      <c r="I965" t="s">
        <v>11912</v>
      </c>
      <c r="J965" s="3">
        <v>0.25989790000000002</v>
      </c>
      <c r="K965" s="3">
        <v>-2.2699179999999999E-2</v>
      </c>
      <c r="L965" s="3">
        <v>6.8018540000000002E-2</v>
      </c>
    </row>
    <row r="966" spans="1:12" x14ac:dyDescent="0.25">
      <c r="A966" t="s">
        <v>11907</v>
      </c>
      <c r="B966" t="s">
        <v>11908</v>
      </c>
      <c r="I966" t="s">
        <v>11909</v>
      </c>
      <c r="J966" s="3">
        <v>5.0075519999999998E-2</v>
      </c>
      <c r="K966" s="3">
        <v>0.10686619999999999</v>
      </c>
      <c r="L966" s="3">
        <v>9.8175979999999996E-2</v>
      </c>
    </row>
    <row r="967" spans="1:12" x14ac:dyDescent="0.25">
      <c r="A967" t="s">
        <v>11904</v>
      </c>
      <c r="B967" t="s">
        <v>11905</v>
      </c>
      <c r="I967" t="s">
        <v>11906</v>
      </c>
      <c r="J967" s="3">
        <v>-8.0461340000000006E-2</v>
      </c>
      <c r="K967" s="3">
        <v>-0.16935629999999999</v>
      </c>
      <c r="L967" s="3">
        <v>-0.27339400000000003</v>
      </c>
    </row>
    <row r="968" spans="1:12" x14ac:dyDescent="0.25">
      <c r="A968" t="s">
        <v>11901</v>
      </c>
      <c r="B968" t="s">
        <v>11902</v>
      </c>
      <c r="I968" t="s">
        <v>11903</v>
      </c>
      <c r="J968" s="3">
        <v>5.8826549999999998E-2</v>
      </c>
      <c r="K968" s="3">
        <v>0.105379</v>
      </c>
      <c r="L968" s="3">
        <v>0.1805899</v>
      </c>
    </row>
    <row r="969" spans="1:12" x14ac:dyDescent="0.25">
      <c r="A969" t="s">
        <v>11898</v>
      </c>
      <c r="B969" t="s">
        <v>11899</v>
      </c>
      <c r="I969" t="s">
        <v>11900</v>
      </c>
      <c r="J969" s="3">
        <v>-1.0657760000000001</v>
      </c>
      <c r="K969" s="3">
        <v>-1.040243</v>
      </c>
      <c r="L969" s="3">
        <v>-0.86843329999999996</v>
      </c>
    </row>
    <row r="970" spans="1:12" x14ac:dyDescent="0.25">
      <c r="A970" t="s">
        <v>11895</v>
      </c>
      <c r="B970" t="s">
        <v>11896</v>
      </c>
      <c r="I970" t="s">
        <v>11897</v>
      </c>
      <c r="J970" s="3">
        <v>2.5465689999999998E-3</v>
      </c>
      <c r="K970" s="3">
        <v>-0.33457599999999998</v>
      </c>
      <c r="L970" s="3">
        <v>-0.15238070000000001</v>
      </c>
    </row>
    <row r="971" spans="1:12" x14ac:dyDescent="0.25">
      <c r="A971" t="s">
        <v>11893</v>
      </c>
      <c r="B971" t="s">
        <v>957</v>
      </c>
      <c r="I971" t="s">
        <v>11894</v>
      </c>
      <c r="J971" s="3">
        <v>-0.314577</v>
      </c>
      <c r="K971" s="3">
        <v>0.53972609999999999</v>
      </c>
      <c r="L971" s="3">
        <v>0.1739424</v>
      </c>
    </row>
    <row r="972" spans="1:12" x14ac:dyDescent="0.25">
      <c r="A972" t="s">
        <v>11890</v>
      </c>
      <c r="B972" t="s">
        <v>11891</v>
      </c>
      <c r="I972" t="s">
        <v>11892</v>
      </c>
      <c r="J972" s="3">
        <v>-9.4919410000000003E-3</v>
      </c>
      <c r="K972" s="3">
        <v>0.2332728</v>
      </c>
      <c r="L972" s="3">
        <v>-0.47099679999999999</v>
      </c>
    </row>
    <row r="973" spans="1:12" x14ac:dyDescent="0.25">
      <c r="A973" t="s">
        <v>11887</v>
      </c>
      <c r="B973" t="s">
        <v>11888</v>
      </c>
      <c r="I973" t="s">
        <v>11889</v>
      </c>
      <c r="J973" s="3">
        <v>0.31350600000000001</v>
      </c>
      <c r="K973" s="3">
        <v>0.1243459</v>
      </c>
      <c r="L973" s="3">
        <v>0.17847550000000001</v>
      </c>
    </row>
    <row r="974" spans="1:12" x14ac:dyDescent="0.25">
      <c r="A974" t="s">
        <v>11885</v>
      </c>
      <c r="B974" t="s">
        <v>11886</v>
      </c>
      <c r="I974" t="s">
        <v>4298</v>
      </c>
      <c r="J974" s="3">
        <v>0.20277300000000001</v>
      </c>
      <c r="K974" s="3">
        <v>-0.1139252</v>
      </c>
      <c r="L974" s="3">
        <v>6.7524390000000004E-2</v>
      </c>
    </row>
    <row r="975" spans="1:12" x14ac:dyDescent="0.25">
      <c r="A975" t="s">
        <v>11882</v>
      </c>
      <c r="B975" t="s">
        <v>11883</v>
      </c>
      <c r="I975" t="s">
        <v>11884</v>
      </c>
      <c r="J975" s="3">
        <v>0.21167430000000001</v>
      </c>
      <c r="K975" s="3">
        <v>0.43410310000000002</v>
      </c>
      <c r="L975" s="3">
        <v>0.232378</v>
      </c>
    </row>
    <row r="976" spans="1:12" x14ac:dyDescent="0.25">
      <c r="A976" t="s">
        <v>11879</v>
      </c>
      <c r="B976" t="s">
        <v>11880</v>
      </c>
      <c r="I976" t="s">
        <v>11881</v>
      </c>
      <c r="J976" s="3">
        <v>0.1007908</v>
      </c>
      <c r="K976" s="3">
        <v>0.1315856</v>
      </c>
      <c r="L976" s="3">
        <v>0.49852419999999997</v>
      </c>
    </row>
    <row r="977" spans="1:12" x14ac:dyDescent="0.25">
      <c r="A977" t="s">
        <v>11877</v>
      </c>
      <c r="B977" t="s">
        <v>957</v>
      </c>
      <c r="I977" t="s">
        <v>11878</v>
      </c>
      <c r="J977" s="3">
        <v>0.37738630000000001</v>
      </c>
      <c r="K977" s="3">
        <v>0.87421890000000002</v>
      </c>
      <c r="L977" s="3">
        <v>0.33636159999999998</v>
      </c>
    </row>
    <row r="978" spans="1:12" x14ac:dyDescent="0.25">
      <c r="A978" t="s">
        <v>11874</v>
      </c>
      <c r="B978" t="s">
        <v>11875</v>
      </c>
      <c r="I978" t="s">
        <v>11876</v>
      </c>
      <c r="J978" s="3">
        <v>0.3340978</v>
      </c>
      <c r="K978" s="3">
        <v>-1.8633940000000002E-2</v>
      </c>
      <c r="L978" s="3">
        <v>9.5525219999999994E-2</v>
      </c>
    </row>
    <row r="979" spans="1:12" x14ac:dyDescent="0.25">
      <c r="A979" t="s">
        <v>11873</v>
      </c>
      <c r="B979" t="s">
        <v>957</v>
      </c>
      <c r="I979" t="s">
        <v>455</v>
      </c>
      <c r="J979" s="3">
        <v>0.77425460000000002</v>
      </c>
      <c r="K979" s="3">
        <v>7.4513049999999997E-2</v>
      </c>
      <c r="L979" s="3">
        <v>0.46089809999999998</v>
      </c>
    </row>
    <row r="980" spans="1:12" x14ac:dyDescent="0.25">
      <c r="A980" t="s">
        <v>11870</v>
      </c>
      <c r="B980" t="s">
        <v>11871</v>
      </c>
      <c r="I980" t="s">
        <v>11872</v>
      </c>
      <c r="J980" s="3">
        <v>-1.9011610000000002E-2</v>
      </c>
      <c r="K980" s="3">
        <v>-0.20226659999999999</v>
      </c>
      <c r="L980" s="3">
        <v>6.5663109999999997E-2</v>
      </c>
    </row>
    <row r="981" spans="1:12" x14ac:dyDescent="0.25">
      <c r="A981" t="s">
        <v>11869</v>
      </c>
      <c r="B981" t="s">
        <v>957</v>
      </c>
      <c r="I981" t="s">
        <v>4900</v>
      </c>
      <c r="J981" s="3">
        <v>-1.1009439999999999</v>
      </c>
      <c r="K981" s="3">
        <v>-4.78863E-2</v>
      </c>
      <c r="L981" s="3">
        <v>-0.61543000000000003</v>
      </c>
    </row>
    <row r="982" spans="1:12" x14ac:dyDescent="0.25">
      <c r="A982" t="s">
        <v>11866</v>
      </c>
      <c r="B982" t="s">
        <v>11867</v>
      </c>
      <c r="I982" t="s">
        <v>11868</v>
      </c>
      <c r="J982" s="3">
        <v>-9.9119600000000002E-2</v>
      </c>
      <c r="K982" s="3">
        <v>-0.19482830000000001</v>
      </c>
      <c r="L982" s="3">
        <v>-0.21704989999999999</v>
      </c>
    </row>
    <row r="983" spans="1:12" x14ac:dyDescent="0.25">
      <c r="A983" t="s">
        <v>11864</v>
      </c>
      <c r="B983" t="s">
        <v>957</v>
      </c>
      <c r="I983" t="s">
        <v>11865</v>
      </c>
      <c r="J983" s="3">
        <v>-0.4235583</v>
      </c>
      <c r="K983" s="3">
        <v>-0.58801530000000002</v>
      </c>
      <c r="L983" s="3">
        <v>-0.48443019999999998</v>
      </c>
    </row>
    <row r="984" spans="1:12" x14ac:dyDescent="0.25">
      <c r="A984" t="s">
        <v>11862</v>
      </c>
      <c r="B984" t="s">
        <v>11863</v>
      </c>
      <c r="I984" t="s">
        <v>593</v>
      </c>
      <c r="J984" s="3">
        <v>-0.44553520000000002</v>
      </c>
      <c r="K984" s="3">
        <v>-0.66158839999999997</v>
      </c>
      <c r="L984" s="3">
        <v>-0.48489399999999999</v>
      </c>
    </row>
    <row r="985" spans="1:12" x14ac:dyDescent="0.25">
      <c r="A985" t="s">
        <v>11861</v>
      </c>
      <c r="B985" t="s">
        <v>957</v>
      </c>
      <c r="I985" t="s">
        <v>455</v>
      </c>
      <c r="J985" s="3">
        <v>-0.31375999999999998</v>
      </c>
      <c r="K985" s="3">
        <v>-0.80137599999999998</v>
      </c>
      <c r="L985" s="3">
        <v>-0.40244259999999998</v>
      </c>
    </row>
    <row r="986" spans="1:12" x14ac:dyDescent="0.25">
      <c r="A986" t="s">
        <v>11859</v>
      </c>
      <c r="B986" t="s">
        <v>11860</v>
      </c>
      <c r="I986" t="s">
        <v>1425</v>
      </c>
      <c r="J986" s="3">
        <v>-0.16867470000000001</v>
      </c>
      <c r="K986" s="3">
        <v>-0.62426040000000005</v>
      </c>
      <c r="L986" s="3">
        <v>-0.19231480000000001</v>
      </c>
    </row>
    <row r="987" spans="1:12" x14ac:dyDescent="0.25">
      <c r="A987" t="s">
        <v>11858</v>
      </c>
      <c r="B987" t="s">
        <v>957</v>
      </c>
      <c r="I987" t="s">
        <v>455</v>
      </c>
      <c r="J987" s="3">
        <v>-0.48871880000000001</v>
      </c>
      <c r="K987" s="3">
        <v>0.37190879999999998</v>
      </c>
      <c r="L987" s="3">
        <v>0.36683680000000002</v>
      </c>
    </row>
    <row r="988" spans="1:12" x14ac:dyDescent="0.25">
      <c r="A988" t="s">
        <v>11855</v>
      </c>
      <c r="B988" t="s">
        <v>11856</v>
      </c>
      <c r="I988" t="s">
        <v>11857</v>
      </c>
      <c r="J988" s="3">
        <v>-0.22120629999999999</v>
      </c>
      <c r="K988" s="3">
        <v>-0.80297790000000002</v>
      </c>
      <c r="L988" s="3">
        <v>-0.34444279999999999</v>
      </c>
    </row>
    <row r="989" spans="1:12" x14ac:dyDescent="0.25">
      <c r="A989" t="s">
        <v>11852</v>
      </c>
      <c r="B989" t="s">
        <v>11853</v>
      </c>
      <c r="I989" t="s">
        <v>11854</v>
      </c>
      <c r="J989" s="3">
        <v>-0.70984769999999997</v>
      </c>
      <c r="K989" s="3">
        <v>-0.99096490000000004</v>
      </c>
      <c r="L989" s="3">
        <v>-0.27876709999999999</v>
      </c>
    </row>
    <row r="990" spans="1:12" x14ac:dyDescent="0.25">
      <c r="A990" t="s">
        <v>11849</v>
      </c>
      <c r="B990" t="s">
        <v>11850</v>
      </c>
      <c r="I990" t="s">
        <v>11851</v>
      </c>
      <c r="J990" s="3">
        <v>0.29584840000000001</v>
      </c>
      <c r="K990" s="3">
        <v>0.1610076</v>
      </c>
      <c r="L990" s="3">
        <v>0.1226869</v>
      </c>
    </row>
    <row r="991" spans="1:12" x14ac:dyDescent="0.25">
      <c r="A991" t="s">
        <v>11846</v>
      </c>
      <c r="B991" t="s">
        <v>11847</v>
      </c>
      <c r="I991" t="s">
        <v>11848</v>
      </c>
      <c r="J991" s="3">
        <v>-0.76495389999999996</v>
      </c>
      <c r="K991" s="3">
        <v>-0.8348662</v>
      </c>
      <c r="L991" s="3">
        <v>-0.5705228</v>
      </c>
    </row>
    <row r="992" spans="1:12" x14ac:dyDescent="0.25">
      <c r="A992" t="s">
        <v>11845</v>
      </c>
      <c r="B992" t="s">
        <v>957</v>
      </c>
      <c r="I992" t="s">
        <v>455</v>
      </c>
      <c r="J992" s="3">
        <v>-0.46341919999999998</v>
      </c>
      <c r="K992" s="3">
        <v>-0.70737799999999995</v>
      </c>
      <c r="L992" s="3">
        <v>-0.286964</v>
      </c>
    </row>
    <row r="993" spans="1:12" x14ac:dyDescent="0.25">
      <c r="A993" t="s">
        <v>11842</v>
      </c>
      <c r="B993" t="s">
        <v>11843</v>
      </c>
      <c r="I993" t="s">
        <v>11844</v>
      </c>
      <c r="J993" s="3">
        <v>-0.32685920000000002</v>
      </c>
      <c r="K993" s="3">
        <v>0.1522202</v>
      </c>
      <c r="L993" s="3">
        <v>-0.25365270000000001</v>
      </c>
    </row>
    <row r="994" spans="1:12" x14ac:dyDescent="0.25">
      <c r="A994" t="s">
        <v>11839</v>
      </c>
      <c r="B994" t="s">
        <v>11840</v>
      </c>
      <c r="I994" t="s">
        <v>11841</v>
      </c>
      <c r="J994" s="3">
        <v>-0.12623960000000001</v>
      </c>
      <c r="K994" s="3">
        <v>0.26186720000000002</v>
      </c>
      <c r="L994" s="3">
        <v>-1.6286180000000001E-2</v>
      </c>
    </row>
    <row r="995" spans="1:12" x14ac:dyDescent="0.25">
      <c r="A995" t="s">
        <v>11836</v>
      </c>
      <c r="B995" t="s">
        <v>11837</v>
      </c>
      <c r="I995" t="s">
        <v>11838</v>
      </c>
      <c r="J995" s="3">
        <v>-0.26323039999999998</v>
      </c>
      <c r="K995" s="3">
        <v>-0.39634979999999997</v>
      </c>
      <c r="L995" s="3">
        <v>-0.5428695</v>
      </c>
    </row>
    <row r="996" spans="1:12" x14ac:dyDescent="0.25">
      <c r="A996" t="s">
        <v>11835</v>
      </c>
      <c r="B996" t="s">
        <v>957</v>
      </c>
      <c r="I996" t="s">
        <v>455</v>
      </c>
      <c r="J996" s="3">
        <v>2.5388049999999999E-2</v>
      </c>
      <c r="K996" s="3">
        <v>8.9662519999999996E-2</v>
      </c>
      <c r="L996" s="3">
        <v>0.128445</v>
      </c>
    </row>
    <row r="997" spans="1:12" x14ac:dyDescent="0.25">
      <c r="A997" t="s">
        <v>11832</v>
      </c>
      <c r="B997" t="s">
        <v>11833</v>
      </c>
      <c r="I997" t="s">
        <v>11834</v>
      </c>
      <c r="J997" s="3">
        <v>-0.31902049999999998</v>
      </c>
      <c r="K997" s="3">
        <v>-0.39127590000000001</v>
      </c>
      <c r="L997" s="3">
        <v>-4.9923629999999997E-2</v>
      </c>
    </row>
    <row r="998" spans="1:12" x14ac:dyDescent="0.25">
      <c r="A998" t="s">
        <v>11829</v>
      </c>
      <c r="B998" t="s">
        <v>11830</v>
      </c>
      <c r="I998" t="s">
        <v>11831</v>
      </c>
      <c r="J998" s="3">
        <v>-0.3059885</v>
      </c>
      <c r="K998" s="3">
        <v>-0.50854330000000003</v>
      </c>
      <c r="L998" s="3">
        <v>1.8763660000000001E-2</v>
      </c>
    </row>
    <row r="999" spans="1:12" x14ac:dyDescent="0.25">
      <c r="A999" t="s">
        <v>11828</v>
      </c>
      <c r="B999" t="s">
        <v>957</v>
      </c>
      <c r="I999" t="s">
        <v>455</v>
      </c>
      <c r="J999" s="3">
        <v>8.100417E-2</v>
      </c>
      <c r="K999" s="3">
        <v>5.5754150000000002E-2</v>
      </c>
      <c r="L999" s="3">
        <v>0.26419749999999997</v>
      </c>
    </row>
    <row r="1000" spans="1:12" x14ac:dyDescent="0.25">
      <c r="A1000" t="s">
        <v>11827</v>
      </c>
      <c r="B1000" t="s">
        <v>957</v>
      </c>
      <c r="I1000" t="s">
        <v>455</v>
      </c>
      <c r="J1000" s="3">
        <v>-0.79315559999999996</v>
      </c>
      <c r="K1000" s="3">
        <v>-0.48333959999999998</v>
      </c>
      <c r="L1000" s="3">
        <v>-0.34222799999999998</v>
      </c>
    </row>
    <row r="1001" spans="1:12" x14ac:dyDescent="0.25">
      <c r="A1001" t="s">
        <v>11824</v>
      </c>
      <c r="B1001" t="s">
        <v>11825</v>
      </c>
      <c r="I1001" t="s">
        <v>11826</v>
      </c>
      <c r="J1001" s="3">
        <v>0.15569930000000001</v>
      </c>
      <c r="K1001" s="3">
        <v>0.1036668</v>
      </c>
      <c r="L1001" s="3">
        <v>0.45941320000000002</v>
      </c>
    </row>
    <row r="1002" spans="1:12" x14ac:dyDescent="0.25">
      <c r="A1002" t="s">
        <v>11821</v>
      </c>
      <c r="B1002" t="s">
        <v>11822</v>
      </c>
      <c r="I1002" t="s">
        <v>11823</v>
      </c>
      <c r="J1002" s="3">
        <v>-0.2309302</v>
      </c>
      <c r="K1002" s="3">
        <v>-0.48273450000000001</v>
      </c>
      <c r="L1002" s="3">
        <v>-0.20330860000000001</v>
      </c>
    </row>
    <row r="1003" spans="1:12" x14ac:dyDescent="0.25">
      <c r="A1003" t="s">
        <v>11818</v>
      </c>
      <c r="B1003" t="s">
        <v>11819</v>
      </c>
      <c r="I1003" t="s">
        <v>11820</v>
      </c>
      <c r="J1003" s="3">
        <v>-0.11902500000000001</v>
      </c>
      <c r="K1003" s="3">
        <v>-0.57063200000000003</v>
      </c>
      <c r="L1003" s="3">
        <v>-0.42729260000000002</v>
      </c>
    </row>
    <row r="1004" spans="1:12" x14ac:dyDescent="0.25">
      <c r="A1004" t="s">
        <v>11815</v>
      </c>
      <c r="B1004" t="s">
        <v>11816</v>
      </c>
      <c r="I1004" t="s">
        <v>11817</v>
      </c>
      <c r="J1004" s="3">
        <v>2.4687870000000001E-2</v>
      </c>
      <c r="K1004" s="3">
        <v>-0.13057540000000001</v>
      </c>
      <c r="L1004" s="3">
        <v>0.44270019999999999</v>
      </c>
    </row>
    <row r="1005" spans="1:12" x14ac:dyDescent="0.25">
      <c r="A1005" t="s">
        <v>11813</v>
      </c>
      <c r="B1005" t="s">
        <v>957</v>
      </c>
      <c r="I1005" t="s">
        <v>11814</v>
      </c>
      <c r="J1005" s="3">
        <v>-7.223417E-2</v>
      </c>
      <c r="K1005" s="3">
        <v>-0.2479577</v>
      </c>
      <c r="L1005" s="3">
        <v>-1.076033E-2</v>
      </c>
    </row>
    <row r="1006" spans="1:12" x14ac:dyDescent="0.25">
      <c r="A1006" t="s">
        <v>11810</v>
      </c>
      <c r="B1006" t="s">
        <v>11811</v>
      </c>
      <c r="I1006" t="s">
        <v>11812</v>
      </c>
      <c r="J1006" s="3">
        <v>0.31918350000000001</v>
      </c>
      <c r="K1006" s="3">
        <v>0.25621319999999997</v>
      </c>
      <c r="L1006" s="3">
        <v>0.53466250000000004</v>
      </c>
    </row>
    <row r="1007" spans="1:12" x14ac:dyDescent="0.25">
      <c r="A1007" t="s">
        <v>11807</v>
      </c>
      <c r="B1007" t="s">
        <v>11808</v>
      </c>
      <c r="I1007" t="s">
        <v>11809</v>
      </c>
      <c r="J1007" s="3">
        <v>-0.1099229</v>
      </c>
      <c r="K1007" s="3">
        <v>-0.1223849</v>
      </c>
      <c r="L1007" s="3">
        <v>-0.1941359</v>
      </c>
    </row>
    <row r="1008" spans="1:12" x14ac:dyDescent="0.25">
      <c r="A1008" t="s">
        <v>12692</v>
      </c>
      <c r="B1008" t="s">
        <v>12693</v>
      </c>
      <c r="I1008" t="s">
        <v>11806</v>
      </c>
      <c r="J1008" s="3">
        <v>0.60668999999999995</v>
      </c>
      <c r="K1008" s="3">
        <v>0.57964930000000003</v>
      </c>
      <c r="L1008" s="3">
        <v>0.1982199</v>
      </c>
    </row>
    <row r="1009" spans="1:12" x14ac:dyDescent="0.25">
      <c r="A1009" t="s">
        <v>12689</v>
      </c>
      <c r="B1009" t="s">
        <v>12690</v>
      </c>
      <c r="I1009" t="s">
        <v>12691</v>
      </c>
      <c r="J1009" s="3">
        <v>-0.19353400000000001</v>
      </c>
      <c r="K1009" s="3">
        <v>0.51237659999999996</v>
      </c>
      <c r="L1009" s="3">
        <v>0.2387811</v>
      </c>
    </row>
    <row r="1010" spans="1:12" x14ac:dyDescent="0.25">
      <c r="A1010" t="s">
        <v>12686</v>
      </c>
      <c r="B1010" t="s">
        <v>12687</v>
      </c>
      <c r="I1010" t="s">
        <v>12688</v>
      </c>
      <c r="J1010" s="3">
        <v>-0.47381570000000001</v>
      </c>
      <c r="K1010" s="3">
        <v>-1.4222539999999999</v>
      </c>
      <c r="L1010" s="3">
        <v>-0.81526790000000005</v>
      </c>
    </row>
    <row r="1011" spans="1:12" x14ac:dyDescent="0.25">
      <c r="A1011" t="s">
        <v>12683</v>
      </c>
      <c r="B1011" t="s">
        <v>12684</v>
      </c>
      <c r="I1011" t="s">
        <v>12685</v>
      </c>
      <c r="J1011" s="3">
        <v>0.65704320000000005</v>
      </c>
      <c r="K1011" s="3">
        <v>0.54973479999999997</v>
      </c>
      <c r="L1011" s="3">
        <v>0.81183609999999995</v>
      </c>
    </row>
    <row r="1012" spans="1:12" x14ac:dyDescent="0.25">
      <c r="A1012" t="s">
        <v>12680</v>
      </c>
      <c r="B1012" t="s">
        <v>12681</v>
      </c>
      <c r="I1012" t="s">
        <v>12682</v>
      </c>
      <c r="J1012" s="3">
        <v>-0.1055931</v>
      </c>
      <c r="K1012" s="3">
        <v>-0.62522560000000005</v>
      </c>
      <c r="L1012" s="3">
        <v>-0.2056684</v>
      </c>
    </row>
    <row r="1013" spans="1:12" x14ac:dyDescent="0.25">
      <c r="A1013" t="s">
        <v>12677</v>
      </c>
      <c r="B1013" t="s">
        <v>12678</v>
      </c>
      <c r="I1013" t="s">
        <v>12679</v>
      </c>
      <c r="J1013" s="3">
        <v>-0.35149000000000002</v>
      </c>
      <c r="K1013" s="3">
        <v>-0.33029459999999999</v>
      </c>
      <c r="L1013" s="3">
        <v>-0.43909759999999998</v>
      </c>
    </row>
    <row r="1014" spans="1:12" x14ac:dyDescent="0.25">
      <c r="A1014" t="s">
        <v>12674</v>
      </c>
      <c r="B1014" t="s">
        <v>12675</v>
      </c>
      <c r="I1014" t="s">
        <v>12676</v>
      </c>
      <c r="J1014" s="3">
        <v>-1.29789E-2</v>
      </c>
      <c r="K1014" s="3">
        <v>-0.89874399999999999</v>
      </c>
      <c r="L1014" s="3">
        <v>-0.14903820000000001</v>
      </c>
    </row>
    <row r="1015" spans="1:12" x14ac:dyDescent="0.25">
      <c r="A1015" t="s">
        <v>12671</v>
      </c>
      <c r="B1015" t="s">
        <v>12672</v>
      </c>
      <c r="I1015" t="s">
        <v>12673</v>
      </c>
      <c r="J1015" s="3">
        <v>0.34229939999999998</v>
      </c>
      <c r="K1015" s="3">
        <v>0.39876020000000001</v>
      </c>
      <c r="L1015" s="3">
        <v>5.5766339999999998E-2</v>
      </c>
    </row>
    <row r="1016" spans="1:12" x14ac:dyDescent="0.25">
      <c r="A1016" t="s">
        <v>12668</v>
      </c>
      <c r="B1016" t="s">
        <v>12669</v>
      </c>
      <c r="I1016" t="s">
        <v>12670</v>
      </c>
      <c r="J1016" s="3">
        <v>-0.82098000000000004</v>
      </c>
      <c r="K1016" s="3">
        <v>-1.1857690000000001</v>
      </c>
      <c r="L1016" s="3">
        <v>-0.39742670000000002</v>
      </c>
    </row>
    <row r="1017" spans="1:12" x14ac:dyDescent="0.25">
      <c r="A1017" t="s">
        <v>12665</v>
      </c>
      <c r="B1017" t="s">
        <v>12666</v>
      </c>
      <c r="I1017" t="s">
        <v>12667</v>
      </c>
      <c r="J1017" s="3">
        <v>-0.34908129999999998</v>
      </c>
      <c r="K1017" s="3">
        <v>-0.89483400000000002</v>
      </c>
      <c r="L1017" s="3">
        <v>-0.5095035</v>
      </c>
    </row>
    <row r="1018" spans="1:12" x14ac:dyDescent="0.25">
      <c r="A1018" t="s">
        <v>12662</v>
      </c>
      <c r="B1018" t="s">
        <v>12663</v>
      </c>
      <c r="I1018" t="s">
        <v>12664</v>
      </c>
      <c r="J1018" s="3">
        <v>0.33128669999999999</v>
      </c>
      <c r="K1018" s="3">
        <v>0.39025199999999999</v>
      </c>
      <c r="L1018" s="3">
        <v>0.31898219999999999</v>
      </c>
    </row>
    <row r="1019" spans="1:12" x14ac:dyDescent="0.25">
      <c r="A1019" t="s">
        <v>12659</v>
      </c>
      <c r="B1019" t="s">
        <v>12660</v>
      </c>
      <c r="I1019" t="s">
        <v>12661</v>
      </c>
      <c r="J1019" s="3">
        <v>0.47683029999999998</v>
      </c>
      <c r="K1019" s="3">
        <v>0.81295240000000002</v>
      </c>
      <c r="L1019" s="3">
        <v>0.20217299999999999</v>
      </c>
    </row>
    <row r="1020" spans="1:12" x14ac:dyDescent="0.25">
      <c r="A1020" t="s">
        <v>12656</v>
      </c>
      <c r="B1020" t="s">
        <v>12657</v>
      </c>
      <c r="I1020" t="s">
        <v>12658</v>
      </c>
      <c r="J1020" s="3">
        <v>0.29409790000000002</v>
      </c>
      <c r="K1020" s="3">
        <v>0.1140808</v>
      </c>
      <c r="L1020" s="3">
        <v>6.0672360000000002E-2</v>
      </c>
    </row>
    <row r="1021" spans="1:12" x14ac:dyDescent="0.25">
      <c r="A1021" t="s">
        <v>12653</v>
      </c>
      <c r="B1021" t="s">
        <v>12654</v>
      </c>
      <c r="I1021" t="s">
        <v>12655</v>
      </c>
      <c r="J1021" s="3">
        <v>-0.16105240000000001</v>
      </c>
      <c r="K1021" s="3">
        <v>-0.58035420000000004</v>
      </c>
      <c r="L1021" s="3">
        <v>-0.1634669</v>
      </c>
    </row>
    <row r="1022" spans="1:12" x14ac:dyDescent="0.25">
      <c r="A1022" t="s">
        <v>12651</v>
      </c>
      <c r="B1022" t="s">
        <v>12652</v>
      </c>
      <c r="I1022" t="s">
        <v>7468</v>
      </c>
      <c r="J1022" s="3">
        <v>-0.1020968</v>
      </c>
      <c r="K1022" s="3">
        <v>0.35768169999999999</v>
      </c>
      <c r="L1022" s="3">
        <v>-0.30325809999999997</v>
      </c>
    </row>
    <row r="1023" spans="1:12" x14ac:dyDescent="0.25">
      <c r="A1023" t="s">
        <v>12649</v>
      </c>
      <c r="B1023" t="s">
        <v>957</v>
      </c>
      <c r="I1023" t="s">
        <v>12650</v>
      </c>
      <c r="J1023" s="3">
        <v>-0.1347081</v>
      </c>
      <c r="K1023" s="3">
        <v>-0.44914359999999998</v>
      </c>
      <c r="L1023" s="3">
        <v>-0.16566040000000001</v>
      </c>
    </row>
    <row r="1024" spans="1:12" x14ac:dyDescent="0.25">
      <c r="A1024" t="s">
        <v>12646</v>
      </c>
      <c r="B1024" t="s">
        <v>12647</v>
      </c>
      <c r="I1024" t="s">
        <v>12648</v>
      </c>
      <c r="J1024" s="3">
        <v>-0.1638714</v>
      </c>
      <c r="K1024" s="3">
        <v>-0.556091</v>
      </c>
      <c r="L1024" s="3">
        <v>-1.355724E-2</v>
      </c>
    </row>
    <row r="1025" spans="1:12" x14ac:dyDescent="0.25">
      <c r="A1025" t="s">
        <v>12643</v>
      </c>
      <c r="B1025" t="s">
        <v>12644</v>
      </c>
      <c r="I1025" t="s">
        <v>12645</v>
      </c>
      <c r="J1025" s="3">
        <v>-0.31470500000000001</v>
      </c>
      <c r="K1025" s="3">
        <v>-0.90018450000000005</v>
      </c>
      <c r="L1025" s="3">
        <v>-8.0249130000000002E-2</v>
      </c>
    </row>
    <row r="1026" spans="1:12" x14ac:dyDescent="0.25">
      <c r="A1026" t="s">
        <v>12640</v>
      </c>
      <c r="B1026" t="s">
        <v>12641</v>
      </c>
      <c r="I1026" t="s">
        <v>12642</v>
      </c>
      <c r="J1026" s="3">
        <v>-4.4204470000000001E-3</v>
      </c>
      <c r="K1026" s="3">
        <v>-0.41809809999999997</v>
      </c>
      <c r="L1026" s="3">
        <v>0.43297449999999998</v>
      </c>
    </row>
    <row r="1027" spans="1:12" x14ac:dyDescent="0.25">
      <c r="A1027" t="s">
        <v>12637</v>
      </c>
      <c r="B1027" t="s">
        <v>12638</v>
      </c>
      <c r="I1027" t="s">
        <v>12639</v>
      </c>
      <c r="J1027" s="3">
        <v>-2.0408860000000001E-2</v>
      </c>
      <c r="K1027" s="3">
        <v>0.22795650000000001</v>
      </c>
      <c r="L1027" s="3">
        <v>0.109747</v>
      </c>
    </row>
    <row r="1028" spans="1:12" x14ac:dyDescent="0.25">
      <c r="A1028" t="s">
        <v>12634</v>
      </c>
      <c r="B1028" t="s">
        <v>12635</v>
      </c>
      <c r="I1028" t="s">
        <v>12636</v>
      </c>
      <c r="J1028" s="3">
        <v>0.2488021</v>
      </c>
      <c r="K1028" s="3">
        <v>0.1301493</v>
      </c>
      <c r="L1028" s="3">
        <v>0.32339950000000001</v>
      </c>
    </row>
    <row r="1029" spans="1:12" x14ac:dyDescent="0.25">
      <c r="A1029" t="s">
        <v>12631</v>
      </c>
      <c r="B1029" t="s">
        <v>12632</v>
      </c>
      <c r="I1029" t="s">
        <v>12633</v>
      </c>
      <c r="J1029" s="3">
        <v>-0.35031279999999998</v>
      </c>
      <c r="K1029" s="3">
        <v>-0.73097860000000003</v>
      </c>
      <c r="L1029" s="3">
        <v>-1.7974530000000001E-3</v>
      </c>
    </row>
    <row r="1030" spans="1:12" x14ac:dyDescent="0.25">
      <c r="A1030" t="s">
        <v>12628</v>
      </c>
      <c r="B1030" t="s">
        <v>12629</v>
      </c>
      <c r="I1030" t="s">
        <v>12630</v>
      </c>
      <c r="J1030" s="3">
        <v>-0.18884889999999999</v>
      </c>
      <c r="K1030" s="3">
        <v>-0.59446639999999995</v>
      </c>
      <c r="L1030" s="3">
        <v>1.701215E-2</v>
      </c>
    </row>
    <row r="1031" spans="1:12" x14ac:dyDescent="0.25">
      <c r="A1031" t="s">
        <v>12626</v>
      </c>
      <c r="B1031" t="s">
        <v>12627</v>
      </c>
      <c r="I1031" t="s">
        <v>6826</v>
      </c>
      <c r="J1031" s="3">
        <v>0.72601249999999995</v>
      </c>
      <c r="K1031" s="3">
        <v>7.8774529999999995E-2</v>
      </c>
      <c r="L1031" s="3">
        <v>0.22735810000000001</v>
      </c>
    </row>
    <row r="1032" spans="1:12" x14ac:dyDescent="0.25">
      <c r="A1032" t="s">
        <v>12625</v>
      </c>
      <c r="B1032" t="s">
        <v>957</v>
      </c>
      <c r="I1032" t="s">
        <v>156</v>
      </c>
      <c r="J1032" s="3">
        <v>9.9715449999999997E-2</v>
      </c>
      <c r="K1032" s="3">
        <v>0.19903860000000001</v>
      </c>
      <c r="L1032" s="3">
        <v>0.11217389999999999</v>
      </c>
    </row>
    <row r="1033" spans="1:12" x14ac:dyDescent="0.25">
      <c r="A1033" t="s">
        <v>12622</v>
      </c>
      <c r="B1033" t="s">
        <v>12623</v>
      </c>
      <c r="I1033" t="s">
        <v>12624</v>
      </c>
      <c r="J1033" s="3">
        <v>0.16865920000000001</v>
      </c>
      <c r="K1033" s="3">
        <v>-0.5183799</v>
      </c>
      <c r="L1033" s="3">
        <v>6.8006029999999995E-2</v>
      </c>
    </row>
    <row r="1034" spans="1:12" x14ac:dyDescent="0.25">
      <c r="A1034" t="s">
        <v>12619</v>
      </c>
      <c r="B1034" t="s">
        <v>12620</v>
      </c>
      <c r="I1034" t="s">
        <v>12621</v>
      </c>
      <c r="J1034" s="3">
        <v>-0.29380119999999998</v>
      </c>
      <c r="K1034" s="3">
        <v>-0.2873272</v>
      </c>
      <c r="L1034" s="3">
        <v>5.5576390000000003E-2</v>
      </c>
    </row>
    <row r="1035" spans="1:12" x14ac:dyDescent="0.25">
      <c r="A1035" t="s">
        <v>12616</v>
      </c>
      <c r="B1035" t="s">
        <v>12617</v>
      </c>
      <c r="I1035" t="s">
        <v>12618</v>
      </c>
      <c r="J1035" s="3">
        <v>-0.51630969999999998</v>
      </c>
      <c r="K1035" s="3">
        <v>-0.87432279999999996</v>
      </c>
      <c r="L1035" s="3">
        <v>-0.60621389999999997</v>
      </c>
    </row>
    <row r="1036" spans="1:12" x14ac:dyDescent="0.25">
      <c r="A1036" t="s">
        <v>12613</v>
      </c>
      <c r="B1036" t="s">
        <v>12614</v>
      </c>
      <c r="I1036" t="s">
        <v>12615</v>
      </c>
      <c r="J1036" s="3">
        <v>-4.4856050000000001E-3</v>
      </c>
      <c r="K1036" s="3">
        <v>-0.36605949999999998</v>
      </c>
      <c r="L1036" s="3">
        <v>-0.1098592</v>
      </c>
    </row>
    <row r="1037" spans="1:12" x14ac:dyDescent="0.25">
      <c r="A1037" t="s">
        <v>12610</v>
      </c>
      <c r="B1037" t="s">
        <v>12611</v>
      </c>
      <c r="I1037" t="s">
        <v>12612</v>
      </c>
      <c r="J1037" s="3">
        <v>-0.3353334</v>
      </c>
      <c r="K1037" s="3">
        <v>-0.52974259999999995</v>
      </c>
      <c r="L1037" s="3">
        <v>-0.32427430000000002</v>
      </c>
    </row>
    <row r="1038" spans="1:12" x14ac:dyDescent="0.25">
      <c r="A1038" t="s">
        <v>12608</v>
      </c>
      <c r="B1038" t="s">
        <v>12609</v>
      </c>
      <c r="I1038" t="s">
        <v>430</v>
      </c>
      <c r="J1038" s="3">
        <v>-0.76555859999999998</v>
      </c>
      <c r="K1038" s="3">
        <v>-1.4159489999999999</v>
      </c>
      <c r="L1038" s="3">
        <v>-0.86463199999999996</v>
      </c>
    </row>
    <row r="1039" spans="1:12" x14ac:dyDescent="0.25">
      <c r="A1039" t="s">
        <v>12605</v>
      </c>
      <c r="B1039" t="s">
        <v>12606</v>
      </c>
      <c r="I1039" t="s">
        <v>12607</v>
      </c>
      <c r="J1039" s="3">
        <v>-0.41962860000000002</v>
      </c>
      <c r="K1039" s="3">
        <v>-1.2156389999999999</v>
      </c>
      <c r="L1039" s="3">
        <v>-0.54558249999999997</v>
      </c>
    </row>
    <row r="1040" spans="1:12" x14ac:dyDescent="0.25">
      <c r="A1040" t="s">
        <v>12602</v>
      </c>
      <c r="B1040" t="s">
        <v>12603</v>
      </c>
      <c r="I1040" t="s">
        <v>12604</v>
      </c>
      <c r="J1040" s="3">
        <v>-0.4002616</v>
      </c>
      <c r="K1040" s="3">
        <v>-0.92690689999999998</v>
      </c>
      <c r="L1040" s="3">
        <v>-0.15724250000000001</v>
      </c>
    </row>
    <row r="1041" spans="1:12" x14ac:dyDescent="0.25">
      <c r="A1041" t="s">
        <v>12599</v>
      </c>
      <c r="B1041" t="s">
        <v>12600</v>
      </c>
      <c r="I1041" t="s">
        <v>12601</v>
      </c>
      <c r="J1041" s="3">
        <v>-0.3849167</v>
      </c>
      <c r="K1041" s="3">
        <v>-0.31758540000000002</v>
      </c>
      <c r="L1041" s="3">
        <v>-0.49652289999999999</v>
      </c>
    </row>
    <row r="1042" spans="1:12" x14ac:dyDescent="0.25">
      <c r="A1042" t="s">
        <v>12597</v>
      </c>
      <c r="B1042" t="s">
        <v>12598</v>
      </c>
      <c r="I1042" t="s">
        <v>3576</v>
      </c>
      <c r="J1042" s="3">
        <v>-1.0379069999999999</v>
      </c>
      <c r="K1042" s="3">
        <v>-1.288108</v>
      </c>
      <c r="L1042" s="3">
        <v>-0.40853420000000001</v>
      </c>
    </row>
    <row r="1043" spans="1:12" x14ac:dyDescent="0.25">
      <c r="A1043" t="s">
        <v>12596</v>
      </c>
      <c r="B1043" t="s">
        <v>957</v>
      </c>
      <c r="I1043" t="s">
        <v>455</v>
      </c>
      <c r="J1043" s="3">
        <v>7.7431349999999996E-2</v>
      </c>
      <c r="K1043" s="3">
        <v>0.36711060000000001</v>
      </c>
      <c r="L1043" s="3">
        <v>0.20441580000000001</v>
      </c>
    </row>
    <row r="1044" spans="1:12" x14ac:dyDescent="0.25">
      <c r="A1044" t="s">
        <v>12593</v>
      </c>
      <c r="B1044" t="s">
        <v>12594</v>
      </c>
      <c r="I1044" t="s">
        <v>12595</v>
      </c>
      <c r="J1044" s="3">
        <v>-3.5715490000000003E-2</v>
      </c>
      <c r="K1044" s="3">
        <v>-0.1019637</v>
      </c>
      <c r="L1044" s="3">
        <v>2.210488E-2</v>
      </c>
    </row>
    <row r="1045" spans="1:12" x14ac:dyDescent="0.25">
      <c r="A1045" t="s">
        <v>11634</v>
      </c>
      <c r="B1045" t="s">
        <v>12591</v>
      </c>
      <c r="I1045" t="s">
        <v>12592</v>
      </c>
      <c r="J1045" s="3">
        <v>-5.5233930000000001E-2</v>
      </c>
      <c r="K1045" s="3">
        <v>-0.63624539999999996</v>
      </c>
      <c r="L1045" s="3">
        <v>7.1654499999999996E-2</v>
      </c>
    </row>
    <row r="1046" spans="1:12" x14ac:dyDescent="0.25">
      <c r="A1046" t="s">
        <v>11631</v>
      </c>
      <c r="B1046" t="s">
        <v>11632</v>
      </c>
      <c r="I1046" t="s">
        <v>11633</v>
      </c>
      <c r="J1046" s="3">
        <v>0.1932471</v>
      </c>
      <c r="K1046" s="3">
        <v>0.12637950000000001</v>
      </c>
      <c r="L1046" s="3">
        <v>0.1043697</v>
      </c>
    </row>
    <row r="1047" spans="1:12" x14ac:dyDescent="0.25">
      <c r="A1047" t="s">
        <v>11630</v>
      </c>
      <c r="B1047" t="s">
        <v>957</v>
      </c>
      <c r="I1047" t="s">
        <v>156</v>
      </c>
      <c r="J1047" s="3">
        <v>0.22038959999999999</v>
      </c>
      <c r="K1047" s="3">
        <v>0.6495744</v>
      </c>
      <c r="L1047" s="3">
        <v>0.1203187</v>
      </c>
    </row>
    <row r="1048" spans="1:12" x14ac:dyDescent="0.25">
      <c r="A1048" t="s">
        <v>11627</v>
      </c>
      <c r="B1048" t="s">
        <v>11628</v>
      </c>
      <c r="I1048" t="s">
        <v>11629</v>
      </c>
      <c r="J1048" s="3">
        <v>-0.63324650000000005</v>
      </c>
      <c r="K1048" s="3">
        <v>-0.76624669999999995</v>
      </c>
      <c r="L1048" s="3">
        <v>-8.1082989999999994E-3</v>
      </c>
    </row>
    <row r="1049" spans="1:12" x14ac:dyDescent="0.25">
      <c r="A1049" t="s">
        <v>11624</v>
      </c>
      <c r="B1049" t="s">
        <v>11625</v>
      </c>
      <c r="I1049" t="s">
        <v>11626</v>
      </c>
      <c r="J1049" s="3">
        <v>-0.20874570000000001</v>
      </c>
      <c r="K1049" s="3">
        <v>-1.9092359999999999E-3</v>
      </c>
      <c r="L1049" s="3">
        <v>-0.31284990000000001</v>
      </c>
    </row>
    <row r="1050" spans="1:12" x14ac:dyDescent="0.25">
      <c r="A1050" t="s">
        <v>11623</v>
      </c>
      <c r="B1050" t="s">
        <v>957</v>
      </c>
      <c r="I1050" t="s">
        <v>455</v>
      </c>
      <c r="J1050" s="3">
        <v>-0.19059019999999999</v>
      </c>
      <c r="K1050" s="3">
        <v>0.34254970000000001</v>
      </c>
      <c r="L1050" s="3">
        <v>0.10522670000000001</v>
      </c>
    </row>
    <row r="1051" spans="1:12" x14ac:dyDescent="0.25">
      <c r="A1051" t="s">
        <v>11622</v>
      </c>
      <c r="B1051" t="s">
        <v>957</v>
      </c>
      <c r="I1051" t="s">
        <v>455</v>
      </c>
      <c r="J1051" s="3">
        <v>-0.47637970000000002</v>
      </c>
      <c r="K1051" s="3">
        <v>-1.29644</v>
      </c>
      <c r="L1051" s="3">
        <v>-0.75537030000000005</v>
      </c>
    </row>
    <row r="1052" spans="1:12" x14ac:dyDescent="0.25">
      <c r="A1052" t="s">
        <v>11619</v>
      </c>
      <c r="B1052" t="s">
        <v>11620</v>
      </c>
      <c r="I1052" t="s">
        <v>11621</v>
      </c>
      <c r="J1052" s="3">
        <v>5.2008690000000003E-2</v>
      </c>
      <c r="K1052" s="3">
        <v>-0.19657450000000001</v>
      </c>
      <c r="L1052" s="3">
        <v>-6.9923079999999999E-2</v>
      </c>
    </row>
    <row r="1053" spans="1:12" x14ac:dyDescent="0.25">
      <c r="A1053" t="s">
        <v>11616</v>
      </c>
      <c r="B1053" t="s">
        <v>11617</v>
      </c>
      <c r="I1053" t="s">
        <v>11618</v>
      </c>
      <c r="J1053" s="3">
        <v>0.34228439999999999</v>
      </c>
      <c r="K1053" s="3">
        <v>-0.44070749999999997</v>
      </c>
      <c r="L1053" s="3">
        <v>2.9251989999999999E-2</v>
      </c>
    </row>
    <row r="1054" spans="1:12" x14ac:dyDescent="0.25">
      <c r="A1054" t="s">
        <v>11614</v>
      </c>
      <c r="B1054" t="s">
        <v>11615</v>
      </c>
      <c r="I1054" t="s">
        <v>503</v>
      </c>
      <c r="J1054" s="3">
        <v>-0.26494299999999998</v>
      </c>
      <c r="K1054" s="3">
        <v>-0.6366446</v>
      </c>
      <c r="L1054" s="3">
        <v>-0.2746207</v>
      </c>
    </row>
    <row r="1055" spans="1:12" x14ac:dyDescent="0.25">
      <c r="A1055" t="s">
        <v>11611</v>
      </c>
      <c r="B1055" t="s">
        <v>11612</v>
      </c>
      <c r="I1055" t="s">
        <v>11613</v>
      </c>
      <c r="J1055" s="3">
        <v>0.54684639999999995</v>
      </c>
      <c r="K1055" s="3">
        <v>0.73147410000000002</v>
      </c>
      <c r="L1055" s="3">
        <v>0.33879579999999998</v>
      </c>
    </row>
    <row r="1056" spans="1:12" x14ac:dyDescent="0.25">
      <c r="A1056" t="s">
        <v>11608</v>
      </c>
      <c r="B1056" t="s">
        <v>11609</v>
      </c>
      <c r="I1056" t="s">
        <v>11610</v>
      </c>
      <c r="J1056" s="3">
        <v>0.37549189999999999</v>
      </c>
      <c r="K1056" s="3">
        <v>0.40110449999999997</v>
      </c>
      <c r="L1056" s="3">
        <v>7.2891700000000004E-2</v>
      </c>
    </row>
    <row r="1057" spans="1:12" x14ac:dyDescent="0.25">
      <c r="A1057" t="s">
        <v>11605</v>
      </c>
      <c r="B1057" t="s">
        <v>11606</v>
      </c>
      <c r="I1057" t="s">
        <v>11607</v>
      </c>
      <c r="J1057" s="3">
        <v>-0.65256080000000005</v>
      </c>
      <c r="K1057" s="3">
        <v>-1.0442979999999999</v>
      </c>
      <c r="L1057" s="3">
        <v>-0.84776229999999997</v>
      </c>
    </row>
    <row r="1058" spans="1:12" x14ac:dyDescent="0.25">
      <c r="A1058" t="s">
        <v>11604</v>
      </c>
      <c r="B1058" t="s">
        <v>957</v>
      </c>
      <c r="I1058" t="s">
        <v>156</v>
      </c>
      <c r="J1058" s="3">
        <v>2.6001110000000001E-2</v>
      </c>
      <c r="K1058" s="3">
        <v>2.5648569999999999E-2</v>
      </c>
      <c r="L1058" s="3">
        <v>5.1932289999999999E-2</v>
      </c>
    </row>
    <row r="1059" spans="1:12" x14ac:dyDescent="0.25">
      <c r="A1059" t="s">
        <v>11601</v>
      </c>
      <c r="B1059" t="s">
        <v>11602</v>
      </c>
      <c r="I1059" t="s">
        <v>11603</v>
      </c>
      <c r="J1059" s="3">
        <v>0.1516798</v>
      </c>
      <c r="K1059" s="3">
        <v>-0.25263170000000001</v>
      </c>
      <c r="L1059" s="3">
        <v>4.2146790000000003E-2</v>
      </c>
    </row>
    <row r="1060" spans="1:12" x14ac:dyDescent="0.25">
      <c r="A1060" t="s">
        <v>11599</v>
      </c>
      <c r="B1060" t="s">
        <v>957</v>
      </c>
      <c r="I1060" t="s">
        <v>11600</v>
      </c>
      <c r="J1060" s="3">
        <v>-0.40856209999999998</v>
      </c>
      <c r="K1060" s="3">
        <v>-0.75346100000000005</v>
      </c>
      <c r="L1060" s="3">
        <v>1.1244580000000001E-2</v>
      </c>
    </row>
    <row r="1061" spans="1:12" x14ac:dyDescent="0.25">
      <c r="A1061" t="s">
        <v>11596</v>
      </c>
      <c r="B1061" t="s">
        <v>11597</v>
      </c>
      <c r="I1061" t="s">
        <v>11598</v>
      </c>
      <c r="J1061" s="3">
        <v>0.52748669999999998</v>
      </c>
      <c r="K1061" s="3">
        <v>0.58045250000000004</v>
      </c>
      <c r="L1061" s="3">
        <v>0.3767452</v>
      </c>
    </row>
    <row r="1062" spans="1:12" x14ac:dyDescent="0.25">
      <c r="A1062" t="s">
        <v>11595</v>
      </c>
      <c r="B1062" t="s">
        <v>957</v>
      </c>
      <c r="I1062" t="s">
        <v>455</v>
      </c>
      <c r="J1062" s="3">
        <v>0.18536449999999999</v>
      </c>
      <c r="K1062" s="3">
        <v>-0.1127112</v>
      </c>
      <c r="L1062" s="3">
        <v>0.1866602</v>
      </c>
    </row>
    <row r="1063" spans="1:12" x14ac:dyDescent="0.25">
      <c r="A1063" t="s">
        <v>11592</v>
      </c>
      <c r="B1063" t="s">
        <v>11593</v>
      </c>
      <c r="I1063" t="s">
        <v>11594</v>
      </c>
      <c r="J1063" s="3">
        <v>-0.39044990000000002</v>
      </c>
      <c r="K1063" s="3">
        <v>-0.87855939999999999</v>
      </c>
      <c r="L1063" s="3">
        <v>-0.55478680000000002</v>
      </c>
    </row>
    <row r="1064" spans="1:12" x14ac:dyDescent="0.25">
      <c r="A1064" t="s">
        <v>11590</v>
      </c>
      <c r="B1064" t="s">
        <v>11591</v>
      </c>
      <c r="I1064" t="s">
        <v>5382</v>
      </c>
      <c r="J1064" s="3">
        <v>-0.14571290000000001</v>
      </c>
      <c r="K1064" s="3">
        <v>-0.57831449999999995</v>
      </c>
      <c r="L1064" s="3">
        <v>0.18010509999999999</v>
      </c>
    </row>
    <row r="1065" spans="1:12" x14ac:dyDescent="0.25">
      <c r="A1065" t="s">
        <v>11587</v>
      </c>
      <c r="B1065" t="s">
        <v>11588</v>
      </c>
      <c r="I1065" t="s">
        <v>11589</v>
      </c>
      <c r="J1065" s="3">
        <v>0.2404752</v>
      </c>
      <c r="K1065" s="3">
        <v>-0.2057957</v>
      </c>
      <c r="L1065" s="3">
        <v>0.3454914</v>
      </c>
    </row>
    <row r="1066" spans="1:12" x14ac:dyDescent="0.25">
      <c r="A1066" t="s">
        <v>11584</v>
      </c>
      <c r="B1066" t="s">
        <v>11585</v>
      </c>
      <c r="I1066" t="s">
        <v>11586</v>
      </c>
      <c r="J1066" s="3">
        <v>0.57798150000000004</v>
      </c>
      <c r="K1066" s="3">
        <v>0.58140610000000004</v>
      </c>
      <c r="L1066" s="3">
        <v>0.70245679999999999</v>
      </c>
    </row>
    <row r="1067" spans="1:12" x14ac:dyDescent="0.25">
      <c r="A1067" t="s">
        <v>11581</v>
      </c>
      <c r="B1067" t="s">
        <v>11582</v>
      </c>
      <c r="I1067" t="s">
        <v>11583</v>
      </c>
      <c r="J1067" s="3">
        <v>1.7157299999999999E-3</v>
      </c>
      <c r="K1067" s="3">
        <v>0.48365849999999999</v>
      </c>
      <c r="L1067" s="3">
        <v>0.17655209999999999</v>
      </c>
    </row>
    <row r="1068" spans="1:12" x14ac:dyDescent="0.25">
      <c r="A1068" t="s">
        <v>11578</v>
      </c>
      <c r="B1068" t="s">
        <v>11579</v>
      </c>
      <c r="I1068" t="s">
        <v>11580</v>
      </c>
      <c r="J1068" s="3">
        <v>-0.1098727</v>
      </c>
      <c r="K1068" s="3">
        <v>0.38892149999999998</v>
      </c>
      <c r="L1068" s="3">
        <v>-0.13187019999999999</v>
      </c>
    </row>
    <row r="1069" spans="1:12" x14ac:dyDescent="0.25">
      <c r="A1069" t="s">
        <v>11575</v>
      </c>
      <c r="B1069" t="s">
        <v>11576</v>
      </c>
      <c r="I1069" t="s">
        <v>11577</v>
      </c>
      <c r="J1069" s="3">
        <v>-0.23197609999999999</v>
      </c>
      <c r="K1069" s="3">
        <v>-0.59374819999999995</v>
      </c>
      <c r="L1069" s="3">
        <v>-0.41698099999999999</v>
      </c>
    </row>
    <row r="1070" spans="1:12" x14ac:dyDescent="0.25">
      <c r="A1070" t="s">
        <v>11572</v>
      </c>
      <c r="B1070" t="s">
        <v>11573</v>
      </c>
      <c r="I1070" t="s">
        <v>11574</v>
      </c>
      <c r="J1070" s="3">
        <v>0.119931</v>
      </c>
      <c r="K1070" s="3">
        <v>-0.43252279999999999</v>
      </c>
      <c r="L1070" s="3">
        <v>-7.1249870000000007E-2</v>
      </c>
    </row>
    <row r="1071" spans="1:12" x14ac:dyDescent="0.25">
      <c r="A1071" t="s">
        <v>11571</v>
      </c>
      <c r="B1071" t="s">
        <v>957</v>
      </c>
      <c r="I1071" t="s">
        <v>4450</v>
      </c>
      <c r="J1071" s="3">
        <v>-0.85092080000000003</v>
      </c>
      <c r="K1071" s="3">
        <v>-1.150658</v>
      </c>
      <c r="L1071" s="3">
        <v>-0.4455905</v>
      </c>
    </row>
    <row r="1072" spans="1:12" x14ac:dyDescent="0.25">
      <c r="A1072" t="s">
        <v>12431</v>
      </c>
      <c r="B1072" t="s">
        <v>12432</v>
      </c>
      <c r="I1072" t="s">
        <v>11570</v>
      </c>
      <c r="J1072" s="3">
        <v>-0.12944050000000001</v>
      </c>
      <c r="K1072" s="3">
        <v>-0.56157919999999995</v>
      </c>
      <c r="L1072" s="3">
        <v>-0.34643459999999998</v>
      </c>
    </row>
    <row r="1073" spans="1:12" x14ac:dyDescent="0.25">
      <c r="A1073" t="s">
        <v>12428</v>
      </c>
      <c r="B1073" t="s">
        <v>12429</v>
      </c>
      <c r="I1073" t="s">
        <v>12430</v>
      </c>
      <c r="J1073" s="3">
        <v>-4.6919229999999999E-2</v>
      </c>
      <c r="K1073" s="3">
        <v>0.33023449999999999</v>
      </c>
      <c r="L1073" s="3">
        <v>-5.1705130000000002E-2</v>
      </c>
    </row>
    <row r="1074" spans="1:12" x14ac:dyDescent="0.25">
      <c r="A1074" t="s">
        <v>12425</v>
      </c>
      <c r="B1074" t="s">
        <v>12426</v>
      </c>
      <c r="I1074" t="s">
        <v>12427</v>
      </c>
      <c r="J1074" s="3">
        <v>0.308784</v>
      </c>
      <c r="K1074" s="3">
        <v>0.37345159999999999</v>
      </c>
      <c r="L1074" s="3">
        <v>0.16330449999999999</v>
      </c>
    </row>
    <row r="1075" spans="1:12" x14ac:dyDescent="0.25">
      <c r="A1075" t="s">
        <v>12422</v>
      </c>
      <c r="B1075" t="s">
        <v>12423</v>
      </c>
      <c r="I1075" t="s">
        <v>12424</v>
      </c>
      <c r="J1075" s="3">
        <v>-3.9246299999999998E-2</v>
      </c>
      <c r="K1075" s="3">
        <v>0.28089799999999998</v>
      </c>
      <c r="L1075" s="3">
        <v>0.17010320000000001</v>
      </c>
    </row>
    <row r="1076" spans="1:12" x14ac:dyDescent="0.25">
      <c r="A1076" t="s">
        <v>12419</v>
      </c>
      <c r="B1076" t="s">
        <v>12420</v>
      </c>
      <c r="I1076" t="s">
        <v>12421</v>
      </c>
      <c r="J1076" s="3">
        <v>-0.70152720000000002</v>
      </c>
      <c r="K1076" s="3">
        <v>-0.70096139999999996</v>
      </c>
      <c r="L1076" s="3">
        <v>-0.81231330000000002</v>
      </c>
    </row>
    <row r="1077" spans="1:12" x14ac:dyDescent="0.25">
      <c r="A1077" t="s">
        <v>12416</v>
      </c>
      <c r="B1077" t="s">
        <v>12417</v>
      </c>
      <c r="I1077" t="s">
        <v>12418</v>
      </c>
      <c r="J1077" s="3">
        <v>8.4941900000000001E-2</v>
      </c>
      <c r="K1077" s="3">
        <v>-0.401416</v>
      </c>
      <c r="L1077" s="3">
        <v>-1.5832309999999999E-2</v>
      </c>
    </row>
    <row r="1078" spans="1:12" x14ac:dyDescent="0.25">
      <c r="A1078" t="s">
        <v>12413</v>
      </c>
      <c r="B1078" t="s">
        <v>12414</v>
      </c>
      <c r="I1078" t="s">
        <v>12415</v>
      </c>
      <c r="J1078" s="3">
        <v>-0.25655250000000002</v>
      </c>
      <c r="K1078" s="3">
        <v>-0.24998000000000001</v>
      </c>
      <c r="L1078" s="3">
        <v>7.2850670000000006E-2</v>
      </c>
    </row>
    <row r="1079" spans="1:12" x14ac:dyDescent="0.25">
      <c r="A1079" t="s">
        <v>12412</v>
      </c>
      <c r="B1079" t="s">
        <v>957</v>
      </c>
      <c r="I1079" t="s">
        <v>455</v>
      </c>
      <c r="J1079" s="3">
        <v>-0.33326489999999998</v>
      </c>
      <c r="K1079" s="3">
        <v>-0.81985660000000005</v>
      </c>
      <c r="L1079" s="3">
        <v>-0.37393399999999999</v>
      </c>
    </row>
    <row r="1080" spans="1:12" x14ac:dyDescent="0.25">
      <c r="A1080" t="s">
        <v>12411</v>
      </c>
      <c r="B1080" t="s">
        <v>957</v>
      </c>
      <c r="I1080" t="s">
        <v>455</v>
      </c>
      <c r="J1080" s="3">
        <v>0.54836229999999997</v>
      </c>
      <c r="K1080" s="3">
        <v>0.53275749999999999</v>
      </c>
      <c r="L1080" s="3">
        <v>0.67850909999999998</v>
      </c>
    </row>
    <row r="1081" spans="1:12" x14ac:dyDescent="0.25">
      <c r="A1081" t="s">
        <v>12410</v>
      </c>
      <c r="B1081" t="s">
        <v>957</v>
      </c>
      <c r="I1081" t="s">
        <v>475</v>
      </c>
      <c r="J1081" s="3">
        <v>1.931038</v>
      </c>
      <c r="K1081" s="3">
        <v>2.5260419999999999</v>
      </c>
      <c r="L1081" s="3">
        <v>1.0525800000000001</v>
      </c>
    </row>
    <row r="1082" spans="1:12" x14ac:dyDescent="0.25">
      <c r="A1082" t="s">
        <v>12407</v>
      </c>
      <c r="B1082" t="s">
        <v>12408</v>
      </c>
      <c r="I1082" t="s">
        <v>12409</v>
      </c>
      <c r="J1082" s="3">
        <v>1.747009</v>
      </c>
      <c r="K1082" s="3">
        <v>1.1160330000000001</v>
      </c>
      <c r="L1082" s="3">
        <v>0.49216749999999998</v>
      </c>
    </row>
    <row r="1083" spans="1:12" x14ac:dyDescent="0.25">
      <c r="A1083" t="s">
        <v>12295</v>
      </c>
      <c r="B1083" t="s">
        <v>12296</v>
      </c>
      <c r="I1083" t="s">
        <v>12406</v>
      </c>
      <c r="J1083" s="3">
        <v>0.33016000000000001</v>
      </c>
      <c r="K1083" s="3">
        <v>3.7085710000000001E-2</v>
      </c>
      <c r="L1083" s="3">
        <v>0.21737229999999999</v>
      </c>
    </row>
    <row r="1084" spans="1:12" x14ac:dyDescent="0.25">
      <c r="A1084" t="s">
        <v>11569</v>
      </c>
      <c r="B1084" t="s">
        <v>14162</v>
      </c>
      <c r="C1084" t="s">
        <v>13840</v>
      </c>
      <c r="I1084" t="s">
        <v>12294</v>
      </c>
      <c r="J1084" s="3">
        <v>-5.0931200000000003E-2</v>
      </c>
      <c r="K1084" s="3">
        <v>-0.1504008</v>
      </c>
      <c r="L1084" s="3">
        <v>-6.5629380000000001E-2</v>
      </c>
    </row>
    <row r="1085" spans="1:12" x14ac:dyDescent="0.25">
      <c r="A1085" t="s">
        <v>11566</v>
      </c>
      <c r="B1085" t="s">
        <v>11567</v>
      </c>
      <c r="I1085" t="s">
        <v>11568</v>
      </c>
      <c r="J1085" s="3">
        <v>0.2114327</v>
      </c>
      <c r="K1085" s="3">
        <v>0.20458580000000001</v>
      </c>
      <c r="L1085" s="3">
        <v>0.28168989999999999</v>
      </c>
    </row>
    <row r="1086" spans="1:12" x14ac:dyDescent="0.25">
      <c r="A1086" t="s">
        <v>11563</v>
      </c>
      <c r="B1086" t="s">
        <v>11564</v>
      </c>
      <c r="I1086" t="s">
        <v>11565</v>
      </c>
      <c r="J1086" s="3">
        <v>-0.17171890000000001</v>
      </c>
      <c r="K1086" s="3">
        <v>-1.0200940000000001</v>
      </c>
      <c r="L1086" s="3">
        <v>-0.36024699999999998</v>
      </c>
    </row>
    <row r="1087" spans="1:12" x14ac:dyDescent="0.25">
      <c r="A1087" t="s">
        <v>11560</v>
      </c>
      <c r="B1087" t="s">
        <v>11561</v>
      </c>
      <c r="I1087" t="s">
        <v>11562</v>
      </c>
      <c r="J1087" s="3">
        <v>0.14657480000000001</v>
      </c>
      <c r="K1087" s="3">
        <v>-0.41745850000000001</v>
      </c>
      <c r="L1087" s="3">
        <v>-5.6114329999999997E-2</v>
      </c>
    </row>
    <row r="1088" spans="1:12" x14ac:dyDescent="0.25">
      <c r="A1088" t="s">
        <v>11557</v>
      </c>
      <c r="B1088" t="s">
        <v>11558</v>
      </c>
      <c r="I1088" t="s">
        <v>11559</v>
      </c>
      <c r="J1088" s="3">
        <v>0.36302570000000001</v>
      </c>
      <c r="K1088" s="3">
        <v>-0.4319211</v>
      </c>
      <c r="L1088" s="3">
        <v>0.36668329999999999</v>
      </c>
    </row>
    <row r="1089" spans="1:12" x14ac:dyDescent="0.25">
      <c r="A1089" t="s">
        <v>11554</v>
      </c>
      <c r="B1089" t="s">
        <v>11555</v>
      </c>
      <c r="I1089" t="s">
        <v>11556</v>
      </c>
      <c r="J1089" s="3">
        <v>-0.3195132</v>
      </c>
      <c r="K1089" s="3">
        <v>-0.40948580000000001</v>
      </c>
      <c r="L1089" s="3">
        <v>-0.13629759999999999</v>
      </c>
    </row>
    <row r="1090" spans="1:12" x14ac:dyDescent="0.25">
      <c r="A1090" t="s">
        <v>11551</v>
      </c>
      <c r="B1090" t="s">
        <v>11552</v>
      </c>
      <c r="I1090" t="s">
        <v>11553</v>
      </c>
      <c r="J1090" s="3">
        <v>-0.57756529999999995</v>
      </c>
      <c r="K1090" s="3">
        <v>-0.51250620000000002</v>
      </c>
      <c r="L1090" s="3">
        <v>-0.56172469999999997</v>
      </c>
    </row>
    <row r="1091" spans="1:12" x14ac:dyDescent="0.25">
      <c r="A1091" t="s">
        <v>11548</v>
      </c>
      <c r="B1091" t="s">
        <v>11549</v>
      </c>
      <c r="I1091" t="s">
        <v>11550</v>
      </c>
      <c r="J1091" s="3">
        <v>0.38230649999999999</v>
      </c>
      <c r="K1091" s="3">
        <v>0.61948669999999995</v>
      </c>
      <c r="L1091" s="3">
        <v>0.44752690000000001</v>
      </c>
    </row>
    <row r="1092" spans="1:12" x14ac:dyDescent="0.25">
      <c r="A1092" t="s">
        <v>11545</v>
      </c>
      <c r="B1092" t="s">
        <v>11546</v>
      </c>
      <c r="I1092" t="s">
        <v>11547</v>
      </c>
      <c r="J1092" s="3">
        <v>-3.5786230000000002E-2</v>
      </c>
      <c r="K1092" s="3">
        <v>0.47083520000000001</v>
      </c>
      <c r="L1092" s="3">
        <v>-0.41534140000000003</v>
      </c>
    </row>
    <row r="1093" spans="1:12" x14ac:dyDescent="0.25">
      <c r="A1093" t="s">
        <v>11542</v>
      </c>
      <c r="B1093" t="s">
        <v>11543</v>
      </c>
      <c r="I1093" t="s">
        <v>11544</v>
      </c>
      <c r="J1093" s="3">
        <v>-0.1972332</v>
      </c>
      <c r="K1093" s="3">
        <v>-0.75564969999999998</v>
      </c>
      <c r="L1093" s="3">
        <v>-0.51855669999999998</v>
      </c>
    </row>
    <row r="1094" spans="1:12" x14ac:dyDescent="0.25">
      <c r="A1094" t="s">
        <v>11539</v>
      </c>
      <c r="B1094" t="s">
        <v>11540</v>
      </c>
      <c r="I1094" t="s">
        <v>11541</v>
      </c>
      <c r="J1094" s="3">
        <v>0.40832020000000002</v>
      </c>
      <c r="K1094" s="3">
        <v>0.80241150000000006</v>
      </c>
      <c r="L1094" s="3">
        <v>0.38156129999999999</v>
      </c>
    </row>
    <row r="1095" spans="1:12" x14ac:dyDescent="0.25">
      <c r="A1095" t="s">
        <v>11537</v>
      </c>
      <c r="B1095" t="s">
        <v>11538</v>
      </c>
      <c r="I1095" t="s">
        <v>593</v>
      </c>
      <c r="J1095" s="3">
        <v>-1.109078</v>
      </c>
      <c r="K1095" s="3">
        <v>-1.5049189999999999</v>
      </c>
      <c r="L1095" s="3">
        <v>-1.0501799999999999</v>
      </c>
    </row>
    <row r="1096" spans="1:12" x14ac:dyDescent="0.25">
      <c r="A1096" t="s">
        <v>11534</v>
      </c>
      <c r="B1096" t="s">
        <v>11535</v>
      </c>
      <c r="I1096" t="s">
        <v>11536</v>
      </c>
      <c r="J1096" s="3">
        <v>-0.2893945</v>
      </c>
      <c r="K1096" s="3">
        <v>-0.47560210000000003</v>
      </c>
      <c r="L1096" s="3">
        <v>-0.32853579999999999</v>
      </c>
    </row>
    <row r="1097" spans="1:12" x14ac:dyDescent="0.25">
      <c r="A1097" t="s">
        <v>11533</v>
      </c>
      <c r="B1097" t="s">
        <v>957</v>
      </c>
      <c r="I1097" t="s">
        <v>455</v>
      </c>
      <c r="J1097" s="3">
        <v>-0.3196869</v>
      </c>
      <c r="K1097" s="3">
        <v>-0.65126320000000004</v>
      </c>
      <c r="L1097" s="3">
        <v>-0.40463199999999999</v>
      </c>
    </row>
    <row r="1098" spans="1:12" x14ac:dyDescent="0.25">
      <c r="A1098" t="s">
        <v>11530</v>
      </c>
      <c r="B1098" t="s">
        <v>11531</v>
      </c>
      <c r="I1098" t="s">
        <v>11532</v>
      </c>
      <c r="J1098" s="3">
        <v>-0.36539680000000002</v>
      </c>
      <c r="K1098" s="3">
        <v>-0.40209440000000002</v>
      </c>
      <c r="L1098" s="3">
        <v>-0.45230860000000001</v>
      </c>
    </row>
    <row r="1099" spans="1:12" x14ac:dyDescent="0.25">
      <c r="A1099" t="s">
        <v>11527</v>
      </c>
      <c r="B1099" t="s">
        <v>11528</v>
      </c>
      <c r="I1099" t="s">
        <v>11529</v>
      </c>
      <c r="J1099" s="3">
        <v>0.53610310000000005</v>
      </c>
      <c r="K1099" s="3">
        <v>0.62000770000000005</v>
      </c>
      <c r="L1099" s="3">
        <v>0.29065760000000002</v>
      </c>
    </row>
    <row r="1100" spans="1:12" x14ac:dyDescent="0.25">
      <c r="A1100" t="s">
        <v>11524</v>
      </c>
      <c r="B1100" t="s">
        <v>11525</v>
      </c>
      <c r="I1100" t="s">
        <v>11526</v>
      </c>
      <c r="J1100" s="3">
        <v>7.7669509999999997E-2</v>
      </c>
      <c r="K1100" s="3">
        <v>0.38314389999999998</v>
      </c>
      <c r="L1100" s="3">
        <v>0.26033410000000001</v>
      </c>
    </row>
    <row r="1101" spans="1:12" x14ac:dyDescent="0.25">
      <c r="A1101" t="s">
        <v>11521</v>
      </c>
      <c r="B1101" t="s">
        <v>11522</v>
      </c>
      <c r="I1101" t="s">
        <v>11523</v>
      </c>
      <c r="J1101" s="3">
        <v>-0.43235649999999998</v>
      </c>
      <c r="K1101" s="3">
        <v>-0.87995829999999997</v>
      </c>
      <c r="L1101" s="3">
        <v>-0.42792360000000002</v>
      </c>
    </row>
    <row r="1102" spans="1:12" x14ac:dyDescent="0.25">
      <c r="A1102" t="s">
        <v>11518</v>
      </c>
      <c r="B1102" t="s">
        <v>11519</v>
      </c>
      <c r="I1102" t="s">
        <v>11520</v>
      </c>
      <c r="J1102" s="3">
        <v>7.1062529999999999E-2</v>
      </c>
      <c r="K1102" s="3">
        <v>-0.2907999</v>
      </c>
      <c r="L1102" s="3">
        <v>-0.12618889999999999</v>
      </c>
    </row>
    <row r="1103" spans="1:12" x14ac:dyDescent="0.25">
      <c r="A1103" t="s">
        <v>11515</v>
      </c>
      <c r="B1103" t="s">
        <v>11516</v>
      </c>
      <c r="I1103" t="s">
        <v>11517</v>
      </c>
      <c r="J1103" s="3">
        <v>-7.8058429999999998E-2</v>
      </c>
      <c r="K1103" s="3">
        <v>-0.87774399999999997</v>
      </c>
      <c r="L1103" s="3">
        <v>0.21667819999999999</v>
      </c>
    </row>
    <row r="1104" spans="1:12" x14ac:dyDescent="0.25">
      <c r="A1104" t="s">
        <v>11514</v>
      </c>
      <c r="B1104" t="s">
        <v>957</v>
      </c>
      <c r="I1104" t="s">
        <v>156</v>
      </c>
      <c r="J1104" s="3">
        <v>0.69974760000000003</v>
      </c>
      <c r="K1104" s="3">
        <v>0.75626329999999997</v>
      </c>
      <c r="L1104" s="3">
        <v>0.75046659999999998</v>
      </c>
    </row>
    <row r="1105" spans="1:12" x14ac:dyDescent="0.25">
      <c r="A1105" t="s">
        <v>11511</v>
      </c>
      <c r="B1105" t="s">
        <v>11512</v>
      </c>
      <c r="I1105" t="s">
        <v>11513</v>
      </c>
      <c r="J1105" s="3">
        <v>0.3847006</v>
      </c>
      <c r="K1105" s="3">
        <v>0.64058029999999999</v>
      </c>
      <c r="L1105" s="3">
        <v>3.976698E-2</v>
      </c>
    </row>
    <row r="1106" spans="1:12" x14ac:dyDescent="0.25">
      <c r="A1106" t="s">
        <v>11510</v>
      </c>
      <c r="B1106" t="s">
        <v>957</v>
      </c>
      <c r="I1106" t="s">
        <v>455</v>
      </c>
      <c r="J1106" s="3">
        <v>0.39642959999999999</v>
      </c>
      <c r="K1106" s="3">
        <v>0.3405764</v>
      </c>
      <c r="L1106" s="3">
        <v>0.6638503</v>
      </c>
    </row>
    <row r="1107" spans="1:12" x14ac:dyDescent="0.25">
      <c r="A1107" t="s">
        <v>11509</v>
      </c>
      <c r="B1107" t="s">
        <v>957</v>
      </c>
      <c r="I1107" t="s">
        <v>455</v>
      </c>
      <c r="J1107" s="3">
        <v>0.14943790000000001</v>
      </c>
      <c r="K1107" s="3">
        <v>0.88527650000000002</v>
      </c>
      <c r="L1107" s="3">
        <v>-0.11824460000000001</v>
      </c>
    </row>
    <row r="1108" spans="1:12" x14ac:dyDescent="0.25">
      <c r="A1108" t="s">
        <v>11506</v>
      </c>
      <c r="B1108" t="s">
        <v>11507</v>
      </c>
      <c r="I1108" t="s">
        <v>11508</v>
      </c>
      <c r="J1108" s="3">
        <v>-0.1748007</v>
      </c>
      <c r="K1108" s="3">
        <v>-0.60892520000000006</v>
      </c>
      <c r="L1108" s="3">
        <v>-0.1242904</v>
      </c>
    </row>
    <row r="1109" spans="1:12" x14ac:dyDescent="0.25">
      <c r="A1109" t="s">
        <v>11503</v>
      </c>
      <c r="B1109" t="s">
        <v>11504</v>
      </c>
      <c r="I1109" t="s">
        <v>11505</v>
      </c>
      <c r="J1109" s="3">
        <v>-3.3223789999999999E-3</v>
      </c>
      <c r="K1109" s="3">
        <v>-0.1093446</v>
      </c>
      <c r="L1109" s="3">
        <v>5.7160860000000001E-2</v>
      </c>
    </row>
    <row r="1110" spans="1:12" x14ac:dyDescent="0.25">
      <c r="A1110" t="s">
        <v>11500</v>
      </c>
      <c r="B1110" t="s">
        <v>11501</v>
      </c>
      <c r="I1110" t="s">
        <v>11502</v>
      </c>
      <c r="J1110" s="3">
        <v>-0.19620699999999999</v>
      </c>
      <c r="K1110" s="3">
        <v>0.83565199999999995</v>
      </c>
      <c r="L1110" s="3">
        <v>0.61275550000000001</v>
      </c>
    </row>
    <row r="1111" spans="1:12" x14ac:dyDescent="0.25">
      <c r="A1111" t="s">
        <v>11497</v>
      </c>
      <c r="B1111" t="s">
        <v>11498</v>
      </c>
      <c r="I1111" t="s">
        <v>11499</v>
      </c>
      <c r="J1111" s="3">
        <v>-0.1111948</v>
      </c>
      <c r="K1111" s="3">
        <v>-8.4368329999999995E-3</v>
      </c>
      <c r="L1111" s="3">
        <v>-4.9891930000000001E-2</v>
      </c>
    </row>
    <row r="1112" spans="1:12" x14ac:dyDescent="0.25">
      <c r="A1112" t="s">
        <v>11494</v>
      </c>
      <c r="B1112" t="s">
        <v>11495</v>
      </c>
      <c r="I1112" t="s">
        <v>11496</v>
      </c>
      <c r="J1112" s="3">
        <v>-0.27291310000000002</v>
      </c>
      <c r="K1112" s="3">
        <v>-0.34962840000000001</v>
      </c>
      <c r="L1112" s="3">
        <v>-0.30778519999999998</v>
      </c>
    </row>
    <row r="1113" spans="1:12" x14ac:dyDescent="0.25">
      <c r="A1113" t="s">
        <v>11491</v>
      </c>
      <c r="B1113" t="s">
        <v>11492</v>
      </c>
      <c r="I1113" t="s">
        <v>11493</v>
      </c>
      <c r="J1113" s="3">
        <v>-1.1688149999999999</v>
      </c>
      <c r="K1113" s="3">
        <v>0.15219579999999999</v>
      </c>
      <c r="L1113" s="3">
        <v>-1.457711</v>
      </c>
    </row>
    <row r="1114" spans="1:12" x14ac:dyDescent="0.25">
      <c r="A1114" t="s">
        <v>11488</v>
      </c>
      <c r="B1114" t="s">
        <v>11489</v>
      </c>
      <c r="I1114" t="s">
        <v>11490</v>
      </c>
      <c r="J1114" s="3">
        <v>-1.0171520000000001</v>
      </c>
      <c r="K1114" s="3">
        <v>-1.2752399999999999</v>
      </c>
      <c r="L1114" s="3">
        <v>-0.79349630000000004</v>
      </c>
    </row>
    <row r="1115" spans="1:12" x14ac:dyDescent="0.25">
      <c r="A1115" t="s">
        <v>11485</v>
      </c>
      <c r="B1115" t="s">
        <v>11486</v>
      </c>
      <c r="I1115" t="s">
        <v>11487</v>
      </c>
      <c r="J1115" s="3">
        <v>0.17700070000000001</v>
      </c>
      <c r="K1115" s="3">
        <v>-0.19298799999999999</v>
      </c>
      <c r="L1115" s="3">
        <v>0.24643599999999999</v>
      </c>
    </row>
    <row r="1116" spans="1:12" x14ac:dyDescent="0.25">
      <c r="A1116" t="s">
        <v>11482</v>
      </c>
      <c r="B1116" t="s">
        <v>11483</v>
      </c>
      <c r="I1116" t="s">
        <v>11484</v>
      </c>
      <c r="J1116" s="3">
        <v>0.27132590000000001</v>
      </c>
      <c r="K1116" s="3">
        <v>-0.15760389999999999</v>
      </c>
      <c r="L1116" s="3">
        <v>-9.9543099999999992E-3</v>
      </c>
    </row>
    <row r="1117" spans="1:12" x14ac:dyDescent="0.25">
      <c r="A1117" t="s">
        <v>11479</v>
      </c>
      <c r="B1117" t="s">
        <v>11480</v>
      </c>
      <c r="I1117" t="s">
        <v>11481</v>
      </c>
      <c r="J1117" s="3">
        <v>9.0861970000000007E-3</v>
      </c>
      <c r="K1117" s="3">
        <v>6.6137180000000004E-2</v>
      </c>
      <c r="L1117" s="3">
        <v>0.2797886</v>
      </c>
    </row>
    <row r="1118" spans="1:12" x14ac:dyDescent="0.25">
      <c r="A1118" t="s">
        <v>11476</v>
      </c>
      <c r="B1118" t="s">
        <v>11477</v>
      </c>
      <c r="I1118" t="s">
        <v>11478</v>
      </c>
      <c r="J1118" s="3">
        <v>-0.63663429999999999</v>
      </c>
      <c r="K1118" s="3">
        <v>-0.30120069999999999</v>
      </c>
      <c r="L1118" s="3">
        <v>-9.481494E-2</v>
      </c>
    </row>
    <row r="1119" spans="1:12" x14ac:dyDescent="0.25">
      <c r="A1119" t="s">
        <v>11328</v>
      </c>
      <c r="B1119" t="s">
        <v>957</v>
      </c>
      <c r="I1119" t="s">
        <v>11329</v>
      </c>
      <c r="J1119" s="3">
        <v>-0.88097530000000002</v>
      </c>
      <c r="K1119" s="3">
        <v>-0.75398220000000005</v>
      </c>
      <c r="L1119" s="3">
        <v>-0.46106439999999999</v>
      </c>
    </row>
    <row r="1120" spans="1:12" x14ac:dyDescent="0.25">
      <c r="A1120" t="s">
        <v>11326</v>
      </c>
      <c r="B1120" t="s">
        <v>957</v>
      </c>
      <c r="I1120" t="s">
        <v>11327</v>
      </c>
      <c r="J1120" s="3">
        <v>-1.2701690000000001</v>
      </c>
      <c r="K1120" s="3">
        <v>-1.303131</v>
      </c>
      <c r="L1120" s="3">
        <v>-0.83927379999999996</v>
      </c>
    </row>
    <row r="1121" spans="1:12" x14ac:dyDescent="0.25">
      <c r="A1121" t="s">
        <v>11325</v>
      </c>
      <c r="B1121" t="s">
        <v>957</v>
      </c>
      <c r="I1121" t="s">
        <v>455</v>
      </c>
      <c r="J1121" s="3">
        <v>0.2879447</v>
      </c>
      <c r="K1121" s="3">
        <v>0.1410198</v>
      </c>
      <c r="L1121" s="3">
        <v>0.23006509999999999</v>
      </c>
    </row>
    <row r="1122" spans="1:12" x14ac:dyDescent="0.25">
      <c r="A1122" t="s">
        <v>11322</v>
      </c>
      <c r="B1122" t="s">
        <v>11323</v>
      </c>
      <c r="I1122" t="s">
        <v>11324</v>
      </c>
      <c r="J1122" s="3">
        <v>0.61496030000000002</v>
      </c>
      <c r="K1122" s="3">
        <v>0.13872870000000001</v>
      </c>
      <c r="L1122" s="3">
        <v>0.24656259999999999</v>
      </c>
    </row>
    <row r="1123" spans="1:12" x14ac:dyDescent="0.25">
      <c r="A1123" t="s">
        <v>11319</v>
      </c>
      <c r="B1123" t="s">
        <v>11320</v>
      </c>
      <c r="I1123" t="s">
        <v>11321</v>
      </c>
      <c r="J1123" s="3">
        <v>0.18978149999999999</v>
      </c>
      <c r="K1123" s="3">
        <v>0.16574169999999999</v>
      </c>
      <c r="L1123" s="3">
        <v>0.13017020000000001</v>
      </c>
    </row>
    <row r="1124" spans="1:12" x14ac:dyDescent="0.25">
      <c r="A1124" t="s">
        <v>11316</v>
      </c>
      <c r="B1124" t="s">
        <v>11317</v>
      </c>
      <c r="I1124" t="s">
        <v>11318</v>
      </c>
      <c r="J1124" s="3">
        <v>-0.34956690000000001</v>
      </c>
      <c r="K1124" s="3">
        <v>-0.52233419999999997</v>
      </c>
      <c r="L1124" s="3">
        <v>-0.26650249999999998</v>
      </c>
    </row>
    <row r="1125" spans="1:12" x14ac:dyDescent="0.25">
      <c r="A1125" t="s">
        <v>11315</v>
      </c>
      <c r="B1125" t="s">
        <v>957</v>
      </c>
      <c r="I1125" t="s">
        <v>455</v>
      </c>
      <c r="J1125" s="3">
        <v>-0.35780830000000002</v>
      </c>
      <c r="K1125" s="3">
        <v>-0.31511030000000001</v>
      </c>
      <c r="L1125" s="3">
        <v>-0.68852029999999997</v>
      </c>
    </row>
    <row r="1126" spans="1:12" x14ac:dyDescent="0.25">
      <c r="A1126" t="s">
        <v>11313</v>
      </c>
      <c r="B1126" t="s">
        <v>957</v>
      </c>
      <c r="I1126" t="s">
        <v>11314</v>
      </c>
      <c r="J1126" s="3">
        <v>-0.20442070000000001</v>
      </c>
      <c r="K1126" s="3">
        <v>-0.66419410000000001</v>
      </c>
      <c r="L1126" s="3">
        <v>9.186339E-3</v>
      </c>
    </row>
    <row r="1127" spans="1:12" x14ac:dyDescent="0.25">
      <c r="A1127" t="s">
        <v>11310</v>
      </c>
      <c r="B1127" t="s">
        <v>11311</v>
      </c>
      <c r="I1127" t="s">
        <v>11312</v>
      </c>
      <c r="J1127" s="3">
        <v>-1.152363</v>
      </c>
      <c r="K1127" s="3">
        <v>-1.3767039999999999</v>
      </c>
      <c r="L1127" s="3">
        <v>-0.92076219999999998</v>
      </c>
    </row>
    <row r="1128" spans="1:12" x14ac:dyDescent="0.25">
      <c r="A1128" t="s">
        <v>11307</v>
      </c>
      <c r="B1128" t="s">
        <v>11308</v>
      </c>
      <c r="I1128" t="s">
        <v>11309</v>
      </c>
      <c r="J1128" s="3">
        <v>0.91818900000000003</v>
      </c>
      <c r="K1128" s="3">
        <v>0.87231190000000003</v>
      </c>
      <c r="L1128" s="3">
        <v>0.66081000000000001</v>
      </c>
    </row>
    <row r="1129" spans="1:12" x14ac:dyDescent="0.25">
      <c r="A1129" t="s">
        <v>11304</v>
      </c>
      <c r="B1129" t="s">
        <v>11305</v>
      </c>
      <c r="I1129" t="s">
        <v>11306</v>
      </c>
      <c r="J1129" s="3">
        <v>-0.33360230000000002</v>
      </c>
      <c r="K1129" s="3">
        <v>-0.67085229999999996</v>
      </c>
      <c r="L1129" s="3">
        <v>-7.9427440000000002E-2</v>
      </c>
    </row>
    <row r="1130" spans="1:12" x14ac:dyDescent="0.25">
      <c r="A1130" t="s">
        <v>11301</v>
      </c>
      <c r="B1130" t="s">
        <v>11302</v>
      </c>
      <c r="I1130" t="s">
        <v>11303</v>
      </c>
      <c r="J1130" s="3">
        <v>-0.51175470000000001</v>
      </c>
      <c r="K1130" s="3">
        <v>-1.661478</v>
      </c>
      <c r="L1130" s="3">
        <v>-0.6019255</v>
      </c>
    </row>
    <row r="1131" spans="1:12" x14ac:dyDescent="0.25">
      <c r="A1131" t="s">
        <v>11299</v>
      </c>
      <c r="B1131" t="s">
        <v>11300</v>
      </c>
      <c r="I1131" t="s">
        <v>2953</v>
      </c>
      <c r="J1131" s="3">
        <v>-6.168978E-2</v>
      </c>
      <c r="K1131" s="3">
        <v>-0.62082899999999996</v>
      </c>
      <c r="L1131" s="3">
        <v>-0.16802880000000001</v>
      </c>
    </row>
    <row r="1132" spans="1:12" x14ac:dyDescent="0.25">
      <c r="A1132" t="s">
        <v>11296</v>
      </c>
      <c r="B1132" t="s">
        <v>11297</v>
      </c>
      <c r="I1132" t="s">
        <v>11298</v>
      </c>
      <c r="J1132" s="3">
        <v>5.491269E-2</v>
      </c>
      <c r="K1132" s="3">
        <v>0.1091351</v>
      </c>
      <c r="L1132" s="3">
        <v>-6.3498000000000001E-3</v>
      </c>
    </row>
    <row r="1133" spans="1:12" x14ac:dyDescent="0.25">
      <c r="A1133" t="s">
        <v>11293</v>
      </c>
      <c r="B1133" t="s">
        <v>11294</v>
      </c>
      <c r="I1133" t="s">
        <v>11295</v>
      </c>
      <c r="J1133" s="3">
        <v>0.57707790000000003</v>
      </c>
      <c r="K1133" s="3">
        <v>-7.8612920000000003E-2</v>
      </c>
      <c r="L1133" s="3">
        <v>0.50992479999999996</v>
      </c>
    </row>
    <row r="1134" spans="1:12" x14ac:dyDescent="0.25">
      <c r="A1134" t="s">
        <v>11291</v>
      </c>
      <c r="B1134" t="s">
        <v>11292</v>
      </c>
      <c r="I1134" t="s">
        <v>5746</v>
      </c>
      <c r="J1134" s="3">
        <v>-0.77872169999999996</v>
      </c>
      <c r="K1134" s="3">
        <v>-1.387464</v>
      </c>
      <c r="L1134" s="3">
        <v>-0.64462070000000005</v>
      </c>
    </row>
    <row r="1135" spans="1:12" x14ac:dyDescent="0.25">
      <c r="A1135" t="s">
        <v>11289</v>
      </c>
      <c r="B1135" t="s">
        <v>11290</v>
      </c>
      <c r="I1135" t="s">
        <v>2587</v>
      </c>
      <c r="J1135" s="3">
        <v>-0.47742319999999999</v>
      </c>
      <c r="K1135" s="3">
        <v>-0.69479000000000002</v>
      </c>
      <c r="L1135" s="3">
        <v>-0.44378699999999999</v>
      </c>
    </row>
    <row r="1136" spans="1:12" x14ac:dyDescent="0.25">
      <c r="A1136" t="s">
        <v>11286</v>
      </c>
      <c r="B1136" t="s">
        <v>11287</v>
      </c>
      <c r="I1136" t="s">
        <v>11288</v>
      </c>
      <c r="J1136" s="3">
        <v>1.2710410000000001</v>
      </c>
      <c r="K1136" s="3">
        <v>1.168401</v>
      </c>
      <c r="L1136" s="3">
        <v>1.2055709999999999</v>
      </c>
    </row>
    <row r="1137" spans="1:12" x14ac:dyDescent="0.25">
      <c r="A1137" t="s">
        <v>11285</v>
      </c>
      <c r="B1137" t="s">
        <v>957</v>
      </c>
      <c r="I1137" t="s">
        <v>455</v>
      </c>
      <c r="J1137" s="3">
        <v>-0.34940339999999998</v>
      </c>
      <c r="K1137" s="3">
        <v>-0.55003849999999999</v>
      </c>
      <c r="L1137" s="3">
        <v>-0.1807232</v>
      </c>
    </row>
    <row r="1138" spans="1:12" x14ac:dyDescent="0.25">
      <c r="A1138" t="s">
        <v>11282</v>
      </c>
      <c r="B1138" t="s">
        <v>11283</v>
      </c>
      <c r="I1138" t="s">
        <v>11284</v>
      </c>
      <c r="J1138" s="3">
        <v>0.55025429999999997</v>
      </c>
      <c r="K1138" s="3">
        <v>-6.3713340000000002E-3</v>
      </c>
      <c r="L1138" s="3">
        <v>0.58559450000000002</v>
      </c>
    </row>
    <row r="1139" spans="1:12" x14ac:dyDescent="0.25">
      <c r="A1139" t="s">
        <v>11279</v>
      </c>
      <c r="B1139" t="s">
        <v>11280</v>
      </c>
      <c r="I1139" t="s">
        <v>11281</v>
      </c>
      <c r="J1139" s="3">
        <v>0.68497269999999999</v>
      </c>
      <c r="K1139" s="3">
        <v>1.279237</v>
      </c>
      <c r="L1139" s="3">
        <v>0.70209540000000004</v>
      </c>
    </row>
    <row r="1140" spans="1:12" x14ac:dyDescent="0.25">
      <c r="A1140" t="s">
        <v>11276</v>
      </c>
      <c r="B1140" t="s">
        <v>11277</v>
      </c>
      <c r="I1140" t="s">
        <v>11278</v>
      </c>
      <c r="J1140" s="3">
        <v>0.20159340000000001</v>
      </c>
      <c r="K1140" s="3">
        <v>-0.17487749999999999</v>
      </c>
      <c r="L1140" s="3">
        <v>-2.0753029999999999E-2</v>
      </c>
    </row>
    <row r="1141" spans="1:12" x14ac:dyDescent="0.25">
      <c r="A1141" t="s">
        <v>11275</v>
      </c>
      <c r="B1141" t="s">
        <v>957</v>
      </c>
      <c r="I1141" t="s">
        <v>455</v>
      </c>
      <c r="J1141" s="3">
        <v>-0.48514390000000002</v>
      </c>
      <c r="K1141" s="3">
        <v>-0.56759539999999997</v>
      </c>
      <c r="L1141" s="3">
        <v>-0.36788149999999997</v>
      </c>
    </row>
    <row r="1142" spans="1:12" x14ac:dyDescent="0.25">
      <c r="A1142" t="s">
        <v>11273</v>
      </c>
      <c r="B1142" t="s">
        <v>957</v>
      </c>
      <c r="I1142" t="s">
        <v>11274</v>
      </c>
      <c r="J1142" s="3">
        <v>0.20065630000000001</v>
      </c>
      <c r="K1142" s="3">
        <v>-7.7977259999999996E-3</v>
      </c>
      <c r="L1142" s="3">
        <v>0.22249440000000001</v>
      </c>
    </row>
    <row r="1143" spans="1:12" x14ac:dyDescent="0.25">
      <c r="A1143" t="s">
        <v>11270</v>
      </c>
      <c r="B1143" t="s">
        <v>11271</v>
      </c>
      <c r="I1143" t="s">
        <v>11272</v>
      </c>
      <c r="J1143" s="3">
        <v>-0.1237251</v>
      </c>
      <c r="K1143" s="3">
        <v>-0.56566830000000001</v>
      </c>
      <c r="L1143" s="3">
        <v>-0.1018835</v>
      </c>
    </row>
    <row r="1144" spans="1:12" x14ac:dyDescent="0.25">
      <c r="A1144" t="s">
        <v>11267</v>
      </c>
      <c r="B1144" t="s">
        <v>11268</v>
      </c>
      <c r="I1144" t="s">
        <v>11269</v>
      </c>
      <c r="J1144" s="3">
        <v>-0.46837050000000002</v>
      </c>
      <c r="K1144" s="3">
        <v>-0.82818040000000004</v>
      </c>
      <c r="L1144" s="3">
        <v>-0.20575070000000001</v>
      </c>
    </row>
    <row r="1145" spans="1:12" x14ac:dyDescent="0.25">
      <c r="A1145" t="s">
        <v>11266</v>
      </c>
      <c r="B1145" t="s">
        <v>957</v>
      </c>
      <c r="I1145" t="s">
        <v>455</v>
      </c>
      <c r="J1145" s="3">
        <v>-4.4975040000000001E-2</v>
      </c>
      <c r="K1145" s="3">
        <v>-0.27079809999999999</v>
      </c>
      <c r="L1145" s="3">
        <v>-0.107471</v>
      </c>
    </row>
    <row r="1146" spans="1:12" x14ac:dyDescent="0.25">
      <c r="A1146" t="s">
        <v>11263</v>
      </c>
      <c r="B1146" t="s">
        <v>11264</v>
      </c>
      <c r="I1146" t="s">
        <v>11265</v>
      </c>
      <c r="J1146" s="3">
        <v>-0.35314220000000002</v>
      </c>
      <c r="K1146" s="3">
        <v>-0.67929349999999999</v>
      </c>
      <c r="L1146" s="3">
        <v>-0.26177899999999998</v>
      </c>
    </row>
    <row r="1147" spans="1:12" x14ac:dyDescent="0.25">
      <c r="A1147" t="s">
        <v>11260</v>
      </c>
      <c r="B1147" t="s">
        <v>11261</v>
      </c>
      <c r="I1147" t="s">
        <v>11262</v>
      </c>
      <c r="J1147" s="3">
        <v>0.1304082</v>
      </c>
      <c r="K1147" s="3">
        <v>0.1563581</v>
      </c>
      <c r="L1147" s="3">
        <v>-3.513322E-2</v>
      </c>
    </row>
    <row r="1148" spans="1:12" x14ac:dyDescent="0.25">
      <c r="A1148" t="s">
        <v>11257</v>
      </c>
      <c r="B1148" t="s">
        <v>11258</v>
      </c>
      <c r="I1148" t="s">
        <v>11259</v>
      </c>
      <c r="J1148" s="3">
        <v>0.3506843</v>
      </c>
      <c r="K1148" s="3">
        <v>0.57385180000000002</v>
      </c>
      <c r="L1148" s="3">
        <v>0.13986109999999999</v>
      </c>
    </row>
    <row r="1149" spans="1:12" x14ac:dyDescent="0.25">
      <c r="A1149" t="s">
        <v>11254</v>
      </c>
      <c r="B1149" t="s">
        <v>11255</v>
      </c>
      <c r="I1149" t="s">
        <v>11256</v>
      </c>
      <c r="J1149" s="3">
        <v>-0.15928490000000001</v>
      </c>
      <c r="K1149" s="3">
        <v>-0.53743070000000004</v>
      </c>
      <c r="L1149" s="3">
        <v>-5.1047240000000001E-2</v>
      </c>
    </row>
    <row r="1150" spans="1:12" x14ac:dyDescent="0.25">
      <c r="A1150" t="s">
        <v>11251</v>
      </c>
      <c r="B1150" t="s">
        <v>11252</v>
      </c>
      <c r="I1150" t="s">
        <v>11253</v>
      </c>
      <c r="J1150" s="3">
        <v>-1.2029479999999999</v>
      </c>
      <c r="K1150" s="3">
        <v>-1.851842</v>
      </c>
      <c r="L1150" s="3">
        <v>-0.84886349999999999</v>
      </c>
    </row>
    <row r="1151" spans="1:12" x14ac:dyDescent="0.25">
      <c r="A1151" t="s">
        <v>11248</v>
      </c>
      <c r="B1151" t="s">
        <v>11249</v>
      </c>
      <c r="I1151" t="s">
        <v>11250</v>
      </c>
      <c r="J1151" s="3">
        <v>0.24706880000000001</v>
      </c>
      <c r="K1151" s="3">
        <v>0.38703500000000002</v>
      </c>
      <c r="L1151" s="3">
        <v>-0.1134048</v>
      </c>
    </row>
    <row r="1152" spans="1:12" x14ac:dyDescent="0.25">
      <c r="A1152" t="s">
        <v>11245</v>
      </c>
      <c r="B1152" t="s">
        <v>11246</v>
      </c>
      <c r="I1152" t="s">
        <v>11247</v>
      </c>
      <c r="J1152" s="3">
        <v>-0.30921599999999999</v>
      </c>
      <c r="K1152" s="3">
        <v>-0.2320895</v>
      </c>
      <c r="L1152" s="3">
        <v>2.0035379999999998E-2</v>
      </c>
    </row>
    <row r="1153" spans="1:12" x14ac:dyDescent="0.25">
      <c r="A1153" t="s">
        <v>11242</v>
      </c>
      <c r="B1153" t="s">
        <v>11243</v>
      </c>
      <c r="I1153" t="s">
        <v>11244</v>
      </c>
      <c r="J1153" s="3">
        <v>-0.40995670000000001</v>
      </c>
      <c r="K1153" s="3">
        <v>-0.50346800000000003</v>
      </c>
      <c r="L1153" s="3">
        <v>-0.78905720000000001</v>
      </c>
    </row>
    <row r="1154" spans="1:12" x14ac:dyDescent="0.25">
      <c r="A1154" t="s">
        <v>11239</v>
      </c>
      <c r="B1154" t="s">
        <v>11240</v>
      </c>
      <c r="I1154" t="s">
        <v>11241</v>
      </c>
      <c r="J1154" s="3">
        <v>-0.65976140000000005</v>
      </c>
      <c r="K1154" s="3">
        <v>-0.84697520000000004</v>
      </c>
      <c r="L1154" s="3">
        <v>-0.65644840000000004</v>
      </c>
    </row>
    <row r="1155" spans="1:12" x14ac:dyDescent="0.25">
      <c r="A1155" t="s">
        <v>11236</v>
      </c>
      <c r="B1155" t="s">
        <v>11237</v>
      </c>
      <c r="I1155" t="s">
        <v>11238</v>
      </c>
      <c r="J1155" s="3">
        <v>0.26458300000000001</v>
      </c>
      <c r="K1155" s="3">
        <v>0.15283579999999999</v>
      </c>
      <c r="L1155" s="3">
        <v>0.1835145</v>
      </c>
    </row>
    <row r="1156" spans="1:12" x14ac:dyDescent="0.25">
      <c r="A1156" t="s">
        <v>11233</v>
      </c>
      <c r="B1156" t="s">
        <v>11234</v>
      </c>
      <c r="I1156" t="s">
        <v>11235</v>
      </c>
      <c r="J1156" s="3">
        <v>0.29788130000000002</v>
      </c>
      <c r="K1156" s="3">
        <v>0.62854829999999995</v>
      </c>
      <c r="L1156" s="3">
        <v>0.1210745</v>
      </c>
    </row>
    <row r="1157" spans="1:12" x14ac:dyDescent="0.25">
      <c r="A1157" t="s">
        <v>11230</v>
      </c>
      <c r="B1157" t="s">
        <v>11231</v>
      </c>
      <c r="I1157" t="s">
        <v>11232</v>
      </c>
      <c r="J1157" s="3">
        <v>-0.31633840000000002</v>
      </c>
      <c r="K1157" s="3">
        <v>-0.89314179999999999</v>
      </c>
      <c r="L1157" s="3">
        <v>-0.59033179999999996</v>
      </c>
    </row>
    <row r="1158" spans="1:12" x14ac:dyDescent="0.25">
      <c r="A1158" t="s">
        <v>11227</v>
      </c>
      <c r="B1158" t="s">
        <v>11228</v>
      </c>
      <c r="I1158" t="s">
        <v>11229</v>
      </c>
      <c r="J1158" s="3">
        <v>0.1015535</v>
      </c>
      <c r="K1158" s="3">
        <v>0.24958620000000001</v>
      </c>
      <c r="L1158" s="3">
        <v>0.35744019999999999</v>
      </c>
    </row>
    <row r="1159" spans="1:12" x14ac:dyDescent="0.25">
      <c r="A1159" t="s">
        <v>11224</v>
      </c>
      <c r="B1159" t="s">
        <v>11225</v>
      </c>
      <c r="I1159" t="s">
        <v>11226</v>
      </c>
      <c r="J1159" s="3">
        <v>5.2798629999999999E-2</v>
      </c>
      <c r="K1159" s="3">
        <v>-0.11689960000000001</v>
      </c>
      <c r="L1159" s="3">
        <v>0.39345920000000001</v>
      </c>
    </row>
    <row r="1160" spans="1:12" x14ac:dyDescent="0.25">
      <c r="A1160" t="s">
        <v>11223</v>
      </c>
      <c r="B1160" t="s">
        <v>957</v>
      </c>
      <c r="I1160" t="s">
        <v>455</v>
      </c>
      <c r="J1160" s="3">
        <v>-0.15397849999999999</v>
      </c>
      <c r="K1160" s="3">
        <v>0.147787</v>
      </c>
      <c r="L1160" s="3">
        <v>-5.8533130000000003E-2</v>
      </c>
    </row>
    <row r="1161" spans="1:12" x14ac:dyDescent="0.25">
      <c r="A1161" t="s">
        <v>11222</v>
      </c>
      <c r="B1161" t="s">
        <v>957</v>
      </c>
      <c r="I1161" t="s">
        <v>455</v>
      </c>
      <c r="J1161" s="3">
        <v>6.6520899999999994E-2</v>
      </c>
      <c r="K1161" s="3">
        <v>0.51533309999999999</v>
      </c>
      <c r="L1161" s="3">
        <v>0.31572109999999998</v>
      </c>
    </row>
    <row r="1162" spans="1:12" x14ac:dyDescent="0.25">
      <c r="A1162" t="s">
        <v>11219</v>
      </c>
      <c r="B1162" t="s">
        <v>11220</v>
      </c>
      <c r="I1162" t="s">
        <v>11221</v>
      </c>
      <c r="J1162" s="3">
        <v>-0.47886040000000002</v>
      </c>
      <c r="K1162" s="3">
        <v>-0.63064849999999995</v>
      </c>
      <c r="L1162" s="3">
        <v>6.0327799999999995E-4</v>
      </c>
    </row>
    <row r="1163" spans="1:12" x14ac:dyDescent="0.25">
      <c r="A1163" t="s">
        <v>11217</v>
      </c>
      <c r="B1163" t="s">
        <v>11218</v>
      </c>
      <c r="I1163" t="s">
        <v>8728</v>
      </c>
      <c r="J1163" s="3">
        <v>-0.93588800000000005</v>
      </c>
      <c r="K1163" s="3">
        <v>-1.1872119999999999</v>
      </c>
      <c r="L1163" s="3">
        <v>-0.24913869999999999</v>
      </c>
    </row>
    <row r="1164" spans="1:12" x14ac:dyDescent="0.25">
      <c r="A1164" t="s">
        <v>11214</v>
      </c>
      <c r="B1164" t="s">
        <v>11215</v>
      </c>
      <c r="I1164" t="s">
        <v>11216</v>
      </c>
      <c r="J1164" s="3">
        <v>-0.36841059999999998</v>
      </c>
      <c r="K1164" s="3">
        <v>-0.80131010000000003</v>
      </c>
      <c r="L1164" s="3">
        <v>-0.36035469999999997</v>
      </c>
    </row>
    <row r="1165" spans="1:12" x14ac:dyDescent="0.25">
      <c r="A1165" t="s">
        <v>11211</v>
      </c>
      <c r="B1165" t="s">
        <v>11212</v>
      </c>
      <c r="I1165" t="s">
        <v>11213</v>
      </c>
      <c r="J1165" s="3">
        <v>-0.9785488</v>
      </c>
      <c r="K1165" s="3">
        <v>-1.279409</v>
      </c>
      <c r="L1165" s="3">
        <v>-0.82338650000000002</v>
      </c>
    </row>
    <row r="1166" spans="1:12" x14ac:dyDescent="0.25">
      <c r="A1166" t="s">
        <v>11208</v>
      </c>
      <c r="B1166" t="s">
        <v>11209</v>
      </c>
      <c r="I1166" t="s">
        <v>11210</v>
      </c>
      <c r="J1166" s="3">
        <v>-0.33946670000000001</v>
      </c>
      <c r="K1166" s="3">
        <v>-0.46437119999999998</v>
      </c>
      <c r="L1166" s="3">
        <v>-0.61017750000000004</v>
      </c>
    </row>
    <row r="1167" spans="1:12" x14ac:dyDescent="0.25">
      <c r="A1167" t="s">
        <v>11205</v>
      </c>
      <c r="B1167" t="s">
        <v>11206</v>
      </c>
      <c r="I1167" t="s">
        <v>11207</v>
      </c>
      <c r="J1167" s="3">
        <v>0.61344330000000002</v>
      </c>
      <c r="K1167" s="3">
        <v>0.51486160000000003</v>
      </c>
      <c r="L1167" s="3">
        <v>0.4884946</v>
      </c>
    </row>
    <row r="1168" spans="1:12" x14ac:dyDescent="0.25">
      <c r="A1168" t="s">
        <v>11204</v>
      </c>
      <c r="B1168" t="s">
        <v>957</v>
      </c>
      <c r="I1168" t="s">
        <v>455</v>
      </c>
      <c r="J1168" s="3">
        <v>1.5508910000000001E-2</v>
      </c>
      <c r="K1168" s="3">
        <v>-0.23993900000000001</v>
      </c>
      <c r="L1168" s="3">
        <v>0.33300990000000003</v>
      </c>
    </row>
    <row r="1169" spans="1:12" x14ac:dyDescent="0.25">
      <c r="A1169" t="s">
        <v>11201</v>
      </c>
      <c r="B1169" t="s">
        <v>11202</v>
      </c>
      <c r="I1169" t="s">
        <v>11203</v>
      </c>
      <c r="J1169" s="3">
        <v>-0.46613250000000001</v>
      </c>
      <c r="K1169" s="3">
        <v>-0.60735209999999995</v>
      </c>
      <c r="L1169" s="3">
        <v>-0.29679430000000001</v>
      </c>
    </row>
    <row r="1170" spans="1:12" x14ac:dyDescent="0.25">
      <c r="A1170" t="s">
        <v>11198</v>
      </c>
      <c r="B1170" t="s">
        <v>11199</v>
      </c>
      <c r="I1170" t="s">
        <v>11200</v>
      </c>
      <c r="J1170" s="3">
        <v>-1.3603449999999999</v>
      </c>
      <c r="K1170" s="3">
        <v>-1.6936199999999999</v>
      </c>
      <c r="L1170" s="3">
        <v>-1.111831</v>
      </c>
    </row>
    <row r="1171" spans="1:12" x14ac:dyDescent="0.25">
      <c r="A1171" t="s">
        <v>11130</v>
      </c>
      <c r="B1171" t="s">
        <v>957</v>
      </c>
      <c r="I1171" t="s">
        <v>11197</v>
      </c>
      <c r="J1171" s="3">
        <v>-0.70115799999999995</v>
      </c>
      <c r="K1171" s="3">
        <v>-0.85925450000000003</v>
      </c>
      <c r="L1171" s="3">
        <v>-0.57877789999999996</v>
      </c>
    </row>
    <row r="1172" spans="1:12" x14ac:dyDescent="0.25">
      <c r="A1172" t="s">
        <v>11127</v>
      </c>
      <c r="B1172" t="s">
        <v>11128</v>
      </c>
      <c r="I1172" t="s">
        <v>11129</v>
      </c>
      <c r="J1172" s="3">
        <v>0.10961849999999999</v>
      </c>
      <c r="K1172" s="3">
        <v>0.72325930000000005</v>
      </c>
      <c r="L1172" s="3">
        <v>0.13667969999999999</v>
      </c>
    </row>
    <row r="1173" spans="1:12" x14ac:dyDescent="0.25">
      <c r="A1173" t="s">
        <v>11124</v>
      </c>
      <c r="B1173" t="s">
        <v>11125</v>
      </c>
      <c r="I1173" t="s">
        <v>11126</v>
      </c>
      <c r="J1173" s="3">
        <v>-0.14525959999999999</v>
      </c>
      <c r="K1173" s="3">
        <v>-0.13933809999999999</v>
      </c>
      <c r="L1173" s="3">
        <v>-7.5848100000000002E-2</v>
      </c>
    </row>
    <row r="1174" spans="1:12" x14ac:dyDescent="0.25">
      <c r="A1174" t="s">
        <v>11123</v>
      </c>
      <c r="B1174" t="s">
        <v>957</v>
      </c>
      <c r="I1174" t="s">
        <v>455</v>
      </c>
      <c r="J1174" s="3">
        <v>0.36593360000000003</v>
      </c>
      <c r="K1174" s="3">
        <v>0.65230410000000005</v>
      </c>
      <c r="L1174" s="3">
        <v>0.59861560000000003</v>
      </c>
    </row>
    <row r="1175" spans="1:12" x14ac:dyDescent="0.25">
      <c r="A1175" t="s">
        <v>11120</v>
      </c>
      <c r="B1175" t="s">
        <v>11121</v>
      </c>
      <c r="I1175" t="s">
        <v>11122</v>
      </c>
      <c r="J1175" s="3">
        <v>0.17981269999999999</v>
      </c>
      <c r="K1175" s="3">
        <v>-6.9827050000000002E-2</v>
      </c>
      <c r="L1175" s="3">
        <v>0.26684089999999999</v>
      </c>
    </row>
    <row r="1176" spans="1:12" x14ac:dyDescent="0.25">
      <c r="A1176" t="s">
        <v>11118</v>
      </c>
      <c r="B1176" t="s">
        <v>11119</v>
      </c>
      <c r="I1176" t="s">
        <v>5289</v>
      </c>
      <c r="J1176" s="3">
        <v>0.28547850000000002</v>
      </c>
      <c r="K1176" s="3">
        <v>0.27258529999999997</v>
      </c>
      <c r="L1176" s="3">
        <v>0.55049159999999997</v>
      </c>
    </row>
    <row r="1177" spans="1:12" x14ac:dyDescent="0.25">
      <c r="A1177" t="s">
        <v>11115</v>
      </c>
      <c r="B1177" t="s">
        <v>11116</v>
      </c>
      <c r="I1177" t="s">
        <v>11117</v>
      </c>
      <c r="J1177" s="3">
        <v>-0.69220040000000005</v>
      </c>
      <c r="K1177" s="3">
        <v>0.1530977</v>
      </c>
      <c r="L1177" s="3">
        <v>-0.2605671</v>
      </c>
    </row>
    <row r="1178" spans="1:12" x14ac:dyDescent="0.25">
      <c r="A1178" t="s">
        <v>11112</v>
      </c>
      <c r="B1178" t="s">
        <v>11113</v>
      </c>
      <c r="I1178" t="s">
        <v>11114</v>
      </c>
      <c r="J1178" s="3">
        <v>-0.2882654</v>
      </c>
      <c r="K1178" s="3">
        <v>-0.55445239999999996</v>
      </c>
      <c r="L1178" s="3">
        <v>-0.19953489999999999</v>
      </c>
    </row>
    <row r="1179" spans="1:12" x14ac:dyDescent="0.25">
      <c r="A1179" t="s">
        <v>11110</v>
      </c>
      <c r="B1179" t="s">
        <v>11111</v>
      </c>
      <c r="I1179" t="s">
        <v>593</v>
      </c>
      <c r="J1179" s="3">
        <v>-1.2240260000000001</v>
      </c>
      <c r="K1179" s="3">
        <v>-1.733744</v>
      </c>
      <c r="L1179" s="3">
        <v>-1.0882149999999999</v>
      </c>
    </row>
    <row r="1180" spans="1:12" x14ac:dyDescent="0.25">
      <c r="A1180" t="s">
        <v>11107</v>
      </c>
      <c r="B1180" t="s">
        <v>11108</v>
      </c>
      <c r="I1180" t="s">
        <v>11109</v>
      </c>
      <c r="J1180" s="3">
        <v>-8.3369440000000003E-2</v>
      </c>
      <c r="K1180" s="3">
        <v>-0.36341089999999998</v>
      </c>
      <c r="L1180" s="3">
        <v>-8.1822279999999997E-2</v>
      </c>
    </row>
    <row r="1181" spans="1:12" x14ac:dyDescent="0.25">
      <c r="A1181" t="s">
        <v>11105</v>
      </c>
      <c r="B1181" t="s">
        <v>11106</v>
      </c>
      <c r="I1181" t="s">
        <v>4433</v>
      </c>
      <c r="J1181" s="3">
        <v>-0.1891543</v>
      </c>
      <c r="K1181" s="3">
        <v>4.8170949999999997E-2</v>
      </c>
      <c r="L1181" s="3">
        <v>-0.336561</v>
      </c>
    </row>
    <row r="1182" spans="1:12" x14ac:dyDescent="0.25">
      <c r="A1182" t="s">
        <v>11102</v>
      </c>
      <c r="B1182" t="s">
        <v>11103</v>
      </c>
      <c r="I1182" t="s">
        <v>11104</v>
      </c>
      <c r="J1182" s="3">
        <v>-0.14671600000000001</v>
      </c>
      <c r="K1182" s="3">
        <v>-0.16572219999999999</v>
      </c>
      <c r="L1182" s="3">
        <v>9.3109899999999995E-2</v>
      </c>
    </row>
    <row r="1183" spans="1:12" x14ac:dyDescent="0.25">
      <c r="A1183" t="s">
        <v>11101</v>
      </c>
      <c r="B1183" t="s">
        <v>957</v>
      </c>
      <c r="I1183" t="s">
        <v>455</v>
      </c>
      <c r="J1183" s="3">
        <v>4.367563E-2</v>
      </c>
      <c r="K1183" s="3">
        <v>-0.30500460000000001</v>
      </c>
      <c r="L1183" s="3">
        <v>0.10923380000000001</v>
      </c>
    </row>
    <row r="1184" spans="1:12" x14ac:dyDescent="0.25">
      <c r="A1184" t="s">
        <v>11098</v>
      </c>
      <c r="B1184" t="s">
        <v>11099</v>
      </c>
      <c r="I1184" t="s">
        <v>11100</v>
      </c>
      <c r="J1184" s="3">
        <v>-0.37091160000000001</v>
      </c>
      <c r="K1184" s="3">
        <v>-0.78163760000000004</v>
      </c>
      <c r="L1184" s="3">
        <v>-0.21122469999999999</v>
      </c>
    </row>
    <row r="1185" spans="1:12" x14ac:dyDescent="0.25">
      <c r="A1185" t="s">
        <v>11095</v>
      </c>
      <c r="B1185" t="s">
        <v>11096</v>
      </c>
      <c r="I1185" t="s">
        <v>11097</v>
      </c>
      <c r="J1185" s="3">
        <v>0.29077819999999999</v>
      </c>
      <c r="K1185" s="3">
        <v>0.12464790000000001</v>
      </c>
      <c r="L1185" s="3">
        <v>0.21954109999999999</v>
      </c>
    </row>
    <row r="1186" spans="1:12" x14ac:dyDescent="0.25">
      <c r="A1186" t="s">
        <v>11093</v>
      </c>
      <c r="B1186" t="s">
        <v>11094</v>
      </c>
      <c r="I1186" t="s">
        <v>4494</v>
      </c>
      <c r="J1186" s="3">
        <v>8.4943699999999997E-2</v>
      </c>
      <c r="K1186" s="3">
        <v>-0.57101199999999996</v>
      </c>
      <c r="L1186" s="3">
        <v>0.15089720000000001</v>
      </c>
    </row>
    <row r="1187" spans="1:12" x14ac:dyDescent="0.25">
      <c r="A1187" t="s">
        <v>11090</v>
      </c>
      <c r="B1187" t="s">
        <v>11091</v>
      </c>
      <c r="I1187" t="s">
        <v>11092</v>
      </c>
      <c r="J1187" s="3">
        <v>0.13406480000000001</v>
      </c>
      <c r="K1187" s="3">
        <v>0.23080129999999999</v>
      </c>
      <c r="L1187" s="3">
        <v>8.8699890000000003E-2</v>
      </c>
    </row>
    <row r="1188" spans="1:12" x14ac:dyDescent="0.25">
      <c r="A1188" t="s">
        <v>11089</v>
      </c>
      <c r="B1188" t="s">
        <v>957</v>
      </c>
      <c r="I1188" t="s">
        <v>455</v>
      </c>
      <c r="J1188" s="3">
        <v>-4.5301830000000001E-2</v>
      </c>
      <c r="K1188" s="3">
        <v>-0.4818366</v>
      </c>
      <c r="L1188" s="3">
        <v>-5.3332669999999999E-2</v>
      </c>
    </row>
    <row r="1189" spans="1:12" x14ac:dyDescent="0.25">
      <c r="A1189" t="s">
        <v>11088</v>
      </c>
      <c r="B1189" t="s">
        <v>957</v>
      </c>
      <c r="I1189" t="s">
        <v>455</v>
      </c>
      <c r="J1189" s="3">
        <v>-0.18564459999999999</v>
      </c>
      <c r="K1189" s="3">
        <v>-0.42274810000000002</v>
      </c>
      <c r="L1189" s="3">
        <v>-0.53364690000000004</v>
      </c>
    </row>
    <row r="1190" spans="1:12" x14ac:dyDescent="0.25">
      <c r="A1190" t="s">
        <v>11085</v>
      </c>
      <c r="B1190" t="s">
        <v>11086</v>
      </c>
      <c r="I1190" t="s">
        <v>11087</v>
      </c>
      <c r="J1190" s="3">
        <v>-0.25128660000000003</v>
      </c>
      <c r="K1190" s="3">
        <v>-0.62697360000000002</v>
      </c>
      <c r="L1190" s="3">
        <v>-0.40790949999999998</v>
      </c>
    </row>
    <row r="1191" spans="1:12" x14ac:dyDescent="0.25">
      <c r="A1191" t="s">
        <v>11082</v>
      </c>
      <c r="B1191" t="s">
        <v>11083</v>
      </c>
      <c r="I1191" t="s">
        <v>11084</v>
      </c>
      <c r="J1191" s="3">
        <v>-0.1800543</v>
      </c>
      <c r="K1191" s="3">
        <v>-0.7596984</v>
      </c>
      <c r="L1191" s="3">
        <v>-0.35263509999999998</v>
      </c>
    </row>
    <row r="1192" spans="1:12" x14ac:dyDescent="0.25">
      <c r="A1192" t="s">
        <v>11081</v>
      </c>
      <c r="B1192" t="s">
        <v>957</v>
      </c>
      <c r="I1192" t="s">
        <v>455</v>
      </c>
      <c r="J1192" s="3">
        <v>0.17948159999999999</v>
      </c>
      <c r="K1192" s="3">
        <v>-4.2797290000000002E-2</v>
      </c>
      <c r="L1192" s="3">
        <v>0.15512770000000001</v>
      </c>
    </row>
    <row r="1193" spans="1:12" x14ac:dyDescent="0.25">
      <c r="A1193" t="s">
        <v>11079</v>
      </c>
      <c r="B1193" t="s">
        <v>11080</v>
      </c>
      <c r="I1193" t="s">
        <v>430</v>
      </c>
      <c r="J1193" s="3">
        <v>-1.1110910000000001</v>
      </c>
      <c r="K1193" s="3">
        <v>-1.7801020000000001</v>
      </c>
      <c r="L1193" s="3">
        <v>-0.92710230000000005</v>
      </c>
    </row>
    <row r="1194" spans="1:12" x14ac:dyDescent="0.25">
      <c r="A1194" t="s">
        <v>11078</v>
      </c>
      <c r="B1194" t="s">
        <v>957</v>
      </c>
      <c r="I1194" t="s">
        <v>455</v>
      </c>
      <c r="J1194" s="3">
        <v>7.8106300000000004E-2</v>
      </c>
      <c r="K1194" s="3">
        <v>0.62203039999999998</v>
      </c>
      <c r="L1194" s="3">
        <v>4.661999E-2</v>
      </c>
    </row>
    <row r="1195" spans="1:12" x14ac:dyDescent="0.25">
      <c r="A1195" t="s">
        <v>11077</v>
      </c>
      <c r="B1195" t="s">
        <v>957</v>
      </c>
      <c r="I1195" t="s">
        <v>2</v>
      </c>
      <c r="J1195" s="3">
        <v>-0.35589150000000003</v>
      </c>
      <c r="K1195" s="3">
        <v>-0.64453579999999999</v>
      </c>
      <c r="L1195" s="3">
        <v>-0.13941529999999999</v>
      </c>
    </row>
    <row r="1196" spans="1:12" x14ac:dyDescent="0.25">
      <c r="A1196" t="s">
        <v>11075</v>
      </c>
      <c r="B1196" t="s">
        <v>957</v>
      </c>
      <c r="I1196" t="s">
        <v>11076</v>
      </c>
      <c r="J1196" s="3">
        <v>0.24241940000000001</v>
      </c>
      <c r="K1196" s="3">
        <v>0.1141361</v>
      </c>
      <c r="L1196" s="3">
        <v>6.9844370000000003E-2</v>
      </c>
    </row>
    <row r="1197" spans="1:12" x14ac:dyDescent="0.25">
      <c r="A1197" t="s">
        <v>11073</v>
      </c>
      <c r="B1197" t="s">
        <v>14163</v>
      </c>
      <c r="C1197" t="s">
        <v>14164</v>
      </c>
      <c r="I1197" t="s">
        <v>11074</v>
      </c>
      <c r="J1197" s="3">
        <v>-4.4841520000000003E-2</v>
      </c>
      <c r="K1197" s="3">
        <v>-7.2195599999999999E-2</v>
      </c>
      <c r="L1197" s="3">
        <v>1.7201770000000002E-2</v>
      </c>
    </row>
    <row r="1198" spans="1:12" x14ac:dyDescent="0.25">
      <c r="A1198" t="s">
        <v>11070</v>
      </c>
      <c r="B1198" t="s">
        <v>11071</v>
      </c>
      <c r="I1198" t="s">
        <v>11072</v>
      </c>
      <c r="J1198" s="3">
        <v>0.54306509999999997</v>
      </c>
      <c r="K1198" s="3">
        <v>1.4236869999999999</v>
      </c>
      <c r="L1198" s="3">
        <v>0.60693419999999998</v>
      </c>
    </row>
    <row r="1199" spans="1:12" x14ac:dyDescent="0.25">
      <c r="A1199" t="s">
        <v>11067</v>
      </c>
      <c r="B1199" t="s">
        <v>11068</v>
      </c>
      <c r="I1199" t="s">
        <v>11069</v>
      </c>
      <c r="J1199" s="3">
        <v>-0.18358559999999999</v>
      </c>
      <c r="K1199" s="3">
        <v>-0.54650620000000005</v>
      </c>
      <c r="L1199" s="3">
        <v>-0.29261999999999999</v>
      </c>
    </row>
    <row r="1200" spans="1:12" x14ac:dyDescent="0.25">
      <c r="A1200" t="s">
        <v>11064</v>
      </c>
      <c r="B1200" t="s">
        <v>11065</v>
      </c>
      <c r="I1200" t="s">
        <v>11066</v>
      </c>
      <c r="J1200" s="3">
        <v>-0.83467060000000004</v>
      </c>
      <c r="K1200" s="3">
        <v>-1.095642</v>
      </c>
      <c r="L1200" s="3">
        <v>-1.0376609999999999</v>
      </c>
    </row>
    <row r="1201" spans="1:12" x14ac:dyDescent="0.25">
      <c r="A1201" t="s">
        <v>11062</v>
      </c>
      <c r="B1201" t="s">
        <v>957</v>
      </c>
      <c r="I1201" t="s">
        <v>11063</v>
      </c>
      <c r="J1201" s="3">
        <v>-0.4449301</v>
      </c>
      <c r="K1201" s="3">
        <v>-1.077105</v>
      </c>
      <c r="L1201" s="3">
        <v>-0.65552960000000005</v>
      </c>
    </row>
    <row r="1202" spans="1:12" x14ac:dyDescent="0.25">
      <c r="A1202" t="s">
        <v>11059</v>
      </c>
      <c r="B1202" t="s">
        <v>11060</v>
      </c>
      <c r="I1202" t="s">
        <v>11061</v>
      </c>
      <c r="J1202" s="3">
        <v>-0.47686529999999999</v>
      </c>
      <c r="K1202" s="3">
        <v>-0.4775607</v>
      </c>
      <c r="L1202" s="3">
        <v>-0.41140100000000002</v>
      </c>
    </row>
    <row r="1203" spans="1:12" x14ac:dyDescent="0.25">
      <c r="A1203" t="s">
        <v>11056</v>
      </c>
      <c r="B1203" t="s">
        <v>11057</v>
      </c>
      <c r="I1203" t="s">
        <v>11058</v>
      </c>
      <c r="J1203" s="3">
        <v>6.1490210000000002E-3</v>
      </c>
      <c r="K1203" s="3">
        <v>7.0887500000000006E-2</v>
      </c>
      <c r="L1203" s="3">
        <v>-0.2815317</v>
      </c>
    </row>
    <row r="1204" spans="1:12" x14ac:dyDescent="0.25">
      <c r="A1204" t="s">
        <v>11053</v>
      </c>
      <c r="B1204" t="s">
        <v>11054</v>
      </c>
      <c r="I1204" t="s">
        <v>11055</v>
      </c>
      <c r="J1204" s="3">
        <v>1.098901E-2</v>
      </c>
      <c r="K1204" s="3">
        <v>-1.229941</v>
      </c>
      <c r="L1204" s="3">
        <v>-0.70405280000000003</v>
      </c>
    </row>
    <row r="1205" spans="1:12" x14ac:dyDescent="0.25">
      <c r="A1205" t="s">
        <v>11052</v>
      </c>
      <c r="B1205" t="s">
        <v>957</v>
      </c>
      <c r="I1205" t="s">
        <v>455</v>
      </c>
      <c r="J1205" s="3">
        <v>0.21575069999999999</v>
      </c>
      <c r="K1205" s="3">
        <v>0.58202180000000003</v>
      </c>
      <c r="L1205" s="3">
        <v>0.29312339999999998</v>
      </c>
    </row>
    <row r="1206" spans="1:12" x14ac:dyDescent="0.25">
      <c r="A1206" t="s">
        <v>11049</v>
      </c>
      <c r="B1206" t="s">
        <v>11050</v>
      </c>
      <c r="I1206" t="s">
        <v>11051</v>
      </c>
      <c r="J1206" s="3">
        <v>-0.39639390000000002</v>
      </c>
      <c r="K1206" s="3">
        <v>-0.48624050000000002</v>
      </c>
      <c r="L1206" s="3">
        <v>-0.41239870000000001</v>
      </c>
    </row>
    <row r="1207" spans="1:12" x14ac:dyDescent="0.25">
      <c r="A1207" t="s">
        <v>9952</v>
      </c>
      <c r="B1207" t="s">
        <v>9953</v>
      </c>
      <c r="I1207" t="s">
        <v>11048</v>
      </c>
      <c r="J1207" s="3">
        <v>0.2837827</v>
      </c>
      <c r="K1207" s="3">
        <v>2.8268149999999999E-2</v>
      </c>
      <c r="L1207" s="3">
        <v>-0.18083270000000001</v>
      </c>
    </row>
    <row r="1208" spans="1:12" x14ac:dyDescent="0.25">
      <c r="A1208" t="s">
        <v>9949</v>
      </c>
      <c r="B1208" t="s">
        <v>9950</v>
      </c>
      <c r="I1208" t="s">
        <v>9951</v>
      </c>
      <c r="J1208" s="3">
        <v>-0.1616341</v>
      </c>
      <c r="K1208" s="3">
        <v>-0.33000750000000001</v>
      </c>
      <c r="L1208" s="3">
        <v>-0.1085885</v>
      </c>
    </row>
    <row r="1209" spans="1:12" x14ac:dyDescent="0.25">
      <c r="A1209" t="s">
        <v>9948</v>
      </c>
      <c r="B1209" t="s">
        <v>957</v>
      </c>
      <c r="I1209" t="s">
        <v>475</v>
      </c>
      <c r="J1209" s="3">
        <v>-0.47579120000000003</v>
      </c>
      <c r="K1209" s="3">
        <v>-0.49621939999999998</v>
      </c>
      <c r="L1209" s="3">
        <v>-1.014283E-2</v>
      </c>
    </row>
    <row r="1210" spans="1:12" x14ac:dyDescent="0.25">
      <c r="A1210" t="s">
        <v>9946</v>
      </c>
      <c r="B1210" t="s">
        <v>9947</v>
      </c>
      <c r="I1210" t="s">
        <v>8594</v>
      </c>
      <c r="J1210" s="3">
        <v>0.71378359999999996</v>
      </c>
      <c r="K1210" s="3">
        <v>0.41272880000000001</v>
      </c>
      <c r="L1210" s="3">
        <v>0.95543339999999999</v>
      </c>
    </row>
    <row r="1211" spans="1:12" x14ac:dyDescent="0.25">
      <c r="A1211" t="s">
        <v>9943</v>
      </c>
      <c r="B1211" t="s">
        <v>9944</v>
      </c>
      <c r="I1211" t="s">
        <v>9945</v>
      </c>
      <c r="J1211" s="3">
        <v>0.39342490000000002</v>
      </c>
      <c r="K1211" s="3">
        <v>0.25810440000000001</v>
      </c>
      <c r="L1211" s="3">
        <v>0.52821989999999996</v>
      </c>
    </row>
    <row r="1212" spans="1:12" x14ac:dyDescent="0.25">
      <c r="A1212" t="s">
        <v>9940</v>
      </c>
      <c r="B1212" t="s">
        <v>9941</v>
      </c>
      <c r="I1212" t="s">
        <v>9942</v>
      </c>
      <c r="J1212" s="3">
        <v>-0.45929429999999999</v>
      </c>
      <c r="K1212" s="3">
        <v>-0.81223979999999996</v>
      </c>
      <c r="L1212" s="3">
        <v>-0.32367020000000002</v>
      </c>
    </row>
    <row r="1213" spans="1:12" x14ac:dyDescent="0.25">
      <c r="A1213" t="s">
        <v>9937</v>
      </c>
      <c r="B1213" t="s">
        <v>9938</v>
      </c>
      <c r="I1213" t="s">
        <v>9939</v>
      </c>
      <c r="J1213" s="3">
        <v>0.19892099999999999</v>
      </c>
      <c r="K1213" s="3">
        <v>0.80473249999999996</v>
      </c>
      <c r="L1213" s="3">
        <v>2.0501999999999999E-2</v>
      </c>
    </row>
    <row r="1214" spans="1:12" x14ac:dyDescent="0.25">
      <c r="A1214" t="s">
        <v>9934</v>
      </c>
      <c r="B1214" t="s">
        <v>9935</v>
      </c>
      <c r="I1214" t="s">
        <v>9936</v>
      </c>
      <c r="J1214" s="3">
        <v>-0.25009870000000001</v>
      </c>
      <c r="K1214" s="3">
        <v>-0.7459981</v>
      </c>
      <c r="L1214" s="3">
        <v>-0.50261250000000002</v>
      </c>
    </row>
    <row r="1215" spans="1:12" x14ac:dyDescent="0.25">
      <c r="A1215" t="s">
        <v>9931</v>
      </c>
      <c r="B1215" t="s">
        <v>9932</v>
      </c>
      <c r="I1215" t="s">
        <v>9933</v>
      </c>
      <c r="J1215" s="3">
        <v>-0.31952229999999998</v>
      </c>
      <c r="K1215" s="3">
        <v>-0.80803199999999997</v>
      </c>
      <c r="L1215" s="3">
        <v>0.1421335</v>
      </c>
    </row>
    <row r="1216" spans="1:12" x14ac:dyDescent="0.25">
      <c r="A1216" t="s">
        <v>9928</v>
      </c>
      <c r="B1216" t="s">
        <v>9929</v>
      </c>
      <c r="I1216" t="s">
        <v>9930</v>
      </c>
      <c r="J1216" s="3">
        <v>-4.933278E-2</v>
      </c>
      <c r="K1216" s="3">
        <v>-0.46631420000000001</v>
      </c>
      <c r="L1216" s="3">
        <v>-0.28920119999999999</v>
      </c>
    </row>
    <row r="1217" spans="1:12" x14ac:dyDescent="0.25">
      <c r="A1217" t="s">
        <v>9925</v>
      </c>
      <c r="B1217" t="s">
        <v>9926</v>
      </c>
      <c r="I1217" t="s">
        <v>9927</v>
      </c>
      <c r="J1217" s="3">
        <v>-0.4382376</v>
      </c>
      <c r="K1217" s="3">
        <v>-0.64828189999999997</v>
      </c>
      <c r="L1217" s="3">
        <v>-0.82741070000000005</v>
      </c>
    </row>
    <row r="1218" spans="1:12" x14ac:dyDescent="0.25">
      <c r="A1218" t="s">
        <v>9924</v>
      </c>
      <c r="B1218" t="s">
        <v>957</v>
      </c>
      <c r="I1218" t="s">
        <v>455</v>
      </c>
      <c r="J1218" s="3">
        <v>0.30386170000000001</v>
      </c>
      <c r="K1218" s="3">
        <v>0.70010070000000002</v>
      </c>
      <c r="L1218" s="3">
        <v>0.19462779999999999</v>
      </c>
    </row>
    <row r="1219" spans="1:12" x14ac:dyDescent="0.25">
      <c r="A1219" t="s">
        <v>9923</v>
      </c>
      <c r="B1219" t="s">
        <v>957</v>
      </c>
      <c r="I1219" t="s">
        <v>475</v>
      </c>
      <c r="J1219" s="3">
        <v>0.33218239999999999</v>
      </c>
      <c r="K1219" s="3">
        <v>0.59077409999999997</v>
      </c>
      <c r="L1219" s="3">
        <v>0.28788340000000001</v>
      </c>
    </row>
    <row r="1220" spans="1:12" x14ac:dyDescent="0.25">
      <c r="A1220" t="s">
        <v>9920</v>
      </c>
      <c r="B1220" t="s">
        <v>9921</v>
      </c>
      <c r="I1220" t="s">
        <v>9922</v>
      </c>
      <c r="J1220" s="3">
        <v>0.1525764</v>
      </c>
      <c r="K1220" s="3">
        <v>0.1887973</v>
      </c>
      <c r="L1220" s="3">
        <v>0.19027859999999999</v>
      </c>
    </row>
    <row r="1221" spans="1:12" x14ac:dyDescent="0.25">
      <c r="A1221" t="s">
        <v>11016</v>
      </c>
      <c r="B1221" t="s">
        <v>11017</v>
      </c>
      <c r="I1221" t="s">
        <v>11018</v>
      </c>
      <c r="J1221" s="3">
        <v>-0.15274499999999999</v>
      </c>
      <c r="K1221" s="3">
        <v>-0.43956600000000001</v>
      </c>
      <c r="L1221" s="3">
        <v>-0.1471094</v>
      </c>
    </row>
    <row r="1222" spans="1:12" x14ac:dyDescent="0.25">
      <c r="A1222" t="s">
        <v>11015</v>
      </c>
      <c r="B1222" t="s">
        <v>957</v>
      </c>
      <c r="I1222" t="s">
        <v>455</v>
      </c>
      <c r="J1222" s="3">
        <v>0.15271199999999999</v>
      </c>
      <c r="K1222" s="3">
        <v>-0.39108080000000001</v>
      </c>
      <c r="L1222" s="3">
        <v>-7.3759759999999994E-2</v>
      </c>
    </row>
    <row r="1223" spans="1:12" x14ac:dyDescent="0.25">
      <c r="A1223" t="s">
        <v>11012</v>
      </c>
      <c r="B1223" t="s">
        <v>11013</v>
      </c>
      <c r="I1223" t="s">
        <v>11014</v>
      </c>
      <c r="J1223" s="3">
        <v>0.31563269999999999</v>
      </c>
      <c r="K1223" s="3">
        <v>0.16142000000000001</v>
      </c>
      <c r="L1223" s="3">
        <v>3.653344E-2</v>
      </c>
    </row>
    <row r="1224" spans="1:12" x14ac:dyDescent="0.25">
      <c r="A1224" t="s">
        <v>11009</v>
      </c>
      <c r="B1224" t="s">
        <v>11010</v>
      </c>
      <c r="I1224" t="s">
        <v>11011</v>
      </c>
      <c r="J1224" s="3">
        <v>7.9646549999999997E-2</v>
      </c>
      <c r="K1224" s="3">
        <v>-0.68776280000000001</v>
      </c>
      <c r="L1224" s="3">
        <v>-0.1160627</v>
      </c>
    </row>
    <row r="1225" spans="1:12" x14ac:dyDescent="0.25">
      <c r="A1225" t="s">
        <v>11006</v>
      </c>
      <c r="B1225" t="s">
        <v>11007</v>
      </c>
      <c r="I1225" t="s">
        <v>11008</v>
      </c>
      <c r="J1225" s="3">
        <v>0.35388799999999998</v>
      </c>
      <c r="K1225" s="3">
        <v>0.16284599999999999</v>
      </c>
      <c r="L1225" s="3">
        <v>0.31001250000000002</v>
      </c>
    </row>
    <row r="1226" spans="1:12" x14ac:dyDescent="0.25">
      <c r="A1226" t="s">
        <v>11005</v>
      </c>
      <c r="B1226" t="s">
        <v>957</v>
      </c>
      <c r="I1226" t="s">
        <v>455</v>
      </c>
      <c r="J1226" s="3">
        <v>6.6758070000000003E-2</v>
      </c>
      <c r="K1226" s="3">
        <v>0.43526039999999999</v>
      </c>
      <c r="L1226" s="3">
        <v>0.3552208</v>
      </c>
    </row>
    <row r="1227" spans="1:12" x14ac:dyDescent="0.25">
      <c r="A1227" t="s">
        <v>11002</v>
      </c>
      <c r="B1227" t="s">
        <v>11003</v>
      </c>
      <c r="I1227" t="s">
        <v>11004</v>
      </c>
      <c r="J1227" s="3">
        <v>-0.3990186</v>
      </c>
      <c r="K1227" s="3">
        <v>-0.71365469999999998</v>
      </c>
      <c r="L1227" s="3">
        <v>-0.58685399999999999</v>
      </c>
    </row>
    <row r="1228" spans="1:12" x14ac:dyDescent="0.25">
      <c r="A1228" t="s">
        <v>10999</v>
      </c>
      <c r="B1228" t="s">
        <v>11000</v>
      </c>
      <c r="I1228" t="s">
        <v>11001</v>
      </c>
      <c r="J1228" s="3">
        <v>-0.27608100000000002</v>
      </c>
      <c r="K1228" s="3">
        <v>-0.28577799999999998</v>
      </c>
      <c r="L1228" s="3">
        <v>-0.27224130000000002</v>
      </c>
    </row>
    <row r="1229" spans="1:12" x14ac:dyDescent="0.25">
      <c r="A1229" t="s">
        <v>10996</v>
      </c>
      <c r="B1229" t="s">
        <v>10997</v>
      </c>
      <c r="I1229" t="s">
        <v>10998</v>
      </c>
      <c r="J1229" s="3">
        <v>-0.24923029999999999</v>
      </c>
      <c r="K1229" s="3">
        <v>-0.25337890000000002</v>
      </c>
      <c r="L1229" s="3">
        <v>-0.25635730000000001</v>
      </c>
    </row>
    <row r="1230" spans="1:12" x14ac:dyDescent="0.25">
      <c r="A1230" t="s">
        <v>10994</v>
      </c>
      <c r="B1230" t="s">
        <v>10995</v>
      </c>
      <c r="I1230" t="s">
        <v>2517</v>
      </c>
      <c r="J1230" s="3">
        <v>-0.2025914</v>
      </c>
      <c r="K1230" s="3">
        <v>-0.32809739999999998</v>
      </c>
      <c r="L1230" s="3">
        <v>-0.12933449999999999</v>
      </c>
    </row>
    <row r="1231" spans="1:12" x14ac:dyDescent="0.25">
      <c r="A1231" t="s">
        <v>10993</v>
      </c>
      <c r="B1231" t="s">
        <v>957</v>
      </c>
      <c r="I1231" t="s">
        <v>1973</v>
      </c>
      <c r="J1231" s="3">
        <v>-0.23537179999999999</v>
      </c>
      <c r="K1231" s="3">
        <v>9.0161679999999998E-3</v>
      </c>
      <c r="L1231" s="3">
        <v>9.3976160000000003E-2</v>
      </c>
    </row>
    <row r="1232" spans="1:12" x14ac:dyDescent="0.25">
      <c r="A1232" t="s">
        <v>10991</v>
      </c>
      <c r="B1232" t="s">
        <v>10992</v>
      </c>
      <c r="I1232" t="s">
        <v>1685</v>
      </c>
      <c r="J1232" s="3">
        <v>-7.2740630000000001E-2</v>
      </c>
      <c r="K1232" s="3">
        <v>-0.39358929999999998</v>
      </c>
      <c r="L1232" s="3">
        <v>-0.28687469999999998</v>
      </c>
    </row>
    <row r="1233" spans="1:12" x14ac:dyDescent="0.25">
      <c r="A1233" t="s">
        <v>10988</v>
      </c>
      <c r="B1233" t="s">
        <v>10989</v>
      </c>
      <c r="I1233" t="s">
        <v>10990</v>
      </c>
      <c r="J1233" s="3">
        <v>0.71864539999999999</v>
      </c>
      <c r="K1233" s="3">
        <v>0.156831</v>
      </c>
      <c r="L1233" s="3">
        <v>0.15182039999999999</v>
      </c>
    </row>
    <row r="1234" spans="1:12" x14ac:dyDescent="0.25">
      <c r="A1234" t="s">
        <v>10986</v>
      </c>
      <c r="B1234" t="s">
        <v>957</v>
      </c>
      <c r="I1234" t="s">
        <v>10987</v>
      </c>
      <c r="J1234" s="3">
        <v>-0.89561749999999996</v>
      </c>
      <c r="K1234" s="3">
        <v>-1.2096910000000001</v>
      </c>
      <c r="L1234" s="3">
        <v>-0.53173689999999996</v>
      </c>
    </row>
    <row r="1235" spans="1:12" x14ac:dyDescent="0.25">
      <c r="A1235" t="s">
        <v>10983</v>
      </c>
      <c r="B1235" t="s">
        <v>10984</v>
      </c>
      <c r="I1235" t="s">
        <v>10985</v>
      </c>
      <c r="J1235" s="3">
        <v>0.64410540000000005</v>
      </c>
      <c r="K1235" s="3">
        <v>0.8213414</v>
      </c>
      <c r="L1235" s="3">
        <v>0.44911889999999999</v>
      </c>
    </row>
    <row r="1236" spans="1:12" x14ac:dyDescent="0.25">
      <c r="A1236" t="s">
        <v>10980</v>
      </c>
      <c r="B1236" t="s">
        <v>10981</v>
      </c>
      <c r="I1236" t="s">
        <v>10982</v>
      </c>
      <c r="J1236" s="3">
        <v>0.44288420000000001</v>
      </c>
      <c r="K1236" s="3">
        <v>0.4979536</v>
      </c>
      <c r="L1236" s="3">
        <v>0.49308400000000002</v>
      </c>
    </row>
    <row r="1237" spans="1:12" x14ac:dyDescent="0.25">
      <c r="A1237" t="s">
        <v>10978</v>
      </c>
      <c r="B1237" t="s">
        <v>10979</v>
      </c>
      <c r="I1237" t="s">
        <v>5369</v>
      </c>
      <c r="J1237" s="3">
        <v>-0.19073979999999999</v>
      </c>
      <c r="K1237" s="3">
        <v>-0.47473700000000002</v>
      </c>
      <c r="L1237" s="3">
        <v>0.56580710000000001</v>
      </c>
    </row>
    <row r="1238" spans="1:12" x14ac:dyDescent="0.25">
      <c r="A1238" t="s">
        <v>10975</v>
      </c>
      <c r="B1238" t="s">
        <v>10976</v>
      </c>
      <c r="I1238" t="s">
        <v>10977</v>
      </c>
      <c r="J1238" s="3">
        <v>0.29465950000000002</v>
      </c>
      <c r="K1238" s="3">
        <v>-5.524954E-2</v>
      </c>
      <c r="L1238" s="3">
        <v>-0.27988829999999998</v>
      </c>
    </row>
    <row r="1239" spans="1:12" x14ac:dyDescent="0.25">
      <c r="A1239" t="s">
        <v>10973</v>
      </c>
      <c r="B1239" t="s">
        <v>14165</v>
      </c>
      <c r="C1239" t="s">
        <v>14166</v>
      </c>
      <c r="I1239" t="s">
        <v>10974</v>
      </c>
      <c r="J1239" s="3">
        <v>0.1632574</v>
      </c>
      <c r="K1239" s="3">
        <v>0.2142744</v>
      </c>
      <c r="L1239" s="3">
        <v>0.16814419999999999</v>
      </c>
    </row>
    <row r="1240" spans="1:12" x14ac:dyDescent="0.25">
      <c r="A1240" t="s">
        <v>10970</v>
      </c>
      <c r="B1240" t="s">
        <v>10971</v>
      </c>
      <c r="I1240" t="s">
        <v>10972</v>
      </c>
      <c r="J1240" s="3">
        <v>-0.25048290000000001</v>
      </c>
      <c r="K1240" s="3">
        <v>-0.35762430000000001</v>
      </c>
      <c r="L1240" s="3">
        <v>-0.33273419999999998</v>
      </c>
    </row>
    <row r="1241" spans="1:12" x14ac:dyDescent="0.25">
      <c r="A1241" t="s">
        <v>10969</v>
      </c>
      <c r="B1241" t="s">
        <v>957</v>
      </c>
      <c r="I1241" t="s">
        <v>455</v>
      </c>
      <c r="J1241" s="3">
        <v>0.28392489999999998</v>
      </c>
      <c r="K1241" s="3">
        <v>0.7982089</v>
      </c>
      <c r="L1241" s="3">
        <v>8.2709099999999994E-2</v>
      </c>
    </row>
    <row r="1242" spans="1:12" x14ac:dyDescent="0.25">
      <c r="A1242" t="s">
        <v>10966</v>
      </c>
      <c r="B1242" t="s">
        <v>10967</v>
      </c>
      <c r="I1242" t="s">
        <v>10968</v>
      </c>
      <c r="J1242" s="3">
        <v>0.41588849999999999</v>
      </c>
      <c r="K1242" s="3">
        <v>0.52278690000000005</v>
      </c>
      <c r="L1242" s="3">
        <v>0.36432179999999997</v>
      </c>
    </row>
    <row r="1243" spans="1:12" x14ac:dyDescent="0.25">
      <c r="A1243" t="s">
        <v>10963</v>
      </c>
      <c r="B1243" t="s">
        <v>10964</v>
      </c>
      <c r="I1243" t="s">
        <v>10965</v>
      </c>
      <c r="J1243" s="3">
        <v>0.16778499999999999</v>
      </c>
      <c r="K1243" s="3">
        <v>-0.46832220000000002</v>
      </c>
      <c r="L1243" s="3">
        <v>-0.35052889999999998</v>
      </c>
    </row>
    <row r="1244" spans="1:12" x14ac:dyDescent="0.25">
      <c r="A1244" t="s">
        <v>10960</v>
      </c>
      <c r="B1244" t="s">
        <v>10961</v>
      </c>
      <c r="I1244" t="s">
        <v>10962</v>
      </c>
      <c r="J1244" s="3">
        <v>-0.1423932</v>
      </c>
      <c r="K1244" s="3">
        <v>-0.69622969999999995</v>
      </c>
      <c r="L1244" s="3">
        <v>-0.18582650000000001</v>
      </c>
    </row>
    <row r="1245" spans="1:12" x14ac:dyDescent="0.25">
      <c r="A1245" t="s">
        <v>10959</v>
      </c>
      <c r="B1245" t="s">
        <v>957</v>
      </c>
      <c r="I1245" t="s">
        <v>455</v>
      </c>
      <c r="J1245" s="3">
        <v>-6.8550739999999999E-2</v>
      </c>
      <c r="K1245" s="3">
        <v>6.6472000000000003E-2</v>
      </c>
      <c r="L1245" s="3">
        <v>0.21248010000000001</v>
      </c>
    </row>
    <row r="1246" spans="1:12" x14ac:dyDescent="0.25">
      <c r="A1246" t="s">
        <v>10956</v>
      </c>
      <c r="B1246" t="s">
        <v>10957</v>
      </c>
      <c r="I1246" t="s">
        <v>10958</v>
      </c>
      <c r="J1246" s="3">
        <v>-0.30348389999999997</v>
      </c>
      <c r="K1246" s="3">
        <v>-1.0855619999999999</v>
      </c>
      <c r="L1246" s="3">
        <v>-0.20201340000000001</v>
      </c>
    </row>
    <row r="1247" spans="1:12" x14ac:dyDescent="0.25">
      <c r="A1247" t="s">
        <v>10953</v>
      </c>
      <c r="B1247" t="s">
        <v>10954</v>
      </c>
      <c r="I1247" t="s">
        <v>10955</v>
      </c>
      <c r="J1247" s="3">
        <v>-0.20273579999999999</v>
      </c>
      <c r="K1247" s="3">
        <v>-0.5100519</v>
      </c>
      <c r="L1247" s="3">
        <v>-0.16238710000000001</v>
      </c>
    </row>
    <row r="1248" spans="1:12" x14ac:dyDescent="0.25">
      <c r="A1248" t="s">
        <v>10950</v>
      </c>
      <c r="B1248" t="s">
        <v>10951</v>
      </c>
      <c r="I1248" t="s">
        <v>10952</v>
      </c>
      <c r="J1248" s="3">
        <v>9.3398900000000007E-2</v>
      </c>
      <c r="K1248" s="3">
        <v>-0.1676531</v>
      </c>
      <c r="L1248" s="3">
        <v>7.9030810000000007E-2</v>
      </c>
    </row>
    <row r="1249" spans="1:12" x14ac:dyDescent="0.25">
      <c r="A1249" t="s">
        <v>10947</v>
      </c>
      <c r="B1249" t="s">
        <v>10948</v>
      </c>
      <c r="I1249" t="s">
        <v>10949</v>
      </c>
      <c r="J1249" s="3">
        <v>-0.18557509999999999</v>
      </c>
      <c r="K1249" s="3">
        <v>2.5302219999999999E-3</v>
      </c>
      <c r="L1249" s="3">
        <v>-0.3078922</v>
      </c>
    </row>
    <row r="1250" spans="1:12" x14ac:dyDescent="0.25">
      <c r="A1250" t="s">
        <v>10944</v>
      </c>
      <c r="B1250" t="s">
        <v>10945</v>
      </c>
      <c r="I1250" t="s">
        <v>10946</v>
      </c>
      <c r="J1250" s="3">
        <v>-0.1691202</v>
      </c>
      <c r="K1250" s="3">
        <v>-0.81126120000000002</v>
      </c>
      <c r="L1250" s="3">
        <v>-0.1025365</v>
      </c>
    </row>
    <row r="1251" spans="1:12" x14ac:dyDescent="0.25">
      <c r="A1251" t="s">
        <v>10942</v>
      </c>
      <c r="B1251" t="s">
        <v>10943</v>
      </c>
      <c r="I1251" t="s">
        <v>4433</v>
      </c>
      <c r="J1251" s="3">
        <v>-8.7513729999999998E-2</v>
      </c>
      <c r="K1251" s="3">
        <v>-0.44417970000000001</v>
      </c>
      <c r="L1251" s="3">
        <v>-0.37564019999999998</v>
      </c>
    </row>
    <row r="1252" spans="1:12" x14ac:dyDescent="0.25">
      <c r="A1252" t="s">
        <v>10939</v>
      </c>
      <c r="B1252" t="s">
        <v>10940</v>
      </c>
      <c r="I1252" t="s">
        <v>10941</v>
      </c>
      <c r="J1252" s="3">
        <v>0.22006300000000001</v>
      </c>
      <c r="K1252" s="3">
        <v>0.17011580000000001</v>
      </c>
      <c r="L1252" s="3">
        <v>0.11632629999999999</v>
      </c>
    </row>
    <row r="1253" spans="1:12" x14ac:dyDescent="0.25">
      <c r="A1253" t="s">
        <v>10936</v>
      </c>
      <c r="B1253" t="s">
        <v>10937</v>
      </c>
      <c r="I1253" t="s">
        <v>10938</v>
      </c>
      <c r="J1253" s="3">
        <v>-0.30602780000000002</v>
      </c>
      <c r="K1253" s="3">
        <v>0.43152489999999999</v>
      </c>
      <c r="L1253" s="3">
        <v>-8.5964540000000006E-2</v>
      </c>
    </row>
    <row r="1254" spans="1:12" x14ac:dyDescent="0.25">
      <c r="A1254" t="s">
        <v>10933</v>
      </c>
      <c r="B1254" t="s">
        <v>10934</v>
      </c>
      <c r="I1254" t="s">
        <v>10935</v>
      </c>
      <c r="J1254" s="3">
        <v>-0.20829839999999999</v>
      </c>
      <c r="K1254" s="3">
        <v>-7.9592860000000001E-2</v>
      </c>
      <c r="L1254" s="3">
        <v>1.8619750000000001E-2</v>
      </c>
    </row>
    <row r="1255" spans="1:12" x14ac:dyDescent="0.25">
      <c r="A1255" t="s">
        <v>10930</v>
      </c>
      <c r="B1255" t="s">
        <v>10931</v>
      </c>
      <c r="I1255" t="s">
        <v>10932</v>
      </c>
      <c r="J1255" s="3">
        <v>-0.27763529999999997</v>
      </c>
      <c r="K1255" s="3">
        <v>0.1015247</v>
      </c>
      <c r="L1255" s="3">
        <v>0.1148985</v>
      </c>
    </row>
    <row r="1256" spans="1:12" x14ac:dyDescent="0.25">
      <c r="A1256" t="s">
        <v>10927</v>
      </c>
      <c r="B1256" t="s">
        <v>10928</v>
      </c>
      <c r="I1256" t="s">
        <v>10929</v>
      </c>
      <c r="J1256" s="3">
        <v>-0.2267651</v>
      </c>
      <c r="K1256" s="3">
        <v>0.1115891</v>
      </c>
      <c r="L1256" s="3">
        <v>-0.1119462</v>
      </c>
    </row>
    <row r="1257" spans="1:12" x14ac:dyDescent="0.25">
      <c r="A1257" t="s">
        <v>10925</v>
      </c>
      <c r="B1257" t="s">
        <v>10926</v>
      </c>
      <c r="I1257" t="s">
        <v>593</v>
      </c>
      <c r="J1257" s="3">
        <v>-0.21719060000000001</v>
      </c>
      <c r="K1257" s="3">
        <v>-0.93781630000000005</v>
      </c>
      <c r="L1257" s="3">
        <v>-0.33811069999999999</v>
      </c>
    </row>
    <row r="1258" spans="1:12" x14ac:dyDescent="0.25">
      <c r="A1258" t="s">
        <v>10922</v>
      </c>
      <c r="B1258" t="s">
        <v>10923</v>
      </c>
      <c r="I1258" t="s">
        <v>10924</v>
      </c>
      <c r="J1258" s="3">
        <v>-0.60974139999999999</v>
      </c>
      <c r="K1258" s="3">
        <v>0.39493050000000002</v>
      </c>
      <c r="L1258" s="3">
        <v>-0.47651749999999998</v>
      </c>
    </row>
    <row r="1259" spans="1:12" x14ac:dyDescent="0.25">
      <c r="A1259" t="s">
        <v>10920</v>
      </c>
      <c r="B1259" t="s">
        <v>10921</v>
      </c>
      <c r="I1259" t="s">
        <v>1716</v>
      </c>
      <c r="J1259" s="3">
        <v>-0.32953060000000001</v>
      </c>
      <c r="K1259" s="3">
        <v>-0.86561900000000003</v>
      </c>
      <c r="L1259" s="3">
        <v>-0.2100052</v>
      </c>
    </row>
    <row r="1260" spans="1:12" x14ac:dyDescent="0.25">
      <c r="A1260" t="s">
        <v>10917</v>
      </c>
      <c r="B1260" t="s">
        <v>10918</v>
      </c>
      <c r="I1260" t="s">
        <v>10919</v>
      </c>
      <c r="J1260" s="3">
        <v>-0.1016851</v>
      </c>
      <c r="K1260" s="3">
        <v>-0.31494270000000002</v>
      </c>
      <c r="L1260" s="3">
        <v>0.24769550000000001</v>
      </c>
    </row>
    <row r="1261" spans="1:12" x14ac:dyDescent="0.25">
      <c r="A1261" t="s">
        <v>10914</v>
      </c>
      <c r="B1261" t="s">
        <v>10915</v>
      </c>
      <c r="I1261" t="s">
        <v>10916</v>
      </c>
      <c r="J1261" s="3">
        <v>0.57352099999999995</v>
      </c>
      <c r="K1261" s="3">
        <v>0.6029989</v>
      </c>
      <c r="L1261" s="3">
        <v>0.34091120000000003</v>
      </c>
    </row>
    <row r="1262" spans="1:12" x14ac:dyDescent="0.25">
      <c r="A1262" t="s">
        <v>10911</v>
      </c>
      <c r="B1262" t="s">
        <v>10912</v>
      </c>
      <c r="I1262" t="s">
        <v>10913</v>
      </c>
      <c r="J1262" s="3">
        <v>0.2563858</v>
      </c>
      <c r="K1262" s="3">
        <v>0.63194910000000004</v>
      </c>
      <c r="L1262" s="3">
        <v>0.33329049999999999</v>
      </c>
    </row>
    <row r="1263" spans="1:12" x14ac:dyDescent="0.25">
      <c r="A1263" t="s">
        <v>10908</v>
      </c>
      <c r="B1263" t="s">
        <v>10909</v>
      </c>
      <c r="I1263" t="s">
        <v>10910</v>
      </c>
      <c r="J1263" s="3">
        <v>0.18312580000000001</v>
      </c>
      <c r="K1263" s="3">
        <v>0.42278080000000001</v>
      </c>
      <c r="L1263" s="3">
        <v>0.52461670000000005</v>
      </c>
    </row>
    <row r="1264" spans="1:12" x14ac:dyDescent="0.25">
      <c r="A1264" t="s">
        <v>10907</v>
      </c>
      <c r="B1264" t="s">
        <v>957</v>
      </c>
      <c r="I1264" t="s">
        <v>2</v>
      </c>
      <c r="J1264" s="3">
        <v>-0.3576956</v>
      </c>
      <c r="K1264" s="3">
        <v>-0.70883030000000002</v>
      </c>
      <c r="L1264" s="3">
        <v>-0.33466899999999999</v>
      </c>
    </row>
    <row r="1265" spans="1:12" x14ac:dyDescent="0.25">
      <c r="A1265" t="s">
        <v>10904</v>
      </c>
      <c r="B1265" t="s">
        <v>10905</v>
      </c>
      <c r="I1265" t="s">
        <v>10906</v>
      </c>
      <c r="J1265" s="3">
        <v>-0.956758</v>
      </c>
      <c r="K1265" s="3">
        <v>-0.93472710000000003</v>
      </c>
      <c r="L1265" s="3">
        <v>-9.5039410000000001E-3</v>
      </c>
    </row>
    <row r="1266" spans="1:12" x14ac:dyDescent="0.25">
      <c r="A1266" t="s">
        <v>10903</v>
      </c>
      <c r="B1266" t="s">
        <v>957</v>
      </c>
      <c r="I1266" t="s">
        <v>455</v>
      </c>
      <c r="J1266" s="3">
        <v>0.1542269</v>
      </c>
      <c r="K1266" s="3">
        <v>0.50763930000000002</v>
      </c>
      <c r="L1266" s="3">
        <v>0.153749</v>
      </c>
    </row>
    <row r="1267" spans="1:12" x14ac:dyDescent="0.25">
      <c r="A1267" t="s">
        <v>10900</v>
      </c>
      <c r="B1267" t="s">
        <v>10901</v>
      </c>
      <c r="I1267" t="s">
        <v>10902</v>
      </c>
      <c r="J1267" s="3">
        <v>0.20076289999999999</v>
      </c>
      <c r="K1267" s="3">
        <v>0.17494770000000001</v>
      </c>
      <c r="L1267" s="3">
        <v>0.1641504</v>
      </c>
    </row>
    <row r="1268" spans="1:12" x14ac:dyDescent="0.25">
      <c r="A1268" t="s">
        <v>10899</v>
      </c>
      <c r="B1268" t="s">
        <v>14167</v>
      </c>
      <c r="C1268" t="s">
        <v>14168</v>
      </c>
      <c r="I1268" t="s">
        <v>10080</v>
      </c>
      <c r="J1268" s="3">
        <v>0.84598200000000001</v>
      </c>
      <c r="K1268" s="3">
        <v>0.55733840000000001</v>
      </c>
      <c r="L1268" s="3">
        <v>0.78880249999999996</v>
      </c>
    </row>
    <row r="1269" spans="1:12" x14ac:dyDescent="0.25">
      <c r="A1269" t="s">
        <v>10617</v>
      </c>
      <c r="B1269" t="s">
        <v>10618</v>
      </c>
      <c r="I1269" t="s">
        <v>10898</v>
      </c>
      <c r="J1269" s="3">
        <v>8.4857870000000002E-2</v>
      </c>
      <c r="K1269" s="3">
        <v>-0.69684900000000005</v>
      </c>
      <c r="L1269" s="3">
        <v>-9.0333609999999995E-2</v>
      </c>
    </row>
    <row r="1270" spans="1:12" x14ac:dyDescent="0.25">
      <c r="A1270" t="s">
        <v>10614</v>
      </c>
      <c r="B1270" t="s">
        <v>10615</v>
      </c>
      <c r="I1270" t="s">
        <v>10616</v>
      </c>
      <c r="J1270" s="3">
        <v>0.48738860000000001</v>
      </c>
      <c r="K1270" s="3">
        <v>1.014732E-2</v>
      </c>
      <c r="L1270" s="3">
        <v>0.28621069999999998</v>
      </c>
    </row>
    <row r="1271" spans="1:12" x14ac:dyDescent="0.25">
      <c r="A1271" t="s">
        <v>10611</v>
      </c>
      <c r="B1271" t="s">
        <v>10612</v>
      </c>
      <c r="I1271" t="s">
        <v>10613</v>
      </c>
      <c r="J1271" s="3">
        <v>-0.1236476</v>
      </c>
      <c r="K1271" s="3">
        <v>-0.60792590000000002</v>
      </c>
      <c r="L1271" s="3">
        <v>-0.29253410000000002</v>
      </c>
    </row>
    <row r="1272" spans="1:12" x14ac:dyDescent="0.25">
      <c r="A1272" t="s">
        <v>10609</v>
      </c>
      <c r="B1272" t="s">
        <v>10607</v>
      </c>
      <c r="C1272" t="s">
        <v>14169</v>
      </c>
      <c r="I1272" t="s">
        <v>10610</v>
      </c>
      <c r="J1272" s="3">
        <v>0.12939609999999999</v>
      </c>
      <c r="K1272" s="3">
        <v>2.4090899999999998E-2</v>
      </c>
      <c r="L1272" s="3">
        <v>-0.1293135</v>
      </c>
    </row>
    <row r="1273" spans="1:12" x14ac:dyDescent="0.25">
      <c r="A1273" t="s">
        <v>10606</v>
      </c>
      <c r="B1273" t="s">
        <v>10607</v>
      </c>
      <c r="I1273" t="s">
        <v>10608</v>
      </c>
      <c r="J1273" s="3">
        <v>-0.75767119999999999</v>
      </c>
      <c r="K1273" s="3">
        <v>-1.002564</v>
      </c>
      <c r="L1273" s="3">
        <v>-0.4112653</v>
      </c>
    </row>
    <row r="1274" spans="1:12" x14ac:dyDescent="0.25">
      <c r="A1274" t="s">
        <v>10604</v>
      </c>
      <c r="B1274" t="s">
        <v>10607</v>
      </c>
      <c r="C1274" t="s">
        <v>14170</v>
      </c>
      <c r="I1274" t="s">
        <v>10605</v>
      </c>
      <c r="J1274" s="3">
        <v>-9.9628439999999999E-2</v>
      </c>
      <c r="K1274" s="3">
        <v>-0.30762899999999999</v>
      </c>
      <c r="L1274" s="3">
        <v>0.41371449999999999</v>
      </c>
    </row>
    <row r="1275" spans="1:12" x14ac:dyDescent="0.25">
      <c r="A1275" t="s">
        <v>10601</v>
      </c>
      <c r="B1275" t="s">
        <v>10602</v>
      </c>
      <c r="I1275" t="s">
        <v>10603</v>
      </c>
      <c r="J1275" s="3">
        <v>-5.7457929999999997E-2</v>
      </c>
      <c r="K1275" s="3">
        <v>-0.60927189999999998</v>
      </c>
      <c r="L1275" s="3">
        <v>3.0895659999999998E-2</v>
      </c>
    </row>
    <row r="1276" spans="1:12" x14ac:dyDescent="0.25">
      <c r="A1276" t="s">
        <v>10598</v>
      </c>
      <c r="B1276" t="s">
        <v>10599</v>
      </c>
      <c r="I1276" t="s">
        <v>10600</v>
      </c>
      <c r="J1276" s="3">
        <v>-0.24756590000000001</v>
      </c>
      <c r="K1276" s="3">
        <v>-0.80115709999999996</v>
      </c>
      <c r="L1276" s="3">
        <v>-0.30488569999999998</v>
      </c>
    </row>
    <row r="1277" spans="1:12" x14ac:dyDescent="0.25">
      <c r="A1277" t="s">
        <v>10597</v>
      </c>
      <c r="B1277" t="s">
        <v>957</v>
      </c>
      <c r="I1277" t="s">
        <v>455</v>
      </c>
      <c r="J1277" s="3">
        <v>0.23853269999999999</v>
      </c>
      <c r="K1277" s="3">
        <v>0.76663999999999999</v>
      </c>
      <c r="L1277" s="3">
        <v>0.47071780000000002</v>
      </c>
    </row>
    <row r="1278" spans="1:12" x14ac:dyDescent="0.25">
      <c r="A1278" t="s">
        <v>10595</v>
      </c>
      <c r="B1278" t="s">
        <v>10596</v>
      </c>
      <c r="I1278" t="s">
        <v>3301</v>
      </c>
      <c r="J1278" s="3">
        <v>-0.4358918</v>
      </c>
      <c r="K1278" s="3">
        <v>-0.61361100000000002</v>
      </c>
      <c r="L1278" s="3">
        <v>-0.2633124</v>
      </c>
    </row>
    <row r="1279" spans="1:12" x14ac:dyDescent="0.25">
      <c r="A1279" t="s">
        <v>10592</v>
      </c>
      <c r="B1279" t="s">
        <v>10593</v>
      </c>
      <c r="I1279" t="s">
        <v>10594</v>
      </c>
      <c r="J1279" s="3">
        <v>-0.32395629999999997</v>
      </c>
      <c r="K1279" s="3">
        <v>-0.27248480000000003</v>
      </c>
      <c r="L1279" s="3">
        <v>-0.43169010000000002</v>
      </c>
    </row>
    <row r="1280" spans="1:12" x14ac:dyDescent="0.25">
      <c r="A1280" t="s">
        <v>10589</v>
      </c>
      <c r="B1280" t="s">
        <v>10590</v>
      </c>
      <c r="I1280" t="s">
        <v>10591</v>
      </c>
      <c r="J1280" s="3">
        <v>-0.28926750000000001</v>
      </c>
      <c r="K1280" s="3">
        <v>-0.29931289999999999</v>
      </c>
      <c r="L1280" s="3">
        <v>-0.44915620000000001</v>
      </c>
    </row>
    <row r="1281" spans="1:12" x14ac:dyDescent="0.25">
      <c r="A1281" t="s">
        <v>10863</v>
      </c>
      <c r="B1281" t="s">
        <v>10864</v>
      </c>
      <c r="I1281" t="s">
        <v>10588</v>
      </c>
      <c r="J1281" s="3">
        <v>0.19281319999999999</v>
      </c>
      <c r="K1281" s="3">
        <v>0.1929025</v>
      </c>
      <c r="L1281" s="3">
        <v>-0.2085302</v>
      </c>
    </row>
    <row r="1282" spans="1:12" x14ac:dyDescent="0.25">
      <c r="A1282" t="s">
        <v>10860</v>
      </c>
      <c r="B1282" t="s">
        <v>10861</v>
      </c>
      <c r="I1282" t="s">
        <v>10862</v>
      </c>
      <c r="J1282" s="3">
        <v>-0.17076759999999999</v>
      </c>
      <c r="K1282" s="3">
        <v>-0.14701939999999999</v>
      </c>
      <c r="L1282" s="3">
        <v>8.473369E-2</v>
      </c>
    </row>
    <row r="1283" spans="1:12" x14ac:dyDescent="0.25">
      <c r="A1283" t="s">
        <v>10857</v>
      </c>
      <c r="B1283" t="s">
        <v>10858</v>
      </c>
      <c r="I1283" t="s">
        <v>10859</v>
      </c>
      <c r="J1283" s="3">
        <v>0.34141159999999998</v>
      </c>
      <c r="K1283" s="3">
        <v>0.63229729999999995</v>
      </c>
      <c r="L1283" s="3">
        <v>0.43578860000000003</v>
      </c>
    </row>
    <row r="1284" spans="1:12" x14ac:dyDescent="0.25">
      <c r="A1284" t="s">
        <v>10855</v>
      </c>
      <c r="B1284" t="s">
        <v>957</v>
      </c>
      <c r="I1284" t="s">
        <v>10856</v>
      </c>
      <c r="J1284" s="3">
        <v>-1.123393E-2</v>
      </c>
      <c r="K1284" s="3">
        <v>0.52683080000000004</v>
      </c>
      <c r="L1284" s="3">
        <v>1.0035840000000001E-2</v>
      </c>
    </row>
    <row r="1285" spans="1:12" x14ac:dyDescent="0.25">
      <c r="A1285" t="s">
        <v>10854</v>
      </c>
      <c r="B1285" t="s">
        <v>957</v>
      </c>
      <c r="I1285" t="s">
        <v>455</v>
      </c>
      <c r="J1285" s="3">
        <v>-0.40110960000000001</v>
      </c>
      <c r="K1285" s="3">
        <v>0.39211879999999999</v>
      </c>
      <c r="L1285" s="3">
        <v>-0.19546189999999999</v>
      </c>
    </row>
    <row r="1286" spans="1:12" x14ac:dyDescent="0.25">
      <c r="A1286" t="s">
        <v>10851</v>
      </c>
      <c r="B1286" t="s">
        <v>10852</v>
      </c>
      <c r="I1286" t="s">
        <v>10853</v>
      </c>
      <c r="J1286" s="3">
        <v>-0.11559319999999999</v>
      </c>
      <c r="K1286" s="3">
        <v>-0.3615179</v>
      </c>
      <c r="L1286" s="3">
        <v>-6.0747820000000001E-2</v>
      </c>
    </row>
    <row r="1287" spans="1:12" x14ac:dyDescent="0.25">
      <c r="A1287" t="s">
        <v>10848</v>
      </c>
      <c r="B1287" t="s">
        <v>10849</v>
      </c>
      <c r="I1287" t="s">
        <v>10850</v>
      </c>
      <c r="J1287" s="3">
        <v>-1.4823080000000001E-2</v>
      </c>
      <c r="K1287" s="3">
        <v>-0.33560649999999997</v>
      </c>
      <c r="L1287" s="3">
        <v>-0.11495080000000001</v>
      </c>
    </row>
    <row r="1288" spans="1:12" x14ac:dyDescent="0.25">
      <c r="A1288" t="s">
        <v>10845</v>
      </c>
      <c r="B1288" t="s">
        <v>10846</v>
      </c>
      <c r="I1288" t="s">
        <v>10847</v>
      </c>
      <c r="J1288" s="3">
        <v>6.3520670000000001E-2</v>
      </c>
      <c r="K1288" s="3">
        <v>0.25996560000000002</v>
      </c>
      <c r="L1288" s="3">
        <v>7.881233E-2</v>
      </c>
    </row>
    <row r="1289" spans="1:12" x14ac:dyDescent="0.25">
      <c r="A1289" t="s">
        <v>10842</v>
      </c>
      <c r="B1289" t="s">
        <v>10843</v>
      </c>
      <c r="I1289" t="s">
        <v>10844</v>
      </c>
      <c r="J1289" s="3">
        <v>8.569483E-2</v>
      </c>
      <c r="K1289" s="3">
        <v>0.50656159999999995</v>
      </c>
      <c r="L1289" s="3">
        <v>0.14869830000000001</v>
      </c>
    </row>
    <row r="1290" spans="1:12" x14ac:dyDescent="0.25">
      <c r="A1290" t="s">
        <v>10841</v>
      </c>
      <c r="B1290" t="s">
        <v>957</v>
      </c>
      <c r="I1290" t="s">
        <v>455</v>
      </c>
      <c r="J1290" s="3">
        <v>-1.230513</v>
      </c>
      <c r="K1290" s="3">
        <v>-1.2988090000000001</v>
      </c>
      <c r="L1290" s="3">
        <v>-0.96698139999999999</v>
      </c>
    </row>
    <row r="1291" spans="1:12" x14ac:dyDescent="0.25">
      <c r="A1291" t="s">
        <v>10838</v>
      </c>
      <c r="B1291" t="s">
        <v>10839</v>
      </c>
      <c r="I1291" t="s">
        <v>10840</v>
      </c>
      <c r="J1291" s="3">
        <v>-0.21493689999999999</v>
      </c>
      <c r="K1291" s="3">
        <v>-0.27752130000000003</v>
      </c>
      <c r="L1291" s="3">
        <v>-0.16495370000000001</v>
      </c>
    </row>
    <row r="1292" spans="1:12" x14ac:dyDescent="0.25">
      <c r="A1292" t="s">
        <v>10837</v>
      </c>
      <c r="B1292" t="s">
        <v>14171</v>
      </c>
      <c r="C1292" t="s">
        <v>14172</v>
      </c>
      <c r="I1292" t="s">
        <v>4948</v>
      </c>
      <c r="J1292" s="3">
        <v>0.45545000000000002</v>
      </c>
      <c r="K1292" s="3">
        <v>8.5319900000000004E-2</v>
      </c>
      <c r="L1292" s="3">
        <v>0.5174744</v>
      </c>
    </row>
    <row r="1293" spans="1:12" x14ac:dyDescent="0.25">
      <c r="A1293" t="s">
        <v>10834</v>
      </c>
      <c r="B1293" t="s">
        <v>10835</v>
      </c>
      <c r="I1293" t="s">
        <v>10836</v>
      </c>
      <c r="J1293" s="3">
        <v>-0.18316869999999999</v>
      </c>
      <c r="K1293" s="3">
        <v>-0.34059329999999999</v>
      </c>
      <c r="L1293" s="3">
        <v>-0.48506830000000001</v>
      </c>
    </row>
    <row r="1294" spans="1:12" x14ac:dyDescent="0.25">
      <c r="A1294" t="s">
        <v>10832</v>
      </c>
      <c r="B1294" t="s">
        <v>10833</v>
      </c>
      <c r="I1294" t="s">
        <v>4433</v>
      </c>
      <c r="J1294" s="3">
        <v>-5.4645119999999998E-2</v>
      </c>
      <c r="K1294" s="3">
        <v>-1.9641570000000001E-2</v>
      </c>
      <c r="L1294" s="3">
        <v>-0.49234159999999999</v>
      </c>
    </row>
    <row r="1295" spans="1:12" x14ac:dyDescent="0.25">
      <c r="A1295" t="s">
        <v>10831</v>
      </c>
      <c r="B1295" t="s">
        <v>14173</v>
      </c>
      <c r="C1295" t="s">
        <v>14174</v>
      </c>
      <c r="I1295" t="s">
        <v>4943</v>
      </c>
      <c r="J1295" s="3">
        <v>9.9466200000000005E-2</v>
      </c>
      <c r="K1295" s="3">
        <v>-0.2153437</v>
      </c>
      <c r="L1295" s="3">
        <v>0.19410459999999999</v>
      </c>
    </row>
    <row r="1296" spans="1:12" x14ac:dyDescent="0.25">
      <c r="A1296" t="s">
        <v>10828</v>
      </c>
      <c r="B1296" t="s">
        <v>10829</v>
      </c>
      <c r="I1296" t="s">
        <v>10830</v>
      </c>
      <c r="J1296" s="3">
        <v>-0.42841859999999998</v>
      </c>
      <c r="K1296" s="3">
        <v>-0.24968760000000001</v>
      </c>
      <c r="L1296" s="3">
        <v>5.6266669999999998E-2</v>
      </c>
    </row>
    <row r="1297" spans="1:12" x14ac:dyDescent="0.25">
      <c r="A1297" t="s">
        <v>10825</v>
      </c>
      <c r="B1297" t="s">
        <v>10826</v>
      </c>
      <c r="I1297" t="s">
        <v>10827</v>
      </c>
      <c r="J1297" s="3">
        <v>0.1754812</v>
      </c>
      <c r="K1297" s="3">
        <v>-0.29059030000000002</v>
      </c>
      <c r="L1297" s="3">
        <v>0.10822950000000001</v>
      </c>
    </row>
    <row r="1298" spans="1:12" x14ac:dyDescent="0.25">
      <c r="A1298" t="s">
        <v>10822</v>
      </c>
      <c r="B1298" t="s">
        <v>10823</v>
      </c>
      <c r="I1298" t="s">
        <v>10824</v>
      </c>
      <c r="J1298" s="3">
        <v>-0.15998999999999999</v>
      </c>
      <c r="K1298" s="3">
        <v>0.88613580000000003</v>
      </c>
      <c r="L1298" s="3">
        <v>0.29151319999999997</v>
      </c>
    </row>
    <row r="1299" spans="1:12" x14ac:dyDescent="0.25">
      <c r="A1299" t="s">
        <v>10819</v>
      </c>
      <c r="B1299" t="s">
        <v>10820</v>
      </c>
      <c r="I1299" t="s">
        <v>10821</v>
      </c>
      <c r="J1299" s="3">
        <v>-0.26753359999999998</v>
      </c>
      <c r="K1299" s="3">
        <v>-0.18979969999999999</v>
      </c>
      <c r="L1299" s="3">
        <v>3.531335E-2</v>
      </c>
    </row>
    <row r="1300" spans="1:12" x14ac:dyDescent="0.25">
      <c r="A1300" t="s">
        <v>10816</v>
      </c>
      <c r="B1300" t="s">
        <v>10817</v>
      </c>
      <c r="I1300" t="s">
        <v>10818</v>
      </c>
      <c r="J1300" s="3">
        <v>-6.8310679999999999E-2</v>
      </c>
      <c r="K1300" s="3">
        <v>0.22592209999999999</v>
      </c>
      <c r="L1300" s="3">
        <v>2.0313359999999999E-2</v>
      </c>
    </row>
    <row r="1301" spans="1:12" x14ac:dyDescent="0.25">
      <c r="A1301" t="s">
        <v>10813</v>
      </c>
      <c r="B1301" t="s">
        <v>10814</v>
      </c>
      <c r="I1301" t="s">
        <v>10815</v>
      </c>
      <c r="J1301" s="3">
        <v>7.2388069999999999E-2</v>
      </c>
      <c r="K1301" s="3">
        <v>-8.1560579999999994E-2</v>
      </c>
      <c r="L1301" s="3">
        <v>8.4184490000000001E-2</v>
      </c>
    </row>
    <row r="1302" spans="1:12" x14ac:dyDescent="0.25">
      <c r="A1302" t="s">
        <v>10812</v>
      </c>
      <c r="B1302" t="s">
        <v>957</v>
      </c>
      <c r="I1302" t="s">
        <v>4748</v>
      </c>
      <c r="J1302" s="3">
        <v>0.4888131</v>
      </c>
      <c r="K1302" s="3">
        <v>0.36872929999999998</v>
      </c>
      <c r="L1302" s="3">
        <v>0.374303</v>
      </c>
    </row>
    <row r="1303" spans="1:12" x14ac:dyDescent="0.25">
      <c r="A1303" t="s">
        <v>10810</v>
      </c>
      <c r="B1303" t="s">
        <v>957</v>
      </c>
      <c r="I1303" t="s">
        <v>10811</v>
      </c>
      <c r="J1303" s="3">
        <v>0.15536749999999999</v>
      </c>
      <c r="K1303" s="3">
        <v>0.40161150000000001</v>
      </c>
      <c r="L1303" s="3">
        <v>-1.6814289999999999E-2</v>
      </c>
    </row>
    <row r="1304" spans="1:12" x14ac:dyDescent="0.25">
      <c r="A1304" t="s">
        <v>10807</v>
      </c>
      <c r="B1304" t="s">
        <v>10808</v>
      </c>
      <c r="I1304" t="s">
        <v>10809</v>
      </c>
      <c r="J1304" s="3">
        <v>-0.18687100000000001</v>
      </c>
      <c r="K1304" s="3">
        <v>-0.7286975</v>
      </c>
      <c r="L1304" s="3">
        <v>-3.9961899999999998E-4</v>
      </c>
    </row>
    <row r="1305" spans="1:12" x14ac:dyDescent="0.25">
      <c r="A1305" t="s">
        <v>10804</v>
      </c>
      <c r="B1305" t="s">
        <v>10805</v>
      </c>
      <c r="I1305" t="s">
        <v>10806</v>
      </c>
      <c r="J1305" s="3">
        <v>0.20936489999999999</v>
      </c>
      <c r="K1305" s="3">
        <v>0.22284129999999999</v>
      </c>
      <c r="L1305" s="3">
        <v>0.55405070000000001</v>
      </c>
    </row>
    <row r="1306" spans="1:12" x14ac:dyDescent="0.25">
      <c r="A1306" t="s">
        <v>10802</v>
      </c>
      <c r="B1306" t="s">
        <v>10803</v>
      </c>
      <c r="I1306" t="s">
        <v>593</v>
      </c>
      <c r="J1306" s="3">
        <v>-0.57349399999999995</v>
      </c>
      <c r="K1306" s="3">
        <v>-1.1145959999999999</v>
      </c>
      <c r="L1306" s="3">
        <v>-0.42132170000000002</v>
      </c>
    </row>
    <row r="1307" spans="1:12" x14ac:dyDescent="0.25">
      <c r="A1307" t="s">
        <v>10799</v>
      </c>
      <c r="B1307" t="s">
        <v>10800</v>
      </c>
      <c r="I1307" t="s">
        <v>10801</v>
      </c>
      <c r="J1307" s="3">
        <v>-0.2151729</v>
      </c>
      <c r="K1307" s="3">
        <v>-0.80928029999999995</v>
      </c>
      <c r="L1307" s="3">
        <v>-0.23313349999999999</v>
      </c>
    </row>
    <row r="1308" spans="1:12" x14ac:dyDescent="0.25">
      <c r="A1308" t="s">
        <v>10796</v>
      </c>
      <c r="B1308" t="s">
        <v>10797</v>
      </c>
      <c r="I1308" t="s">
        <v>10798</v>
      </c>
      <c r="J1308" s="3">
        <v>-0.57402949999999997</v>
      </c>
      <c r="K1308" s="3">
        <v>-1.2991109999999999</v>
      </c>
      <c r="L1308" s="3">
        <v>-0.80661839999999996</v>
      </c>
    </row>
    <row r="1309" spans="1:12" x14ac:dyDescent="0.25">
      <c r="A1309" t="s">
        <v>10793</v>
      </c>
      <c r="B1309" t="s">
        <v>10794</v>
      </c>
      <c r="I1309" t="s">
        <v>10795</v>
      </c>
      <c r="J1309" s="3">
        <v>0.12456250000000001</v>
      </c>
      <c r="K1309" s="3">
        <v>-7.9079250000000004E-2</v>
      </c>
      <c r="L1309" s="3">
        <v>4.7312250000000004E-3</v>
      </c>
    </row>
    <row r="1310" spans="1:12" x14ac:dyDescent="0.25">
      <c r="A1310" t="s">
        <v>10790</v>
      </c>
      <c r="B1310" t="s">
        <v>10791</v>
      </c>
      <c r="I1310" t="s">
        <v>10792</v>
      </c>
      <c r="J1310" s="3">
        <v>0.2387089</v>
      </c>
      <c r="K1310" s="3">
        <v>-0.23282929999999999</v>
      </c>
      <c r="L1310" s="3">
        <v>6.5506200000000001E-2</v>
      </c>
    </row>
    <row r="1311" spans="1:12" x14ac:dyDescent="0.25">
      <c r="A1311" t="s">
        <v>10787</v>
      </c>
      <c r="B1311" t="s">
        <v>10788</v>
      </c>
      <c r="I1311" t="s">
        <v>10789</v>
      </c>
      <c r="J1311" s="3">
        <v>-0.56817019999999996</v>
      </c>
      <c r="K1311" s="3">
        <v>-1.062338</v>
      </c>
      <c r="L1311" s="3">
        <v>-0.4235855</v>
      </c>
    </row>
    <row r="1312" spans="1:12" x14ac:dyDescent="0.25">
      <c r="A1312" t="s">
        <v>10784</v>
      </c>
      <c r="B1312" t="s">
        <v>10785</v>
      </c>
      <c r="I1312" t="s">
        <v>10786</v>
      </c>
      <c r="J1312" s="3">
        <v>-0.45764630000000001</v>
      </c>
      <c r="K1312" s="3">
        <v>-1.187287</v>
      </c>
      <c r="L1312" s="3">
        <v>-0.18770829999999999</v>
      </c>
    </row>
    <row r="1313" spans="1:12" x14ac:dyDescent="0.25">
      <c r="A1313" t="s">
        <v>10781</v>
      </c>
      <c r="B1313" t="s">
        <v>10782</v>
      </c>
      <c r="I1313" t="s">
        <v>10783</v>
      </c>
      <c r="J1313" s="3">
        <v>0.74902919999999995</v>
      </c>
      <c r="K1313" s="3">
        <v>0.72901020000000005</v>
      </c>
      <c r="L1313" s="3">
        <v>0.46918270000000001</v>
      </c>
    </row>
    <row r="1314" spans="1:12" x14ac:dyDescent="0.25">
      <c r="A1314" t="s">
        <v>10374</v>
      </c>
      <c r="B1314" t="s">
        <v>10779</v>
      </c>
      <c r="I1314" t="s">
        <v>10780</v>
      </c>
      <c r="J1314" s="3">
        <v>1.0586610000000001</v>
      </c>
      <c r="K1314" s="3">
        <v>0.67766749999999998</v>
      </c>
      <c r="L1314" s="3">
        <v>1.0313410000000001</v>
      </c>
    </row>
    <row r="1315" spans="1:12" x14ac:dyDescent="0.25">
      <c r="A1315" t="s">
        <v>10372</v>
      </c>
      <c r="B1315" t="s">
        <v>10373</v>
      </c>
      <c r="I1315" t="s">
        <v>1716</v>
      </c>
      <c r="J1315" s="3">
        <v>0.61081719999999995</v>
      </c>
      <c r="K1315" s="3">
        <v>1.060843</v>
      </c>
      <c r="L1315" s="3">
        <v>0.82786899999999997</v>
      </c>
    </row>
    <row r="1316" spans="1:12" x14ac:dyDescent="0.25">
      <c r="A1316" t="s">
        <v>10370</v>
      </c>
      <c r="B1316" t="s">
        <v>10371</v>
      </c>
      <c r="I1316" t="s">
        <v>403</v>
      </c>
      <c r="J1316" s="3">
        <v>-0.20620340000000001</v>
      </c>
      <c r="K1316" s="3">
        <v>-0.86061659999999995</v>
      </c>
      <c r="L1316" s="3">
        <v>-0.27278809999999998</v>
      </c>
    </row>
    <row r="1317" spans="1:12" x14ac:dyDescent="0.25">
      <c r="A1317" t="s">
        <v>10368</v>
      </c>
      <c r="B1317" t="s">
        <v>957</v>
      </c>
      <c r="I1317" t="s">
        <v>10369</v>
      </c>
      <c r="J1317" s="3">
        <v>0.3971442</v>
      </c>
      <c r="K1317" s="3">
        <v>0.40007769999999998</v>
      </c>
      <c r="L1317" s="3">
        <v>0.15350510000000001</v>
      </c>
    </row>
    <row r="1318" spans="1:12" x14ac:dyDescent="0.25">
      <c r="A1318" t="s">
        <v>10367</v>
      </c>
      <c r="B1318" t="s">
        <v>957</v>
      </c>
      <c r="I1318" t="s">
        <v>455</v>
      </c>
      <c r="J1318" s="3">
        <v>0.76201799999999997</v>
      </c>
      <c r="K1318" s="3">
        <v>0.87798710000000002</v>
      </c>
      <c r="L1318" s="3">
        <v>0.82886479999999996</v>
      </c>
    </row>
    <row r="1319" spans="1:12" x14ac:dyDescent="0.25">
      <c r="A1319" t="s">
        <v>10364</v>
      </c>
      <c r="B1319" t="s">
        <v>10365</v>
      </c>
      <c r="I1319" t="s">
        <v>10366</v>
      </c>
      <c r="J1319" s="3">
        <v>0.39757629999999999</v>
      </c>
      <c r="K1319" s="3">
        <v>-8.535216E-3</v>
      </c>
      <c r="L1319" s="3">
        <v>3.8637890000000001E-2</v>
      </c>
    </row>
    <row r="1320" spans="1:12" x14ac:dyDescent="0.25">
      <c r="A1320" t="s">
        <v>10361</v>
      </c>
      <c r="B1320" t="s">
        <v>10362</v>
      </c>
      <c r="I1320" t="s">
        <v>10363</v>
      </c>
      <c r="J1320" s="3">
        <v>-0.688191</v>
      </c>
      <c r="K1320" s="3">
        <v>-0.78097859999999997</v>
      </c>
      <c r="L1320" s="3">
        <v>-0.39433309999999999</v>
      </c>
    </row>
    <row r="1321" spans="1:12" x14ac:dyDescent="0.25">
      <c r="A1321" t="s">
        <v>10359</v>
      </c>
      <c r="B1321" t="s">
        <v>10360</v>
      </c>
      <c r="I1321" t="s">
        <v>7418</v>
      </c>
      <c r="J1321" s="3">
        <v>0.6128266</v>
      </c>
      <c r="K1321" s="3">
        <v>0.65773930000000003</v>
      </c>
      <c r="L1321" s="3">
        <v>0.48777920000000002</v>
      </c>
    </row>
    <row r="1322" spans="1:12" x14ac:dyDescent="0.25">
      <c r="A1322" t="s">
        <v>10356</v>
      </c>
      <c r="B1322" t="s">
        <v>10357</v>
      </c>
      <c r="I1322" t="s">
        <v>10358</v>
      </c>
      <c r="J1322" s="3">
        <v>0.34481129999999999</v>
      </c>
      <c r="K1322" s="3">
        <v>-9.1885229999999998E-2</v>
      </c>
      <c r="L1322" s="3">
        <v>0.23754610000000001</v>
      </c>
    </row>
    <row r="1323" spans="1:12" x14ac:dyDescent="0.25">
      <c r="A1323" t="s">
        <v>10353</v>
      </c>
      <c r="B1323" t="s">
        <v>10354</v>
      </c>
      <c r="I1323" t="s">
        <v>10355</v>
      </c>
      <c r="J1323" s="3">
        <v>9.0210259999999997E-3</v>
      </c>
      <c r="K1323" s="3">
        <v>-0.30606260000000002</v>
      </c>
      <c r="L1323" s="3">
        <v>-0.1049017</v>
      </c>
    </row>
    <row r="1324" spans="1:12" x14ac:dyDescent="0.25">
      <c r="A1324" t="s">
        <v>10350</v>
      </c>
      <c r="B1324" t="s">
        <v>10351</v>
      </c>
      <c r="I1324" t="s">
        <v>10352</v>
      </c>
      <c r="J1324" s="3">
        <v>0.36419639999999998</v>
      </c>
      <c r="K1324" s="3">
        <v>-0.2653259</v>
      </c>
      <c r="L1324" s="3">
        <v>0.14456279999999999</v>
      </c>
    </row>
    <row r="1325" spans="1:12" x14ac:dyDescent="0.25">
      <c r="A1325" t="s">
        <v>10347</v>
      </c>
      <c r="B1325" t="s">
        <v>10348</v>
      </c>
      <c r="I1325" t="s">
        <v>10349</v>
      </c>
      <c r="J1325" s="3">
        <v>0.1449395</v>
      </c>
      <c r="K1325" s="3">
        <v>0.1146305</v>
      </c>
      <c r="L1325" s="3">
        <v>3.4330109999999997E-2</v>
      </c>
    </row>
    <row r="1326" spans="1:12" x14ac:dyDescent="0.25">
      <c r="A1326" t="s">
        <v>10344</v>
      </c>
      <c r="B1326" t="s">
        <v>10345</v>
      </c>
      <c r="I1326" t="s">
        <v>10346</v>
      </c>
      <c r="J1326" s="3">
        <v>0.11371439999999999</v>
      </c>
      <c r="K1326" s="3">
        <v>-0.4992047</v>
      </c>
      <c r="L1326" s="3">
        <v>7.1388090000000003E-3</v>
      </c>
    </row>
    <row r="1327" spans="1:12" x14ac:dyDescent="0.25">
      <c r="A1327" t="s">
        <v>10342</v>
      </c>
      <c r="B1327" t="s">
        <v>10343</v>
      </c>
      <c r="I1327" t="s">
        <v>4914</v>
      </c>
      <c r="J1327" s="3">
        <v>-0.24161489999999999</v>
      </c>
      <c r="K1327" s="3">
        <v>-0.65100119999999995</v>
      </c>
      <c r="L1327" s="3">
        <v>-0.3181523</v>
      </c>
    </row>
    <row r="1328" spans="1:12" x14ac:dyDescent="0.25">
      <c r="A1328" t="s">
        <v>10339</v>
      </c>
      <c r="B1328" t="s">
        <v>10340</v>
      </c>
      <c r="I1328" t="s">
        <v>10341</v>
      </c>
      <c r="J1328" s="3">
        <v>-0.22689799999999999</v>
      </c>
      <c r="K1328" s="3">
        <v>-0.42517929999999998</v>
      </c>
      <c r="L1328" s="3">
        <v>0.13512399999999999</v>
      </c>
    </row>
    <row r="1329" spans="1:12" x14ac:dyDescent="0.25">
      <c r="A1329" t="s">
        <v>10336</v>
      </c>
      <c r="B1329" t="s">
        <v>10337</v>
      </c>
      <c r="I1329" t="s">
        <v>10338</v>
      </c>
      <c r="J1329" s="3">
        <v>-9.0562489999999995E-2</v>
      </c>
      <c r="K1329" s="3">
        <v>-9.8703540000000006E-2</v>
      </c>
      <c r="L1329" s="3">
        <v>-0.27137450000000002</v>
      </c>
    </row>
    <row r="1330" spans="1:12" x14ac:dyDescent="0.25">
      <c r="A1330" t="s">
        <v>10333</v>
      </c>
      <c r="B1330" t="s">
        <v>10334</v>
      </c>
      <c r="I1330" t="s">
        <v>10335</v>
      </c>
      <c r="J1330" s="3">
        <v>-9.4643409999999997E-2</v>
      </c>
      <c r="K1330" s="3">
        <v>0.51517650000000004</v>
      </c>
      <c r="L1330" s="3">
        <v>0.1000265</v>
      </c>
    </row>
    <row r="1331" spans="1:12" x14ac:dyDescent="0.25">
      <c r="A1331" t="s">
        <v>10331</v>
      </c>
      <c r="B1331" t="s">
        <v>10332</v>
      </c>
      <c r="I1331" t="s">
        <v>2003</v>
      </c>
      <c r="J1331" s="3">
        <v>0.63418229999999998</v>
      </c>
      <c r="K1331" s="3">
        <v>1.128544</v>
      </c>
      <c r="L1331" s="3">
        <v>0.79863839999999997</v>
      </c>
    </row>
    <row r="1332" spans="1:12" x14ac:dyDescent="0.25">
      <c r="A1332" t="s">
        <v>10328</v>
      </c>
      <c r="B1332" t="s">
        <v>10329</v>
      </c>
      <c r="I1332" t="s">
        <v>10330</v>
      </c>
      <c r="J1332" s="3">
        <v>-1.7418469999999998E-2</v>
      </c>
      <c r="K1332" s="3">
        <v>-0.40461550000000002</v>
      </c>
      <c r="L1332" s="3">
        <v>-4.8214369999999999E-2</v>
      </c>
    </row>
    <row r="1333" spans="1:12" x14ac:dyDescent="0.25">
      <c r="A1333" t="s">
        <v>10325</v>
      </c>
      <c r="B1333" t="s">
        <v>10326</v>
      </c>
      <c r="I1333" t="s">
        <v>10327</v>
      </c>
      <c r="J1333" s="3">
        <v>0.45584819999999998</v>
      </c>
      <c r="K1333" s="3">
        <v>0.7030457</v>
      </c>
      <c r="L1333" s="3">
        <v>0.53388740000000001</v>
      </c>
    </row>
    <row r="1334" spans="1:12" x14ac:dyDescent="0.25">
      <c r="A1334" t="s">
        <v>10324</v>
      </c>
      <c r="B1334" t="s">
        <v>957</v>
      </c>
      <c r="I1334" t="s">
        <v>823</v>
      </c>
      <c r="J1334" s="3">
        <v>-0.4660377</v>
      </c>
      <c r="K1334" s="3">
        <v>-0.62066069999999995</v>
      </c>
      <c r="L1334" s="3">
        <v>-0.32010499999999997</v>
      </c>
    </row>
    <row r="1335" spans="1:12" x14ac:dyDescent="0.25">
      <c r="A1335" t="s">
        <v>10321</v>
      </c>
      <c r="B1335" t="s">
        <v>10322</v>
      </c>
      <c r="I1335" t="s">
        <v>10323</v>
      </c>
      <c r="J1335" s="3">
        <v>-1.0229790000000001</v>
      </c>
      <c r="K1335" s="3">
        <v>-1.3665970000000001</v>
      </c>
      <c r="L1335" s="3">
        <v>-0.70567409999999997</v>
      </c>
    </row>
    <row r="1336" spans="1:12" x14ac:dyDescent="0.25">
      <c r="A1336" t="s">
        <v>10318</v>
      </c>
      <c r="B1336" t="s">
        <v>10319</v>
      </c>
      <c r="I1336" t="s">
        <v>10320</v>
      </c>
      <c r="J1336" s="3">
        <v>-0.66715500000000005</v>
      </c>
      <c r="K1336" s="3">
        <v>-0.96553239999999996</v>
      </c>
      <c r="L1336" s="3">
        <v>-0.57489920000000005</v>
      </c>
    </row>
    <row r="1337" spans="1:12" x14ac:dyDescent="0.25">
      <c r="A1337" t="s">
        <v>10315</v>
      </c>
      <c r="B1337" t="s">
        <v>10316</v>
      </c>
      <c r="I1337" t="s">
        <v>10317</v>
      </c>
      <c r="J1337" s="3">
        <v>-0.22592029999999999</v>
      </c>
      <c r="K1337" s="3">
        <v>-0.36406179999999999</v>
      </c>
      <c r="L1337" s="3">
        <v>-0.36289339999999998</v>
      </c>
    </row>
    <row r="1338" spans="1:12" x14ac:dyDescent="0.25">
      <c r="A1338" t="s">
        <v>10312</v>
      </c>
      <c r="B1338" t="s">
        <v>10313</v>
      </c>
      <c r="I1338" t="s">
        <v>10314</v>
      </c>
      <c r="J1338" s="3">
        <v>-1.2278929999999999</v>
      </c>
      <c r="K1338" s="3">
        <v>-0.67760980000000004</v>
      </c>
      <c r="L1338" s="3">
        <v>-0.48134120000000002</v>
      </c>
    </row>
    <row r="1339" spans="1:12" x14ac:dyDescent="0.25">
      <c r="A1339" t="s">
        <v>10309</v>
      </c>
      <c r="B1339" t="s">
        <v>10310</v>
      </c>
      <c r="I1339" t="s">
        <v>10311</v>
      </c>
      <c r="J1339" s="3">
        <v>0.29193249999999998</v>
      </c>
      <c r="K1339" s="3">
        <v>0.41966880000000001</v>
      </c>
      <c r="L1339" s="3">
        <v>0.34733330000000001</v>
      </c>
    </row>
    <row r="1340" spans="1:12" x14ac:dyDescent="0.25">
      <c r="A1340" t="s">
        <v>10306</v>
      </c>
      <c r="B1340" t="s">
        <v>10307</v>
      </c>
      <c r="I1340" t="s">
        <v>10308</v>
      </c>
      <c r="J1340" s="3">
        <v>-0.15372749999999999</v>
      </c>
      <c r="K1340" s="3">
        <v>-0.43221520000000002</v>
      </c>
      <c r="L1340" s="3">
        <v>-0.1443516</v>
      </c>
    </row>
    <row r="1341" spans="1:12" x14ac:dyDescent="0.25">
      <c r="A1341" t="s">
        <v>10303</v>
      </c>
      <c r="B1341" t="s">
        <v>10304</v>
      </c>
      <c r="I1341" t="s">
        <v>10305</v>
      </c>
      <c r="J1341" s="3">
        <v>0.33591670000000001</v>
      </c>
      <c r="K1341" s="3">
        <v>0.21637480000000001</v>
      </c>
      <c r="L1341" s="3">
        <v>0.39478609999999997</v>
      </c>
    </row>
    <row r="1342" spans="1:12" x14ac:dyDescent="0.25">
      <c r="A1342" t="s">
        <v>10300</v>
      </c>
      <c r="B1342" t="s">
        <v>10301</v>
      </c>
      <c r="I1342" t="s">
        <v>10302</v>
      </c>
      <c r="J1342" s="3">
        <v>0.32160339999999998</v>
      </c>
      <c r="K1342" s="3">
        <v>3.804714E-2</v>
      </c>
      <c r="L1342" s="3">
        <v>0.51004729999999998</v>
      </c>
    </row>
    <row r="1343" spans="1:12" x14ac:dyDescent="0.25">
      <c r="A1343" t="s">
        <v>10298</v>
      </c>
      <c r="B1343" t="s">
        <v>10299</v>
      </c>
      <c r="I1343" t="s">
        <v>5689</v>
      </c>
      <c r="J1343" s="3">
        <v>-1.242618</v>
      </c>
      <c r="K1343" s="3">
        <v>-0.1218919</v>
      </c>
      <c r="L1343" s="3">
        <v>-0.14328579999999999</v>
      </c>
    </row>
    <row r="1344" spans="1:12" x14ac:dyDescent="0.25">
      <c r="A1344" t="s">
        <v>10295</v>
      </c>
      <c r="B1344" t="s">
        <v>10296</v>
      </c>
      <c r="I1344" t="s">
        <v>10297</v>
      </c>
      <c r="J1344" s="3">
        <v>3.2457439999999997E-2</v>
      </c>
      <c r="K1344" s="3">
        <v>0.49934309999999998</v>
      </c>
      <c r="L1344" s="3">
        <v>5.6332340000000002E-2</v>
      </c>
    </row>
    <row r="1345" spans="1:12" x14ac:dyDescent="0.25">
      <c r="A1345" t="s">
        <v>10293</v>
      </c>
      <c r="B1345" t="s">
        <v>10294</v>
      </c>
      <c r="I1345" t="s">
        <v>4226</v>
      </c>
      <c r="J1345" s="3">
        <v>-0.12639839999999999</v>
      </c>
      <c r="K1345" s="3">
        <v>-0.12944820000000001</v>
      </c>
      <c r="L1345" s="3">
        <v>-0.21367220000000001</v>
      </c>
    </row>
    <row r="1346" spans="1:12" x14ac:dyDescent="0.25">
      <c r="A1346" t="s">
        <v>10290</v>
      </c>
      <c r="B1346" t="s">
        <v>10291</v>
      </c>
      <c r="I1346" t="s">
        <v>10292</v>
      </c>
      <c r="J1346" s="3">
        <v>-0.15417980000000001</v>
      </c>
      <c r="K1346" s="3">
        <v>-0.27177059999999997</v>
      </c>
      <c r="L1346" s="3">
        <v>-0.35623070000000001</v>
      </c>
    </row>
    <row r="1347" spans="1:12" x14ac:dyDescent="0.25">
      <c r="A1347" t="s">
        <v>10289</v>
      </c>
      <c r="B1347" t="s">
        <v>957</v>
      </c>
      <c r="I1347" t="s">
        <v>455</v>
      </c>
      <c r="J1347" s="3">
        <v>0.35926029999999998</v>
      </c>
      <c r="K1347" s="3">
        <v>0.78215840000000003</v>
      </c>
      <c r="L1347" s="3">
        <v>0.45948040000000001</v>
      </c>
    </row>
    <row r="1348" spans="1:12" x14ac:dyDescent="0.25">
      <c r="A1348" t="s">
        <v>10286</v>
      </c>
      <c r="B1348" t="s">
        <v>10287</v>
      </c>
      <c r="I1348" t="s">
        <v>10288</v>
      </c>
      <c r="J1348" s="3">
        <v>-1.682706</v>
      </c>
      <c r="K1348" s="3">
        <v>-1.585162</v>
      </c>
      <c r="L1348" s="3">
        <v>-1.3427039999999999</v>
      </c>
    </row>
    <row r="1349" spans="1:12" x14ac:dyDescent="0.25">
      <c r="A1349" t="s">
        <v>10283</v>
      </c>
      <c r="B1349" t="s">
        <v>10284</v>
      </c>
      <c r="I1349" t="s">
        <v>10285</v>
      </c>
      <c r="J1349" s="3">
        <v>-0.22092890000000001</v>
      </c>
      <c r="K1349" s="3">
        <v>0.30308269999999998</v>
      </c>
      <c r="L1349" s="3">
        <v>4.4585310000000003E-2</v>
      </c>
    </row>
    <row r="1350" spans="1:12" x14ac:dyDescent="0.25">
      <c r="A1350" t="s">
        <v>10280</v>
      </c>
      <c r="B1350" t="s">
        <v>10281</v>
      </c>
      <c r="I1350" t="s">
        <v>10282</v>
      </c>
      <c r="J1350" s="3">
        <v>-0.33767170000000002</v>
      </c>
      <c r="K1350" s="3">
        <v>-0.68385530000000005</v>
      </c>
      <c r="L1350" s="3">
        <v>-0.1968008</v>
      </c>
    </row>
    <row r="1351" spans="1:12" x14ac:dyDescent="0.25">
      <c r="A1351" t="s">
        <v>10277</v>
      </c>
      <c r="B1351" t="s">
        <v>10278</v>
      </c>
      <c r="I1351" t="s">
        <v>10279</v>
      </c>
      <c r="J1351" s="3">
        <v>-0.3714228</v>
      </c>
      <c r="K1351" s="3">
        <v>-0.2406209</v>
      </c>
      <c r="L1351" s="3">
        <v>-0.22543340000000001</v>
      </c>
    </row>
    <row r="1352" spans="1:12" x14ac:dyDescent="0.25">
      <c r="A1352" t="s">
        <v>10275</v>
      </c>
      <c r="B1352" t="s">
        <v>10276</v>
      </c>
      <c r="I1352" t="s">
        <v>2074</v>
      </c>
      <c r="J1352" s="3">
        <v>0.1413036</v>
      </c>
      <c r="K1352" s="3">
        <v>-2.7787969999999999E-2</v>
      </c>
      <c r="L1352" s="3">
        <v>0.37268309999999999</v>
      </c>
    </row>
    <row r="1353" spans="1:12" x14ac:dyDescent="0.25">
      <c r="A1353" t="s">
        <v>10272</v>
      </c>
      <c r="B1353" t="s">
        <v>10273</v>
      </c>
      <c r="I1353" t="s">
        <v>10274</v>
      </c>
      <c r="J1353" s="3">
        <v>0.4721862</v>
      </c>
      <c r="K1353" s="3">
        <v>0.62691549999999996</v>
      </c>
      <c r="L1353" s="3">
        <v>0.46728750000000002</v>
      </c>
    </row>
    <row r="1354" spans="1:12" x14ac:dyDescent="0.25">
      <c r="A1354" t="s">
        <v>10271</v>
      </c>
      <c r="B1354" t="s">
        <v>957</v>
      </c>
      <c r="I1354" t="s">
        <v>455</v>
      </c>
      <c r="J1354" s="3">
        <v>-0.64933770000000002</v>
      </c>
      <c r="K1354" s="3">
        <v>-0.86915399999999998</v>
      </c>
      <c r="L1354" s="3">
        <v>-0.61650439999999995</v>
      </c>
    </row>
    <row r="1355" spans="1:12" x14ac:dyDescent="0.25">
      <c r="A1355" t="s">
        <v>10268</v>
      </c>
      <c r="B1355" t="s">
        <v>10269</v>
      </c>
      <c r="I1355" t="s">
        <v>10270</v>
      </c>
      <c r="J1355" s="3">
        <v>-0.98088699999999995</v>
      </c>
      <c r="K1355" s="3">
        <v>-1.0494129999999999</v>
      </c>
      <c r="L1355" s="3">
        <v>-0.82475540000000003</v>
      </c>
    </row>
    <row r="1356" spans="1:12" x14ac:dyDescent="0.25">
      <c r="A1356" t="s">
        <v>10266</v>
      </c>
      <c r="B1356" t="s">
        <v>10267</v>
      </c>
      <c r="I1356" t="s">
        <v>2074</v>
      </c>
      <c r="J1356" s="3">
        <v>-0.1275048</v>
      </c>
      <c r="K1356" s="3">
        <v>0.49690980000000001</v>
      </c>
      <c r="L1356" s="3">
        <v>0.32407580000000002</v>
      </c>
    </row>
    <row r="1357" spans="1:12" x14ac:dyDescent="0.25">
      <c r="A1357" t="s">
        <v>10721</v>
      </c>
      <c r="B1357" t="s">
        <v>10722</v>
      </c>
      <c r="I1357" t="s">
        <v>10265</v>
      </c>
      <c r="J1357" s="3">
        <v>-0.31953219999999999</v>
      </c>
      <c r="K1357" s="3">
        <v>-0.13842579999999999</v>
      </c>
      <c r="L1357" s="3">
        <v>-9.9155309999999997E-2</v>
      </c>
    </row>
    <row r="1358" spans="1:12" x14ac:dyDescent="0.25">
      <c r="A1358" t="s">
        <v>10718</v>
      </c>
      <c r="B1358" t="s">
        <v>10719</v>
      </c>
      <c r="I1358" t="s">
        <v>10720</v>
      </c>
      <c r="J1358" s="3">
        <v>-0.35797689999999999</v>
      </c>
      <c r="K1358" s="3">
        <v>0.17565600000000001</v>
      </c>
      <c r="L1358" s="3">
        <v>0.1133</v>
      </c>
    </row>
    <row r="1359" spans="1:12" x14ac:dyDescent="0.25">
      <c r="A1359" t="s">
        <v>10715</v>
      </c>
      <c r="B1359" t="s">
        <v>10716</v>
      </c>
      <c r="I1359" t="s">
        <v>10717</v>
      </c>
      <c r="J1359" s="3">
        <v>2.7709850000000001E-2</v>
      </c>
      <c r="K1359" s="3">
        <v>0.5041447</v>
      </c>
      <c r="L1359" s="3">
        <v>0.29022740000000002</v>
      </c>
    </row>
    <row r="1360" spans="1:12" x14ac:dyDescent="0.25">
      <c r="A1360" t="s">
        <v>10714</v>
      </c>
      <c r="B1360" t="s">
        <v>957</v>
      </c>
      <c r="I1360" t="s">
        <v>455</v>
      </c>
      <c r="J1360" s="3">
        <v>-0.23519809999999999</v>
      </c>
      <c r="K1360" s="3">
        <v>0.18955749999999999</v>
      </c>
      <c r="L1360" s="3">
        <v>-0.1918185</v>
      </c>
    </row>
    <row r="1361" spans="1:12" x14ac:dyDescent="0.25">
      <c r="A1361" t="s">
        <v>10711</v>
      </c>
      <c r="B1361" t="s">
        <v>10712</v>
      </c>
      <c r="I1361" t="s">
        <v>10713</v>
      </c>
      <c r="J1361" s="3">
        <v>-5.0560790000000001E-2</v>
      </c>
      <c r="K1361" s="3">
        <v>0.25374619999999998</v>
      </c>
      <c r="L1361" s="3">
        <v>1.037194E-2</v>
      </c>
    </row>
    <row r="1362" spans="1:12" x14ac:dyDescent="0.25">
      <c r="A1362" t="s">
        <v>10708</v>
      </c>
      <c r="B1362" t="s">
        <v>10709</v>
      </c>
      <c r="I1362" t="s">
        <v>10710</v>
      </c>
      <c r="J1362" s="3">
        <v>9.1342009999999998E-3</v>
      </c>
      <c r="K1362" s="3">
        <v>-0.23078129999999999</v>
      </c>
      <c r="L1362" s="3">
        <v>-0.10455150000000001</v>
      </c>
    </row>
    <row r="1363" spans="1:12" x14ac:dyDescent="0.25">
      <c r="A1363" t="s">
        <v>10705</v>
      </c>
      <c r="B1363" t="s">
        <v>10706</v>
      </c>
      <c r="I1363" t="s">
        <v>10707</v>
      </c>
      <c r="J1363" s="3">
        <v>9.5993419999999996E-2</v>
      </c>
      <c r="K1363" s="3">
        <v>-9.6873230000000005E-2</v>
      </c>
      <c r="L1363" s="3">
        <v>-0.43272519999999998</v>
      </c>
    </row>
    <row r="1364" spans="1:12" x14ac:dyDescent="0.25">
      <c r="A1364" t="s">
        <v>10704</v>
      </c>
      <c r="B1364" t="s">
        <v>957</v>
      </c>
      <c r="I1364" t="s">
        <v>957</v>
      </c>
      <c r="J1364" s="3">
        <v>-4.3949599999999998E-2</v>
      </c>
      <c r="K1364" s="3">
        <v>-0.131356</v>
      </c>
      <c r="L1364" s="3">
        <v>-0.1615404</v>
      </c>
    </row>
    <row r="1365" spans="1:12" x14ac:dyDescent="0.25">
      <c r="A1365" t="s">
        <v>10703</v>
      </c>
      <c r="B1365" t="s">
        <v>957</v>
      </c>
      <c r="I1365" t="s">
        <v>2852</v>
      </c>
      <c r="J1365" s="3">
        <v>5.7726039999999999E-2</v>
      </c>
      <c r="K1365" s="3">
        <v>1.811727E-3</v>
      </c>
      <c r="L1365" s="3">
        <v>-0.2753582</v>
      </c>
    </row>
    <row r="1366" spans="1:12" x14ac:dyDescent="0.25">
      <c r="A1366" t="s">
        <v>10700</v>
      </c>
      <c r="B1366" t="s">
        <v>10701</v>
      </c>
      <c r="I1366" t="s">
        <v>10702</v>
      </c>
      <c r="J1366" s="3">
        <v>-2.2171199999999999E-2</v>
      </c>
      <c r="K1366" s="3">
        <v>0.34302569999999999</v>
      </c>
      <c r="L1366" s="3">
        <v>2.5193190000000001E-2</v>
      </c>
    </row>
    <row r="1367" spans="1:12" x14ac:dyDescent="0.25">
      <c r="A1367" t="s">
        <v>10697</v>
      </c>
      <c r="B1367" t="s">
        <v>10698</v>
      </c>
      <c r="I1367" t="s">
        <v>10699</v>
      </c>
      <c r="J1367" s="3">
        <v>-0.21126439999999999</v>
      </c>
      <c r="K1367" s="3">
        <v>-0.70410879999999998</v>
      </c>
      <c r="L1367" s="3">
        <v>-0.46528269999999999</v>
      </c>
    </row>
    <row r="1368" spans="1:12" x14ac:dyDescent="0.25">
      <c r="A1368" t="s">
        <v>10557</v>
      </c>
      <c r="B1368" t="s">
        <v>10558</v>
      </c>
      <c r="I1368" t="s">
        <v>10696</v>
      </c>
      <c r="J1368" s="3">
        <v>0.43005480000000001</v>
      </c>
      <c r="K1368" s="3">
        <v>0.31583169999999999</v>
      </c>
      <c r="L1368" s="3">
        <v>-0.1099405</v>
      </c>
    </row>
    <row r="1369" spans="1:12" x14ac:dyDescent="0.25">
      <c r="A1369" t="s">
        <v>10554</v>
      </c>
      <c r="B1369" t="s">
        <v>10555</v>
      </c>
      <c r="I1369" t="s">
        <v>10556</v>
      </c>
      <c r="J1369" s="3">
        <v>-0.32474649999999999</v>
      </c>
      <c r="K1369" s="3">
        <v>-0.45052160000000002</v>
      </c>
      <c r="L1369" s="3">
        <v>-0.2944233</v>
      </c>
    </row>
    <row r="1370" spans="1:12" x14ac:dyDescent="0.25">
      <c r="A1370" t="s">
        <v>10551</v>
      </c>
      <c r="B1370" t="s">
        <v>10552</v>
      </c>
      <c r="I1370" t="s">
        <v>10553</v>
      </c>
      <c r="J1370" s="3">
        <v>-0.2268609</v>
      </c>
      <c r="K1370" s="3">
        <v>-3.849371E-2</v>
      </c>
      <c r="L1370" s="3">
        <v>8.5999370000000006E-2</v>
      </c>
    </row>
    <row r="1371" spans="1:12" x14ac:dyDescent="0.25">
      <c r="A1371" t="s">
        <v>10549</v>
      </c>
      <c r="B1371" t="s">
        <v>957</v>
      </c>
      <c r="I1371" t="s">
        <v>10550</v>
      </c>
      <c r="J1371" s="3">
        <v>0.15702769999999999</v>
      </c>
      <c r="K1371" s="3">
        <v>0.1527107</v>
      </c>
      <c r="L1371" s="3">
        <v>0.1309225</v>
      </c>
    </row>
    <row r="1372" spans="1:12" x14ac:dyDescent="0.25">
      <c r="A1372" t="s">
        <v>10547</v>
      </c>
      <c r="B1372" t="s">
        <v>957</v>
      </c>
      <c r="I1372" t="s">
        <v>10548</v>
      </c>
      <c r="J1372" s="3">
        <v>-0.62897579999999997</v>
      </c>
      <c r="K1372" s="3">
        <v>-0.98199219999999998</v>
      </c>
      <c r="L1372" s="3">
        <v>-2.5983590000000001E-2</v>
      </c>
    </row>
    <row r="1373" spans="1:12" x14ac:dyDescent="0.25">
      <c r="A1373" t="s">
        <v>10544</v>
      </c>
      <c r="B1373" t="s">
        <v>10545</v>
      </c>
      <c r="I1373" t="s">
        <v>10546</v>
      </c>
      <c r="J1373" s="3">
        <v>-0.36653720000000001</v>
      </c>
      <c r="K1373" s="3">
        <v>0.6573928</v>
      </c>
      <c r="L1373" s="3">
        <v>-5.2764079999999998E-3</v>
      </c>
    </row>
    <row r="1374" spans="1:12" x14ac:dyDescent="0.25">
      <c r="A1374" t="s">
        <v>10542</v>
      </c>
      <c r="B1374" t="s">
        <v>10543</v>
      </c>
      <c r="I1374" t="s">
        <v>1517</v>
      </c>
      <c r="J1374" s="3">
        <v>-1.1405829999999999</v>
      </c>
      <c r="K1374" s="3">
        <v>-1.2011400000000001</v>
      </c>
      <c r="L1374" s="3">
        <v>-0.81813089999999999</v>
      </c>
    </row>
    <row r="1375" spans="1:12" x14ac:dyDescent="0.25">
      <c r="A1375" t="s">
        <v>10539</v>
      </c>
      <c r="B1375" t="s">
        <v>10540</v>
      </c>
      <c r="I1375" t="s">
        <v>10541</v>
      </c>
      <c r="J1375" s="3">
        <v>0.41963660000000003</v>
      </c>
      <c r="K1375" s="3">
        <v>0.52772129999999995</v>
      </c>
      <c r="L1375" s="3">
        <v>0.1702562</v>
      </c>
    </row>
    <row r="1376" spans="1:12" x14ac:dyDescent="0.25">
      <c r="A1376" t="s">
        <v>10536</v>
      </c>
      <c r="B1376" t="s">
        <v>10537</v>
      </c>
      <c r="I1376" t="s">
        <v>10538</v>
      </c>
      <c r="J1376" s="3">
        <v>0.22144030000000001</v>
      </c>
      <c r="K1376" s="3">
        <v>0.79962529999999998</v>
      </c>
      <c r="L1376" s="3">
        <v>0.2375669</v>
      </c>
    </row>
    <row r="1377" spans="1:12" x14ac:dyDescent="0.25">
      <c r="A1377" t="s">
        <v>10535</v>
      </c>
      <c r="B1377" t="s">
        <v>957</v>
      </c>
      <c r="I1377" t="s">
        <v>455</v>
      </c>
      <c r="J1377" s="3">
        <v>0.16286709999999999</v>
      </c>
      <c r="K1377" s="3">
        <v>0.30751630000000002</v>
      </c>
      <c r="L1377" s="3">
        <v>0.23491709999999999</v>
      </c>
    </row>
    <row r="1378" spans="1:12" x14ac:dyDescent="0.25">
      <c r="A1378" t="s">
        <v>10534</v>
      </c>
      <c r="B1378" t="s">
        <v>957</v>
      </c>
      <c r="I1378" t="s">
        <v>455</v>
      </c>
      <c r="J1378" s="3">
        <v>-0.62525249999999999</v>
      </c>
      <c r="K1378" s="3">
        <v>-0.18836159999999999</v>
      </c>
      <c r="L1378" s="3">
        <v>-4.0923679999999997E-2</v>
      </c>
    </row>
    <row r="1379" spans="1:12" x14ac:dyDescent="0.25">
      <c r="A1379" t="s">
        <v>10533</v>
      </c>
      <c r="B1379" t="s">
        <v>957</v>
      </c>
      <c r="I1379" t="s">
        <v>455</v>
      </c>
      <c r="J1379" s="3">
        <v>0.62563550000000001</v>
      </c>
      <c r="K1379" s="3">
        <v>1.257841</v>
      </c>
      <c r="L1379" s="3">
        <v>0.6117783</v>
      </c>
    </row>
    <row r="1380" spans="1:12" x14ac:dyDescent="0.25">
      <c r="A1380" t="s">
        <v>10532</v>
      </c>
      <c r="B1380" t="s">
        <v>957</v>
      </c>
      <c r="I1380" t="s">
        <v>455</v>
      </c>
      <c r="J1380" s="3">
        <v>0.18217610000000001</v>
      </c>
      <c r="K1380" s="3">
        <v>0.51101359999999996</v>
      </c>
      <c r="L1380" s="3">
        <v>0.33518829999999999</v>
      </c>
    </row>
    <row r="1381" spans="1:12" x14ac:dyDescent="0.25">
      <c r="A1381" t="s">
        <v>10529</v>
      </c>
      <c r="B1381" t="s">
        <v>10530</v>
      </c>
      <c r="I1381" t="s">
        <v>10531</v>
      </c>
      <c r="J1381" s="3">
        <v>0.2793119</v>
      </c>
      <c r="K1381" s="3">
        <v>0.53607179999999999</v>
      </c>
      <c r="L1381" s="3">
        <v>0.53668879999999997</v>
      </c>
    </row>
    <row r="1382" spans="1:12" x14ac:dyDescent="0.25">
      <c r="A1382" t="s">
        <v>10527</v>
      </c>
      <c r="B1382" t="s">
        <v>10528</v>
      </c>
      <c r="I1382" t="s">
        <v>2506</v>
      </c>
      <c r="J1382" s="3">
        <v>-0.68389180000000005</v>
      </c>
      <c r="K1382" s="3">
        <v>-0.67629760000000005</v>
      </c>
      <c r="L1382" s="3">
        <v>7.2807640000000007E-2</v>
      </c>
    </row>
    <row r="1383" spans="1:12" x14ac:dyDescent="0.25">
      <c r="A1383" t="s">
        <v>10524</v>
      </c>
      <c r="B1383" t="s">
        <v>10525</v>
      </c>
      <c r="I1383" t="s">
        <v>10526</v>
      </c>
      <c r="J1383" s="3">
        <v>0.77669600000000005</v>
      </c>
      <c r="K1383" s="3">
        <v>1.470137</v>
      </c>
      <c r="L1383" s="3">
        <v>0.92633639999999995</v>
      </c>
    </row>
    <row r="1384" spans="1:12" x14ac:dyDescent="0.25">
      <c r="A1384" t="s">
        <v>10521</v>
      </c>
      <c r="B1384" t="s">
        <v>10522</v>
      </c>
      <c r="I1384" t="s">
        <v>10523</v>
      </c>
      <c r="J1384" s="3">
        <v>0.63495869999999999</v>
      </c>
      <c r="K1384" s="3">
        <v>0.23296739999999999</v>
      </c>
      <c r="L1384" s="3">
        <v>0.70091959999999998</v>
      </c>
    </row>
    <row r="1385" spans="1:12" x14ac:dyDescent="0.25">
      <c r="A1385" t="s">
        <v>10520</v>
      </c>
      <c r="B1385" t="s">
        <v>957</v>
      </c>
      <c r="I1385" t="s">
        <v>455</v>
      </c>
      <c r="J1385" s="3">
        <v>3.9847750000000003E-3</v>
      </c>
      <c r="K1385" s="3">
        <v>0.34390739999999997</v>
      </c>
      <c r="L1385" s="3">
        <v>4.1294089999999999E-2</v>
      </c>
    </row>
    <row r="1386" spans="1:12" x14ac:dyDescent="0.25">
      <c r="A1386" t="s">
        <v>10519</v>
      </c>
      <c r="B1386" t="s">
        <v>957</v>
      </c>
      <c r="I1386" t="s">
        <v>455</v>
      </c>
      <c r="J1386" s="3">
        <v>0.36349550000000003</v>
      </c>
      <c r="K1386" s="3">
        <v>0.65393029999999996</v>
      </c>
      <c r="L1386" s="3">
        <v>0.32725290000000001</v>
      </c>
    </row>
    <row r="1387" spans="1:12" x14ac:dyDescent="0.25">
      <c r="A1387" t="s">
        <v>10516</v>
      </c>
      <c r="B1387" t="s">
        <v>10517</v>
      </c>
      <c r="I1387" t="s">
        <v>10518</v>
      </c>
      <c r="J1387" s="3">
        <v>-9.1032799999999997E-2</v>
      </c>
      <c r="K1387" s="3">
        <v>-0.11786389999999999</v>
      </c>
      <c r="L1387" s="3">
        <v>-0.14459379999999999</v>
      </c>
    </row>
    <row r="1388" spans="1:12" x14ac:dyDescent="0.25">
      <c r="A1388" t="s">
        <v>10513</v>
      </c>
      <c r="B1388" t="s">
        <v>10514</v>
      </c>
      <c r="I1388" t="s">
        <v>10515</v>
      </c>
      <c r="J1388" s="3">
        <v>3.3278429999999998E-2</v>
      </c>
      <c r="K1388" s="3">
        <v>7.6128920000000003E-2</v>
      </c>
      <c r="L1388" s="3">
        <v>0.14654790000000001</v>
      </c>
    </row>
    <row r="1389" spans="1:12" x14ac:dyDescent="0.25">
      <c r="A1389" t="s">
        <v>10510</v>
      </c>
      <c r="B1389" t="s">
        <v>10511</v>
      </c>
      <c r="I1389" t="s">
        <v>10512</v>
      </c>
      <c r="J1389" s="3">
        <v>-0.54080419999999996</v>
      </c>
      <c r="K1389" s="3">
        <v>-0.89178599999999997</v>
      </c>
      <c r="L1389" s="3">
        <v>-0.32129780000000002</v>
      </c>
    </row>
    <row r="1390" spans="1:12" x14ac:dyDescent="0.25">
      <c r="A1390" t="s">
        <v>10507</v>
      </c>
      <c r="B1390" t="s">
        <v>10508</v>
      </c>
      <c r="I1390" t="s">
        <v>10509</v>
      </c>
      <c r="J1390" s="3">
        <v>0.2115735</v>
      </c>
      <c r="K1390" s="3">
        <v>0.55275479999999999</v>
      </c>
      <c r="L1390" s="3">
        <v>0.19338559999999999</v>
      </c>
    </row>
    <row r="1391" spans="1:12" x14ac:dyDescent="0.25">
      <c r="A1391" t="s">
        <v>10504</v>
      </c>
      <c r="B1391" t="s">
        <v>10505</v>
      </c>
      <c r="I1391" t="s">
        <v>10506</v>
      </c>
      <c r="J1391" s="3">
        <v>-0.1617623</v>
      </c>
      <c r="K1391" s="3">
        <v>-0.371618</v>
      </c>
      <c r="L1391" s="3">
        <v>-3.8432670000000002E-2</v>
      </c>
    </row>
    <row r="1392" spans="1:12" x14ac:dyDescent="0.25">
      <c r="A1392" t="s">
        <v>10503</v>
      </c>
      <c r="B1392" t="s">
        <v>957</v>
      </c>
      <c r="I1392" t="s">
        <v>455</v>
      </c>
      <c r="J1392" s="3">
        <v>-0.1138764</v>
      </c>
      <c r="K1392" s="3">
        <v>-0.304284</v>
      </c>
      <c r="L1392" s="3">
        <v>-0.2494286</v>
      </c>
    </row>
    <row r="1393" spans="1:12" x14ac:dyDescent="0.25">
      <c r="A1393" t="s">
        <v>10500</v>
      </c>
      <c r="B1393" t="s">
        <v>10501</v>
      </c>
      <c r="I1393" t="s">
        <v>10502</v>
      </c>
      <c r="J1393" s="3">
        <v>0.16450580000000001</v>
      </c>
      <c r="K1393" s="3">
        <v>0.41224909999999998</v>
      </c>
      <c r="L1393" s="3">
        <v>2.2685440000000001E-2</v>
      </c>
    </row>
    <row r="1394" spans="1:12" x14ac:dyDescent="0.25">
      <c r="A1394" t="s">
        <v>10497</v>
      </c>
      <c r="B1394" t="s">
        <v>10498</v>
      </c>
      <c r="I1394" t="s">
        <v>10499</v>
      </c>
      <c r="J1394" s="3">
        <v>0.25195079999999997</v>
      </c>
      <c r="K1394" s="3">
        <v>0.86863049999999997</v>
      </c>
      <c r="L1394" s="3">
        <v>0.4185488</v>
      </c>
    </row>
    <row r="1395" spans="1:12" x14ac:dyDescent="0.25">
      <c r="A1395" t="s">
        <v>10495</v>
      </c>
      <c r="B1395" t="s">
        <v>10496</v>
      </c>
      <c r="I1395" t="s">
        <v>6126</v>
      </c>
      <c r="J1395" s="3">
        <v>-0.20386489999999999</v>
      </c>
      <c r="K1395" s="3">
        <v>-0.96804460000000003</v>
      </c>
      <c r="L1395" s="3">
        <v>-0.1956772</v>
      </c>
    </row>
    <row r="1396" spans="1:12" x14ac:dyDescent="0.25">
      <c r="A1396" t="s">
        <v>10492</v>
      </c>
      <c r="B1396" t="s">
        <v>10493</v>
      </c>
      <c r="I1396" t="s">
        <v>10494</v>
      </c>
      <c r="J1396" s="3">
        <v>0.17720639999999999</v>
      </c>
      <c r="K1396" s="3">
        <v>-0.1064959</v>
      </c>
      <c r="L1396" s="3">
        <v>-7.4846140000000005E-2</v>
      </c>
    </row>
    <row r="1397" spans="1:12" x14ac:dyDescent="0.25">
      <c r="A1397" t="s">
        <v>10491</v>
      </c>
      <c r="B1397" t="s">
        <v>957</v>
      </c>
      <c r="I1397" t="s">
        <v>455</v>
      </c>
      <c r="J1397" s="3">
        <v>0.58559229999999995</v>
      </c>
      <c r="K1397" s="3">
        <v>0.4277608</v>
      </c>
      <c r="L1397" s="3">
        <v>0.2524363</v>
      </c>
    </row>
    <row r="1398" spans="1:12" x14ac:dyDescent="0.25">
      <c r="A1398" t="s">
        <v>10488</v>
      </c>
      <c r="B1398" t="s">
        <v>10489</v>
      </c>
      <c r="I1398" t="s">
        <v>10490</v>
      </c>
      <c r="J1398" s="3">
        <v>-1.2950600000000001</v>
      </c>
      <c r="K1398" s="3">
        <v>-1.6894940000000001</v>
      </c>
      <c r="L1398" s="3">
        <v>-0.99663069999999998</v>
      </c>
    </row>
    <row r="1399" spans="1:12" x14ac:dyDescent="0.25">
      <c r="A1399" t="s">
        <v>10485</v>
      </c>
      <c r="B1399" t="s">
        <v>10486</v>
      </c>
      <c r="I1399" t="s">
        <v>10487</v>
      </c>
      <c r="J1399" s="3">
        <v>2.2326800000000002</v>
      </c>
      <c r="K1399" s="3">
        <v>-0.48286659999999998</v>
      </c>
      <c r="L1399" s="3">
        <v>9.7489850000000003E-2</v>
      </c>
    </row>
    <row r="1400" spans="1:12" x14ac:dyDescent="0.25">
      <c r="A1400" t="s">
        <v>10482</v>
      </c>
      <c r="B1400" t="s">
        <v>10483</v>
      </c>
      <c r="I1400" t="s">
        <v>10484</v>
      </c>
      <c r="J1400" s="3">
        <v>0.21136740000000001</v>
      </c>
      <c r="K1400" s="3">
        <v>-0.32887349999999999</v>
      </c>
      <c r="L1400" s="3">
        <v>0.40192499999999998</v>
      </c>
    </row>
    <row r="1401" spans="1:12" x14ac:dyDescent="0.25">
      <c r="A1401" t="s">
        <v>10481</v>
      </c>
      <c r="B1401" t="s">
        <v>957</v>
      </c>
      <c r="I1401" t="s">
        <v>455</v>
      </c>
      <c r="J1401" s="3">
        <v>0.48454920000000001</v>
      </c>
      <c r="K1401" s="3">
        <v>0.171101</v>
      </c>
      <c r="L1401" s="3">
        <v>0.39520470000000002</v>
      </c>
    </row>
    <row r="1402" spans="1:12" x14ac:dyDescent="0.25">
      <c r="A1402" t="s">
        <v>10478</v>
      </c>
      <c r="B1402" t="s">
        <v>10479</v>
      </c>
      <c r="I1402" t="s">
        <v>10480</v>
      </c>
      <c r="J1402" s="3">
        <v>-0.4549996</v>
      </c>
      <c r="K1402" s="3">
        <v>-0.34532030000000002</v>
      </c>
      <c r="L1402" s="3">
        <v>-0.39320290000000002</v>
      </c>
    </row>
    <row r="1403" spans="1:12" x14ac:dyDescent="0.25">
      <c r="A1403" t="s">
        <v>10476</v>
      </c>
      <c r="B1403" t="s">
        <v>957</v>
      </c>
      <c r="I1403" t="s">
        <v>10477</v>
      </c>
      <c r="J1403" s="3">
        <v>3.5454560000000003E-2</v>
      </c>
      <c r="K1403" s="3">
        <v>-0.31298209999999999</v>
      </c>
      <c r="L1403" s="3">
        <v>-6.648358E-2</v>
      </c>
    </row>
    <row r="1404" spans="1:12" x14ac:dyDescent="0.25">
      <c r="A1404" t="s">
        <v>10473</v>
      </c>
      <c r="B1404" t="s">
        <v>10474</v>
      </c>
      <c r="I1404" t="s">
        <v>10475</v>
      </c>
      <c r="J1404" s="3">
        <v>0.25921309999999997</v>
      </c>
      <c r="K1404" s="3">
        <v>0.55459309999999995</v>
      </c>
      <c r="L1404" s="3">
        <v>0.1372044</v>
      </c>
    </row>
    <row r="1405" spans="1:12" x14ac:dyDescent="0.25">
      <c r="A1405" t="s">
        <v>10470</v>
      </c>
      <c r="B1405" t="s">
        <v>10471</v>
      </c>
      <c r="I1405" t="s">
        <v>10472</v>
      </c>
      <c r="J1405" s="3">
        <v>0.20755100000000001</v>
      </c>
      <c r="K1405" s="3">
        <v>0.33672619999999998</v>
      </c>
      <c r="L1405" s="3">
        <v>0.2644628</v>
      </c>
    </row>
    <row r="1406" spans="1:12" x14ac:dyDescent="0.25">
      <c r="A1406" t="s">
        <v>10467</v>
      </c>
      <c r="B1406" t="s">
        <v>10468</v>
      </c>
      <c r="I1406" t="s">
        <v>10469</v>
      </c>
      <c r="J1406" s="3">
        <v>0.36014350000000001</v>
      </c>
      <c r="K1406" s="3">
        <v>0.47310269999999999</v>
      </c>
      <c r="L1406" s="3">
        <v>-0.1113633</v>
      </c>
    </row>
    <row r="1407" spans="1:12" x14ac:dyDescent="0.25">
      <c r="A1407" t="s">
        <v>10464</v>
      </c>
      <c r="B1407" t="s">
        <v>10465</v>
      </c>
      <c r="I1407" t="s">
        <v>10466</v>
      </c>
      <c r="J1407" s="3">
        <v>0.72684110000000002</v>
      </c>
      <c r="K1407" s="3">
        <v>1.0198529999999999</v>
      </c>
      <c r="L1407" s="3">
        <v>0.48832179999999997</v>
      </c>
    </row>
    <row r="1408" spans="1:12" x14ac:dyDescent="0.25">
      <c r="A1408" t="s">
        <v>10461</v>
      </c>
      <c r="B1408" t="s">
        <v>10462</v>
      </c>
      <c r="I1408" t="s">
        <v>10463</v>
      </c>
      <c r="J1408" s="3">
        <v>-0.19301499999999999</v>
      </c>
      <c r="K1408" s="3">
        <v>-9.7113400000000002E-2</v>
      </c>
      <c r="L1408" s="3">
        <v>-0.18786919999999999</v>
      </c>
    </row>
    <row r="1409" spans="1:12" x14ac:dyDescent="0.25">
      <c r="A1409" t="s">
        <v>10459</v>
      </c>
      <c r="B1409" t="s">
        <v>10460</v>
      </c>
      <c r="I1409" t="s">
        <v>9752</v>
      </c>
      <c r="J1409" s="3">
        <v>0.60246929999999999</v>
      </c>
      <c r="K1409" s="3">
        <v>0.23844760000000001</v>
      </c>
      <c r="L1409" s="3">
        <v>0.2025063</v>
      </c>
    </row>
    <row r="1410" spans="1:12" x14ac:dyDescent="0.25">
      <c r="A1410" t="s">
        <v>10456</v>
      </c>
      <c r="B1410" t="s">
        <v>10457</v>
      </c>
      <c r="I1410" t="s">
        <v>10458</v>
      </c>
      <c r="J1410" s="3">
        <v>0.31480560000000002</v>
      </c>
      <c r="K1410" s="3">
        <v>0.41891220000000001</v>
      </c>
      <c r="L1410" s="3">
        <v>0.2938501</v>
      </c>
    </row>
    <row r="1411" spans="1:12" x14ac:dyDescent="0.25">
      <c r="A1411" t="s">
        <v>10453</v>
      </c>
      <c r="B1411" t="s">
        <v>10454</v>
      </c>
      <c r="I1411" t="s">
        <v>10455</v>
      </c>
      <c r="J1411" s="3">
        <v>0.1213033</v>
      </c>
      <c r="K1411" s="3">
        <v>0.254158</v>
      </c>
      <c r="L1411" s="3">
        <v>0.22034039999999999</v>
      </c>
    </row>
    <row r="1412" spans="1:12" x14ac:dyDescent="0.25">
      <c r="A1412" t="s">
        <v>10450</v>
      </c>
      <c r="B1412" t="s">
        <v>10451</v>
      </c>
      <c r="I1412" t="s">
        <v>10452</v>
      </c>
      <c r="J1412" s="3">
        <v>0.15838559999999999</v>
      </c>
      <c r="K1412" s="3">
        <v>-0.13220799999999999</v>
      </c>
      <c r="L1412" s="3">
        <v>-0.14671480000000001</v>
      </c>
    </row>
    <row r="1413" spans="1:12" x14ac:dyDescent="0.25">
      <c r="A1413" t="s">
        <v>10447</v>
      </c>
      <c r="B1413" t="s">
        <v>10448</v>
      </c>
      <c r="I1413" t="s">
        <v>10449</v>
      </c>
      <c r="J1413" s="3">
        <v>-0.29086060000000002</v>
      </c>
      <c r="K1413" s="3">
        <v>-0.52119000000000004</v>
      </c>
      <c r="L1413" s="3">
        <v>-0.42328670000000002</v>
      </c>
    </row>
    <row r="1414" spans="1:12" x14ac:dyDescent="0.25">
      <c r="A1414" t="s">
        <v>10444</v>
      </c>
      <c r="B1414" t="s">
        <v>10445</v>
      </c>
      <c r="I1414" t="s">
        <v>10446</v>
      </c>
      <c r="J1414" s="3">
        <v>-0.53782989999999997</v>
      </c>
      <c r="K1414" s="3">
        <v>4.8797279999999998E-3</v>
      </c>
      <c r="L1414" s="3">
        <v>-0.40453709999999998</v>
      </c>
    </row>
    <row r="1415" spans="1:12" x14ac:dyDescent="0.25">
      <c r="A1415" t="s">
        <v>10110</v>
      </c>
      <c r="B1415" t="s">
        <v>10111</v>
      </c>
      <c r="I1415" t="s">
        <v>10443</v>
      </c>
      <c r="J1415" s="3">
        <v>-1.2098869999999999</v>
      </c>
      <c r="K1415" s="3">
        <v>-0.2466969</v>
      </c>
      <c r="L1415" s="3">
        <v>-0.17235420000000001</v>
      </c>
    </row>
    <row r="1416" spans="1:12" x14ac:dyDescent="0.25">
      <c r="A1416" t="s">
        <v>10107</v>
      </c>
      <c r="B1416" t="s">
        <v>10108</v>
      </c>
      <c r="I1416" t="s">
        <v>10109</v>
      </c>
      <c r="J1416" s="3">
        <v>-0.46151379999999997</v>
      </c>
      <c r="K1416" s="3">
        <v>0.41170050000000002</v>
      </c>
      <c r="L1416" s="3">
        <v>0.37933810000000001</v>
      </c>
    </row>
    <row r="1417" spans="1:12" x14ac:dyDescent="0.25">
      <c r="A1417" t="s">
        <v>10106</v>
      </c>
      <c r="B1417" t="s">
        <v>957</v>
      </c>
      <c r="I1417" t="s">
        <v>455</v>
      </c>
      <c r="J1417" s="3">
        <v>0.57429929999999996</v>
      </c>
      <c r="K1417" s="3">
        <v>5.3650349999999999E-2</v>
      </c>
      <c r="L1417" s="3">
        <v>0.40659329999999999</v>
      </c>
    </row>
    <row r="1418" spans="1:12" x14ac:dyDescent="0.25">
      <c r="A1418" t="s">
        <v>10103</v>
      </c>
      <c r="B1418" t="s">
        <v>10104</v>
      </c>
      <c r="I1418" t="s">
        <v>10105</v>
      </c>
      <c r="J1418" s="3">
        <v>-0.21826609999999999</v>
      </c>
      <c r="K1418" s="3">
        <v>-9.8246440000000004E-2</v>
      </c>
      <c r="L1418" s="3">
        <v>-0.30465219999999998</v>
      </c>
    </row>
    <row r="1419" spans="1:12" x14ac:dyDescent="0.25">
      <c r="A1419" t="s">
        <v>10102</v>
      </c>
      <c r="B1419" t="s">
        <v>957</v>
      </c>
      <c r="I1419" t="s">
        <v>455</v>
      </c>
      <c r="J1419" s="3">
        <v>0.1852085</v>
      </c>
      <c r="K1419" s="3">
        <v>0.21906629999999999</v>
      </c>
      <c r="L1419" s="3">
        <v>6.3643530000000004E-2</v>
      </c>
    </row>
    <row r="1420" spans="1:12" x14ac:dyDescent="0.25">
      <c r="A1420" t="s">
        <v>10100</v>
      </c>
      <c r="B1420" t="s">
        <v>10101</v>
      </c>
      <c r="I1420" t="s">
        <v>2402</v>
      </c>
      <c r="J1420" s="3">
        <v>0.1227067</v>
      </c>
      <c r="K1420" s="3">
        <v>-8.7485350000000003E-2</v>
      </c>
      <c r="L1420" s="3">
        <v>-0.1393865</v>
      </c>
    </row>
    <row r="1421" spans="1:12" x14ac:dyDescent="0.25">
      <c r="A1421" t="s">
        <v>10097</v>
      </c>
      <c r="B1421" t="s">
        <v>10098</v>
      </c>
      <c r="I1421" t="s">
        <v>10099</v>
      </c>
      <c r="J1421" s="3">
        <v>-7.7603450000000004E-2</v>
      </c>
      <c r="K1421" s="3">
        <v>0.1061816</v>
      </c>
      <c r="L1421" s="3">
        <v>-0.51260660000000002</v>
      </c>
    </row>
    <row r="1422" spans="1:12" x14ac:dyDescent="0.25">
      <c r="A1422" t="s">
        <v>10095</v>
      </c>
      <c r="B1422" t="s">
        <v>957</v>
      </c>
      <c r="I1422" t="s">
        <v>10096</v>
      </c>
      <c r="J1422" s="3">
        <v>-0.20726159999999999</v>
      </c>
      <c r="K1422" s="3">
        <v>0.52542650000000002</v>
      </c>
      <c r="L1422" s="3">
        <v>0.33744370000000001</v>
      </c>
    </row>
    <row r="1423" spans="1:12" x14ac:dyDescent="0.25">
      <c r="A1423" t="s">
        <v>10094</v>
      </c>
      <c r="B1423" t="s">
        <v>957</v>
      </c>
      <c r="I1423" t="s">
        <v>455</v>
      </c>
      <c r="J1423" s="3">
        <v>-9.0446360000000003E-2</v>
      </c>
      <c r="K1423" s="3">
        <v>0.4684142</v>
      </c>
      <c r="L1423" s="3">
        <v>-5.1522070000000003E-2</v>
      </c>
    </row>
    <row r="1424" spans="1:12" x14ac:dyDescent="0.25">
      <c r="A1424" t="s">
        <v>10093</v>
      </c>
      <c r="B1424" t="s">
        <v>14086</v>
      </c>
      <c r="C1424" t="s">
        <v>14087</v>
      </c>
      <c r="D1424" t="s">
        <v>14088</v>
      </c>
      <c r="E1424" t="s">
        <v>14089</v>
      </c>
      <c r="F1424" t="s">
        <v>14090</v>
      </c>
      <c r="I1424" t="s">
        <v>5044</v>
      </c>
      <c r="J1424" s="3">
        <v>0.66794799999999999</v>
      </c>
      <c r="K1424" s="3">
        <v>1.3121039999999999</v>
      </c>
      <c r="L1424" s="3">
        <v>0.923655</v>
      </c>
    </row>
    <row r="1425" spans="1:12" x14ac:dyDescent="0.25">
      <c r="A1425" t="s">
        <v>10090</v>
      </c>
      <c r="B1425" t="s">
        <v>10091</v>
      </c>
      <c r="I1425" t="s">
        <v>10092</v>
      </c>
      <c r="J1425" s="3">
        <v>-0.56467389999999995</v>
      </c>
      <c r="K1425" s="3">
        <v>-0.85337050000000003</v>
      </c>
      <c r="L1425" s="3">
        <v>-0.64534320000000001</v>
      </c>
    </row>
    <row r="1426" spans="1:12" x14ac:dyDescent="0.25">
      <c r="A1426" t="s">
        <v>10087</v>
      </c>
      <c r="B1426" t="s">
        <v>10088</v>
      </c>
      <c r="I1426" t="s">
        <v>10089</v>
      </c>
      <c r="J1426" s="3">
        <v>-0.1517741</v>
      </c>
      <c r="K1426" s="3">
        <v>-0.60410090000000005</v>
      </c>
      <c r="L1426" s="3">
        <v>-5.5515179999999997E-2</v>
      </c>
    </row>
    <row r="1427" spans="1:12" x14ac:dyDescent="0.25">
      <c r="A1427" t="s">
        <v>10084</v>
      </c>
      <c r="B1427" t="s">
        <v>10085</v>
      </c>
      <c r="I1427" t="s">
        <v>10086</v>
      </c>
      <c r="J1427" s="3">
        <v>-0.60165500000000005</v>
      </c>
      <c r="K1427" s="3">
        <v>-0.21137500000000001</v>
      </c>
      <c r="L1427" s="3">
        <v>-0.28196460000000001</v>
      </c>
    </row>
    <row r="1428" spans="1:12" x14ac:dyDescent="0.25">
      <c r="A1428" t="s">
        <v>10081</v>
      </c>
      <c r="B1428" t="s">
        <v>10082</v>
      </c>
      <c r="I1428" t="s">
        <v>10083</v>
      </c>
      <c r="J1428" s="3">
        <v>-0.36817650000000002</v>
      </c>
      <c r="K1428" s="3">
        <v>-0.57587659999999996</v>
      </c>
      <c r="L1428" s="3">
        <v>-0.54385830000000002</v>
      </c>
    </row>
    <row r="1429" spans="1:12" x14ac:dyDescent="0.25">
      <c r="A1429" t="s">
        <v>11047</v>
      </c>
      <c r="B1429" t="s">
        <v>14167</v>
      </c>
      <c r="C1429" t="s">
        <v>14168</v>
      </c>
      <c r="I1429" t="s">
        <v>10080</v>
      </c>
      <c r="J1429" s="3">
        <v>0.72397979999999995</v>
      </c>
      <c r="K1429" s="3">
        <v>0.82820139999999998</v>
      </c>
      <c r="L1429" s="3">
        <v>0.82642610000000005</v>
      </c>
    </row>
    <row r="1430" spans="1:12" x14ac:dyDescent="0.25">
      <c r="A1430" t="s">
        <v>11044</v>
      </c>
      <c r="B1430" t="s">
        <v>11045</v>
      </c>
      <c r="I1430" t="s">
        <v>11046</v>
      </c>
      <c r="J1430" s="3">
        <v>-0.18017820000000001</v>
      </c>
      <c r="K1430" s="3">
        <v>-0.2312814</v>
      </c>
      <c r="L1430" s="3">
        <v>-0.15531900000000001</v>
      </c>
    </row>
    <row r="1431" spans="1:12" x14ac:dyDescent="0.25">
      <c r="A1431" t="s">
        <v>11041</v>
      </c>
      <c r="B1431" t="s">
        <v>11042</v>
      </c>
      <c r="I1431" t="s">
        <v>11043</v>
      </c>
      <c r="J1431" s="3">
        <v>0.1890124</v>
      </c>
      <c r="K1431" s="3">
        <v>-4.4772520000000003E-2</v>
      </c>
      <c r="L1431" s="3">
        <v>7.9539369999999995E-3</v>
      </c>
    </row>
    <row r="1432" spans="1:12" x14ac:dyDescent="0.25">
      <c r="A1432" t="s">
        <v>11040</v>
      </c>
      <c r="B1432" t="s">
        <v>957</v>
      </c>
      <c r="I1432" t="s">
        <v>455</v>
      </c>
      <c r="J1432" s="3">
        <v>-0.2070574</v>
      </c>
      <c r="K1432" s="3">
        <v>-0.3279453</v>
      </c>
      <c r="L1432" s="3">
        <v>0.43883480000000002</v>
      </c>
    </row>
    <row r="1433" spans="1:12" x14ac:dyDescent="0.25">
      <c r="A1433" t="s">
        <v>11037</v>
      </c>
      <c r="B1433" t="s">
        <v>11038</v>
      </c>
      <c r="I1433" t="s">
        <v>11039</v>
      </c>
      <c r="J1433" s="3">
        <v>8.5037890000000005E-2</v>
      </c>
      <c r="K1433" s="3">
        <v>7.8440280000000001E-2</v>
      </c>
      <c r="L1433" s="3">
        <v>-2.0077029999999999E-2</v>
      </c>
    </row>
    <row r="1434" spans="1:12" x14ac:dyDescent="0.25">
      <c r="A1434" t="s">
        <v>11034</v>
      </c>
      <c r="B1434" t="s">
        <v>11035</v>
      </c>
      <c r="I1434" t="s">
        <v>11036</v>
      </c>
      <c r="J1434" s="3">
        <v>-2.7369060000000001E-2</v>
      </c>
      <c r="K1434" s="3">
        <v>-0.73511020000000005</v>
      </c>
      <c r="L1434" s="3">
        <v>0.16884660000000001</v>
      </c>
    </row>
    <row r="1435" spans="1:12" x14ac:dyDescent="0.25">
      <c r="A1435" t="s">
        <v>11031</v>
      </c>
      <c r="B1435" t="s">
        <v>11032</v>
      </c>
      <c r="I1435" t="s">
        <v>11033</v>
      </c>
      <c r="J1435" s="3">
        <v>0.30958279999999999</v>
      </c>
      <c r="K1435" s="3">
        <v>0.25866919999999999</v>
      </c>
      <c r="L1435" s="3">
        <v>5.3952960000000001E-2</v>
      </c>
    </row>
    <row r="1436" spans="1:12" x14ac:dyDescent="0.25">
      <c r="A1436" t="s">
        <v>11028</v>
      </c>
      <c r="B1436" t="s">
        <v>11029</v>
      </c>
      <c r="I1436" t="s">
        <v>11030</v>
      </c>
      <c r="J1436" s="3">
        <v>-0.55966830000000001</v>
      </c>
      <c r="K1436" s="3">
        <v>-1.2537450000000001</v>
      </c>
      <c r="L1436" s="3">
        <v>-0.63640160000000001</v>
      </c>
    </row>
    <row r="1437" spans="1:12" x14ac:dyDescent="0.25">
      <c r="A1437" t="s">
        <v>11025</v>
      </c>
      <c r="B1437" t="s">
        <v>11026</v>
      </c>
      <c r="I1437" t="s">
        <v>11027</v>
      </c>
      <c r="J1437" s="3">
        <v>0.51840799999999998</v>
      </c>
      <c r="K1437" s="3">
        <v>0.118616</v>
      </c>
      <c r="L1437" s="3">
        <v>0.19190940000000001</v>
      </c>
    </row>
    <row r="1438" spans="1:12" x14ac:dyDescent="0.25">
      <c r="A1438" t="s">
        <v>11022</v>
      </c>
      <c r="B1438" t="s">
        <v>11023</v>
      </c>
      <c r="I1438" t="s">
        <v>11024</v>
      </c>
      <c r="J1438" s="3">
        <v>-1.225557E-2</v>
      </c>
      <c r="K1438" s="3">
        <v>3.886498E-2</v>
      </c>
      <c r="L1438" s="3">
        <v>-0.15829509999999999</v>
      </c>
    </row>
    <row r="1439" spans="1:12" x14ac:dyDescent="0.25">
      <c r="A1439" t="s">
        <v>11020</v>
      </c>
      <c r="B1439" t="s">
        <v>11021</v>
      </c>
      <c r="I1439" t="s">
        <v>8125</v>
      </c>
      <c r="J1439" s="3">
        <v>0.54650319999999997</v>
      </c>
      <c r="K1439" s="3">
        <v>0.53590939999999998</v>
      </c>
      <c r="L1439" s="3">
        <v>-3.7273180000000003E-2</v>
      </c>
    </row>
    <row r="1440" spans="1:12" x14ac:dyDescent="0.25">
      <c r="A1440" t="s">
        <v>10042</v>
      </c>
      <c r="B1440" t="s">
        <v>10043</v>
      </c>
      <c r="I1440" t="s">
        <v>11019</v>
      </c>
      <c r="J1440" s="3">
        <v>0.3410067</v>
      </c>
      <c r="K1440" s="3">
        <v>0.2132492</v>
      </c>
      <c r="L1440" s="3">
        <v>0.22456590000000001</v>
      </c>
    </row>
    <row r="1441" spans="1:12" x14ac:dyDescent="0.25">
      <c r="A1441" t="s">
        <v>10039</v>
      </c>
      <c r="B1441" t="s">
        <v>10040</v>
      </c>
      <c r="I1441" t="s">
        <v>10041</v>
      </c>
      <c r="J1441" s="3">
        <v>-0.1479193</v>
      </c>
      <c r="K1441" s="3">
        <v>-0.36828490000000003</v>
      </c>
      <c r="L1441" s="3">
        <v>0.70821250000000002</v>
      </c>
    </row>
    <row r="1442" spans="1:12" x14ac:dyDescent="0.25">
      <c r="A1442" t="s">
        <v>10038</v>
      </c>
      <c r="B1442" t="s">
        <v>14175</v>
      </c>
      <c r="C1442" t="s">
        <v>14176</v>
      </c>
      <c r="I1442" t="s">
        <v>2947</v>
      </c>
      <c r="J1442" s="3">
        <v>-0.30275000000000002</v>
      </c>
      <c r="K1442" s="3">
        <v>1.2640119999999999</v>
      </c>
      <c r="L1442" s="3">
        <v>8.9111010000000004E-2</v>
      </c>
    </row>
    <row r="1443" spans="1:12" x14ac:dyDescent="0.25">
      <c r="A1443" t="s">
        <v>10036</v>
      </c>
      <c r="B1443" t="s">
        <v>957</v>
      </c>
      <c r="I1443" t="s">
        <v>10037</v>
      </c>
      <c r="J1443" s="3">
        <v>-0.58621299999999998</v>
      </c>
      <c r="K1443" s="3">
        <v>0.69921580000000005</v>
      </c>
      <c r="L1443" s="3">
        <v>0.142647</v>
      </c>
    </row>
    <row r="1444" spans="1:12" x14ac:dyDescent="0.25">
      <c r="A1444" t="s">
        <v>10033</v>
      </c>
      <c r="B1444" t="s">
        <v>10034</v>
      </c>
      <c r="I1444" t="s">
        <v>10035</v>
      </c>
      <c r="J1444" s="3">
        <v>-1.0028360000000001</v>
      </c>
      <c r="K1444" s="3">
        <v>-0.55213069999999997</v>
      </c>
      <c r="L1444" s="3">
        <v>-0.89986650000000001</v>
      </c>
    </row>
    <row r="1445" spans="1:12" x14ac:dyDescent="0.25">
      <c r="A1445" t="s">
        <v>10031</v>
      </c>
      <c r="B1445" t="s">
        <v>10032</v>
      </c>
      <c r="I1445" t="s">
        <v>8934</v>
      </c>
      <c r="J1445" s="3">
        <v>0.4138059</v>
      </c>
      <c r="K1445" s="3">
        <v>1.090646</v>
      </c>
      <c r="L1445" s="3">
        <v>0.40135270000000001</v>
      </c>
    </row>
    <row r="1446" spans="1:12" x14ac:dyDescent="0.25">
      <c r="A1446" t="s">
        <v>10030</v>
      </c>
      <c r="B1446" t="s">
        <v>957</v>
      </c>
      <c r="I1446" t="s">
        <v>455</v>
      </c>
      <c r="J1446" s="3">
        <v>-0.88104439999999995</v>
      </c>
      <c r="K1446" s="3">
        <v>-0.17256099999999999</v>
      </c>
      <c r="L1446" s="3">
        <v>-0.1048617</v>
      </c>
    </row>
    <row r="1447" spans="1:12" x14ac:dyDescent="0.25">
      <c r="A1447" t="s">
        <v>10028</v>
      </c>
      <c r="B1447" t="s">
        <v>14102</v>
      </c>
      <c r="C1447" t="s">
        <v>14104</v>
      </c>
      <c r="D1447" t="s">
        <v>14105</v>
      </c>
      <c r="E1447" t="s">
        <v>14106</v>
      </c>
      <c r="F1447" t="s">
        <v>14107</v>
      </c>
      <c r="G1447" t="s">
        <v>14108</v>
      </c>
      <c r="I1447" t="s">
        <v>10029</v>
      </c>
      <c r="J1447" s="3">
        <v>-7.6472239999999997E-2</v>
      </c>
      <c r="K1447" s="3">
        <v>-0.10801139999999999</v>
      </c>
      <c r="L1447" s="3">
        <v>-0.1538205</v>
      </c>
    </row>
    <row r="1448" spans="1:12" x14ac:dyDescent="0.25">
      <c r="A1448" t="s">
        <v>10027</v>
      </c>
      <c r="B1448" t="s">
        <v>14102</v>
      </c>
      <c r="C1448" t="s">
        <v>14103</v>
      </c>
      <c r="D1448" t="s">
        <v>14104</v>
      </c>
      <c r="E1448" t="s">
        <v>14105</v>
      </c>
      <c r="F1448" t="s">
        <v>14106</v>
      </c>
      <c r="G1448" t="s">
        <v>14107</v>
      </c>
      <c r="H1448" t="s">
        <v>14108</v>
      </c>
      <c r="I1448" t="s">
        <v>10026</v>
      </c>
      <c r="J1448" s="3">
        <v>0.1394936</v>
      </c>
      <c r="K1448" s="3">
        <v>0.1789645</v>
      </c>
      <c r="L1448" s="3">
        <v>4.8806380000000003E-2</v>
      </c>
    </row>
    <row r="1449" spans="1:12" x14ac:dyDescent="0.25">
      <c r="A1449" t="s">
        <v>10442</v>
      </c>
      <c r="B1449" t="s">
        <v>14102</v>
      </c>
      <c r="C1449" t="s">
        <v>14103</v>
      </c>
      <c r="D1449" t="s">
        <v>14104</v>
      </c>
      <c r="E1449" t="s">
        <v>14105</v>
      </c>
      <c r="F1449" t="s">
        <v>14106</v>
      </c>
      <c r="G1449" t="s">
        <v>14107</v>
      </c>
      <c r="H1449" t="s">
        <v>14108</v>
      </c>
      <c r="I1449" t="s">
        <v>10026</v>
      </c>
      <c r="J1449" s="3">
        <v>0.65675459999999997</v>
      </c>
      <c r="K1449" s="3">
        <v>0.42886299999999999</v>
      </c>
      <c r="L1449" s="3">
        <v>0.43491920000000001</v>
      </c>
    </row>
    <row r="1450" spans="1:12" x14ac:dyDescent="0.25">
      <c r="A1450" t="s">
        <v>10439</v>
      </c>
      <c r="B1450" t="s">
        <v>10440</v>
      </c>
      <c r="I1450" t="s">
        <v>10441</v>
      </c>
      <c r="J1450" s="3">
        <v>0.39659319999999998</v>
      </c>
      <c r="K1450" s="3">
        <v>0.11403729999999999</v>
      </c>
      <c r="L1450" s="3">
        <v>0.2606562</v>
      </c>
    </row>
    <row r="1451" spans="1:12" x14ac:dyDescent="0.25">
      <c r="A1451" t="s">
        <v>10437</v>
      </c>
      <c r="B1451" t="s">
        <v>10438</v>
      </c>
      <c r="I1451" t="s">
        <v>9992</v>
      </c>
      <c r="J1451" s="3">
        <v>-0.5409081</v>
      </c>
      <c r="K1451" s="3">
        <v>-0.95447199999999999</v>
      </c>
      <c r="L1451" s="3">
        <v>-0.1385422</v>
      </c>
    </row>
    <row r="1452" spans="1:12" x14ac:dyDescent="0.25">
      <c r="A1452" t="s">
        <v>10434</v>
      </c>
      <c r="B1452" t="s">
        <v>10435</v>
      </c>
      <c r="I1452" t="s">
        <v>10436</v>
      </c>
      <c r="J1452" s="3">
        <v>5.0458669999999997E-2</v>
      </c>
      <c r="K1452" s="3">
        <v>0.4205236</v>
      </c>
      <c r="L1452" s="3">
        <v>0.3687164</v>
      </c>
    </row>
    <row r="1453" spans="1:12" x14ac:dyDescent="0.25">
      <c r="A1453" t="s">
        <v>10433</v>
      </c>
      <c r="B1453" t="s">
        <v>957</v>
      </c>
      <c r="I1453" t="s">
        <v>823</v>
      </c>
      <c r="J1453" s="3">
        <v>3.6297099999999999E-2</v>
      </c>
      <c r="K1453" s="3">
        <v>0.17811550000000001</v>
      </c>
      <c r="L1453" s="3">
        <v>-5.3367089999999999E-2</v>
      </c>
    </row>
    <row r="1454" spans="1:12" x14ac:dyDescent="0.25">
      <c r="A1454" t="s">
        <v>10430</v>
      </c>
      <c r="B1454" t="s">
        <v>10431</v>
      </c>
      <c r="I1454" t="s">
        <v>10432</v>
      </c>
      <c r="J1454" s="3">
        <v>-0.3349298</v>
      </c>
      <c r="K1454" s="3">
        <v>-4.257818E-2</v>
      </c>
      <c r="L1454" s="3">
        <v>-0.29155229999999999</v>
      </c>
    </row>
    <row r="1455" spans="1:12" x14ac:dyDescent="0.25">
      <c r="A1455" t="s">
        <v>10427</v>
      </c>
      <c r="B1455" t="s">
        <v>10428</v>
      </c>
      <c r="I1455" t="s">
        <v>10429</v>
      </c>
      <c r="J1455" s="3">
        <v>-0.33540999999999999</v>
      </c>
      <c r="K1455" s="3">
        <v>-0.16726949999999999</v>
      </c>
      <c r="L1455" s="3">
        <v>-0.34576800000000002</v>
      </c>
    </row>
    <row r="1456" spans="1:12" x14ac:dyDescent="0.25">
      <c r="A1456" t="s">
        <v>10426</v>
      </c>
      <c r="B1456" t="s">
        <v>957</v>
      </c>
      <c r="I1456" t="s">
        <v>455</v>
      </c>
      <c r="J1456" s="3">
        <v>4.7453580000000002E-2</v>
      </c>
      <c r="K1456" s="3">
        <v>0.1065479</v>
      </c>
      <c r="L1456" s="3">
        <v>0.30193199999999998</v>
      </c>
    </row>
    <row r="1457" spans="1:12" x14ac:dyDescent="0.25">
      <c r="A1457" t="s">
        <v>10423</v>
      </c>
      <c r="B1457" t="s">
        <v>10424</v>
      </c>
      <c r="I1457" t="s">
        <v>10425</v>
      </c>
      <c r="J1457" s="3">
        <v>-0.35689389999999999</v>
      </c>
      <c r="K1457" s="3">
        <v>-0.44580920000000002</v>
      </c>
      <c r="L1457" s="3">
        <v>-0.37085109999999999</v>
      </c>
    </row>
    <row r="1458" spans="1:12" x14ac:dyDescent="0.25">
      <c r="A1458" t="s">
        <v>10420</v>
      </c>
      <c r="B1458" t="s">
        <v>10421</v>
      </c>
      <c r="I1458" t="s">
        <v>10422</v>
      </c>
      <c r="J1458" s="3">
        <v>0.30068709999999998</v>
      </c>
      <c r="K1458" s="3">
        <v>-8.5816080000000003E-2</v>
      </c>
      <c r="L1458" s="3">
        <v>0.1568058</v>
      </c>
    </row>
    <row r="1459" spans="1:12" x14ac:dyDescent="0.25">
      <c r="A1459" t="s">
        <v>10417</v>
      </c>
      <c r="B1459" t="s">
        <v>10418</v>
      </c>
      <c r="I1459" t="s">
        <v>10419</v>
      </c>
      <c r="J1459" s="3">
        <v>4.3765529999999997E-2</v>
      </c>
      <c r="K1459" s="3">
        <v>0.30613940000000001</v>
      </c>
      <c r="L1459" s="3">
        <v>0.1768566</v>
      </c>
    </row>
    <row r="1460" spans="1:12" x14ac:dyDescent="0.25">
      <c r="A1460" t="s">
        <v>10416</v>
      </c>
      <c r="B1460" t="s">
        <v>957</v>
      </c>
      <c r="I1460" t="s">
        <v>455</v>
      </c>
      <c r="J1460" s="3">
        <v>0.37285099999999999</v>
      </c>
      <c r="K1460" s="3">
        <v>0.4873538</v>
      </c>
      <c r="L1460" s="3">
        <v>0.54274920000000004</v>
      </c>
    </row>
    <row r="1461" spans="1:12" x14ac:dyDescent="0.25">
      <c r="A1461" t="s">
        <v>10413</v>
      </c>
      <c r="B1461" t="s">
        <v>10414</v>
      </c>
      <c r="I1461" t="s">
        <v>10415</v>
      </c>
      <c r="J1461" s="3">
        <v>-0.1423632</v>
      </c>
      <c r="K1461" s="3">
        <v>0.81446240000000003</v>
      </c>
      <c r="L1461" s="3">
        <v>0.71524529999999997</v>
      </c>
    </row>
    <row r="1462" spans="1:12" x14ac:dyDescent="0.25">
      <c r="A1462" t="s">
        <v>10410</v>
      </c>
      <c r="B1462" t="s">
        <v>10411</v>
      </c>
      <c r="I1462" t="s">
        <v>10412</v>
      </c>
      <c r="J1462" s="3">
        <v>-0.1253879</v>
      </c>
      <c r="K1462" s="3">
        <v>-0.62084170000000005</v>
      </c>
      <c r="L1462" s="3">
        <v>-0.15215490000000001</v>
      </c>
    </row>
    <row r="1463" spans="1:12" x14ac:dyDescent="0.25">
      <c r="A1463" t="s">
        <v>10407</v>
      </c>
      <c r="B1463" t="s">
        <v>10408</v>
      </c>
      <c r="I1463" t="s">
        <v>10409</v>
      </c>
      <c r="J1463" s="3">
        <v>3.842346E-2</v>
      </c>
      <c r="K1463" s="3">
        <v>-0.25858059999999999</v>
      </c>
      <c r="L1463" s="3">
        <v>-7.2919639999999994E-2</v>
      </c>
    </row>
    <row r="1464" spans="1:12" x14ac:dyDescent="0.25">
      <c r="A1464" t="s">
        <v>10405</v>
      </c>
      <c r="B1464" t="s">
        <v>10406</v>
      </c>
      <c r="I1464" t="s">
        <v>2383</v>
      </c>
      <c r="J1464" s="3">
        <v>8.3369659999999998E-2</v>
      </c>
      <c r="K1464" s="3">
        <v>-5.8477889999999998E-2</v>
      </c>
      <c r="L1464" s="3">
        <v>-6.5318660000000001E-2</v>
      </c>
    </row>
    <row r="1465" spans="1:12" x14ac:dyDescent="0.25">
      <c r="A1465" t="s">
        <v>10402</v>
      </c>
      <c r="B1465" t="s">
        <v>10403</v>
      </c>
      <c r="I1465" t="s">
        <v>10404</v>
      </c>
      <c r="J1465" s="3">
        <v>-4.5376699999999999E-2</v>
      </c>
      <c r="K1465" s="3">
        <v>-0.4641422</v>
      </c>
      <c r="L1465" s="3">
        <v>-6.4250450000000001E-2</v>
      </c>
    </row>
    <row r="1466" spans="1:12" x14ac:dyDescent="0.25">
      <c r="A1466" t="s">
        <v>10229</v>
      </c>
      <c r="B1466" t="s">
        <v>10230</v>
      </c>
      <c r="I1466" t="s">
        <v>10401</v>
      </c>
      <c r="J1466" s="3">
        <v>-2.9002150000000001E-2</v>
      </c>
      <c r="K1466" s="3">
        <v>-0.20290050000000001</v>
      </c>
      <c r="L1466" s="3">
        <v>-2.5691100000000001E-2</v>
      </c>
    </row>
    <row r="1467" spans="1:12" x14ac:dyDescent="0.25">
      <c r="A1467" t="s">
        <v>10226</v>
      </c>
      <c r="B1467" t="s">
        <v>10227</v>
      </c>
      <c r="I1467" t="s">
        <v>10228</v>
      </c>
      <c r="J1467" s="3">
        <v>-0.72906700000000002</v>
      </c>
      <c r="K1467" s="3">
        <v>-1.1149990000000001</v>
      </c>
      <c r="L1467" s="3">
        <v>-0.68699639999999995</v>
      </c>
    </row>
    <row r="1468" spans="1:12" x14ac:dyDescent="0.25">
      <c r="A1468" t="s">
        <v>10223</v>
      </c>
      <c r="B1468" t="s">
        <v>10224</v>
      </c>
      <c r="I1468" t="s">
        <v>10225</v>
      </c>
      <c r="J1468" s="3">
        <v>3.369925E-2</v>
      </c>
      <c r="K1468" s="3">
        <v>-0.25323089999999998</v>
      </c>
      <c r="L1468" s="3">
        <v>-0.29789209999999999</v>
      </c>
    </row>
    <row r="1469" spans="1:12" x14ac:dyDescent="0.25">
      <c r="A1469" t="s">
        <v>10221</v>
      </c>
      <c r="B1469" t="s">
        <v>10222</v>
      </c>
      <c r="I1469" t="s">
        <v>2079</v>
      </c>
      <c r="J1469" s="3">
        <v>0.48493029999999998</v>
      </c>
      <c r="K1469" s="3">
        <v>0.66518699999999997</v>
      </c>
      <c r="L1469" s="3">
        <v>0.52834270000000005</v>
      </c>
    </row>
    <row r="1470" spans="1:12" x14ac:dyDescent="0.25">
      <c r="A1470" t="s">
        <v>10218</v>
      </c>
      <c r="B1470" t="s">
        <v>10219</v>
      </c>
      <c r="I1470" t="s">
        <v>10220</v>
      </c>
      <c r="J1470" s="3">
        <v>-0.1164496</v>
      </c>
      <c r="K1470" s="3">
        <v>-0.17208970000000001</v>
      </c>
      <c r="L1470" s="3">
        <v>-9.2181849999999996E-2</v>
      </c>
    </row>
    <row r="1471" spans="1:12" x14ac:dyDescent="0.25">
      <c r="A1471" t="s">
        <v>10215</v>
      </c>
      <c r="B1471" t="s">
        <v>10216</v>
      </c>
      <c r="I1471" t="s">
        <v>10217</v>
      </c>
      <c r="J1471" s="3">
        <v>0.1142468</v>
      </c>
      <c r="K1471" s="3">
        <v>0.66768450000000001</v>
      </c>
      <c r="L1471" s="3">
        <v>0.27582909999999999</v>
      </c>
    </row>
    <row r="1472" spans="1:12" x14ac:dyDescent="0.25">
      <c r="A1472" t="s">
        <v>10212</v>
      </c>
      <c r="B1472" t="s">
        <v>10213</v>
      </c>
      <c r="I1472" t="s">
        <v>10214</v>
      </c>
      <c r="J1472" s="3">
        <v>0.33849570000000001</v>
      </c>
      <c r="K1472" s="3">
        <v>-0.43420750000000002</v>
      </c>
      <c r="L1472" s="3">
        <v>0.20044500000000001</v>
      </c>
    </row>
    <row r="1473" spans="1:12" x14ac:dyDescent="0.25">
      <c r="A1473" t="s">
        <v>10209</v>
      </c>
      <c r="B1473" t="s">
        <v>10210</v>
      </c>
      <c r="I1473" t="s">
        <v>10211</v>
      </c>
      <c r="J1473" s="3">
        <v>-0.26026300000000002</v>
      </c>
      <c r="K1473" s="3">
        <v>-0.82369599999999998</v>
      </c>
      <c r="L1473" s="3">
        <v>-0.38494440000000002</v>
      </c>
    </row>
    <row r="1474" spans="1:12" x14ac:dyDescent="0.25">
      <c r="A1474" t="s">
        <v>10206</v>
      </c>
      <c r="B1474" t="s">
        <v>10207</v>
      </c>
      <c r="I1474" t="s">
        <v>10208</v>
      </c>
      <c r="J1474" s="3">
        <v>-0.14025180000000001</v>
      </c>
      <c r="K1474" s="3">
        <v>0.14508699999999999</v>
      </c>
      <c r="L1474" s="3">
        <v>0.2430351</v>
      </c>
    </row>
    <row r="1475" spans="1:12" x14ac:dyDescent="0.25">
      <c r="A1475" t="s">
        <v>10203</v>
      </c>
      <c r="B1475" t="s">
        <v>10204</v>
      </c>
      <c r="I1475" t="s">
        <v>10205</v>
      </c>
      <c r="J1475" s="3">
        <v>-0.65783420000000004</v>
      </c>
      <c r="K1475" s="3">
        <v>-1.016386</v>
      </c>
      <c r="L1475" s="3">
        <v>-0.89300429999999997</v>
      </c>
    </row>
    <row r="1476" spans="1:12" x14ac:dyDescent="0.25">
      <c r="A1476" t="s">
        <v>11195</v>
      </c>
      <c r="B1476" t="s">
        <v>11196</v>
      </c>
      <c r="I1476" t="s">
        <v>10202</v>
      </c>
      <c r="J1476" s="3">
        <v>-0.4230855</v>
      </c>
      <c r="K1476" s="3">
        <v>-0.48861209999999999</v>
      </c>
      <c r="L1476" s="3">
        <v>-0.57177100000000003</v>
      </c>
    </row>
    <row r="1477" spans="1:12" x14ac:dyDescent="0.25">
      <c r="A1477" t="s">
        <v>11192</v>
      </c>
      <c r="B1477" t="s">
        <v>11193</v>
      </c>
      <c r="I1477" t="s">
        <v>11194</v>
      </c>
      <c r="J1477" s="3">
        <v>-1.0497030000000001</v>
      </c>
      <c r="K1477" s="3">
        <v>-0.50903679999999996</v>
      </c>
      <c r="L1477" s="3">
        <v>-0.16770969999999999</v>
      </c>
    </row>
    <row r="1478" spans="1:12" x14ac:dyDescent="0.25">
      <c r="A1478" t="s">
        <v>11189</v>
      </c>
      <c r="B1478" t="s">
        <v>11190</v>
      </c>
      <c r="I1478" t="s">
        <v>11191</v>
      </c>
      <c r="J1478" s="3">
        <v>2.0186349999999999E-2</v>
      </c>
      <c r="K1478" s="3">
        <v>-0.2358372</v>
      </c>
      <c r="L1478" s="3">
        <v>-9.2872540000000003E-2</v>
      </c>
    </row>
    <row r="1479" spans="1:12" x14ac:dyDescent="0.25">
      <c r="A1479" t="s">
        <v>11186</v>
      </c>
      <c r="B1479" t="s">
        <v>11187</v>
      </c>
      <c r="I1479" t="s">
        <v>11188</v>
      </c>
      <c r="J1479" s="3">
        <v>0.29526970000000002</v>
      </c>
      <c r="K1479" s="3">
        <v>0.40501090000000001</v>
      </c>
      <c r="L1479" s="3">
        <v>0.28292709999999999</v>
      </c>
    </row>
    <row r="1480" spans="1:12" x14ac:dyDescent="0.25">
      <c r="A1480" t="s">
        <v>11183</v>
      </c>
      <c r="B1480" t="s">
        <v>11184</v>
      </c>
      <c r="I1480" t="s">
        <v>11185</v>
      </c>
      <c r="J1480" s="3">
        <v>-0.54600919999999997</v>
      </c>
      <c r="K1480" s="3">
        <v>-0.92351019999999995</v>
      </c>
      <c r="L1480" s="3">
        <v>-6.1271020000000002E-2</v>
      </c>
    </row>
    <row r="1481" spans="1:12" x14ac:dyDescent="0.25">
      <c r="A1481" t="s">
        <v>11182</v>
      </c>
      <c r="B1481" t="s">
        <v>957</v>
      </c>
      <c r="I1481" t="s">
        <v>455</v>
      </c>
      <c r="J1481" s="3">
        <v>-0.82768330000000001</v>
      </c>
      <c r="K1481" s="3">
        <v>-1.231147</v>
      </c>
      <c r="L1481" s="3">
        <v>-0.2130071</v>
      </c>
    </row>
    <row r="1482" spans="1:12" x14ac:dyDescent="0.25">
      <c r="A1482" t="s">
        <v>11179</v>
      </c>
      <c r="B1482" t="s">
        <v>11180</v>
      </c>
      <c r="I1482" t="s">
        <v>11181</v>
      </c>
      <c r="J1482" s="3">
        <v>0.21640119999999999</v>
      </c>
      <c r="K1482" s="3">
        <v>5.591339E-2</v>
      </c>
      <c r="L1482" s="3">
        <v>0.64125750000000004</v>
      </c>
    </row>
    <row r="1483" spans="1:12" x14ac:dyDescent="0.25">
      <c r="A1483" t="s">
        <v>11176</v>
      </c>
      <c r="B1483" t="s">
        <v>11177</v>
      </c>
      <c r="I1483" t="s">
        <v>11178</v>
      </c>
      <c r="J1483" s="3">
        <v>0.28505449999999999</v>
      </c>
      <c r="K1483" s="3">
        <v>0.45743980000000001</v>
      </c>
      <c r="L1483" s="3">
        <v>0.27407589999999998</v>
      </c>
    </row>
    <row r="1484" spans="1:12" x14ac:dyDescent="0.25">
      <c r="A1484" t="s">
        <v>11173</v>
      </c>
      <c r="B1484" t="s">
        <v>11174</v>
      </c>
      <c r="I1484" t="s">
        <v>11175</v>
      </c>
      <c r="J1484" s="3">
        <v>-0.14219909999999999</v>
      </c>
      <c r="K1484" s="3">
        <v>1.2145070000000001E-2</v>
      </c>
      <c r="L1484" s="3">
        <v>-0.18753400000000001</v>
      </c>
    </row>
    <row r="1485" spans="1:12" x14ac:dyDescent="0.25">
      <c r="A1485" t="s">
        <v>11172</v>
      </c>
      <c r="B1485" t="s">
        <v>957</v>
      </c>
      <c r="I1485" t="s">
        <v>455</v>
      </c>
      <c r="J1485" s="3">
        <v>0.77125580000000005</v>
      </c>
      <c r="K1485" s="3">
        <v>0.60135479999999997</v>
      </c>
      <c r="L1485" s="3">
        <v>0.58929620000000005</v>
      </c>
    </row>
    <row r="1486" spans="1:12" x14ac:dyDescent="0.25">
      <c r="A1486" t="s">
        <v>11170</v>
      </c>
      <c r="B1486" t="s">
        <v>11171</v>
      </c>
      <c r="I1486" t="s">
        <v>9709</v>
      </c>
      <c r="J1486" s="3">
        <v>0.67402410000000001</v>
      </c>
      <c r="K1486" s="3">
        <v>0.51481529999999998</v>
      </c>
      <c r="L1486" s="3">
        <v>0.36576009999999998</v>
      </c>
    </row>
    <row r="1487" spans="1:12" x14ac:dyDescent="0.25">
      <c r="A1487" t="s">
        <v>11168</v>
      </c>
      <c r="B1487" t="s">
        <v>957</v>
      </c>
      <c r="I1487" t="s">
        <v>11169</v>
      </c>
      <c r="J1487" s="3">
        <v>0.14017499999999999</v>
      </c>
      <c r="K1487" s="3">
        <v>0.1126399</v>
      </c>
      <c r="L1487" s="3">
        <v>-5.1831549999999997E-2</v>
      </c>
    </row>
    <row r="1488" spans="1:12" x14ac:dyDescent="0.25">
      <c r="A1488" t="s">
        <v>11165</v>
      </c>
      <c r="B1488" t="s">
        <v>11166</v>
      </c>
      <c r="I1488" t="s">
        <v>11167</v>
      </c>
      <c r="J1488" s="3">
        <v>0.4478433</v>
      </c>
      <c r="K1488" s="3">
        <v>0.19631660000000001</v>
      </c>
      <c r="L1488" s="3">
        <v>0.1152985</v>
      </c>
    </row>
    <row r="1489" spans="1:12" x14ac:dyDescent="0.25">
      <c r="A1489" t="s">
        <v>11163</v>
      </c>
      <c r="B1489" t="s">
        <v>11164</v>
      </c>
      <c r="I1489" t="s">
        <v>2553</v>
      </c>
      <c r="J1489" s="3">
        <v>0.36335050000000002</v>
      </c>
      <c r="K1489" s="3">
        <v>0.60708139999999999</v>
      </c>
      <c r="L1489" s="3">
        <v>0.42183680000000001</v>
      </c>
    </row>
    <row r="1490" spans="1:12" x14ac:dyDescent="0.25">
      <c r="A1490" t="s">
        <v>11160</v>
      </c>
      <c r="B1490" t="s">
        <v>11161</v>
      </c>
      <c r="I1490" t="s">
        <v>11162</v>
      </c>
      <c r="J1490" s="3">
        <v>0.7233948</v>
      </c>
      <c r="K1490" s="3">
        <v>1.263501</v>
      </c>
      <c r="L1490" s="3">
        <v>0.52482870000000004</v>
      </c>
    </row>
    <row r="1491" spans="1:12" x14ac:dyDescent="0.25">
      <c r="A1491" t="s">
        <v>11159</v>
      </c>
      <c r="B1491" t="s">
        <v>957</v>
      </c>
      <c r="I1491" t="s">
        <v>455</v>
      </c>
      <c r="J1491" s="3">
        <v>0.70984769999999997</v>
      </c>
      <c r="K1491" s="3">
        <v>1.104387</v>
      </c>
      <c r="L1491" s="3">
        <v>0.35572809999999999</v>
      </c>
    </row>
    <row r="1492" spans="1:12" x14ac:dyDescent="0.25">
      <c r="A1492" t="s">
        <v>11156</v>
      </c>
      <c r="B1492" t="s">
        <v>11157</v>
      </c>
      <c r="I1492" t="s">
        <v>11158</v>
      </c>
      <c r="J1492" s="3">
        <v>0.1508553</v>
      </c>
      <c r="K1492" s="3">
        <v>-0.63091900000000001</v>
      </c>
      <c r="L1492" s="3">
        <v>-0.44740010000000002</v>
      </c>
    </row>
    <row r="1493" spans="1:12" x14ac:dyDescent="0.25">
      <c r="A1493" t="s">
        <v>11153</v>
      </c>
      <c r="B1493" t="s">
        <v>11154</v>
      </c>
      <c r="I1493" t="s">
        <v>11155</v>
      </c>
      <c r="J1493" s="3">
        <v>0.54800059999999995</v>
      </c>
      <c r="K1493" s="3">
        <v>0.1136953</v>
      </c>
      <c r="L1493" s="3">
        <v>0.31635229999999998</v>
      </c>
    </row>
    <row r="1494" spans="1:12" x14ac:dyDescent="0.25">
      <c r="A1494" t="s">
        <v>11150</v>
      </c>
      <c r="B1494" t="s">
        <v>11151</v>
      </c>
      <c r="I1494" t="s">
        <v>11152</v>
      </c>
      <c r="J1494" s="3">
        <v>0.10098169999999999</v>
      </c>
      <c r="K1494" s="3">
        <v>6.9755170000000005E-2</v>
      </c>
      <c r="L1494" s="3">
        <v>0.37813750000000002</v>
      </c>
    </row>
    <row r="1495" spans="1:12" x14ac:dyDescent="0.25">
      <c r="A1495" t="s">
        <v>11147</v>
      </c>
      <c r="B1495" t="s">
        <v>11148</v>
      </c>
      <c r="I1495" t="s">
        <v>11149</v>
      </c>
      <c r="J1495" s="3">
        <v>-0.57412019999999997</v>
      </c>
      <c r="K1495" s="3">
        <v>-0.4611809</v>
      </c>
      <c r="L1495" s="3">
        <v>-0.370977</v>
      </c>
    </row>
    <row r="1496" spans="1:12" x14ac:dyDescent="0.25">
      <c r="A1496" t="s">
        <v>11144</v>
      </c>
      <c r="B1496" t="s">
        <v>11145</v>
      </c>
      <c r="I1496" t="s">
        <v>11146</v>
      </c>
      <c r="J1496" s="3">
        <v>1.017792</v>
      </c>
      <c r="K1496" s="3">
        <v>1.32115</v>
      </c>
      <c r="L1496" s="3">
        <v>0.76677189999999995</v>
      </c>
    </row>
    <row r="1497" spans="1:12" x14ac:dyDescent="0.25">
      <c r="A1497" t="s">
        <v>11141</v>
      </c>
      <c r="B1497" t="s">
        <v>11142</v>
      </c>
      <c r="I1497" t="s">
        <v>11143</v>
      </c>
      <c r="J1497" s="3">
        <v>-0.1549268</v>
      </c>
      <c r="K1497" s="3">
        <v>-0.27671780000000001</v>
      </c>
      <c r="L1497" s="3">
        <v>-0.17798890000000001</v>
      </c>
    </row>
    <row r="1498" spans="1:12" x14ac:dyDescent="0.25">
      <c r="A1498" t="s">
        <v>11138</v>
      </c>
      <c r="B1498" t="s">
        <v>11139</v>
      </c>
      <c r="I1498" t="s">
        <v>11140</v>
      </c>
      <c r="J1498" s="3">
        <v>0.84621639999999998</v>
      </c>
      <c r="K1498" s="3">
        <v>0.25873429999999997</v>
      </c>
      <c r="L1498" s="3">
        <v>0.74546520000000005</v>
      </c>
    </row>
    <row r="1499" spans="1:12" x14ac:dyDescent="0.25">
      <c r="A1499" t="s">
        <v>11135</v>
      </c>
      <c r="B1499" t="s">
        <v>11136</v>
      </c>
      <c r="I1499" t="s">
        <v>11137</v>
      </c>
      <c r="J1499" s="3">
        <v>1.272159</v>
      </c>
      <c r="K1499" s="3">
        <v>0.7605748</v>
      </c>
      <c r="L1499" s="3">
        <v>1.18235</v>
      </c>
    </row>
    <row r="1500" spans="1:12" x14ac:dyDescent="0.25">
      <c r="A1500" t="s">
        <v>11132</v>
      </c>
      <c r="B1500" t="s">
        <v>11133</v>
      </c>
      <c r="I1500" t="s">
        <v>11134</v>
      </c>
      <c r="J1500" s="3">
        <v>4.6860350000000002E-2</v>
      </c>
      <c r="K1500" s="3">
        <v>-0.62752870000000005</v>
      </c>
      <c r="L1500" s="3">
        <v>7.3200360000000003E-3</v>
      </c>
    </row>
    <row r="1501" spans="1:12" x14ac:dyDescent="0.25">
      <c r="A1501" t="s">
        <v>9894</v>
      </c>
      <c r="B1501" t="s">
        <v>9895</v>
      </c>
      <c r="I1501" t="s">
        <v>11131</v>
      </c>
      <c r="J1501" s="3">
        <v>-0.54515159999999996</v>
      </c>
      <c r="K1501" s="3">
        <v>-1.1692959999999999</v>
      </c>
      <c r="L1501" s="3">
        <v>-0.33899220000000002</v>
      </c>
    </row>
    <row r="1502" spans="1:12" x14ac:dyDescent="0.25">
      <c r="A1502" t="s">
        <v>9892</v>
      </c>
      <c r="B1502" t="s">
        <v>957</v>
      </c>
      <c r="I1502" t="s">
        <v>9893</v>
      </c>
      <c r="J1502" s="3">
        <v>-0.30671759999999998</v>
      </c>
      <c r="K1502" s="3">
        <v>-0.31931039999999999</v>
      </c>
      <c r="L1502" s="3">
        <v>-0.23690620000000001</v>
      </c>
    </row>
    <row r="1503" spans="1:12" x14ac:dyDescent="0.25">
      <c r="A1503" t="s">
        <v>9891</v>
      </c>
      <c r="B1503" t="s">
        <v>957</v>
      </c>
      <c r="I1503" t="s">
        <v>455</v>
      </c>
      <c r="J1503" s="3">
        <v>0.1356067</v>
      </c>
      <c r="K1503" s="3">
        <v>0.2549787</v>
      </c>
      <c r="L1503" s="3">
        <v>-0.41143259999999998</v>
      </c>
    </row>
    <row r="1504" spans="1:12" x14ac:dyDescent="0.25">
      <c r="A1504" t="s">
        <v>9888</v>
      </c>
      <c r="B1504" t="s">
        <v>9889</v>
      </c>
      <c r="I1504" t="s">
        <v>9890</v>
      </c>
      <c r="J1504" s="3">
        <v>-0.53701719999999997</v>
      </c>
      <c r="K1504" s="3">
        <v>-0.89062569999999996</v>
      </c>
      <c r="L1504" s="3">
        <v>-0.2805878</v>
      </c>
    </row>
    <row r="1505" spans="1:12" x14ac:dyDescent="0.25">
      <c r="A1505" t="s">
        <v>9887</v>
      </c>
      <c r="B1505" t="s">
        <v>957</v>
      </c>
      <c r="I1505" t="s">
        <v>455</v>
      </c>
      <c r="J1505" s="3">
        <v>-0.20882580000000001</v>
      </c>
      <c r="K1505" s="3">
        <v>-0.40224480000000001</v>
      </c>
      <c r="L1505" s="3">
        <v>-0.19989170000000001</v>
      </c>
    </row>
    <row r="1506" spans="1:12" x14ac:dyDescent="0.25">
      <c r="A1506" t="s">
        <v>9884</v>
      </c>
      <c r="B1506" t="s">
        <v>9885</v>
      </c>
      <c r="I1506" t="s">
        <v>9886</v>
      </c>
      <c r="J1506" s="3">
        <v>0.21026900000000001</v>
      </c>
      <c r="K1506" s="3">
        <v>0.35722779999999998</v>
      </c>
      <c r="L1506" s="3">
        <v>-0.25021389999999999</v>
      </c>
    </row>
    <row r="1507" spans="1:12" x14ac:dyDescent="0.25">
      <c r="A1507" t="s">
        <v>9881</v>
      </c>
      <c r="B1507" t="s">
        <v>9882</v>
      </c>
      <c r="I1507" t="s">
        <v>9883</v>
      </c>
      <c r="J1507" s="3">
        <v>1.6748409999999998E-2</v>
      </c>
      <c r="K1507" s="3">
        <v>-1.4959190000000001E-2</v>
      </c>
      <c r="L1507" s="3">
        <v>-3.9131600000000002E-2</v>
      </c>
    </row>
    <row r="1508" spans="1:12" x14ac:dyDescent="0.25">
      <c r="A1508" t="s">
        <v>9880</v>
      </c>
      <c r="B1508" t="s">
        <v>957</v>
      </c>
      <c r="I1508" t="s">
        <v>455</v>
      </c>
      <c r="J1508" s="3">
        <v>0.59029929999999997</v>
      </c>
      <c r="K1508" s="3">
        <v>0.86002840000000003</v>
      </c>
      <c r="L1508" s="3">
        <v>0.53458499999999998</v>
      </c>
    </row>
    <row r="1509" spans="1:12" x14ac:dyDescent="0.25">
      <c r="A1509" t="s">
        <v>9877</v>
      </c>
      <c r="B1509" t="s">
        <v>9878</v>
      </c>
      <c r="I1509" t="s">
        <v>9879</v>
      </c>
      <c r="J1509" s="3">
        <v>0.34457140000000003</v>
      </c>
      <c r="K1509" s="3">
        <v>-7.262333E-2</v>
      </c>
      <c r="L1509" s="3">
        <v>0.2080641</v>
      </c>
    </row>
    <row r="1510" spans="1:12" x14ac:dyDescent="0.25">
      <c r="A1510" t="s">
        <v>9874</v>
      </c>
      <c r="B1510" t="s">
        <v>9875</v>
      </c>
      <c r="I1510" t="s">
        <v>9876</v>
      </c>
      <c r="J1510" s="3">
        <v>0.35116609999999998</v>
      </c>
      <c r="K1510" s="3">
        <v>-0.25014629999999999</v>
      </c>
      <c r="L1510" s="3">
        <v>-0.39411299999999999</v>
      </c>
    </row>
    <row r="1511" spans="1:12" x14ac:dyDescent="0.25">
      <c r="A1511" t="s">
        <v>9871</v>
      </c>
      <c r="B1511" t="s">
        <v>9872</v>
      </c>
      <c r="I1511" t="s">
        <v>9873</v>
      </c>
      <c r="J1511" s="3">
        <v>-0.3770384</v>
      </c>
      <c r="K1511" s="3">
        <v>-0.22829079999999999</v>
      </c>
      <c r="L1511" s="3">
        <v>-0.49270989999999998</v>
      </c>
    </row>
    <row r="1512" spans="1:12" x14ac:dyDescent="0.25">
      <c r="A1512" t="s">
        <v>9868</v>
      </c>
      <c r="B1512" t="s">
        <v>9869</v>
      </c>
      <c r="I1512" t="s">
        <v>9870</v>
      </c>
      <c r="J1512" s="3">
        <v>0.839754</v>
      </c>
      <c r="K1512" s="3">
        <v>0.2490416</v>
      </c>
      <c r="L1512" s="3">
        <v>1.087712</v>
      </c>
    </row>
    <row r="1513" spans="1:12" x14ac:dyDescent="0.25">
      <c r="A1513" t="s">
        <v>9865</v>
      </c>
      <c r="B1513" t="s">
        <v>9866</v>
      </c>
      <c r="I1513" t="s">
        <v>9867</v>
      </c>
      <c r="J1513" s="3">
        <v>0.19352359999999999</v>
      </c>
      <c r="K1513" s="3">
        <v>0.42750670000000002</v>
      </c>
      <c r="L1513" s="3">
        <v>0.39501160000000002</v>
      </c>
    </row>
    <row r="1514" spans="1:12" x14ac:dyDescent="0.25">
      <c r="A1514" t="s">
        <v>9863</v>
      </c>
      <c r="B1514" t="s">
        <v>9864</v>
      </c>
      <c r="I1514" t="s">
        <v>6227</v>
      </c>
      <c r="J1514" s="3">
        <v>-1.1344719999999999</v>
      </c>
      <c r="K1514" s="3">
        <v>-1.1499280000000001</v>
      </c>
      <c r="L1514" s="3">
        <v>-0.34741889999999997</v>
      </c>
    </row>
    <row r="1515" spans="1:12" x14ac:dyDescent="0.25">
      <c r="A1515" t="s">
        <v>9860</v>
      </c>
      <c r="B1515" t="s">
        <v>9861</v>
      </c>
      <c r="I1515" t="s">
        <v>9862</v>
      </c>
      <c r="J1515" s="3">
        <v>0.57590169999999996</v>
      </c>
      <c r="K1515" s="3">
        <v>0.21137320000000001</v>
      </c>
      <c r="L1515" s="3">
        <v>0.76247200000000004</v>
      </c>
    </row>
    <row r="1516" spans="1:12" x14ac:dyDescent="0.25">
      <c r="A1516" t="s">
        <v>9858</v>
      </c>
      <c r="B1516" t="s">
        <v>9859</v>
      </c>
      <c r="I1516" t="s">
        <v>9857</v>
      </c>
      <c r="J1516" s="3">
        <v>-4.6324280000000002E-2</v>
      </c>
      <c r="K1516" s="3">
        <v>1.470505</v>
      </c>
      <c r="L1516" s="3">
        <v>-0.14957770000000001</v>
      </c>
    </row>
    <row r="1517" spans="1:12" x14ac:dyDescent="0.25">
      <c r="A1517" t="s">
        <v>9855</v>
      </c>
      <c r="B1517" t="s">
        <v>9856</v>
      </c>
      <c r="I1517" t="s">
        <v>9857</v>
      </c>
      <c r="J1517" s="3">
        <v>0.1871785</v>
      </c>
      <c r="K1517" s="3">
        <v>1.4713700000000001</v>
      </c>
      <c r="L1517" s="3">
        <v>0.2838466</v>
      </c>
    </row>
    <row r="1518" spans="1:12" x14ac:dyDescent="0.25">
      <c r="A1518" t="s">
        <v>9852</v>
      </c>
      <c r="B1518" t="s">
        <v>9853</v>
      </c>
      <c r="I1518" t="s">
        <v>9854</v>
      </c>
      <c r="J1518" s="3">
        <v>7.2810120000000006E-2</v>
      </c>
      <c r="K1518" s="3">
        <v>0.36666959999999998</v>
      </c>
      <c r="L1518" s="3">
        <v>0.26905560000000001</v>
      </c>
    </row>
    <row r="1519" spans="1:12" x14ac:dyDescent="0.25">
      <c r="A1519" t="s">
        <v>9849</v>
      </c>
      <c r="B1519" t="s">
        <v>9850</v>
      </c>
      <c r="I1519" t="s">
        <v>9851</v>
      </c>
      <c r="J1519" s="3">
        <v>0.67301679999999997</v>
      </c>
      <c r="K1519" s="3">
        <v>0.33820719999999999</v>
      </c>
      <c r="L1519" s="3">
        <v>0.14609839999999999</v>
      </c>
    </row>
    <row r="1520" spans="1:12" x14ac:dyDescent="0.25">
      <c r="A1520" t="s">
        <v>9846</v>
      </c>
      <c r="B1520" t="s">
        <v>9847</v>
      </c>
      <c r="I1520" t="s">
        <v>9848</v>
      </c>
      <c r="J1520" s="3">
        <v>-0.1481442</v>
      </c>
      <c r="K1520" s="3">
        <v>-0.58344149999999995</v>
      </c>
      <c r="L1520" s="3">
        <v>9.5447400000000002E-2</v>
      </c>
    </row>
    <row r="1521" spans="1:12" x14ac:dyDescent="0.25">
      <c r="A1521" t="s">
        <v>9844</v>
      </c>
      <c r="B1521" t="s">
        <v>957</v>
      </c>
      <c r="I1521" t="s">
        <v>9845</v>
      </c>
      <c r="J1521" s="3">
        <v>0.85923050000000001</v>
      </c>
      <c r="K1521" s="3">
        <v>0.69925610000000005</v>
      </c>
      <c r="L1521" s="3">
        <v>0.63547580000000004</v>
      </c>
    </row>
    <row r="1522" spans="1:12" x14ac:dyDescent="0.25">
      <c r="A1522" t="s">
        <v>9841</v>
      </c>
      <c r="B1522" t="s">
        <v>9842</v>
      </c>
      <c r="I1522" t="s">
        <v>9843</v>
      </c>
      <c r="J1522" s="3">
        <v>-0.29698580000000002</v>
      </c>
      <c r="K1522" s="3">
        <v>-0.96921900000000005</v>
      </c>
      <c r="L1522" s="3">
        <v>-0.58641030000000005</v>
      </c>
    </row>
    <row r="1523" spans="1:12" x14ac:dyDescent="0.25">
      <c r="A1523" t="s">
        <v>9840</v>
      </c>
      <c r="B1523" t="s">
        <v>957</v>
      </c>
      <c r="I1523" t="s">
        <v>455</v>
      </c>
      <c r="J1523" s="3">
        <v>-0.2890354</v>
      </c>
      <c r="K1523" s="3">
        <v>0.1176001</v>
      </c>
      <c r="L1523" s="3">
        <v>-5.634049E-2</v>
      </c>
    </row>
    <row r="1524" spans="1:12" x14ac:dyDescent="0.25">
      <c r="A1524" t="s">
        <v>9839</v>
      </c>
      <c r="B1524" t="s">
        <v>957</v>
      </c>
      <c r="I1524" t="s">
        <v>455</v>
      </c>
      <c r="J1524" s="3">
        <v>4.523713E-2</v>
      </c>
      <c r="K1524" s="3">
        <v>-0.13426070000000001</v>
      </c>
      <c r="L1524" s="3">
        <v>0.2200655</v>
      </c>
    </row>
    <row r="1525" spans="1:12" x14ac:dyDescent="0.25">
      <c r="A1525" t="s">
        <v>9836</v>
      </c>
      <c r="B1525" t="s">
        <v>9837</v>
      </c>
      <c r="I1525" t="s">
        <v>9838</v>
      </c>
      <c r="J1525" s="3">
        <v>-0.19594</v>
      </c>
      <c r="K1525" s="3">
        <v>-0.62699079999999996</v>
      </c>
      <c r="L1525" s="3">
        <v>-0.37085950000000001</v>
      </c>
    </row>
    <row r="1526" spans="1:12" x14ac:dyDescent="0.25">
      <c r="A1526" t="s">
        <v>9833</v>
      </c>
      <c r="B1526" t="s">
        <v>9834</v>
      </c>
      <c r="I1526" t="s">
        <v>9835</v>
      </c>
      <c r="J1526" s="3">
        <v>-0.52065419999999996</v>
      </c>
      <c r="K1526" s="3">
        <v>-0.30229840000000002</v>
      </c>
      <c r="L1526" s="3">
        <v>-0.416937</v>
      </c>
    </row>
    <row r="1527" spans="1:12" x14ac:dyDescent="0.25">
      <c r="A1527" t="s">
        <v>9831</v>
      </c>
      <c r="B1527" t="s">
        <v>9832</v>
      </c>
      <c r="I1527" t="s">
        <v>7072</v>
      </c>
      <c r="J1527" s="3">
        <v>-8.0292660000000002E-2</v>
      </c>
      <c r="K1527" s="3">
        <v>0.6798149</v>
      </c>
      <c r="L1527" s="3">
        <v>0.44246859999999999</v>
      </c>
    </row>
    <row r="1528" spans="1:12" x14ac:dyDescent="0.25">
      <c r="A1528" t="s">
        <v>9830</v>
      </c>
      <c r="B1528" t="s">
        <v>957</v>
      </c>
      <c r="I1528" t="s">
        <v>475</v>
      </c>
      <c r="J1528" s="3">
        <v>2.0723220000000001E-2</v>
      </c>
      <c r="K1528" s="3">
        <v>-0.19969719999999999</v>
      </c>
      <c r="L1528" s="3">
        <v>0.21132719999999999</v>
      </c>
    </row>
    <row r="1529" spans="1:12" x14ac:dyDescent="0.25">
      <c r="A1529" t="s">
        <v>9827</v>
      </c>
      <c r="B1529" t="s">
        <v>9828</v>
      </c>
      <c r="I1529" t="s">
        <v>9829</v>
      </c>
      <c r="J1529" s="3">
        <v>-0.25983620000000002</v>
      </c>
      <c r="K1529" s="3">
        <v>-0.1472349</v>
      </c>
      <c r="L1529" s="3">
        <v>-0.22161790000000001</v>
      </c>
    </row>
    <row r="1530" spans="1:12" x14ac:dyDescent="0.25">
      <c r="A1530" t="s">
        <v>9824</v>
      </c>
      <c r="B1530" t="s">
        <v>9825</v>
      </c>
      <c r="I1530" t="s">
        <v>9826</v>
      </c>
      <c r="J1530" s="3">
        <v>1.8445130000000001</v>
      </c>
      <c r="K1530" s="3">
        <v>0.2166719</v>
      </c>
      <c r="L1530" s="3">
        <v>0.9448647</v>
      </c>
    </row>
    <row r="1531" spans="1:12" x14ac:dyDescent="0.25">
      <c r="A1531" t="s">
        <v>9823</v>
      </c>
      <c r="B1531" t="s">
        <v>14177</v>
      </c>
      <c r="C1531" t="s">
        <v>14178</v>
      </c>
      <c r="I1531" t="s">
        <v>7065</v>
      </c>
      <c r="J1531" s="3">
        <v>0.29368939999999999</v>
      </c>
      <c r="K1531" s="3">
        <v>0.1129511</v>
      </c>
      <c r="L1531" s="3">
        <v>0.27856300000000001</v>
      </c>
    </row>
    <row r="1532" spans="1:12" x14ac:dyDescent="0.25">
      <c r="A1532" t="s">
        <v>9820</v>
      </c>
      <c r="B1532" t="s">
        <v>9821</v>
      </c>
      <c r="I1532" t="s">
        <v>9822</v>
      </c>
      <c r="J1532" s="3">
        <v>-0.27714450000000002</v>
      </c>
      <c r="K1532" s="3">
        <v>-0.12263250000000001</v>
      </c>
      <c r="L1532" s="3">
        <v>5.7992259999999997E-2</v>
      </c>
    </row>
    <row r="1533" spans="1:12" x14ac:dyDescent="0.25">
      <c r="A1533" t="s">
        <v>9817</v>
      </c>
      <c r="B1533" t="s">
        <v>9818</v>
      </c>
      <c r="I1533" t="s">
        <v>9819</v>
      </c>
      <c r="J1533" s="3">
        <v>0.76658119999999996</v>
      </c>
      <c r="K1533" s="3">
        <v>0.14046169999999999</v>
      </c>
      <c r="L1533" s="3">
        <v>0.14979690000000001</v>
      </c>
    </row>
    <row r="1534" spans="1:12" x14ac:dyDescent="0.25">
      <c r="A1534" t="s">
        <v>9816</v>
      </c>
      <c r="B1534" t="s">
        <v>957</v>
      </c>
      <c r="I1534" t="s">
        <v>455</v>
      </c>
      <c r="J1534" s="3">
        <v>6.2992989999999999E-2</v>
      </c>
      <c r="K1534" s="3">
        <v>0.68994789999999995</v>
      </c>
      <c r="L1534" s="3">
        <v>0.13918359999999999</v>
      </c>
    </row>
    <row r="1535" spans="1:12" x14ac:dyDescent="0.25">
      <c r="A1535" t="s">
        <v>9815</v>
      </c>
      <c r="B1535" t="s">
        <v>957</v>
      </c>
      <c r="I1535" t="s">
        <v>455</v>
      </c>
      <c r="J1535" s="3">
        <v>0.37374780000000002</v>
      </c>
      <c r="K1535" s="3">
        <v>5.9555049999999998E-2</v>
      </c>
      <c r="L1535" s="3">
        <v>0.24597920000000001</v>
      </c>
    </row>
    <row r="1536" spans="1:12" x14ac:dyDescent="0.25">
      <c r="A1536" t="s">
        <v>9813</v>
      </c>
      <c r="B1536" t="s">
        <v>957</v>
      </c>
      <c r="I1536" t="s">
        <v>9814</v>
      </c>
      <c r="J1536" s="3">
        <v>-0.24599170000000001</v>
      </c>
      <c r="K1536" s="3">
        <v>-0.48570049999999998</v>
      </c>
      <c r="L1536" s="3">
        <v>-0.60659160000000001</v>
      </c>
    </row>
    <row r="1537" spans="1:12" x14ac:dyDescent="0.25">
      <c r="A1537" t="s">
        <v>9812</v>
      </c>
      <c r="B1537" t="s">
        <v>957</v>
      </c>
      <c r="I1537" t="s">
        <v>156</v>
      </c>
      <c r="J1537" s="3">
        <v>-0.68563240000000003</v>
      </c>
      <c r="K1537" s="3">
        <v>-0.22304379999999999</v>
      </c>
      <c r="L1537" s="3">
        <v>-0.71749130000000005</v>
      </c>
    </row>
    <row r="1538" spans="1:12" x14ac:dyDescent="0.25">
      <c r="A1538" t="s">
        <v>9811</v>
      </c>
      <c r="B1538" t="s">
        <v>957</v>
      </c>
      <c r="I1538" t="s">
        <v>455</v>
      </c>
      <c r="J1538" s="3">
        <v>0.23322780000000001</v>
      </c>
      <c r="K1538" s="3">
        <v>-0.37002950000000001</v>
      </c>
      <c r="L1538" s="3">
        <v>0.2067447</v>
      </c>
    </row>
    <row r="1539" spans="1:12" x14ac:dyDescent="0.25">
      <c r="A1539" t="s">
        <v>9810</v>
      </c>
      <c r="B1539" t="s">
        <v>957</v>
      </c>
      <c r="I1539" t="s">
        <v>823</v>
      </c>
      <c r="J1539" s="3">
        <v>-0.17340630000000001</v>
      </c>
      <c r="K1539" s="3">
        <v>-0.91202870000000003</v>
      </c>
      <c r="L1539" s="3">
        <v>-6.8296739999999995E-2</v>
      </c>
    </row>
    <row r="1540" spans="1:12" x14ac:dyDescent="0.25">
      <c r="A1540" t="s">
        <v>9807</v>
      </c>
      <c r="B1540" t="s">
        <v>9808</v>
      </c>
      <c r="I1540" t="s">
        <v>9809</v>
      </c>
      <c r="J1540" s="3">
        <v>-0.4650783</v>
      </c>
      <c r="K1540" s="3">
        <v>-0.94215839999999995</v>
      </c>
      <c r="L1540" s="3">
        <v>-0.37148029999999999</v>
      </c>
    </row>
    <row r="1541" spans="1:12" x14ac:dyDescent="0.25">
      <c r="A1541" t="s">
        <v>9805</v>
      </c>
      <c r="B1541" t="s">
        <v>9806</v>
      </c>
      <c r="I1541" t="s">
        <v>4433</v>
      </c>
      <c r="J1541" s="3">
        <v>-0.2374164</v>
      </c>
      <c r="K1541" s="3">
        <v>-0.61998580000000003</v>
      </c>
      <c r="L1541" s="3">
        <v>-0.1344255</v>
      </c>
    </row>
    <row r="1542" spans="1:12" x14ac:dyDescent="0.25">
      <c r="A1542" t="s">
        <v>9802</v>
      </c>
      <c r="B1542" t="s">
        <v>9803</v>
      </c>
      <c r="I1542" t="s">
        <v>9804</v>
      </c>
      <c r="J1542" s="3">
        <v>0.25273909999999999</v>
      </c>
      <c r="K1542" s="3">
        <v>0.65797220000000001</v>
      </c>
      <c r="L1542" s="3">
        <v>0.43184470000000003</v>
      </c>
    </row>
    <row r="1543" spans="1:12" x14ac:dyDescent="0.25">
      <c r="A1543" t="s">
        <v>9801</v>
      </c>
      <c r="B1543" t="s">
        <v>957</v>
      </c>
      <c r="I1543" t="s">
        <v>455</v>
      </c>
      <c r="J1543" s="3">
        <v>-0.73966909999999997</v>
      </c>
      <c r="K1543" s="3">
        <v>-0.58725400000000005</v>
      </c>
      <c r="L1543" s="3">
        <v>-0.60067599999999999</v>
      </c>
    </row>
    <row r="1544" spans="1:12" x14ac:dyDescent="0.25">
      <c r="A1544" t="s">
        <v>9798</v>
      </c>
      <c r="B1544" t="s">
        <v>9799</v>
      </c>
      <c r="I1544" t="s">
        <v>9800</v>
      </c>
      <c r="J1544" s="3">
        <v>0.65670150000000005</v>
      </c>
      <c r="K1544" s="3">
        <v>0.58244680000000004</v>
      </c>
      <c r="L1544" s="3">
        <v>0.3316518</v>
      </c>
    </row>
    <row r="1545" spans="1:12" x14ac:dyDescent="0.25">
      <c r="A1545" t="s">
        <v>9795</v>
      </c>
      <c r="B1545" t="s">
        <v>9796</v>
      </c>
      <c r="I1545" t="s">
        <v>9797</v>
      </c>
      <c r="J1545" s="3">
        <v>-8.3474240000000005E-2</v>
      </c>
      <c r="K1545" s="3">
        <v>-6.3802129999999999E-2</v>
      </c>
      <c r="L1545" s="3">
        <v>-5.4901100000000001E-2</v>
      </c>
    </row>
    <row r="1546" spans="1:12" x14ac:dyDescent="0.25">
      <c r="A1546" t="s">
        <v>9794</v>
      </c>
      <c r="B1546" t="s">
        <v>957</v>
      </c>
      <c r="I1546" t="s">
        <v>455</v>
      </c>
      <c r="J1546" s="3">
        <v>-0.39006780000000002</v>
      </c>
      <c r="K1546" s="3">
        <v>-0.71848060000000002</v>
      </c>
      <c r="L1546" s="3">
        <v>-0.28304499999999999</v>
      </c>
    </row>
    <row r="1547" spans="1:12" x14ac:dyDescent="0.25">
      <c r="A1547" t="s">
        <v>9791</v>
      </c>
      <c r="B1547" t="s">
        <v>9792</v>
      </c>
      <c r="I1547" t="s">
        <v>9793</v>
      </c>
      <c r="J1547" s="3">
        <v>-0.2980159</v>
      </c>
      <c r="K1547" s="3">
        <v>-0.2833502</v>
      </c>
      <c r="L1547" s="3">
        <v>-0.47289429999999999</v>
      </c>
    </row>
    <row r="1548" spans="1:12" x14ac:dyDescent="0.25">
      <c r="A1548" t="s">
        <v>9788</v>
      </c>
      <c r="B1548" t="s">
        <v>9789</v>
      </c>
      <c r="I1548" t="s">
        <v>9790</v>
      </c>
      <c r="J1548" s="3">
        <v>0.2219179</v>
      </c>
      <c r="K1548" s="3">
        <v>0.62690420000000002</v>
      </c>
      <c r="L1548" s="3">
        <v>0.37609480000000001</v>
      </c>
    </row>
    <row r="1549" spans="1:12" x14ac:dyDescent="0.25">
      <c r="A1549" t="s">
        <v>9785</v>
      </c>
      <c r="B1549" t="s">
        <v>9786</v>
      </c>
      <c r="I1549" t="s">
        <v>9787</v>
      </c>
      <c r="J1549" s="3">
        <v>0.20278779999999999</v>
      </c>
      <c r="K1549" s="3">
        <v>-5.294915E-2</v>
      </c>
      <c r="L1549" s="3">
        <v>-0.34261269999999999</v>
      </c>
    </row>
    <row r="1550" spans="1:12" x14ac:dyDescent="0.25">
      <c r="A1550" t="s">
        <v>9782</v>
      </c>
      <c r="B1550" t="s">
        <v>9783</v>
      </c>
      <c r="I1550" t="s">
        <v>9784</v>
      </c>
      <c r="J1550" s="3">
        <v>-0.20492550000000001</v>
      </c>
      <c r="K1550" s="3">
        <v>-1.6841930000000001E-2</v>
      </c>
      <c r="L1550" s="3">
        <v>-0.20497760000000001</v>
      </c>
    </row>
    <row r="1551" spans="1:12" x14ac:dyDescent="0.25">
      <c r="A1551" t="s">
        <v>9780</v>
      </c>
      <c r="B1551" t="s">
        <v>9781</v>
      </c>
      <c r="I1551" t="s">
        <v>2402</v>
      </c>
      <c r="J1551" s="3">
        <v>-1.049966</v>
      </c>
      <c r="K1551" s="3">
        <v>-0.79703000000000002</v>
      </c>
      <c r="L1551" s="3">
        <v>-0.23179130000000001</v>
      </c>
    </row>
    <row r="1552" spans="1:12" x14ac:dyDescent="0.25">
      <c r="A1552" t="s">
        <v>10896</v>
      </c>
      <c r="B1552" t="s">
        <v>10897</v>
      </c>
      <c r="I1552" t="s">
        <v>9779</v>
      </c>
      <c r="J1552" s="3">
        <v>-0.43748769999999998</v>
      </c>
      <c r="K1552" s="3">
        <v>-0.9052268</v>
      </c>
      <c r="L1552" s="3">
        <v>-0.51814510000000003</v>
      </c>
    </row>
    <row r="1553" spans="1:12" x14ac:dyDescent="0.25">
      <c r="A1553" t="s">
        <v>10895</v>
      </c>
      <c r="B1553" t="s">
        <v>957</v>
      </c>
      <c r="I1553" t="s">
        <v>455</v>
      </c>
      <c r="J1553" s="3">
        <v>0.21709000000000001</v>
      </c>
      <c r="K1553" s="3">
        <v>0.48219489999999998</v>
      </c>
      <c r="L1553" s="3">
        <v>8.2535349999999993E-2</v>
      </c>
    </row>
    <row r="1554" spans="1:12" x14ac:dyDescent="0.25">
      <c r="A1554" t="s">
        <v>10892</v>
      </c>
      <c r="B1554" t="s">
        <v>10893</v>
      </c>
      <c r="I1554" t="s">
        <v>10894</v>
      </c>
      <c r="J1554" s="3">
        <v>-8.9996870000000007E-2</v>
      </c>
      <c r="K1554" s="3">
        <v>-0.40546860000000001</v>
      </c>
      <c r="L1554" s="3">
        <v>-0.1746915</v>
      </c>
    </row>
    <row r="1555" spans="1:12" x14ac:dyDescent="0.25">
      <c r="A1555" t="s">
        <v>10889</v>
      </c>
      <c r="B1555" t="s">
        <v>10890</v>
      </c>
      <c r="I1555" t="s">
        <v>10891</v>
      </c>
      <c r="J1555" s="3">
        <v>-0.63093770000000005</v>
      </c>
      <c r="K1555" s="3">
        <v>-0.13308229999999999</v>
      </c>
      <c r="L1555" s="3">
        <v>-0.33261180000000001</v>
      </c>
    </row>
    <row r="1556" spans="1:12" x14ac:dyDescent="0.25">
      <c r="A1556" t="s">
        <v>10886</v>
      </c>
      <c r="B1556" t="s">
        <v>10887</v>
      </c>
      <c r="I1556" t="s">
        <v>10888</v>
      </c>
      <c r="J1556" s="3">
        <v>0.58818879999999996</v>
      </c>
      <c r="K1556" s="3">
        <v>1.4384790000000001</v>
      </c>
      <c r="L1556" s="3">
        <v>0.989236</v>
      </c>
    </row>
    <row r="1557" spans="1:12" x14ac:dyDescent="0.25">
      <c r="A1557" t="s">
        <v>10884</v>
      </c>
      <c r="B1557" t="s">
        <v>10885</v>
      </c>
      <c r="I1557" t="s">
        <v>6852</v>
      </c>
      <c r="J1557" s="3">
        <v>4.631863E-2</v>
      </c>
      <c r="K1557" s="3">
        <v>-0.22312070000000001</v>
      </c>
      <c r="L1557" s="3">
        <v>-0.22154470000000001</v>
      </c>
    </row>
    <row r="1558" spans="1:12" x14ac:dyDescent="0.25">
      <c r="A1558" t="s">
        <v>10882</v>
      </c>
      <c r="B1558" t="s">
        <v>10883</v>
      </c>
      <c r="I1558" t="s">
        <v>2102</v>
      </c>
      <c r="J1558" s="3">
        <v>-0.2014551</v>
      </c>
      <c r="K1558" s="3">
        <v>0.1131525</v>
      </c>
      <c r="L1558" s="3">
        <v>-0.1556073</v>
      </c>
    </row>
    <row r="1559" spans="1:12" x14ac:dyDescent="0.25">
      <c r="A1559" t="s">
        <v>10879</v>
      </c>
      <c r="B1559" t="s">
        <v>10880</v>
      </c>
      <c r="I1559" t="s">
        <v>10881</v>
      </c>
      <c r="J1559" s="3">
        <v>0.14398839999999999</v>
      </c>
      <c r="K1559" s="3">
        <v>-0.18869530000000001</v>
      </c>
      <c r="L1559" s="3">
        <v>0.16771900000000001</v>
      </c>
    </row>
    <row r="1560" spans="1:12" x14ac:dyDescent="0.25">
      <c r="A1560" t="s">
        <v>10876</v>
      </c>
      <c r="B1560" t="s">
        <v>10877</v>
      </c>
      <c r="I1560" t="s">
        <v>10878</v>
      </c>
      <c r="J1560" s="3">
        <v>0.85287230000000003</v>
      </c>
      <c r="K1560" s="3">
        <v>0.87399830000000001</v>
      </c>
      <c r="L1560" s="3">
        <v>0.42555359999999998</v>
      </c>
    </row>
    <row r="1561" spans="1:12" x14ac:dyDescent="0.25">
      <c r="A1561" t="s">
        <v>10874</v>
      </c>
      <c r="B1561" t="s">
        <v>14099</v>
      </c>
      <c r="C1561" t="s">
        <v>14100</v>
      </c>
      <c r="I1561" t="s">
        <v>10875</v>
      </c>
      <c r="J1561" s="3">
        <v>0.59800850000000005</v>
      </c>
      <c r="K1561" s="3">
        <v>0.1391143</v>
      </c>
      <c r="L1561" s="3">
        <v>0.69002229999999998</v>
      </c>
    </row>
    <row r="1562" spans="1:12" x14ac:dyDescent="0.25">
      <c r="A1562" t="s">
        <v>10871</v>
      </c>
      <c r="B1562" t="s">
        <v>10872</v>
      </c>
      <c r="I1562" t="s">
        <v>10873</v>
      </c>
      <c r="J1562" s="3">
        <v>0.42878260000000001</v>
      </c>
      <c r="K1562" s="3">
        <v>0.51349679999999998</v>
      </c>
      <c r="L1562" s="3">
        <v>0.49866240000000001</v>
      </c>
    </row>
    <row r="1563" spans="1:12" x14ac:dyDescent="0.25">
      <c r="A1563" t="s">
        <v>10869</v>
      </c>
      <c r="B1563" t="s">
        <v>10870</v>
      </c>
      <c r="I1563" t="s">
        <v>3446</v>
      </c>
      <c r="J1563" s="3">
        <v>-6.5977889999999997E-2</v>
      </c>
      <c r="K1563" s="3">
        <v>-0.31160759999999998</v>
      </c>
      <c r="L1563" s="3">
        <v>-0.1066555</v>
      </c>
    </row>
    <row r="1564" spans="1:12" x14ac:dyDescent="0.25">
      <c r="A1564" t="s">
        <v>10866</v>
      </c>
      <c r="B1564" t="s">
        <v>10867</v>
      </c>
      <c r="I1564" t="s">
        <v>10868</v>
      </c>
      <c r="J1564" s="3">
        <v>6.3212470000000007E-2</v>
      </c>
      <c r="K1564" s="3">
        <v>-0.1116355</v>
      </c>
      <c r="L1564" s="3">
        <v>0.11851250000000001</v>
      </c>
    </row>
    <row r="1565" spans="1:12" x14ac:dyDescent="0.25">
      <c r="A1565" t="s">
        <v>9744</v>
      </c>
      <c r="B1565" t="s">
        <v>9745</v>
      </c>
      <c r="I1565" t="s">
        <v>10865</v>
      </c>
      <c r="J1565" s="3">
        <v>-9.8584039999999998E-2</v>
      </c>
      <c r="K1565" s="3">
        <v>3.793477E-2</v>
      </c>
      <c r="L1565" s="3">
        <v>4.5390109999999997E-2</v>
      </c>
    </row>
    <row r="1566" spans="1:12" x14ac:dyDescent="0.25">
      <c r="A1566" t="s">
        <v>9741</v>
      </c>
      <c r="B1566" t="s">
        <v>9742</v>
      </c>
      <c r="I1566" t="s">
        <v>9743</v>
      </c>
      <c r="J1566" s="3">
        <v>-0.22757150000000001</v>
      </c>
      <c r="K1566" s="3">
        <v>-7.7902879999999994E-2</v>
      </c>
      <c r="L1566" s="3">
        <v>-4.3096919999999997E-2</v>
      </c>
    </row>
    <row r="1567" spans="1:12" x14ac:dyDescent="0.25">
      <c r="A1567" t="s">
        <v>9738</v>
      </c>
      <c r="B1567" t="s">
        <v>9739</v>
      </c>
      <c r="I1567" t="s">
        <v>9740</v>
      </c>
      <c r="J1567" s="3">
        <v>-0.3422173</v>
      </c>
      <c r="K1567" s="3">
        <v>-0.46961000000000003</v>
      </c>
      <c r="L1567" s="3">
        <v>-0.4616304</v>
      </c>
    </row>
    <row r="1568" spans="1:12" x14ac:dyDescent="0.25">
      <c r="A1568" t="s">
        <v>9735</v>
      </c>
      <c r="B1568" t="s">
        <v>9736</v>
      </c>
      <c r="I1568" t="s">
        <v>9737</v>
      </c>
      <c r="J1568" s="3">
        <v>-8.312201E-3</v>
      </c>
      <c r="K1568" s="3">
        <v>0.33117970000000002</v>
      </c>
      <c r="L1568" s="3">
        <v>-0.1666474</v>
      </c>
    </row>
    <row r="1569" spans="1:12" x14ac:dyDescent="0.25">
      <c r="A1569" t="s">
        <v>9732</v>
      </c>
      <c r="B1569" t="s">
        <v>9733</v>
      </c>
      <c r="I1569" t="s">
        <v>9734</v>
      </c>
      <c r="J1569" s="3">
        <v>-0.27862350000000002</v>
      </c>
      <c r="K1569" s="3">
        <v>-1.0118199999999999</v>
      </c>
      <c r="L1569" s="3">
        <v>-0.19269120000000001</v>
      </c>
    </row>
    <row r="1570" spans="1:12" x14ac:dyDescent="0.25">
      <c r="A1570" t="s">
        <v>9730</v>
      </c>
      <c r="B1570" t="s">
        <v>9731</v>
      </c>
      <c r="I1570" t="s">
        <v>2517</v>
      </c>
      <c r="J1570" s="3">
        <v>-0.2409587</v>
      </c>
      <c r="K1570" s="3">
        <v>-0.67217640000000001</v>
      </c>
      <c r="L1570" s="3">
        <v>0.13037009999999999</v>
      </c>
    </row>
    <row r="1571" spans="1:12" x14ac:dyDescent="0.25">
      <c r="A1571" t="s">
        <v>9729</v>
      </c>
      <c r="B1571" t="s">
        <v>957</v>
      </c>
      <c r="I1571" t="s">
        <v>455</v>
      </c>
      <c r="J1571" s="3">
        <v>0.25578329999999999</v>
      </c>
      <c r="K1571" s="3">
        <v>0.89502660000000001</v>
      </c>
      <c r="L1571" s="3">
        <v>0.18173</v>
      </c>
    </row>
    <row r="1572" spans="1:12" x14ac:dyDescent="0.25">
      <c r="A1572" t="s">
        <v>9726</v>
      </c>
      <c r="B1572" t="s">
        <v>9727</v>
      </c>
      <c r="I1572" t="s">
        <v>9728</v>
      </c>
      <c r="J1572" s="3">
        <v>-0.2286318</v>
      </c>
      <c r="K1572" s="3">
        <v>-0.80313630000000003</v>
      </c>
      <c r="L1572" s="3">
        <v>-0.42399920000000002</v>
      </c>
    </row>
    <row r="1573" spans="1:12" x14ac:dyDescent="0.25">
      <c r="A1573" t="s">
        <v>9723</v>
      </c>
      <c r="B1573" t="s">
        <v>9724</v>
      </c>
      <c r="I1573" t="s">
        <v>9725</v>
      </c>
      <c r="J1573" s="3">
        <v>0.267766</v>
      </c>
      <c r="K1573" s="3">
        <v>-9.7389400000000001E-2</v>
      </c>
      <c r="L1573" s="3">
        <v>0.23203080000000001</v>
      </c>
    </row>
    <row r="1574" spans="1:12" x14ac:dyDescent="0.25">
      <c r="A1574" t="s">
        <v>9720</v>
      </c>
      <c r="B1574" t="s">
        <v>9721</v>
      </c>
      <c r="I1574" t="s">
        <v>9722</v>
      </c>
      <c r="J1574" s="3">
        <v>0.1200809</v>
      </c>
      <c r="K1574" s="3">
        <v>-0.23816870000000001</v>
      </c>
      <c r="L1574" s="3">
        <v>5.5182340000000003E-2</v>
      </c>
    </row>
    <row r="1575" spans="1:12" x14ac:dyDescent="0.25">
      <c r="A1575" t="s">
        <v>9717</v>
      </c>
      <c r="B1575" t="s">
        <v>9718</v>
      </c>
      <c r="I1575" t="s">
        <v>9719</v>
      </c>
      <c r="J1575" s="3">
        <v>0.40499990000000002</v>
      </c>
      <c r="K1575" s="3">
        <v>0.25165019999999999</v>
      </c>
      <c r="L1575" s="3">
        <v>0.4349768</v>
      </c>
    </row>
    <row r="1576" spans="1:12" x14ac:dyDescent="0.25">
      <c r="A1576" t="s">
        <v>10694</v>
      </c>
      <c r="B1576" t="s">
        <v>10695</v>
      </c>
      <c r="I1576" t="s">
        <v>9716</v>
      </c>
      <c r="J1576" s="3">
        <v>0.64784900000000001</v>
      </c>
      <c r="K1576" s="3">
        <v>0.3655079</v>
      </c>
      <c r="L1576" s="3">
        <v>0.2710456</v>
      </c>
    </row>
    <row r="1577" spans="1:12" x14ac:dyDescent="0.25">
      <c r="A1577" t="s">
        <v>10691</v>
      </c>
      <c r="B1577" t="s">
        <v>10692</v>
      </c>
      <c r="I1577" t="s">
        <v>10693</v>
      </c>
      <c r="J1577" s="3">
        <v>0.34717730000000002</v>
      </c>
      <c r="K1577" s="3">
        <v>0.83306729999999996</v>
      </c>
      <c r="L1577" s="3">
        <v>0.624502</v>
      </c>
    </row>
    <row r="1578" spans="1:12" x14ac:dyDescent="0.25">
      <c r="A1578" t="s">
        <v>10688</v>
      </c>
      <c r="B1578" t="s">
        <v>10689</v>
      </c>
      <c r="I1578" t="s">
        <v>10690</v>
      </c>
      <c r="J1578" s="3">
        <v>0.4551076</v>
      </c>
      <c r="K1578" s="3">
        <v>0.50009550000000003</v>
      </c>
      <c r="L1578" s="3">
        <v>0.47678880000000001</v>
      </c>
    </row>
    <row r="1579" spans="1:12" x14ac:dyDescent="0.25">
      <c r="A1579" t="s">
        <v>10685</v>
      </c>
      <c r="B1579" t="s">
        <v>10686</v>
      </c>
      <c r="I1579" t="s">
        <v>10687</v>
      </c>
      <c r="J1579" s="3">
        <v>-0.40516560000000001</v>
      </c>
      <c r="K1579" s="3">
        <v>-0.47597250000000002</v>
      </c>
      <c r="L1579" s="3">
        <v>-0.56418710000000005</v>
      </c>
    </row>
    <row r="1580" spans="1:12" x14ac:dyDescent="0.25">
      <c r="A1580" t="s">
        <v>10682</v>
      </c>
      <c r="B1580" t="s">
        <v>10683</v>
      </c>
      <c r="I1580" t="s">
        <v>10684</v>
      </c>
      <c r="J1580" s="3">
        <v>0.31959359999999998</v>
      </c>
      <c r="K1580" s="3">
        <v>-0.3189342</v>
      </c>
      <c r="L1580" s="3">
        <v>-0.18536920000000001</v>
      </c>
    </row>
    <row r="1581" spans="1:12" x14ac:dyDescent="0.25">
      <c r="A1581" t="s">
        <v>10679</v>
      </c>
      <c r="B1581" t="s">
        <v>10680</v>
      </c>
      <c r="I1581" t="s">
        <v>10681</v>
      </c>
      <c r="J1581" s="3">
        <v>-0.4912146</v>
      </c>
      <c r="K1581" s="3">
        <v>0.58426849999999997</v>
      </c>
      <c r="L1581" s="3">
        <v>1.0397749999999999</v>
      </c>
    </row>
    <row r="1582" spans="1:12" x14ac:dyDescent="0.25">
      <c r="A1582" t="s">
        <v>10676</v>
      </c>
      <c r="B1582" t="s">
        <v>10677</v>
      </c>
      <c r="I1582" t="s">
        <v>10678</v>
      </c>
      <c r="J1582" s="3">
        <v>-0.18703040000000001</v>
      </c>
      <c r="K1582" s="3">
        <v>-2.6987870000000001E-2</v>
      </c>
      <c r="L1582" s="3">
        <v>-0.23605899999999999</v>
      </c>
    </row>
    <row r="1583" spans="1:12" x14ac:dyDescent="0.25">
      <c r="A1583" t="s">
        <v>10674</v>
      </c>
      <c r="B1583" t="s">
        <v>10675</v>
      </c>
      <c r="I1583" t="s">
        <v>9992</v>
      </c>
      <c r="J1583" s="3">
        <v>3.6128189999999998E-2</v>
      </c>
      <c r="K1583" s="3">
        <v>-3.2244119999999999E-3</v>
      </c>
      <c r="L1583" s="3">
        <v>3.271843E-2</v>
      </c>
    </row>
    <row r="1584" spans="1:12" x14ac:dyDescent="0.25">
      <c r="A1584" t="s">
        <v>10671</v>
      </c>
      <c r="B1584" t="s">
        <v>10672</v>
      </c>
      <c r="I1584" t="s">
        <v>10673</v>
      </c>
      <c r="J1584" s="3">
        <v>0.17341129999999999</v>
      </c>
      <c r="K1584" s="3">
        <v>-0.1217834</v>
      </c>
      <c r="L1584" s="3">
        <v>-0.25508199999999998</v>
      </c>
    </row>
    <row r="1585" spans="1:12" x14ac:dyDescent="0.25">
      <c r="A1585" t="s">
        <v>10670</v>
      </c>
      <c r="B1585" t="s">
        <v>957</v>
      </c>
      <c r="I1585" t="s">
        <v>455</v>
      </c>
      <c r="J1585" s="3">
        <v>0.43492330000000001</v>
      </c>
      <c r="K1585" s="3">
        <v>-0.17356250000000001</v>
      </c>
      <c r="L1585" s="3">
        <v>0.1798063</v>
      </c>
    </row>
    <row r="1586" spans="1:12" x14ac:dyDescent="0.25">
      <c r="A1586" t="s">
        <v>10668</v>
      </c>
      <c r="B1586" t="s">
        <v>957</v>
      </c>
      <c r="I1586" t="s">
        <v>10669</v>
      </c>
      <c r="J1586" s="3">
        <v>-0.24964149999999999</v>
      </c>
      <c r="K1586" s="3">
        <v>-0.82696499999999995</v>
      </c>
      <c r="L1586" s="3">
        <v>-0.25787139999999997</v>
      </c>
    </row>
    <row r="1587" spans="1:12" x14ac:dyDescent="0.25">
      <c r="A1587" t="s">
        <v>10667</v>
      </c>
      <c r="B1587" t="s">
        <v>957</v>
      </c>
      <c r="I1587" t="s">
        <v>455</v>
      </c>
      <c r="J1587" s="3">
        <v>0.21717610000000001</v>
      </c>
      <c r="K1587" s="3">
        <v>-1.404562E-2</v>
      </c>
      <c r="L1587" s="3">
        <v>-0.49953760000000003</v>
      </c>
    </row>
    <row r="1588" spans="1:12" x14ac:dyDescent="0.25">
      <c r="A1588" t="s">
        <v>10664</v>
      </c>
      <c r="B1588" t="s">
        <v>10665</v>
      </c>
      <c r="I1588" t="s">
        <v>10666</v>
      </c>
      <c r="J1588" s="3">
        <v>1.3887750000000001</v>
      </c>
      <c r="K1588" s="3">
        <v>1.18374</v>
      </c>
      <c r="L1588" s="3">
        <v>1.647006</v>
      </c>
    </row>
    <row r="1589" spans="1:12" x14ac:dyDescent="0.25">
      <c r="A1589" t="s">
        <v>10661</v>
      </c>
      <c r="B1589" t="s">
        <v>10662</v>
      </c>
      <c r="I1589" t="s">
        <v>10663</v>
      </c>
      <c r="J1589" s="3">
        <v>0.37418249999999997</v>
      </c>
      <c r="K1589" s="3">
        <v>-0.1015886</v>
      </c>
      <c r="L1589" s="3">
        <v>-0.2408052</v>
      </c>
    </row>
    <row r="1590" spans="1:12" x14ac:dyDescent="0.25">
      <c r="A1590" t="s">
        <v>10658</v>
      </c>
      <c r="B1590" t="s">
        <v>10659</v>
      </c>
      <c r="I1590" t="s">
        <v>10660</v>
      </c>
      <c r="J1590" s="3">
        <v>-4.3020299999999997E-2</v>
      </c>
      <c r="K1590" s="3">
        <v>-0.73470380000000002</v>
      </c>
      <c r="L1590" s="3">
        <v>-0.14664189999999999</v>
      </c>
    </row>
    <row r="1591" spans="1:12" x14ac:dyDescent="0.25">
      <c r="A1591" t="s">
        <v>10657</v>
      </c>
      <c r="B1591" t="s">
        <v>957</v>
      </c>
      <c r="I1591" t="s">
        <v>455</v>
      </c>
      <c r="J1591" s="3">
        <v>3.2960379999999997E-2</v>
      </c>
      <c r="K1591" s="3">
        <v>-0.1373829</v>
      </c>
      <c r="L1591" s="3">
        <v>3.1333859999999998E-2</v>
      </c>
    </row>
    <row r="1592" spans="1:12" x14ac:dyDescent="0.25">
      <c r="A1592" t="s">
        <v>10654</v>
      </c>
      <c r="B1592" t="s">
        <v>10655</v>
      </c>
      <c r="I1592" t="s">
        <v>10656</v>
      </c>
      <c r="J1592" s="3">
        <v>0.39109260000000001</v>
      </c>
      <c r="K1592" s="3">
        <v>1.0996529999999999E-3</v>
      </c>
      <c r="L1592" s="3">
        <v>0.22024940000000001</v>
      </c>
    </row>
    <row r="1593" spans="1:12" x14ac:dyDescent="0.25">
      <c r="A1593" t="s">
        <v>10653</v>
      </c>
      <c r="B1593" t="s">
        <v>957</v>
      </c>
      <c r="I1593" t="s">
        <v>455</v>
      </c>
      <c r="J1593" s="3">
        <v>-0.85419970000000001</v>
      </c>
      <c r="K1593" s="3">
        <v>-1.259001</v>
      </c>
      <c r="L1593" s="3">
        <v>-1.0878639999999999</v>
      </c>
    </row>
    <row r="1594" spans="1:12" x14ac:dyDescent="0.25">
      <c r="A1594" t="s">
        <v>10651</v>
      </c>
      <c r="B1594" t="s">
        <v>957</v>
      </c>
      <c r="I1594" t="s">
        <v>10652</v>
      </c>
      <c r="J1594" s="3">
        <v>-1.5732619999999999</v>
      </c>
      <c r="K1594" s="3">
        <v>-1.237077</v>
      </c>
      <c r="L1594" s="3">
        <v>-0.5787679</v>
      </c>
    </row>
    <row r="1595" spans="1:12" x14ac:dyDescent="0.25">
      <c r="A1595" t="s">
        <v>10650</v>
      </c>
      <c r="B1595" t="s">
        <v>957</v>
      </c>
      <c r="I1595" t="s">
        <v>455</v>
      </c>
      <c r="J1595" s="3">
        <v>0.1227665</v>
      </c>
      <c r="K1595" s="3">
        <v>-0.16972670000000001</v>
      </c>
      <c r="L1595" s="3">
        <v>0.26661170000000001</v>
      </c>
    </row>
    <row r="1596" spans="1:12" x14ac:dyDescent="0.25">
      <c r="A1596" t="s">
        <v>10649</v>
      </c>
      <c r="B1596" t="s">
        <v>957</v>
      </c>
      <c r="I1596" t="s">
        <v>455</v>
      </c>
      <c r="J1596" s="3">
        <v>0.49405979999999999</v>
      </c>
      <c r="K1596" s="3">
        <v>0.67937539999999996</v>
      </c>
      <c r="L1596" s="3">
        <v>0.42083779999999998</v>
      </c>
    </row>
    <row r="1597" spans="1:12" x14ac:dyDescent="0.25">
      <c r="A1597" t="s">
        <v>10646</v>
      </c>
      <c r="B1597" t="s">
        <v>10647</v>
      </c>
      <c r="I1597" t="s">
        <v>10648</v>
      </c>
      <c r="J1597" s="3">
        <v>-0.46228639999999999</v>
      </c>
      <c r="K1597" s="3">
        <v>-0.3063534</v>
      </c>
      <c r="L1597" s="3">
        <v>-0.4249156</v>
      </c>
    </row>
    <row r="1598" spans="1:12" x14ac:dyDescent="0.25">
      <c r="A1598" t="s">
        <v>10643</v>
      </c>
      <c r="B1598" t="s">
        <v>10644</v>
      </c>
      <c r="I1598" t="s">
        <v>10645</v>
      </c>
      <c r="J1598" s="3">
        <v>-0.11424910000000001</v>
      </c>
      <c r="K1598" s="3">
        <v>-0.36284640000000001</v>
      </c>
      <c r="L1598" s="3">
        <v>-3.6291400000000001E-2</v>
      </c>
    </row>
    <row r="1599" spans="1:12" x14ac:dyDescent="0.25">
      <c r="A1599" t="s">
        <v>10640</v>
      </c>
      <c r="B1599" t="s">
        <v>10641</v>
      </c>
      <c r="I1599" t="s">
        <v>10642</v>
      </c>
      <c r="J1599" s="3">
        <v>0.38398729999999998</v>
      </c>
      <c r="K1599" s="3">
        <v>0.1469222</v>
      </c>
      <c r="L1599" s="3">
        <v>0.30488989999999999</v>
      </c>
    </row>
    <row r="1600" spans="1:12" x14ac:dyDescent="0.25">
      <c r="A1600" t="s">
        <v>10637</v>
      </c>
      <c r="B1600" t="s">
        <v>10638</v>
      </c>
      <c r="I1600" t="s">
        <v>10639</v>
      </c>
      <c r="J1600" s="3">
        <v>0.56087609999999999</v>
      </c>
      <c r="K1600" s="3">
        <v>-3.9141929999999998E-2</v>
      </c>
      <c r="L1600" s="3">
        <v>0.14339879999999999</v>
      </c>
    </row>
    <row r="1601" spans="1:12" x14ac:dyDescent="0.25">
      <c r="A1601" t="s">
        <v>10634</v>
      </c>
      <c r="B1601" t="s">
        <v>10635</v>
      </c>
      <c r="I1601" t="s">
        <v>10636</v>
      </c>
      <c r="J1601" s="3">
        <v>0.77726470000000003</v>
      </c>
      <c r="K1601" s="3">
        <v>0.5439522</v>
      </c>
      <c r="L1601" s="3">
        <v>0.66049179999999996</v>
      </c>
    </row>
    <row r="1602" spans="1:12" x14ac:dyDescent="0.25">
      <c r="A1602" t="s">
        <v>10632</v>
      </c>
      <c r="B1602" t="s">
        <v>10633</v>
      </c>
      <c r="I1602" t="s">
        <v>2517</v>
      </c>
      <c r="J1602" s="3">
        <v>-0.6200658</v>
      </c>
      <c r="K1602" s="3">
        <v>-0.62855179999999999</v>
      </c>
      <c r="L1602" s="3">
        <v>-0.4566212</v>
      </c>
    </row>
    <row r="1603" spans="1:12" x14ac:dyDescent="0.25">
      <c r="A1603" t="s">
        <v>10629</v>
      </c>
      <c r="B1603" t="s">
        <v>10630</v>
      </c>
      <c r="I1603" t="s">
        <v>10631</v>
      </c>
      <c r="J1603" s="3">
        <v>-0.1156721</v>
      </c>
      <c r="K1603" s="3">
        <v>0.22178700000000001</v>
      </c>
      <c r="L1603" s="3">
        <v>4.6832470000000001E-2</v>
      </c>
    </row>
    <row r="1604" spans="1:12" x14ac:dyDescent="0.25">
      <c r="A1604" t="s">
        <v>10626</v>
      </c>
      <c r="B1604" t="s">
        <v>10627</v>
      </c>
      <c r="I1604" t="s">
        <v>10628</v>
      </c>
      <c r="J1604" s="3">
        <v>-0.28998249999999998</v>
      </c>
      <c r="K1604" s="3">
        <v>-0.55482799999999999</v>
      </c>
      <c r="L1604" s="3">
        <v>-0.19444139999999999</v>
      </c>
    </row>
    <row r="1605" spans="1:12" x14ac:dyDescent="0.25">
      <c r="A1605" t="s">
        <v>10623</v>
      </c>
      <c r="B1605" t="s">
        <v>10624</v>
      </c>
      <c r="I1605" t="s">
        <v>10625</v>
      </c>
      <c r="J1605" s="3">
        <v>0.44750580000000001</v>
      </c>
      <c r="K1605" s="3">
        <v>-0.22531780000000001</v>
      </c>
      <c r="L1605" s="3">
        <v>0.13937179999999999</v>
      </c>
    </row>
    <row r="1606" spans="1:12" x14ac:dyDescent="0.25">
      <c r="A1606" t="s">
        <v>10620</v>
      </c>
      <c r="B1606" t="s">
        <v>10621</v>
      </c>
      <c r="I1606" t="s">
        <v>10622</v>
      </c>
      <c r="J1606" s="3">
        <v>-9.4067719999999994E-2</v>
      </c>
      <c r="K1606" s="3">
        <v>-1.068034E-2</v>
      </c>
      <c r="L1606" s="3">
        <v>3.5869890000000001E-3</v>
      </c>
    </row>
    <row r="1607" spans="1:12" x14ac:dyDescent="0.25">
      <c r="A1607" t="s">
        <v>9621</v>
      </c>
      <c r="B1607" t="s">
        <v>9622</v>
      </c>
      <c r="I1607" t="s">
        <v>10619</v>
      </c>
      <c r="J1607" s="3">
        <v>-0.1019144</v>
      </c>
      <c r="K1607" s="3">
        <v>-0.85083969999999998</v>
      </c>
      <c r="L1607" s="3">
        <v>-0.50080040000000003</v>
      </c>
    </row>
    <row r="1608" spans="1:12" x14ac:dyDescent="0.25">
      <c r="A1608" t="s">
        <v>9620</v>
      </c>
      <c r="B1608" t="s">
        <v>957</v>
      </c>
      <c r="I1608" t="s">
        <v>455</v>
      </c>
      <c r="J1608" s="3">
        <v>-0.1144044</v>
      </c>
      <c r="K1608" s="3">
        <v>0.19514329999999999</v>
      </c>
      <c r="L1608" s="3">
        <v>1.054503E-2</v>
      </c>
    </row>
    <row r="1609" spans="1:12" x14ac:dyDescent="0.25">
      <c r="A1609" t="s">
        <v>9617</v>
      </c>
      <c r="B1609" t="s">
        <v>9618</v>
      </c>
      <c r="I1609" t="s">
        <v>9619</v>
      </c>
      <c r="J1609" s="3">
        <v>-6.788102E-2</v>
      </c>
      <c r="K1609" s="3">
        <v>0.4913013</v>
      </c>
      <c r="L1609" s="3">
        <v>-0.2121441</v>
      </c>
    </row>
    <row r="1610" spans="1:12" x14ac:dyDescent="0.25">
      <c r="A1610" t="s">
        <v>9614</v>
      </c>
      <c r="B1610" t="s">
        <v>9615</v>
      </c>
      <c r="I1610" t="s">
        <v>9616</v>
      </c>
      <c r="J1610" s="3">
        <v>-0.23815520000000001</v>
      </c>
      <c r="K1610" s="3">
        <v>-0.21734029999999999</v>
      </c>
      <c r="L1610" s="3">
        <v>-0.50951809999999997</v>
      </c>
    </row>
    <row r="1611" spans="1:12" x14ac:dyDescent="0.25">
      <c r="A1611" t="s">
        <v>9611</v>
      </c>
      <c r="B1611" t="s">
        <v>9612</v>
      </c>
      <c r="I1611" t="s">
        <v>9613</v>
      </c>
      <c r="J1611" s="3">
        <v>-6.0951850000000004E-3</v>
      </c>
      <c r="K1611" s="3">
        <v>-0.46738160000000001</v>
      </c>
      <c r="L1611" s="3">
        <v>-4.0558740000000003E-2</v>
      </c>
    </row>
    <row r="1612" spans="1:12" x14ac:dyDescent="0.25">
      <c r="A1612" t="s">
        <v>9610</v>
      </c>
      <c r="B1612" t="s">
        <v>957</v>
      </c>
      <c r="I1612" t="s">
        <v>455</v>
      </c>
      <c r="J1612" s="3">
        <v>-0.39897709999999997</v>
      </c>
      <c r="K1612" s="3">
        <v>-0.2038208</v>
      </c>
      <c r="L1612" s="3">
        <v>-0.70502620000000005</v>
      </c>
    </row>
    <row r="1613" spans="1:12" x14ac:dyDescent="0.25">
      <c r="A1613" t="s">
        <v>9608</v>
      </c>
      <c r="B1613" t="s">
        <v>9609</v>
      </c>
      <c r="I1613" t="s">
        <v>579</v>
      </c>
      <c r="J1613" s="3">
        <v>5.1498759999999998E-2</v>
      </c>
      <c r="K1613" s="3">
        <v>-0.24069670000000001</v>
      </c>
      <c r="L1613" s="3">
        <v>8.5430569999999997E-2</v>
      </c>
    </row>
    <row r="1614" spans="1:12" x14ac:dyDescent="0.25">
      <c r="A1614" t="s">
        <v>9606</v>
      </c>
      <c r="B1614" t="s">
        <v>957</v>
      </c>
      <c r="I1614" t="s">
        <v>9607</v>
      </c>
      <c r="J1614" s="3">
        <v>0.25995639999999998</v>
      </c>
      <c r="K1614" s="3">
        <v>0.26851960000000002</v>
      </c>
      <c r="L1614" s="3">
        <v>0.22209789999999999</v>
      </c>
    </row>
    <row r="1615" spans="1:12" x14ac:dyDescent="0.25">
      <c r="A1615" t="s">
        <v>9603</v>
      </c>
      <c r="B1615" t="s">
        <v>9604</v>
      </c>
      <c r="I1615" t="s">
        <v>9605</v>
      </c>
      <c r="J1615" s="3">
        <v>-0.3339394</v>
      </c>
      <c r="K1615" s="3">
        <v>-1.479935</v>
      </c>
      <c r="L1615" s="3">
        <v>-0.4056826</v>
      </c>
    </row>
    <row r="1616" spans="1:12" x14ac:dyDescent="0.25">
      <c r="A1616" t="s">
        <v>9600</v>
      </c>
      <c r="B1616" t="s">
        <v>9601</v>
      </c>
      <c r="I1616" t="s">
        <v>9602</v>
      </c>
      <c r="J1616" s="3">
        <v>-0.21667459999999999</v>
      </c>
      <c r="K1616" s="3">
        <v>-0.99497279999999999</v>
      </c>
      <c r="L1616" s="3">
        <v>-0.34441159999999998</v>
      </c>
    </row>
    <row r="1617" spans="1:12" x14ac:dyDescent="0.25">
      <c r="A1617" t="s">
        <v>9597</v>
      </c>
      <c r="B1617" t="s">
        <v>9598</v>
      </c>
      <c r="I1617" t="s">
        <v>9599</v>
      </c>
      <c r="J1617" s="3">
        <v>-0.41835889999999998</v>
      </c>
      <c r="K1617" s="3">
        <v>-0.90455479999999999</v>
      </c>
      <c r="L1617" s="3">
        <v>-0.3394508</v>
      </c>
    </row>
    <row r="1618" spans="1:12" x14ac:dyDescent="0.25">
      <c r="A1618" t="s">
        <v>9596</v>
      </c>
      <c r="B1618" t="s">
        <v>957</v>
      </c>
      <c r="I1618" t="s">
        <v>455</v>
      </c>
      <c r="J1618" s="3">
        <v>-1.3734200000000001</v>
      </c>
      <c r="K1618" s="3">
        <v>-1.1369419999999999</v>
      </c>
      <c r="L1618" s="3">
        <v>-0.48280840000000003</v>
      </c>
    </row>
    <row r="1619" spans="1:12" x14ac:dyDescent="0.25">
      <c r="A1619" t="s">
        <v>9593</v>
      </c>
      <c r="B1619" t="s">
        <v>9594</v>
      </c>
      <c r="I1619" t="s">
        <v>9595</v>
      </c>
      <c r="J1619" s="3">
        <v>0.45370680000000002</v>
      </c>
      <c r="K1619" s="3">
        <v>-0.29583559999999998</v>
      </c>
      <c r="L1619" s="3">
        <v>0.24152960000000001</v>
      </c>
    </row>
    <row r="1620" spans="1:12" x14ac:dyDescent="0.25">
      <c r="A1620" t="s">
        <v>10586</v>
      </c>
      <c r="B1620" t="s">
        <v>10587</v>
      </c>
      <c r="I1620" t="s">
        <v>9592</v>
      </c>
      <c r="J1620" s="3">
        <v>0.31202790000000002</v>
      </c>
      <c r="K1620" s="3">
        <v>0.20873159999999999</v>
      </c>
      <c r="L1620" s="3">
        <v>0.16772290000000001</v>
      </c>
    </row>
    <row r="1621" spans="1:12" x14ac:dyDescent="0.25">
      <c r="A1621" t="s">
        <v>10583</v>
      </c>
      <c r="B1621" t="s">
        <v>10584</v>
      </c>
      <c r="I1621" t="s">
        <v>10585</v>
      </c>
      <c r="J1621" s="3">
        <v>0.58937899999999999</v>
      </c>
      <c r="K1621" s="3">
        <v>0.45977899999999999</v>
      </c>
      <c r="L1621" s="3">
        <v>0.57586789999999999</v>
      </c>
    </row>
    <row r="1622" spans="1:12" x14ac:dyDescent="0.25">
      <c r="A1622" t="s">
        <v>10580</v>
      </c>
      <c r="B1622" t="s">
        <v>10581</v>
      </c>
      <c r="I1622" t="s">
        <v>10582</v>
      </c>
      <c r="J1622" s="3">
        <v>-0.24718799999999999</v>
      </c>
      <c r="K1622" s="3">
        <v>-0.97765570000000002</v>
      </c>
      <c r="L1622" s="3">
        <v>-0.51789680000000005</v>
      </c>
    </row>
    <row r="1623" spans="1:12" x14ac:dyDescent="0.25">
      <c r="A1623" t="s">
        <v>10577</v>
      </c>
      <c r="B1623" t="s">
        <v>10578</v>
      </c>
      <c r="I1623" t="s">
        <v>10579</v>
      </c>
      <c r="J1623" s="3">
        <v>-0.7329715</v>
      </c>
      <c r="K1623" s="3">
        <v>-1.5391710000000001</v>
      </c>
      <c r="L1623" s="3">
        <v>-0.9241277</v>
      </c>
    </row>
    <row r="1624" spans="1:12" x14ac:dyDescent="0.25">
      <c r="A1624" t="s">
        <v>10574</v>
      </c>
      <c r="B1624" t="s">
        <v>10575</v>
      </c>
      <c r="I1624" t="s">
        <v>10576</v>
      </c>
      <c r="J1624" s="3">
        <v>0.87519179999999996</v>
      </c>
      <c r="K1624" s="3">
        <v>8.7197140000000006E-2</v>
      </c>
      <c r="L1624" s="3">
        <v>0.53257339999999997</v>
      </c>
    </row>
    <row r="1625" spans="1:12" x14ac:dyDescent="0.25">
      <c r="A1625" t="s">
        <v>10571</v>
      </c>
      <c r="B1625" t="s">
        <v>10572</v>
      </c>
      <c r="I1625" t="s">
        <v>10573</v>
      </c>
      <c r="J1625" s="3">
        <v>-1.1682380000000001</v>
      </c>
      <c r="K1625" s="3">
        <v>-1.845853</v>
      </c>
      <c r="L1625" s="3">
        <v>-1.2949280000000001</v>
      </c>
    </row>
    <row r="1626" spans="1:12" x14ac:dyDescent="0.25">
      <c r="A1626" t="s">
        <v>10568</v>
      </c>
      <c r="B1626" t="s">
        <v>10569</v>
      </c>
      <c r="I1626" t="s">
        <v>10570</v>
      </c>
      <c r="J1626" s="3">
        <v>-0.25190430000000003</v>
      </c>
      <c r="K1626" s="3">
        <v>-0.3867893</v>
      </c>
      <c r="L1626" s="3">
        <v>-0.37149690000000002</v>
      </c>
    </row>
    <row r="1627" spans="1:12" x14ac:dyDescent="0.25">
      <c r="A1627" t="s">
        <v>10565</v>
      </c>
      <c r="B1627" t="s">
        <v>10566</v>
      </c>
      <c r="I1627" t="s">
        <v>10567</v>
      </c>
      <c r="J1627" s="3">
        <v>9.1888130000000005E-3</v>
      </c>
      <c r="K1627" s="3">
        <v>-0.22156919999999999</v>
      </c>
      <c r="L1627" s="3">
        <v>5.5286740000000001E-2</v>
      </c>
    </row>
    <row r="1628" spans="1:12" x14ac:dyDescent="0.25">
      <c r="A1628" t="s">
        <v>10562</v>
      </c>
      <c r="B1628" t="s">
        <v>10563</v>
      </c>
      <c r="I1628" t="s">
        <v>10564</v>
      </c>
      <c r="J1628" s="3">
        <v>0.26677289999999998</v>
      </c>
      <c r="K1628" s="3">
        <v>-0.1771247</v>
      </c>
      <c r="L1628" s="3">
        <v>-2.3208880000000001E-3</v>
      </c>
    </row>
    <row r="1629" spans="1:12" x14ac:dyDescent="0.25">
      <c r="A1629" t="s">
        <v>10559</v>
      </c>
      <c r="B1629" t="s">
        <v>10560</v>
      </c>
      <c r="I1629" t="s">
        <v>10561</v>
      </c>
      <c r="J1629" s="3">
        <v>1.0918540000000001</v>
      </c>
      <c r="K1629" s="3">
        <v>0.20868590000000001</v>
      </c>
      <c r="L1629" s="3">
        <v>-0.17746880000000001</v>
      </c>
    </row>
    <row r="1630" spans="1:12" x14ac:dyDescent="0.25">
      <c r="A1630" t="s">
        <v>9558</v>
      </c>
      <c r="B1630" t="s">
        <v>9559</v>
      </c>
      <c r="I1630" t="s">
        <v>9560</v>
      </c>
      <c r="J1630" s="3">
        <v>0.46914220000000001</v>
      </c>
      <c r="K1630" s="3">
        <v>-0.15138560000000001</v>
      </c>
      <c r="L1630" s="3">
        <v>0.10247299999999999</v>
      </c>
    </row>
    <row r="1631" spans="1:12" x14ac:dyDescent="0.25">
      <c r="A1631" t="s">
        <v>9557</v>
      </c>
      <c r="B1631" t="s">
        <v>957</v>
      </c>
      <c r="I1631" t="s">
        <v>453</v>
      </c>
      <c r="J1631" s="3">
        <v>1.460389E-2</v>
      </c>
      <c r="K1631" s="3">
        <v>-0.41500120000000001</v>
      </c>
      <c r="L1631" s="3">
        <v>-5.6266299999999998E-2</v>
      </c>
    </row>
    <row r="1632" spans="1:12" x14ac:dyDescent="0.25">
      <c r="A1632" t="s">
        <v>9554</v>
      </c>
      <c r="B1632" t="s">
        <v>9555</v>
      </c>
      <c r="I1632" t="s">
        <v>9556</v>
      </c>
      <c r="J1632" s="3">
        <v>0.746529</v>
      </c>
      <c r="K1632" s="3">
        <v>-0.2320564</v>
      </c>
      <c r="L1632" s="3">
        <v>0.13119140000000001</v>
      </c>
    </row>
    <row r="1633" spans="1:12" x14ac:dyDescent="0.25">
      <c r="A1633" t="s">
        <v>9551</v>
      </c>
      <c r="B1633" t="s">
        <v>9552</v>
      </c>
      <c r="I1633" t="s">
        <v>9553</v>
      </c>
      <c r="J1633" s="3">
        <v>0.21520549999999999</v>
      </c>
      <c r="K1633" s="3">
        <v>9.0169150000000003E-2</v>
      </c>
      <c r="L1633" s="3">
        <v>5.629087E-2</v>
      </c>
    </row>
    <row r="1634" spans="1:12" x14ac:dyDescent="0.25">
      <c r="A1634" t="s">
        <v>9548</v>
      </c>
      <c r="B1634" t="s">
        <v>9549</v>
      </c>
      <c r="I1634" t="s">
        <v>9550</v>
      </c>
      <c r="J1634" s="3">
        <v>-0.13135450000000001</v>
      </c>
      <c r="K1634" s="3">
        <v>-6.2466849999999997E-2</v>
      </c>
      <c r="L1634" s="3">
        <v>-0.13094890000000001</v>
      </c>
    </row>
    <row r="1635" spans="1:12" x14ac:dyDescent="0.25">
      <c r="A1635" t="s">
        <v>9545</v>
      </c>
      <c r="B1635" t="s">
        <v>9546</v>
      </c>
      <c r="I1635" t="s">
        <v>9547</v>
      </c>
      <c r="J1635" s="3">
        <v>0.6837607</v>
      </c>
      <c r="K1635" s="3">
        <v>0.76462719999999995</v>
      </c>
      <c r="L1635" s="3">
        <v>1.14845</v>
      </c>
    </row>
    <row r="1636" spans="1:12" x14ac:dyDescent="0.25">
      <c r="A1636" t="s">
        <v>9542</v>
      </c>
      <c r="B1636" t="s">
        <v>9543</v>
      </c>
      <c r="I1636" t="s">
        <v>9544</v>
      </c>
      <c r="J1636" s="3">
        <v>0.14041600000000001</v>
      </c>
      <c r="K1636" s="3">
        <v>-0.28230919999999998</v>
      </c>
      <c r="L1636" s="3">
        <v>3.5209980000000002E-2</v>
      </c>
    </row>
    <row r="1637" spans="1:12" x14ac:dyDescent="0.25">
      <c r="A1637" t="s">
        <v>9539</v>
      </c>
      <c r="B1637" t="s">
        <v>9540</v>
      </c>
      <c r="I1637" t="s">
        <v>9541</v>
      </c>
      <c r="J1637" s="3">
        <v>-8.2561099999999998E-2</v>
      </c>
      <c r="K1637" s="3">
        <v>-0.30428709999999998</v>
      </c>
      <c r="L1637" s="3">
        <v>-0.1111371</v>
      </c>
    </row>
    <row r="1638" spans="1:12" x14ac:dyDescent="0.25">
      <c r="A1638" t="s">
        <v>9538</v>
      </c>
      <c r="B1638" t="s">
        <v>957</v>
      </c>
      <c r="I1638" t="s">
        <v>823</v>
      </c>
      <c r="J1638" s="3">
        <v>-0.53158559999999999</v>
      </c>
      <c r="K1638" s="3">
        <v>-0.79078870000000001</v>
      </c>
      <c r="L1638" s="3">
        <v>-0.18371219999999999</v>
      </c>
    </row>
    <row r="1639" spans="1:12" x14ac:dyDescent="0.25">
      <c r="A1639" t="s">
        <v>9535</v>
      </c>
      <c r="B1639" t="s">
        <v>9536</v>
      </c>
      <c r="I1639" t="s">
        <v>9537</v>
      </c>
      <c r="J1639" s="3">
        <v>0.26901900000000001</v>
      </c>
      <c r="K1639" s="3">
        <v>0.21312339999999999</v>
      </c>
      <c r="L1639" s="3">
        <v>0.23123289999999999</v>
      </c>
    </row>
    <row r="1640" spans="1:12" x14ac:dyDescent="0.25">
      <c r="A1640" t="s">
        <v>9534</v>
      </c>
      <c r="B1640" t="s">
        <v>957</v>
      </c>
      <c r="I1640" t="s">
        <v>455</v>
      </c>
      <c r="J1640" s="3">
        <v>0.69926840000000001</v>
      </c>
      <c r="K1640" s="3">
        <v>0.2454355</v>
      </c>
      <c r="L1640" s="3">
        <v>0.25353019999999998</v>
      </c>
    </row>
    <row r="1641" spans="1:12" x14ac:dyDescent="0.25">
      <c r="A1641" t="s">
        <v>9533</v>
      </c>
      <c r="B1641" t="s">
        <v>957</v>
      </c>
      <c r="I1641" t="s">
        <v>455</v>
      </c>
      <c r="J1641" s="3">
        <v>0.72680940000000005</v>
      </c>
      <c r="K1641" s="3">
        <v>1.516788</v>
      </c>
      <c r="L1641" s="3">
        <v>0.52933940000000002</v>
      </c>
    </row>
    <row r="1642" spans="1:12" x14ac:dyDescent="0.25">
      <c r="A1642" t="s">
        <v>9532</v>
      </c>
      <c r="B1642" t="s">
        <v>957</v>
      </c>
      <c r="I1642" t="s">
        <v>455</v>
      </c>
      <c r="J1642" s="3">
        <v>-0.1815571</v>
      </c>
      <c r="K1642" s="3">
        <v>-0.337258</v>
      </c>
      <c r="L1642" s="3">
        <v>-0.12384729999999999</v>
      </c>
    </row>
    <row r="1643" spans="1:12" x14ac:dyDescent="0.25">
      <c r="A1643" t="s">
        <v>9531</v>
      </c>
      <c r="B1643" t="s">
        <v>957</v>
      </c>
      <c r="I1643" t="s">
        <v>455</v>
      </c>
      <c r="J1643" s="3">
        <v>-3.4584669999999998E-2</v>
      </c>
      <c r="K1643" s="3">
        <v>1.2324569999999999</v>
      </c>
      <c r="L1643" s="3">
        <v>0.34152349999999998</v>
      </c>
    </row>
    <row r="1644" spans="1:12" x14ac:dyDescent="0.25">
      <c r="A1644" t="s">
        <v>9529</v>
      </c>
      <c r="B1644" t="s">
        <v>957</v>
      </c>
      <c r="I1644" t="s">
        <v>9530</v>
      </c>
      <c r="J1644" s="3">
        <v>-0.29952980000000001</v>
      </c>
      <c r="K1644" s="3">
        <v>0.38976539999999998</v>
      </c>
      <c r="L1644" s="3">
        <v>9.1705729999999999E-2</v>
      </c>
    </row>
    <row r="1645" spans="1:12" x14ac:dyDescent="0.25">
      <c r="A1645" t="s">
        <v>9526</v>
      </c>
      <c r="B1645" t="s">
        <v>9527</v>
      </c>
      <c r="I1645" t="s">
        <v>9528</v>
      </c>
      <c r="J1645" s="3">
        <v>-8.4051749999999995E-2</v>
      </c>
      <c r="K1645" s="3">
        <v>-0.16816320000000001</v>
      </c>
      <c r="L1645" s="3">
        <v>-0.1331707</v>
      </c>
    </row>
    <row r="1646" spans="1:12" x14ac:dyDescent="0.25">
      <c r="A1646" t="s">
        <v>9523</v>
      </c>
      <c r="B1646" t="s">
        <v>9524</v>
      </c>
      <c r="I1646" t="s">
        <v>9525</v>
      </c>
      <c r="J1646" s="3">
        <v>7.2802690000000003E-2</v>
      </c>
      <c r="K1646" s="3">
        <v>-0.37791629999999998</v>
      </c>
      <c r="L1646" s="3">
        <v>0.11422930000000001</v>
      </c>
    </row>
    <row r="1647" spans="1:12" x14ac:dyDescent="0.25">
      <c r="A1647" t="s">
        <v>9520</v>
      </c>
      <c r="B1647" t="s">
        <v>9521</v>
      </c>
      <c r="I1647" t="s">
        <v>9522</v>
      </c>
      <c r="J1647" s="3">
        <v>-0.15327379999999999</v>
      </c>
      <c r="K1647" s="3">
        <v>-0.33570250000000001</v>
      </c>
      <c r="L1647" s="3">
        <v>-0.30568380000000001</v>
      </c>
    </row>
    <row r="1648" spans="1:12" x14ac:dyDescent="0.25">
      <c r="A1648" t="s">
        <v>9517</v>
      </c>
      <c r="B1648" t="s">
        <v>9518</v>
      </c>
      <c r="I1648" t="s">
        <v>9519</v>
      </c>
      <c r="J1648" s="3">
        <v>-0.30657869999999998</v>
      </c>
      <c r="K1648" s="3">
        <v>-0.52451789999999998</v>
      </c>
      <c r="L1648" s="3">
        <v>-0.36277569999999998</v>
      </c>
    </row>
    <row r="1649" spans="1:12" x14ac:dyDescent="0.25">
      <c r="A1649" t="s">
        <v>9514</v>
      </c>
      <c r="B1649" t="s">
        <v>9515</v>
      </c>
      <c r="I1649" t="s">
        <v>9516</v>
      </c>
      <c r="J1649" s="3">
        <v>-9.269144E-2</v>
      </c>
      <c r="K1649" s="3">
        <v>-0.30420449999999999</v>
      </c>
      <c r="L1649" s="3">
        <v>-5.8856659999999998E-2</v>
      </c>
    </row>
    <row r="1650" spans="1:12" x14ac:dyDescent="0.25">
      <c r="A1650" t="s">
        <v>9511</v>
      </c>
      <c r="B1650" t="s">
        <v>9512</v>
      </c>
      <c r="I1650" t="s">
        <v>9513</v>
      </c>
      <c r="J1650" s="3">
        <v>1.0219</v>
      </c>
      <c r="K1650" s="3">
        <v>0.7582023</v>
      </c>
      <c r="L1650" s="3">
        <v>0.84817690000000001</v>
      </c>
    </row>
    <row r="1651" spans="1:12" x14ac:dyDescent="0.25">
      <c r="A1651" t="s">
        <v>9508</v>
      </c>
      <c r="B1651" t="s">
        <v>9509</v>
      </c>
      <c r="I1651" t="s">
        <v>9510</v>
      </c>
      <c r="J1651" s="3">
        <v>-6.6240359999999998E-2</v>
      </c>
      <c r="K1651" s="3">
        <v>-0.52832599999999996</v>
      </c>
      <c r="L1651" s="3">
        <v>0.1745707</v>
      </c>
    </row>
    <row r="1652" spans="1:12" x14ac:dyDescent="0.25">
      <c r="A1652" t="s">
        <v>9505</v>
      </c>
      <c r="B1652" t="s">
        <v>9506</v>
      </c>
      <c r="I1652" t="s">
        <v>9507</v>
      </c>
      <c r="J1652" s="3">
        <v>-7.8336080000000002E-2</v>
      </c>
      <c r="K1652" s="3">
        <v>-8.669876E-2</v>
      </c>
      <c r="L1652" s="3">
        <v>-8.8094229999999996E-2</v>
      </c>
    </row>
    <row r="1653" spans="1:12" x14ac:dyDescent="0.25">
      <c r="A1653" t="s">
        <v>9502</v>
      </c>
      <c r="B1653" t="s">
        <v>9503</v>
      </c>
      <c r="I1653" t="s">
        <v>9504</v>
      </c>
      <c r="J1653" s="3">
        <v>0.573654</v>
      </c>
      <c r="K1653" s="3">
        <v>-1.329079E-2</v>
      </c>
      <c r="L1653" s="3">
        <v>0.4652017</v>
      </c>
    </row>
    <row r="1654" spans="1:12" x14ac:dyDescent="0.25">
      <c r="A1654" t="s">
        <v>9499</v>
      </c>
      <c r="B1654" t="s">
        <v>9500</v>
      </c>
      <c r="I1654" t="s">
        <v>9501</v>
      </c>
      <c r="J1654" s="3">
        <v>1.7775599999999999E-2</v>
      </c>
      <c r="K1654" s="3">
        <v>0.23234730000000001</v>
      </c>
      <c r="L1654" s="3">
        <v>0.30542340000000001</v>
      </c>
    </row>
    <row r="1655" spans="1:12" x14ac:dyDescent="0.25">
      <c r="A1655" t="s">
        <v>10777</v>
      </c>
      <c r="B1655" t="s">
        <v>10778</v>
      </c>
      <c r="I1655" t="s">
        <v>9498</v>
      </c>
      <c r="J1655" s="3">
        <v>0.33529429999999999</v>
      </c>
      <c r="K1655" s="3">
        <v>2.0893899999999999</v>
      </c>
      <c r="L1655" s="3">
        <v>0.73688719999999996</v>
      </c>
    </row>
    <row r="1656" spans="1:12" x14ac:dyDescent="0.25">
      <c r="A1656" t="s">
        <v>10776</v>
      </c>
      <c r="B1656" t="s">
        <v>957</v>
      </c>
      <c r="I1656" t="s">
        <v>455</v>
      </c>
      <c r="J1656" s="3">
        <v>-0.19348180000000001</v>
      </c>
      <c r="K1656" s="3">
        <v>6.0529230000000003E-2</v>
      </c>
      <c r="L1656" s="3">
        <v>0.12160840000000001</v>
      </c>
    </row>
    <row r="1657" spans="1:12" x14ac:dyDescent="0.25">
      <c r="A1657" t="s">
        <v>10774</v>
      </c>
      <c r="B1657" t="s">
        <v>10775</v>
      </c>
      <c r="I1657" t="s">
        <v>5981</v>
      </c>
      <c r="J1657" s="3">
        <v>-0.12612509999999999</v>
      </c>
      <c r="K1657" s="3">
        <v>-0.93773119999999999</v>
      </c>
      <c r="L1657" s="3">
        <v>3.0157690000000001E-2</v>
      </c>
    </row>
    <row r="1658" spans="1:12" x14ac:dyDescent="0.25">
      <c r="A1658" t="s">
        <v>10771</v>
      </c>
      <c r="B1658" t="s">
        <v>10772</v>
      </c>
      <c r="I1658" t="s">
        <v>10773</v>
      </c>
      <c r="J1658" s="3">
        <v>8.5529229999999998E-2</v>
      </c>
      <c r="K1658" s="3">
        <v>-7.4774960000000001E-3</v>
      </c>
      <c r="L1658" s="3">
        <v>1.2721049999999999E-2</v>
      </c>
    </row>
    <row r="1659" spans="1:12" x14ac:dyDescent="0.25">
      <c r="A1659" t="s">
        <v>10768</v>
      </c>
      <c r="B1659" t="s">
        <v>10769</v>
      </c>
      <c r="I1659" t="s">
        <v>10770</v>
      </c>
      <c r="J1659" s="3">
        <v>-9.4540940000000004E-2</v>
      </c>
      <c r="K1659" s="3">
        <v>-0.2768118</v>
      </c>
      <c r="L1659" s="3">
        <v>0.135381</v>
      </c>
    </row>
    <row r="1660" spans="1:12" x14ac:dyDescent="0.25">
      <c r="A1660" t="s">
        <v>10765</v>
      </c>
      <c r="B1660" t="s">
        <v>10766</v>
      </c>
      <c r="I1660" t="s">
        <v>10767</v>
      </c>
      <c r="J1660" s="3">
        <v>-0.34083970000000002</v>
      </c>
      <c r="K1660" s="3">
        <v>-0.71993099999999999</v>
      </c>
      <c r="L1660" s="3">
        <v>0.14836150000000001</v>
      </c>
    </row>
    <row r="1661" spans="1:12" x14ac:dyDescent="0.25">
      <c r="A1661" t="s">
        <v>10762</v>
      </c>
      <c r="B1661" t="s">
        <v>10763</v>
      </c>
      <c r="I1661" t="s">
        <v>10764</v>
      </c>
      <c r="J1661" s="3">
        <v>-0.16127250000000001</v>
      </c>
      <c r="K1661" s="3">
        <v>-0.2209874</v>
      </c>
      <c r="L1661" s="3">
        <v>0.14974190000000001</v>
      </c>
    </row>
    <row r="1662" spans="1:12" x14ac:dyDescent="0.25">
      <c r="A1662" t="s">
        <v>10759</v>
      </c>
      <c r="B1662" t="s">
        <v>10760</v>
      </c>
      <c r="I1662" t="s">
        <v>10761</v>
      </c>
      <c r="J1662" s="3">
        <v>-0.1135506</v>
      </c>
      <c r="K1662" s="3">
        <v>-0.5505951</v>
      </c>
      <c r="L1662" s="3">
        <v>-0.1811384</v>
      </c>
    </row>
    <row r="1663" spans="1:12" x14ac:dyDescent="0.25">
      <c r="A1663" t="s">
        <v>10757</v>
      </c>
      <c r="B1663" t="s">
        <v>14101</v>
      </c>
      <c r="C1663" t="s">
        <v>13879</v>
      </c>
      <c r="I1663" t="s">
        <v>10758</v>
      </c>
      <c r="J1663" s="3">
        <v>0.20552339999999999</v>
      </c>
      <c r="K1663" s="3">
        <v>0.47551480000000002</v>
      </c>
      <c r="L1663" s="3">
        <v>0.13602330000000001</v>
      </c>
    </row>
    <row r="1664" spans="1:12" x14ac:dyDescent="0.25">
      <c r="A1664" t="s">
        <v>10754</v>
      </c>
      <c r="B1664" t="s">
        <v>10755</v>
      </c>
      <c r="I1664" t="s">
        <v>10756</v>
      </c>
      <c r="J1664" s="3">
        <v>0.20816950000000001</v>
      </c>
      <c r="K1664" s="3">
        <v>0.39244709999999999</v>
      </c>
      <c r="L1664" s="3">
        <v>3.380702E-2</v>
      </c>
    </row>
    <row r="1665" spans="1:12" x14ac:dyDescent="0.25">
      <c r="A1665" t="s">
        <v>10751</v>
      </c>
      <c r="B1665" t="s">
        <v>10752</v>
      </c>
      <c r="I1665" t="s">
        <v>10753</v>
      </c>
      <c r="J1665" s="3">
        <v>0.72073189999999998</v>
      </c>
      <c r="K1665" s="3">
        <v>0.97110859999999999</v>
      </c>
      <c r="L1665" s="3">
        <v>0.67773019999999995</v>
      </c>
    </row>
    <row r="1666" spans="1:12" x14ac:dyDescent="0.25">
      <c r="A1666" t="s">
        <v>10748</v>
      </c>
      <c r="B1666" t="s">
        <v>10749</v>
      </c>
      <c r="I1666" t="s">
        <v>10750</v>
      </c>
      <c r="J1666" s="3">
        <v>4.7967549999999998E-2</v>
      </c>
      <c r="K1666" s="3">
        <v>-0.27040439999999999</v>
      </c>
      <c r="L1666" s="3">
        <v>-8.2577600000000001E-2</v>
      </c>
    </row>
    <row r="1667" spans="1:12" x14ac:dyDescent="0.25">
      <c r="A1667" t="s">
        <v>10745</v>
      </c>
      <c r="B1667" t="s">
        <v>10746</v>
      </c>
      <c r="I1667" t="s">
        <v>10747</v>
      </c>
      <c r="J1667" s="3">
        <v>-0.1768537</v>
      </c>
      <c r="K1667" s="3">
        <v>-0.74777389999999999</v>
      </c>
      <c r="L1667" s="3">
        <v>-0.6192529</v>
      </c>
    </row>
    <row r="1668" spans="1:12" x14ac:dyDescent="0.25">
      <c r="A1668" t="s">
        <v>10742</v>
      </c>
      <c r="B1668" t="s">
        <v>10743</v>
      </c>
      <c r="I1668" t="s">
        <v>10744</v>
      </c>
      <c r="J1668" s="3">
        <v>-4.5783589999999999E-2</v>
      </c>
      <c r="K1668" s="3">
        <v>0.13550780000000001</v>
      </c>
      <c r="L1668" s="3">
        <v>-0.22238150000000001</v>
      </c>
    </row>
    <row r="1669" spans="1:12" x14ac:dyDescent="0.25">
      <c r="A1669" t="s">
        <v>10739</v>
      </c>
      <c r="B1669" t="s">
        <v>10740</v>
      </c>
      <c r="I1669" t="s">
        <v>10741</v>
      </c>
      <c r="J1669" s="3">
        <v>0.45564130000000003</v>
      </c>
      <c r="K1669" s="3">
        <v>0.37485570000000001</v>
      </c>
      <c r="L1669" s="3">
        <v>0.16444529999999999</v>
      </c>
    </row>
    <row r="1670" spans="1:12" x14ac:dyDescent="0.25">
      <c r="A1670" t="s">
        <v>10736</v>
      </c>
      <c r="B1670" t="s">
        <v>10737</v>
      </c>
      <c r="I1670" t="s">
        <v>10738</v>
      </c>
      <c r="J1670" s="3">
        <v>4.7343109999999997E-3</v>
      </c>
      <c r="K1670" s="3">
        <v>-0.32077159999999999</v>
      </c>
      <c r="L1670" s="3">
        <v>6.7212480000000005E-2</v>
      </c>
    </row>
    <row r="1671" spans="1:12" x14ac:dyDescent="0.25">
      <c r="A1671" t="s">
        <v>10733</v>
      </c>
      <c r="B1671" t="s">
        <v>10734</v>
      </c>
      <c r="I1671" t="s">
        <v>10735</v>
      </c>
      <c r="J1671" s="3">
        <v>-4.2119950000000003E-2</v>
      </c>
      <c r="K1671" s="3">
        <v>-0.83773249999999999</v>
      </c>
      <c r="L1671" s="3">
        <v>-0.1461799</v>
      </c>
    </row>
    <row r="1672" spans="1:12" x14ac:dyDescent="0.25">
      <c r="A1672" t="s">
        <v>10730</v>
      </c>
      <c r="B1672" t="s">
        <v>10731</v>
      </c>
      <c r="I1672" t="s">
        <v>10732</v>
      </c>
      <c r="J1672" s="3">
        <v>0.1021841</v>
      </c>
      <c r="K1672" s="3">
        <v>-0.17143600000000001</v>
      </c>
      <c r="L1672" s="3">
        <v>0.3286694</v>
      </c>
    </row>
    <row r="1673" spans="1:12" x14ac:dyDescent="0.25">
      <c r="A1673" t="s">
        <v>10727</v>
      </c>
      <c r="B1673" t="s">
        <v>10728</v>
      </c>
      <c r="I1673" t="s">
        <v>10729</v>
      </c>
      <c r="J1673" s="3">
        <v>-0.18452650000000001</v>
      </c>
      <c r="K1673" s="3">
        <v>-0.27486909999999998</v>
      </c>
      <c r="L1673" s="3">
        <v>-0.22637579999999999</v>
      </c>
    </row>
    <row r="1674" spans="1:12" x14ac:dyDescent="0.25">
      <c r="A1674" t="s">
        <v>10724</v>
      </c>
      <c r="B1674" t="s">
        <v>10725</v>
      </c>
      <c r="I1674" t="s">
        <v>10726</v>
      </c>
      <c r="J1674" s="3">
        <v>-5.3370979999999998E-2</v>
      </c>
      <c r="K1674" s="3">
        <v>-2.9426709999999998E-2</v>
      </c>
      <c r="L1674" s="3">
        <v>-9.5282320000000004E-2</v>
      </c>
    </row>
    <row r="1675" spans="1:12" x14ac:dyDescent="0.25">
      <c r="A1675" t="s">
        <v>9420</v>
      </c>
      <c r="B1675" t="s">
        <v>9421</v>
      </c>
      <c r="I1675" t="s">
        <v>10723</v>
      </c>
      <c r="J1675" s="3">
        <v>1.193085</v>
      </c>
      <c r="K1675" s="3">
        <v>0.53553229999999996</v>
      </c>
      <c r="L1675" s="3">
        <v>0.77826289999999998</v>
      </c>
    </row>
    <row r="1676" spans="1:12" x14ac:dyDescent="0.25">
      <c r="A1676" t="s">
        <v>9417</v>
      </c>
      <c r="B1676" t="s">
        <v>9418</v>
      </c>
      <c r="I1676" t="s">
        <v>9419</v>
      </c>
      <c r="J1676" s="3">
        <v>1.2940179999999999</v>
      </c>
      <c r="K1676" s="3">
        <v>1.3046469999999999</v>
      </c>
      <c r="L1676" s="3">
        <v>1.1236330000000001</v>
      </c>
    </row>
    <row r="1677" spans="1:12" x14ac:dyDescent="0.25">
      <c r="A1677" t="s">
        <v>9414</v>
      </c>
      <c r="B1677" t="s">
        <v>9415</v>
      </c>
      <c r="I1677" t="s">
        <v>9416</v>
      </c>
      <c r="J1677" s="3">
        <v>0.32203700000000002</v>
      </c>
      <c r="K1677" s="3">
        <v>-1.0590249999999999E-3</v>
      </c>
      <c r="L1677" s="3">
        <v>-0.3338873</v>
      </c>
    </row>
    <row r="1678" spans="1:12" x14ac:dyDescent="0.25">
      <c r="A1678" t="s">
        <v>9412</v>
      </c>
      <c r="B1678" t="s">
        <v>957</v>
      </c>
      <c r="I1678" t="s">
        <v>9413</v>
      </c>
      <c r="J1678" s="3">
        <v>0.21317169999999999</v>
      </c>
      <c r="K1678" s="3">
        <v>-0.47597149999999999</v>
      </c>
      <c r="L1678" s="3">
        <v>6.8578390000000003E-2</v>
      </c>
    </row>
    <row r="1679" spans="1:12" x14ac:dyDescent="0.25">
      <c r="A1679" t="s">
        <v>9409</v>
      </c>
      <c r="B1679" t="s">
        <v>9410</v>
      </c>
      <c r="I1679" t="s">
        <v>9411</v>
      </c>
      <c r="J1679" s="3">
        <v>-0.30593219999999999</v>
      </c>
      <c r="K1679" s="3">
        <v>-0.52810590000000002</v>
      </c>
      <c r="L1679" s="3">
        <v>-0.41457690000000003</v>
      </c>
    </row>
    <row r="1680" spans="1:12" x14ac:dyDescent="0.25">
      <c r="A1680" t="s">
        <v>9406</v>
      </c>
      <c r="B1680" t="s">
        <v>9407</v>
      </c>
      <c r="I1680" t="s">
        <v>9408</v>
      </c>
      <c r="J1680" s="3">
        <v>-0.1039327</v>
      </c>
      <c r="K1680" s="3">
        <v>-7.2783239999999999E-2</v>
      </c>
      <c r="L1680" s="3">
        <v>0.14449699999999999</v>
      </c>
    </row>
    <row r="1681" spans="1:12" x14ac:dyDescent="0.25">
      <c r="A1681" t="s">
        <v>9403</v>
      </c>
      <c r="B1681" t="s">
        <v>9404</v>
      </c>
      <c r="I1681" t="s">
        <v>9405</v>
      </c>
      <c r="J1681" s="3">
        <v>-0.1683048</v>
      </c>
      <c r="K1681" s="3">
        <v>-0.52075970000000005</v>
      </c>
      <c r="L1681" s="3">
        <v>-6.9829340000000004E-2</v>
      </c>
    </row>
    <row r="1682" spans="1:12" x14ac:dyDescent="0.25">
      <c r="A1682" t="s">
        <v>9400</v>
      </c>
      <c r="B1682" t="s">
        <v>9401</v>
      </c>
      <c r="I1682" t="s">
        <v>9402</v>
      </c>
      <c r="J1682" s="3">
        <v>0.12577559999999999</v>
      </c>
      <c r="K1682" s="3">
        <v>0.26058969999999998</v>
      </c>
      <c r="L1682" s="3">
        <v>0.29769119999999999</v>
      </c>
    </row>
    <row r="1683" spans="1:12" x14ac:dyDescent="0.25">
      <c r="A1683" t="s">
        <v>9399</v>
      </c>
      <c r="B1683" t="s">
        <v>957</v>
      </c>
      <c r="I1683" t="s">
        <v>455</v>
      </c>
      <c r="J1683" s="3">
        <v>4.8939459999999997E-2</v>
      </c>
      <c r="K1683" s="3">
        <v>0.27665590000000001</v>
      </c>
      <c r="L1683" s="3">
        <v>-9.261279E-2</v>
      </c>
    </row>
    <row r="1684" spans="1:12" x14ac:dyDescent="0.25">
      <c r="A1684" t="s">
        <v>9396</v>
      </c>
      <c r="B1684" t="s">
        <v>9397</v>
      </c>
      <c r="I1684" t="s">
        <v>9398</v>
      </c>
      <c r="J1684" s="3">
        <v>-2.8492239999999999E-2</v>
      </c>
      <c r="K1684" s="3">
        <v>0.16980229999999999</v>
      </c>
      <c r="L1684" s="3">
        <v>-4.1510999999999999E-2</v>
      </c>
    </row>
    <row r="1685" spans="1:12" x14ac:dyDescent="0.25">
      <c r="A1685" t="s">
        <v>9395</v>
      </c>
      <c r="B1685" t="s">
        <v>957</v>
      </c>
      <c r="I1685" t="s">
        <v>156</v>
      </c>
      <c r="J1685" s="3">
        <v>0.40855829999999999</v>
      </c>
      <c r="K1685" s="3">
        <v>0.49009829999999999</v>
      </c>
      <c r="L1685" s="3">
        <v>0.32230160000000002</v>
      </c>
    </row>
    <row r="1686" spans="1:12" x14ac:dyDescent="0.25">
      <c r="A1686" t="s">
        <v>9393</v>
      </c>
      <c r="B1686" t="s">
        <v>957</v>
      </c>
      <c r="I1686" t="s">
        <v>9394</v>
      </c>
      <c r="J1686" s="3">
        <v>0.10787579999999999</v>
      </c>
      <c r="K1686" s="3">
        <v>-0.1679447</v>
      </c>
      <c r="L1686" s="3">
        <v>-1.0443859999999999E-2</v>
      </c>
    </row>
    <row r="1687" spans="1:12" x14ac:dyDescent="0.25">
      <c r="A1687" t="s">
        <v>9391</v>
      </c>
      <c r="B1687" t="s">
        <v>957</v>
      </c>
      <c r="I1687" t="s">
        <v>9392</v>
      </c>
      <c r="J1687" s="3">
        <v>0.12981619999999999</v>
      </c>
      <c r="K1687" s="3">
        <v>0.25591609999999998</v>
      </c>
      <c r="L1687" s="3">
        <v>0.28651599999999999</v>
      </c>
    </row>
    <row r="1688" spans="1:12" x14ac:dyDescent="0.25">
      <c r="A1688" t="s">
        <v>10399</v>
      </c>
      <c r="B1688" t="s">
        <v>10400</v>
      </c>
      <c r="I1688" t="s">
        <v>9390</v>
      </c>
      <c r="J1688" s="3">
        <v>-0.18909490000000001</v>
      </c>
      <c r="K1688" s="3">
        <v>-3.8237529999999999E-2</v>
      </c>
      <c r="L1688" s="3">
        <v>3.7182229999999997E-2</v>
      </c>
    </row>
    <row r="1689" spans="1:12" x14ac:dyDescent="0.25">
      <c r="A1689" t="s">
        <v>10398</v>
      </c>
      <c r="B1689" t="s">
        <v>957</v>
      </c>
      <c r="I1689" t="s">
        <v>823</v>
      </c>
      <c r="J1689" s="3">
        <v>-0.157639</v>
      </c>
      <c r="K1689" s="3">
        <v>-0.95744390000000001</v>
      </c>
      <c r="L1689" s="3">
        <v>-0.1047799</v>
      </c>
    </row>
    <row r="1690" spans="1:12" x14ac:dyDescent="0.25">
      <c r="A1690" t="s">
        <v>10395</v>
      </c>
      <c r="B1690" t="s">
        <v>10396</v>
      </c>
      <c r="I1690" t="s">
        <v>10397</v>
      </c>
      <c r="J1690" s="3">
        <v>0.27787020000000001</v>
      </c>
      <c r="K1690" s="3">
        <v>0.37921159999999998</v>
      </c>
      <c r="L1690" s="3">
        <v>-2.2842980000000001E-3</v>
      </c>
    </row>
    <row r="1691" spans="1:12" x14ac:dyDescent="0.25">
      <c r="A1691" t="s">
        <v>10393</v>
      </c>
      <c r="B1691" t="s">
        <v>10394</v>
      </c>
      <c r="I1691" t="s">
        <v>5920</v>
      </c>
      <c r="J1691" s="3">
        <v>0.15306429999999999</v>
      </c>
      <c r="K1691" s="3">
        <v>-0.51050490000000004</v>
      </c>
      <c r="L1691" s="3">
        <v>1.1436099999999999E-2</v>
      </c>
    </row>
    <row r="1692" spans="1:12" x14ac:dyDescent="0.25">
      <c r="A1692" t="s">
        <v>10392</v>
      </c>
      <c r="B1692" t="s">
        <v>957</v>
      </c>
      <c r="I1692" t="s">
        <v>455</v>
      </c>
      <c r="J1692" s="3">
        <v>-0.60393070000000004</v>
      </c>
      <c r="K1692" s="3">
        <v>-1.2968459999999999</v>
      </c>
      <c r="L1692" s="3">
        <v>-0.57527090000000003</v>
      </c>
    </row>
    <row r="1693" spans="1:12" x14ac:dyDescent="0.25">
      <c r="A1693" t="s">
        <v>10389</v>
      </c>
      <c r="B1693" t="s">
        <v>10390</v>
      </c>
      <c r="I1693" t="s">
        <v>10391</v>
      </c>
      <c r="J1693" s="3">
        <v>-0.27569539999999998</v>
      </c>
      <c r="K1693" s="3">
        <v>-0.60034739999999998</v>
      </c>
      <c r="L1693" s="3">
        <v>-0.30521599999999999</v>
      </c>
    </row>
    <row r="1694" spans="1:12" x14ac:dyDescent="0.25">
      <c r="A1694" t="s">
        <v>10388</v>
      </c>
      <c r="B1694" t="s">
        <v>957</v>
      </c>
      <c r="I1694" t="s">
        <v>455</v>
      </c>
      <c r="J1694" s="3">
        <v>-0.12691379999999999</v>
      </c>
      <c r="K1694" s="3">
        <v>0.233902</v>
      </c>
      <c r="L1694" s="3">
        <v>3.4295899999999997E-2</v>
      </c>
    </row>
    <row r="1695" spans="1:12" x14ac:dyDescent="0.25">
      <c r="A1695" t="s">
        <v>10387</v>
      </c>
      <c r="B1695" t="s">
        <v>957</v>
      </c>
      <c r="I1695" t="s">
        <v>455</v>
      </c>
      <c r="J1695" s="3">
        <v>-0.9405095</v>
      </c>
      <c r="K1695" s="3">
        <v>-2.5975450000000001E-2</v>
      </c>
      <c r="L1695" s="3">
        <v>-0.31741200000000003</v>
      </c>
    </row>
    <row r="1696" spans="1:12" x14ac:dyDescent="0.25">
      <c r="A1696" t="s">
        <v>10385</v>
      </c>
      <c r="B1696" t="s">
        <v>10386</v>
      </c>
      <c r="I1696" t="s">
        <v>3798</v>
      </c>
      <c r="J1696" s="3">
        <v>0.91147999999999996</v>
      </c>
      <c r="K1696" s="3">
        <v>4.2552890000000003</v>
      </c>
      <c r="L1696" s="3">
        <v>0.61616890000000002</v>
      </c>
    </row>
    <row r="1697" spans="1:12" x14ac:dyDescent="0.25">
      <c r="A1697" t="s">
        <v>10384</v>
      </c>
      <c r="B1697" t="s">
        <v>957</v>
      </c>
      <c r="I1697" t="s">
        <v>455</v>
      </c>
      <c r="J1697" s="3">
        <v>9.3129359999999994E-2</v>
      </c>
      <c r="K1697" s="3">
        <v>0.62757070000000004</v>
      </c>
      <c r="L1697" s="3">
        <v>0.26473400000000002</v>
      </c>
    </row>
    <row r="1698" spans="1:12" x14ac:dyDescent="0.25">
      <c r="A1698" t="s">
        <v>10381</v>
      </c>
      <c r="B1698" t="s">
        <v>10382</v>
      </c>
      <c r="I1698" t="s">
        <v>10383</v>
      </c>
      <c r="J1698" s="3">
        <v>-7.3076069999999998E-3</v>
      </c>
      <c r="K1698" s="3">
        <v>1.7564519999999999</v>
      </c>
      <c r="L1698" s="3">
        <v>0.13606180000000001</v>
      </c>
    </row>
    <row r="1699" spans="1:12" x14ac:dyDescent="0.25">
      <c r="A1699" t="s">
        <v>10378</v>
      </c>
      <c r="B1699" t="s">
        <v>10379</v>
      </c>
      <c r="I1699" t="s">
        <v>10380</v>
      </c>
      <c r="J1699" s="3">
        <v>-7.9113389999999999E-3</v>
      </c>
      <c r="K1699" s="3">
        <v>0.46281600000000001</v>
      </c>
      <c r="L1699" s="3">
        <v>-0.15807099999999999</v>
      </c>
    </row>
    <row r="1700" spans="1:12" x14ac:dyDescent="0.25">
      <c r="A1700" t="s">
        <v>10376</v>
      </c>
      <c r="B1700" t="s">
        <v>14179</v>
      </c>
      <c r="C1700" t="s">
        <v>14180</v>
      </c>
      <c r="I1700" t="s">
        <v>10377</v>
      </c>
      <c r="J1700" s="3">
        <v>0.29082249999999998</v>
      </c>
      <c r="K1700" s="3">
        <v>-0.20319180000000001</v>
      </c>
      <c r="L1700" s="3">
        <v>0.5087159</v>
      </c>
    </row>
    <row r="1701" spans="1:12" x14ac:dyDescent="0.25">
      <c r="A1701" t="s">
        <v>9343</v>
      </c>
      <c r="B1701" t="s">
        <v>14181</v>
      </c>
      <c r="C1701" t="s">
        <v>14182</v>
      </c>
      <c r="I1701" t="s">
        <v>10375</v>
      </c>
      <c r="J1701" s="3">
        <v>0.38119409999999998</v>
      </c>
      <c r="K1701" s="3">
        <v>0.37033339999999998</v>
      </c>
      <c r="L1701" s="3">
        <v>0.40265630000000002</v>
      </c>
    </row>
    <row r="1702" spans="1:12" x14ac:dyDescent="0.25">
      <c r="A1702" t="s">
        <v>9342</v>
      </c>
      <c r="B1702" t="s">
        <v>957</v>
      </c>
      <c r="I1702" t="s">
        <v>205</v>
      </c>
      <c r="J1702" s="3">
        <v>0.13529340000000001</v>
      </c>
      <c r="K1702" s="3">
        <v>1.5278560000000001</v>
      </c>
      <c r="L1702" s="3">
        <v>0.190415</v>
      </c>
    </row>
    <row r="1703" spans="1:12" x14ac:dyDescent="0.25">
      <c r="A1703" t="s">
        <v>9340</v>
      </c>
      <c r="B1703" t="s">
        <v>14183</v>
      </c>
      <c r="C1703" t="s">
        <v>14184</v>
      </c>
      <c r="D1703" t="s">
        <v>14185</v>
      </c>
      <c r="I1703" t="s">
        <v>9341</v>
      </c>
      <c r="J1703" s="3">
        <v>0.1288021</v>
      </c>
      <c r="K1703" s="3">
        <v>0.43330089999999999</v>
      </c>
      <c r="L1703" s="3">
        <v>0.26633430000000002</v>
      </c>
    </row>
    <row r="1704" spans="1:12" x14ac:dyDescent="0.25">
      <c r="A1704" t="s">
        <v>9339</v>
      </c>
      <c r="B1704" t="s">
        <v>14102</v>
      </c>
      <c r="C1704" t="s">
        <v>14104</v>
      </c>
      <c r="D1704" t="s">
        <v>14105</v>
      </c>
      <c r="E1704" t="s">
        <v>14106</v>
      </c>
      <c r="F1704" t="s">
        <v>14107</v>
      </c>
      <c r="G1704" t="s">
        <v>14108</v>
      </c>
      <c r="I1704" t="s">
        <v>3989</v>
      </c>
      <c r="J1704" s="3">
        <v>-7.9693040000000007E-2</v>
      </c>
      <c r="K1704" s="3">
        <v>-0.45360460000000002</v>
      </c>
      <c r="L1704" s="3">
        <v>0.13645699999999999</v>
      </c>
    </row>
    <row r="1705" spans="1:12" x14ac:dyDescent="0.25">
      <c r="A1705" t="s">
        <v>9337</v>
      </c>
      <c r="B1705" t="s">
        <v>14102</v>
      </c>
      <c r="C1705" t="s">
        <v>14104</v>
      </c>
      <c r="D1705" t="s">
        <v>14105</v>
      </c>
      <c r="E1705" t="s">
        <v>14106</v>
      </c>
      <c r="F1705" t="s">
        <v>14107</v>
      </c>
      <c r="G1705" t="s">
        <v>14108</v>
      </c>
      <c r="I1705" t="s">
        <v>9338</v>
      </c>
      <c r="J1705" s="3">
        <v>-9.2524480000000006E-2</v>
      </c>
      <c r="K1705" s="3">
        <v>-0.38224059999999999</v>
      </c>
      <c r="L1705" s="3">
        <v>0.18186279999999999</v>
      </c>
    </row>
    <row r="1706" spans="1:12" x14ac:dyDescent="0.25">
      <c r="A1706" t="s">
        <v>9336</v>
      </c>
      <c r="B1706" t="s">
        <v>957</v>
      </c>
      <c r="I1706" t="s">
        <v>455</v>
      </c>
      <c r="J1706" s="3">
        <v>0.23501749999999999</v>
      </c>
      <c r="K1706" s="3">
        <v>0.14745349999999999</v>
      </c>
      <c r="L1706" s="3">
        <v>-4.1457590000000002E-2</v>
      </c>
    </row>
    <row r="1707" spans="1:12" x14ac:dyDescent="0.25">
      <c r="A1707" t="s">
        <v>9335</v>
      </c>
      <c r="B1707" t="s">
        <v>957</v>
      </c>
      <c r="I1707" t="s">
        <v>455</v>
      </c>
      <c r="J1707" s="3">
        <v>-0.21312639999999999</v>
      </c>
      <c r="K1707" s="3">
        <v>-0.47619460000000002</v>
      </c>
      <c r="L1707" s="3">
        <v>-0.1127953</v>
      </c>
    </row>
    <row r="1708" spans="1:12" x14ac:dyDescent="0.25">
      <c r="A1708" t="s">
        <v>9332</v>
      </c>
      <c r="B1708" t="s">
        <v>9333</v>
      </c>
      <c r="I1708" t="s">
        <v>9334</v>
      </c>
      <c r="J1708" s="3">
        <v>-0.38223000000000001</v>
      </c>
      <c r="K1708" s="3">
        <v>-0.97749180000000002</v>
      </c>
      <c r="L1708" s="3">
        <v>-5.7673849999999999E-2</v>
      </c>
    </row>
    <row r="1709" spans="1:12" x14ac:dyDescent="0.25">
      <c r="A1709" t="s">
        <v>9329</v>
      </c>
      <c r="B1709" t="s">
        <v>9330</v>
      </c>
      <c r="I1709" t="s">
        <v>9331</v>
      </c>
      <c r="J1709" s="3">
        <v>-0.40141179999999999</v>
      </c>
      <c r="K1709" s="3">
        <v>-0.49095670000000002</v>
      </c>
      <c r="L1709" s="3">
        <v>-0.42281210000000002</v>
      </c>
    </row>
    <row r="1710" spans="1:12" x14ac:dyDescent="0.25">
      <c r="A1710" t="s">
        <v>9326</v>
      </c>
      <c r="B1710" t="s">
        <v>9327</v>
      </c>
      <c r="I1710" t="s">
        <v>9328</v>
      </c>
      <c r="J1710" s="3">
        <v>0.64657399999999998</v>
      </c>
      <c r="K1710" s="3">
        <v>3.1385179999999999E-2</v>
      </c>
      <c r="L1710" s="3">
        <v>0.71989729999999996</v>
      </c>
    </row>
    <row r="1711" spans="1:12" x14ac:dyDescent="0.25">
      <c r="A1711" t="s">
        <v>9323</v>
      </c>
      <c r="B1711" t="s">
        <v>9324</v>
      </c>
      <c r="I1711" t="s">
        <v>9325</v>
      </c>
      <c r="J1711" s="3">
        <v>-0.44133820000000001</v>
      </c>
      <c r="K1711" s="3">
        <v>-0.91988420000000004</v>
      </c>
      <c r="L1711" s="3">
        <v>-0.2610961</v>
      </c>
    </row>
    <row r="1712" spans="1:12" x14ac:dyDescent="0.25">
      <c r="A1712" t="s">
        <v>9320</v>
      </c>
      <c r="B1712" t="s">
        <v>9321</v>
      </c>
      <c r="I1712" t="s">
        <v>9322</v>
      </c>
      <c r="J1712" s="3">
        <v>0.19011220000000001</v>
      </c>
      <c r="K1712" s="3">
        <v>0.4092807</v>
      </c>
      <c r="L1712" s="3">
        <v>0.1079768</v>
      </c>
    </row>
    <row r="1713" spans="1:12" x14ac:dyDescent="0.25">
      <c r="A1713" t="s">
        <v>9319</v>
      </c>
      <c r="B1713" t="s">
        <v>957</v>
      </c>
      <c r="I1713" t="s">
        <v>455</v>
      </c>
      <c r="J1713" s="3">
        <v>0.33587879999999998</v>
      </c>
      <c r="K1713" s="3">
        <v>0.21496499999999999</v>
      </c>
      <c r="L1713" s="3">
        <v>0.4133695</v>
      </c>
    </row>
    <row r="1714" spans="1:12" x14ac:dyDescent="0.25">
      <c r="A1714" t="s">
        <v>9318</v>
      </c>
      <c r="B1714" t="s">
        <v>957</v>
      </c>
      <c r="I1714" t="s">
        <v>455</v>
      </c>
      <c r="J1714" s="3">
        <v>-0.5471087</v>
      </c>
      <c r="K1714" s="3">
        <v>-0.59860329999999995</v>
      </c>
      <c r="L1714" s="3">
        <v>-0.38978629999999997</v>
      </c>
    </row>
    <row r="1715" spans="1:12" x14ac:dyDescent="0.25">
      <c r="A1715" t="s">
        <v>9315</v>
      </c>
      <c r="B1715" t="s">
        <v>9316</v>
      </c>
      <c r="I1715" t="s">
        <v>9317</v>
      </c>
      <c r="J1715" s="3">
        <v>-8.8684349999999995E-2</v>
      </c>
      <c r="K1715" s="3">
        <v>-0.40954689999999999</v>
      </c>
      <c r="L1715" s="3">
        <v>0.1106598</v>
      </c>
    </row>
    <row r="1716" spans="1:12" x14ac:dyDescent="0.25">
      <c r="A1716" t="s">
        <v>9312</v>
      </c>
      <c r="B1716" t="s">
        <v>9313</v>
      </c>
      <c r="I1716" t="s">
        <v>9314</v>
      </c>
      <c r="J1716" s="3">
        <v>-0.38296609999999998</v>
      </c>
      <c r="K1716" s="3">
        <v>-0.32850420000000002</v>
      </c>
      <c r="L1716" s="3">
        <v>-0.26903729999999998</v>
      </c>
    </row>
    <row r="1717" spans="1:12" x14ac:dyDescent="0.25">
      <c r="A1717" t="s">
        <v>9309</v>
      </c>
      <c r="B1717" t="s">
        <v>9310</v>
      </c>
      <c r="I1717" t="s">
        <v>9311</v>
      </c>
      <c r="J1717" s="3">
        <v>0.15564910000000001</v>
      </c>
      <c r="K1717" s="3">
        <v>-0.48801850000000002</v>
      </c>
      <c r="L1717" s="3">
        <v>7.6984620000000004E-2</v>
      </c>
    </row>
    <row r="1718" spans="1:12" x14ac:dyDescent="0.25">
      <c r="A1718" t="s">
        <v>9308</v>
      </c>
      <c r="B1718" t="s">
        <v>957</v>
      </c>
      <c r="I1718" t="s">
        <v>455</v>
      </c>
      <c r="J1718" s="3">
        <v>-0.9752151</v>
      </c>
      <c r="K1718" s="3">
        <v>-1.42276</v>
      </c>
      <c r="L1718" s="3">
        <v>-0.57844799999999996</v>
      </c>
    </row>
    <row r="1719" spans="1:12" x14ac:dyDescent="0.25">
      <c r="A1719" t="s">
        <v>9307</v>
      </c>
      <c r="B1719" t="s">
        <v>957</v>
      </c>
      <c r="I1719" t="s">
        <v>455</v>
      </c>
      <c r="J1719" s="3">
        <v>2.924945E-2</v>
      </c>
      <c r="K1719" s="3">
        <v>1.4323809999999999E-2</v>
      </c>
      <c r="L1719" s="3">
        <v>-6.4368159999999994E-2</v>
      </c>
    </row>
    <row r="1720" spans="1:12" x14ac:dyDescent="0.25">
      <c r="A1720" t="s">
        <v>9306</v>
      </c>
      <c r="B1720" t="s">
        <v>957</v>
      </c>
      <c r="I1720" t="s">
        <v>1973</v>
      </c>
      <c r="J1720" s="3">
        <v>0.1719291</v>
      </c>
      <c r="K1720" s="3">
        <v>0.85773949999999999</v>
      </c>
      <c r="L1720" s="3">
        <v>7.0257769999999997E-2</v>
      </c>
    </row>
    <row r="1721" spans="1:12" x14ac:dyDescent="0.25">
      <c r="A1721" t="s">
        <v>9303</v>
      </c>
      <c r="B1721" t="s">
        <v>9304</v>
      </c>
      <c r="I1721" t="s">
        <v>9305</v>
      </c>
      <c r="J1721" s="3">
        <v>-0.29792950000000001</v>
      </c>
      <c r="K1721" s="3">
        <v>-0.62121870000000001</v>
      </c>
      <c r="L1721" s="3">
        <v>-0.2839603</v>
      </c>
    </row>
    <row r="1722" spans="1:12" x14ac:dyDescent="0.25">
      <c r="A1722" t="s">
        <v>9300</v>
      </c>
      <c r="B1722" t="s">
        <v>9301</v>
      </c>
      <c r="I1722" t="s">
        <v>9302</v>
      </c>
      <c r="J1722" s="3">
        <v>0.50883750000000005</v>
      </c>
      <c r="K1722" s="3">
        <v>-0.18879380000000001</v>
      </c>
      <c r="L1722" s="3">
        <v>0.32078190000000001</v>
      </c>
    </row>
    <row r="1723" spans="1:12" x14ac:dyDescent="0.25">
      <c r="A1723" t="s">
        <v>9297</v>
      </c>
      <c r="B1723" t="s">
        <v>9298</v>
      </c>
      <c r="I1723" t="s">
        <v>9299</v>
      </c>
      <c r="J1723" s="3">
        <v>-0.10744769999999999</v>
      </c>
      <c r="K1723" s="3">
        <v>0.14854980000000001</v>
      </c>
      <c r="L1723" s="3">
        <v>0.55744890000000002</v>
      </c>
    </row>
    <row r="1724" spans="1:12" x14ac:dyDescent="0.25">
      <c r="A1724" t="s">
        <v>9296</v>
      </c>
      <c r="B1724" t="s">
        <v>957</v>
      </c>
      <c r="I1724" t="s">
        <v>455</v>
      </c>
      <c r="J1724" s="3">
        <v>-0.23478189999999999</v>
      </c>
      <c r="K1724" s="3">
        <v>-0.86705750000000004</v>
      </c>
      <c r="L1724" s="3">
        <v>-0.1849441</v>
      </c>
    </row>
    <row r="1725" spans="1:12" x14ac:dyDescent="0.25">
      <c r="A1725" t="s">
        <v>9295</v>
      </c>
      <c r="B1725" t="s">
        <v>957</v>
      </c>
      <c r="I1725" t="s">
        <v>455</v>
      </c>
      <c r="J1725" s="3">
        <v>-6.5286029999999995E-2</v>
      </c>
      <c r="K1725" s="3">
        <v>2.9528189999999999E-2</v>
      </c>
      <c r="L1725" s="3">
        <v>-5.1597749999999998E-2</v>
      </c>
    </row>
    <row r="1726" spans="1:12" x14ac:dyDescent="0.25">
      <c r="A1726" t="s">
        <v>9294</v>
      </c>
      <c r="B1726" t="s">
        <v>957</v>
      </c>
      <c r="I1726" t="s">
        <v>455</v>
      </c>
      <c r="J1726" s="3">
        <v>-0.53284549999999997</v>
      </c>
      <c r="K1726" s="3">
        <v>0.62994989999999995</v>
      </c>
      <c r="L1726" s="3">
        <v>0.12238549999999999</v>
      </c>
    </row>
    <row r="1727" spans="1:12" x14ac:dyDescent="0.25">
      <c r="A1727" t="s">
        <v>9291</v>
      </c>
      <c r="B1727" t="s">
        <v>9292</v>
      </c>
      <c r="I1727" t="s">
        <v>9293</v>
      </c>
      <c r="J1727" s="3">
        <v>0.50802809999999998</v>
      </c>
      <c r="K1727" s="3">
        <v>-0.2665382</v>
      </c>
      <c r="L1727" s="3">
        <v>0.63633799999999996</v>
      </c>
    </row>
    <row r="1728" spans="1:12" x14ac:dyDescent="0.25">
      <c r="A1728" t="s">
        <v>9288</v>
      </c>
      <c r="B1728" t="s">
        <v>9289</v>
      </c>
      <c r="I1728" t="s">
        <v>9290</v>
      </c>
      <c r="J1728" s="3">
        <v>0.30444359999999998</v>
      </c>
      <c r="K1728" s="3">
        <v>0.79931079999999999</v>
      </c>
      <c r="L1728" s="3">
        <v>0.44109569999999998</v>
      </c>
    </row>
    <row r="1729" spans="1:12" x14ac:dyDescent="0.25">
      <c r="A1729" t="s">
        <v>9285</v>
      </c>
      <c r="B1729" t="s">
        <v>9286</v>
      </c>
      <c r="I1729" t="s">
        <v>9287</v>
      </c>
      <c r="J1729" s="3">
        <v>-0.16520789999999999</v>
      </c>
      <c r="K1729" s="3">
        <v>0.62702800000000003</v>
      </c>
      <c r="L1729" s="3">
        <v>-0.56741470000000005</v>
      </c>
    </row>
    <row r="1730" spans="1:12" x14ac:dyDescent="0.25">
      <c r="A1730" t="s">
        <v>9282</v>
      </c>
      <c r="B1730" t="s">
        <v>9283</v>
      </c>
      <c r="I1730" t="s">
        <v>9284</v>
      </c>
      <c r="J1730" s="3">
        <v>-0.33801870000000001</v>
      </c>
      <c r="K1730" s="3">
        <v>-8.7824730000000004E-2</v>
      </c>
      <c r="L1730" s="3">
        <v>-0.21036479999999999</v>
      </c>
    </row>
    <row r="1731" spans="1:12" x14ac:dyDescent="0.25">
      <c r="A1731" t="s">
        <v>9279</v>
      </c>
      <c r="B1731" t="s">
        <v>9280</v>
      </c>
      <c r="I1731" t="s">
        <v>9281</v>
      </c>
      <c r="J1731" s="3">
        <v>0.1173478</v>
      </c>
      <c r="K1731" s="3">
        <v>6.4974580000000004E-2</v>
      </c>
      <c r="L1731" s="3">
        <v>0.20856959999999999</v>
      </c>
    </row>
    <row r="1732" spans="1:12" x14ac:dyDescent="0.25">
      <c r="A1732" t="s">
        <v>9276</v>
      </c>
      <c r="B1732" t="s">
        <v>9277</v>
      </c>
      <c r="I1732" t="s">
        <v>9278</v>
      </c>
      <c r="J1732" s="3">
        <v>-0.1595366</v>
      </c>
      <c r="K1732" s="3">
        <v>-0.52068820000000005</v>
      </c>
      <c r="L1732" s="3">
        <v>-0.33169539999999997</v>
      </c>
    </row>
    <row r="1733" spans="1:12" x14ac:dyDescent="0.25">
      <c r="A1733" t="s">
        <v>9275</v>
      </c>
      <c r="B1733" t="s">
        <v>957</v>
      </c>
      <c r="I1733" t="s">
        <v>455</v>
      </c>
      <c r="J1733" s="3">
        <v>-0.48944490000000002</v>
      </c>
      <c r="K1733" s="3">
        <v>-0.1001457</v>
      </c>
      <c r="L1733" s="3">
        <v>-0.1568997</v>
      </c>
    </row>
    <row r="1734" spans="1:12" x14ac:dyDescent="0.25">
      <c r="A1734" t="s">
        <v>9272</v>
      </c>
      <c r="B1734" t="s">
        <v>9273</v>
      </c>
      <c r="I1734" t="s">
        <v>9274</v>
      </c>
      <c r="J1734" s="3">
        <v>-0.38418400000000003</v>
      </c>
      <c r="K1734" s="3">
        <v>-0.88555899999999999</v>
      </c>
      <c r="L1734" s="3">
        <v>-0.27974959999999999</v>
      </c>
    </row>
    <row r="1735" spans="1:12" x14ac:dyDescent="0.25">
      <c r="A1735" t="s">
        <v>10263</v>
      </c>
      <c r="B1735" t="s">
        <v>10264</v>
      </c>
      <c r="I1735" t="s">
        <v>9271</v>
      </c>
      <c r="J1735" s="3">
        <v>5.3278569999999997E-2</v>
      </c>
      <c r="K1735" s="3">
        <v>5.1179170000000003E-2</v>
      </c>
      <c r="L1735" s="3">
        <v>-0.28232590000000002</v>
      </c>
    </row>
    <row r="1736" spans="1:12" x14ac:dyDescent="0.25">
      <c r="A1736" t="s">
        <v>10261</v>
      </c>
      <c r="B1736" t="s">
        <v>10262</v>
      </c>
      <c r="I1736" t="s">
        <v>7468</v>
      </c>
      <c r="J1736" s="3">
        <v>9.7104300000000005E-2</v>
      </c>
      <c r="K1736" s="3">
        <v>-0.30588510000000002</v>
      </c>
      <c r="L1736" s="3">
        <v>-9.2076119999999997E-2</v>
      </c>
    </row>
    <row r="1737" spans="1:12" x14ac:dyDescent="0.25">
      <c r="A1737" t="s">
        <v>10258</v>
      </c>
      <c r="B1737" t="s">
        <v>10259</v>
      </c>
      <c r="I1737" t="s">
        <v>10260</v>
      </c>
      <c r="J1737" s="3">
        <v>-4.1124859999999999E-2</v>
      </c>
      <c r="K1737" s="3">
        <v>0.61041809999999996</v>
      </c>
      <c r="L1737" s="3">
        <v>-6.121535E-3</v>
      </c>
    </row>
    <row r="1738" spans="1:12" x14ac:dyDescent="0.25">
      <c r="A1738" t="s">
        <v>10255</v>
      </c>
      <c r="B1738" t="s">
        <v>10256</v>
      </c>
      <c r="I1738" t="s">
        <v>10257</v>
      </c>
      <c r="J1738" s="3">
        <v>0.14483199999999999</v>
      </c>
      <c r="K1738" s="3">
        <v>3.9553110000000002E-2</v>
      </c>
      <c r="L1738" s="3">
        <v>0.19866349999999999</v>
      </c>
    </row>
    <row r="1739" spans="1:12" x14ac:dyDescent="0.25">
      <c r="A1739" t="s">
        <v>10254</v>
      </c>
      <c r="B1739" t="s">
        <v>14186</v>
      </c>
      <c r="C1739" t="s">
        <v>14187</v>
      </c>
      <c r="I1739" t="s">
        <v>7177</v>
      </c>
      <c r="J1739" s="3">
        <v>0.51814899999999997</v>
      </c>
      <c r="K1739" s="3">
        <v>0.5062873</v>
      </c>
      <c r="L1739" s="3">
        <v>0.47153450000000002</v>
      </c>
    </row>
    <row r="1740" spans="1:12" x14ac:dyDescent="0.25">
      <c r="A1740" t="s">
        <v>10253</v>
      </c>
      <c r="B1740" t="s">
        <v>957</v>
      </c>
      <c r="I1740" t="s">
        <v>455</v>
      </c>
      <c r="J1740" s="3">
        <v>0.51006269999999998</v>
      </c>
      <c r="K1740" s="3">
        <v>0.90698769999999995</v>
      </c>
      <c r="L1740" s="3">
        <v>0.34452300000000002</v>
      </c>
    </row>
    <row r="1741" spans="1:12" x14ac:dyDescent="0.25">
      <c r="A1741" t="s">
        <v>10250</v>
      </c>
      <c r="B1741" t="s">
        <v>10251</v>
      </c>
      <c r="I1741" t="s">
        <v>10252</v>
      </c>
      <c r="J1741" s="3">
        <v>0.45979989999999998</v>
      </c>
      <c r="K1741" s="3">
        <v>3.887053E-2</v>
      </c>
      <c r="L1741" s="3">
        <v>0.76251690000000005</v>
      </c>
    </row>
    <row r="1742" spans="1:12" x14ac:dyDescent="0.25">
      <c r="A1742" t="s">
        <v>10249</v>
      </c>
      <c r="B1742" t="s">
        <v>957</v>
      </c>
      <c r="I1742" t="s">
        <v>453</v>
      </c>
      <c r="J1742" s="3">
        <v>0.79571270000000005</v>
      </c>
      <c r="K1742" s="3">
        <v>0.64023200000000002</v>
      </c>
      <c r="L1742" s="3">
        <v>1.258229</v>
      </c>
    </row>
    <row r="1743" spans="1:12" x14ac:dyDescent="0.25">
      <c r="A1743" t="s">
        <v>10246</v>
      </c>
      <c r="B1743" t="s">
        <v>10247</v>
      </c>
      <c r="I1743" t="s">
        <v>10248</v>
      </c>
      <c r="J1743" s="3">
        <v>-0.66048819999999997</v>
      </c>
      <c r="K1743" s="3">
        <v>-0.92946450000000003</v>
      </c>
      <c r="L1743" s="3">
        <v>-0.55977440000000001</v>
      </c>
    </row>
    <row r="1744" spans="1:12" x14ac:dyDescent="0.25">
      <c r="A1744" t="s">
        <v>10243</v>
      </c>
      <c r="B1744" t="s">
        <v>10244</v>
      </c>
      <c r="I1744" t="s">
        <v>10245</v>
      </c>
      <c r="J1744" s="3">
        <v>-0.2412581</v>
      </c>
      <c r="K1744" s="3">
        <v>-0.71024290000000001</v>
      </c>
      <c r="L1744" s="3">
        <v>-0.46374110000000002</v>
      </c>
    </row>
    <row r="1745" spans="1:12" x14ac:dyDescent="0.25">
      <c r="A1745" t="s">
        <v>10242</v>
      </c>
      <c r="B1745" t="s">
        <v>957</v>
      </c>
      <c r="I1745" t="s">
        <v>455</v>
      </c>
      <c r="J1745" s="3">
        <v>-6.2144339999999999E-2</v>
      </c>
      <c r="K1745" s="3">
        <v>0.18863160000000001</v>
      </c>
      <c r="L1745" s="3">
        <v>4.8504129999999999E-2</v>
      </c>
    </row>
    <row r="1746" spans="1:12" x14ac:dyDescent="0.25">
      <c r="A1746" t="s">
        <v>10240</v>
      </c>
      <c r="B1746" t="s">
        <v>10241</v>
      </c>
      <c r="I1746" t="s">
        <v>1425</v>
      </c>
      <c r="J1746" s="3">
        <v>0.37201640000000002</v>
      </c>
      <c r="K1746" s="3">
        <v>-9.2409640000000001E-2</v>
      </c>
      <c r="L1746" s="3">
        <v>0.36516530000000003</v>
      </c>
    </row>
    <row r="1747" spans="1:12" x14ac:dyDescent="0.25">
      <c r="A1747" t="s">
        <v>10237</v>
      </c>
      <c r="B1747" t="s">
        <v>10238</v>
      </c>
      <c r="I1747" t="s">
        <v>10239</v>
      </c>
      <c r="J1747" s="3">
        <v>-0.3319452</v>
      </c>
      <c r="K1747" s="3">
        <v>-1.024019</v>
      </c>
      <c r="L1747" s="3">
        <v>-0.36260589999999998</v>
      </c>
    </row>
    <row r="1748" spans="1:12" x14ac:dyDescent="0.25">
      <c r="A1748" t="s">
        <v>10236</v>
      </c>
      <c r="B1748" t="s">
        <v>957</v>
      </c>
      <c r="I1748" t="s">
        <v>455</v>
      </c>
      <c r="J1748" s="3">
        <v>-0.13204389999999999</v>
      </c>
      <c r="K1748" s="3">
        <v>-0.35304809999999998</v>
      </c>
      <c r="L1748" s="3">
        <v>-4.7414919999999999E-3</v>
      </c>
    </row>
    <row r="1749" spans="1:12" x14ac:dyDescent="0.25">
      <c r="A1749" t="s">
        <v>10235</v>
      </c>
      <c r="B1749" t="s">
        <v>957</v>
      </c>
      <c r="I1749" t="s">
        <v>455</v>
      </c>
      <c r="J1749" s="3">
        <v>0.83865239999999996</v>
      </c>
      <c r="K1749" s="3">
        <v>8.9142559999999996E-2</v>
      </c>
      <c r="L1749" s="3">
        <v>0.43382100000000001</v>
      </c>
    </row>
    <row r="1750" spans="1:12" x14ac:dyDescent="0.25">
      <c r="A1750" t="s">
        <v>10232</v>
      </c>
      <c r="B1750" t="s">
        <v>10233</v>
      </c>
      <c r="I1750" t="s">
        <v>10234</v>
      </c>
      <c r="J1750" s="3">
        <v>-0.72510759999999996</v>
      </c>
      <c r="K1750" s="3">
        <v>-1.135802</v>
      </c>
      <c r="L1750" s="3">
        <v>-0.76682410000000001</v>
      </c>
    </row>
    <row r="1751" spans="1:12" x14ac:dyDescent="0.25">
      <c r="A1751" t="s">
        <v>9240</v>
      </c>
      <c r="B1751" t="s">
        <v>9241</v>
      </c>
      <c r="I1751" t="s">
        <v>10231</v>
      </c>
      <c r="J1751" s="3">
        <v>-5.8472280000000001E-2</v>
      </c>
      <c r="K1751" s="3">
        <v>-0.54260790000000003</v>
      </c>
      <c r="L1751" s="3">
        <v>-3.9990940000000003E-2</v>
      </c>
    </row>
    <row r="1752" spans="1:12" x14ac:dyDescent="0.25">
      <c r="A1752" t="s">
        <v>9239</v>
      </c>
      <c r="B1752" t="s">
        <v>957</v>
      </c>
      <c r="I1752" t="s">
        <v>2</v>
      </c>
      <c r="J1752" s="3">
        <v>-0.1623964</v>
      </c>
      <c r="K1752" s="3">
        <v>0.34019779999999999</v>
      </c>
      <c r="L1752" s="3">
        <v>-0.15983910000000001</v>
      </c>
    </row>
    <row r="1753" spans="1:12" x14ac:dyDescent="0.25">
      <c r="A1753" t="s">
        <v>9238</v>
      </c>
      <c r="B1753" t="s">
        <v>957</v>
      </c>
      <c r="I1753" t="s">
        <v>455</v>
      </c>
      <c r="J1753" s="3">
        <v>-0.26744669999999998</v>
      </c>
      <c r="K1753" s="3">
        <v>-0.55842499999999995</v>
      </c>
      <c r="L1753" s="3">
        <v>0.17260739999999999</v>
      </c>
    </row>
    <row r="1754" spans="1:12" x14ac:dyDescent="0.25">
      <c r="A1754" t="s">
        <v>9237</v>
      </c>
      <c r="B1754" t="s">
        <v>957</v>
      </c>
      <c r="I1754" t="s">
        <v>455</v>
      </c>
      <c r="J1754" s="3">
        <v>-0.1198784</v>
      </c>
      <c r="K1754" s="3">
        <v>0.1989426</v>
      </c>
      <c r="L1754" s="3">
        <v>6.6153260000000005E-2</v>
      </c>
    </row>
    <row r="1755" spans="1:12" x14ac:dyDescent="0.25">
      <c r="A1755" t="s">
        <v>9236</v>
      </c>
      <c r="B1755" t="s">
        <v>957</v>
      </c>
      <c r="I1755" t="s">
        <v>455</v>
      </c>
      <c r="J1755" s="3">
        <v>8.3580039999999994E-2</v>
      </c>
      <c r="K1755" s="3">
        <v>0.52656689999999995</v>
      </c>
      <c r="L1755" s="3">
        <v>2.4849690000000001E-2</v>
      </c>
    </row>
    <row r="1756" spans="1:12" x14ac:dyDescent="0.25">
      <c r="A1756" t="s">
        <v>9233</v>
      </c>
      <c r="B1756" t="s">
        <v>9234</v>
      </c>
      <c r="I1756" t="s">
        <v>9235</v>
      </c>
      <c r="J1756" s="3">
        <v>-0.25631569999999998</v>
      </c>
      <c r="K1756" s="3">
        <v>-0.9407027</v>
      </c>
      <c r="L1756" s="3">
        <v>-0.18738350000000001</v>
      </c>
    </row>
    <row r="1757" spans="1:12" x14ac:dyDescent="0.25">
      <c r="A1757" t="s">
        <v>9230</v>
      </c>
      <c r="B1757" t="s">
        <v>9231</v>
      </c>
      <c r="I1757" t="s">
        <v>9232</v>
      </c>
      <c r="J1757" s="3">
        <v>0.40267750000000002</v>
      </c>
      <c r="K1757" s="3">
        <v>1.059655</v>
      </c>
      <c r="L1757" s="3">
        <v>0.82629339999999996</v>
      </c>
    </row>
    <row r="1758" spans="1:12" x14ac:dyDescent="0.25">
      <c r="A1758" t="s">
        <v>9227</v>
      </c>
      <c r="B1758" t="s">
        <v>9228</v>
      </c>
      <c r="I1758" t="s">
        <v>9229</v>
      </c>
      <c r="J1758" s="3">
        <v>-0.1497897</v>
      </c>
      <c r="K1758" s="3">
        <v>5.0443880000000003E-2</v>
      </c>
      <c r="L1758" s="3">
        <v>-0.18541350000000001</v>
      </c>
    </row>
    <row r="1759" spans="1:12" x14ac:dyDescent="0.25">
      <c r="A1759" t="s">
        <v>9224</v>
      </c>
      <c r="B1759" t="s">
        <v>9225</v>
      </c>
      <c r="I1759" t="s">
        <v>9226</v>
      </c>
      <c r="J1759" s="3">
        <v>0.1611378</v>
      </c>
      <c r="K1759" s="3">
        <v>3.4296680000000003E-2</v>
      </c>
      <c r="L1759" s="3">
        <v>9.7837010000000002E-2</v>
      </c>
    </row>
    <row r="1760" spans="1:12" x14ac:dyDescent="0.25">
      <c r="A1760" t="s">
        <v>9222</v>
      </c>
      <c r="B1760" t="s">
        <v>9223</v>
      </c>
      <c r="I1760" t="s">
        <v>4790</v>
      </c>
      <c r="J1760" s="3">
        <v>4.71566E-2</v>
      </c>
      <c r="K1760" s="3">
        <v>-0.1759995</v>
      </c>
      <c r="L1760" s="3">
        <v>-8.1095680000000003E-2</v>
      </c>
    </row>
    <row r="1761" spans="1:12" x14ac:dyDescent="0.25">
      <c r="A1761" t="s">
        <v>9219</v>
      </c>
      <c r="B1761" t="s">
        <v>9220</v>
      </c>
      <c r="I1761" t="s">
        <v>9221</v>
      </c>
      <c r="J1761" s="3">
        <v>0.76110100000000003</v>
      </c>
      <c r="K1761" s="3">
        <v>0.87196810000000002</v>
      </c>
      <c r="L1761" s="3">
        <v>0.54382079999999999</v>
      </c>
    </row>
    <row r="1762" spans="1:12" x14ac:dyDescent="0.25">
      <c r="A1762" t="s">
        <v>9216</v>
      </c>
      <c r="B1762" t="s">
        <v>9217</v>
      </c>
      <c r="I1762" t="s">
        <v>9218</v>
      </c>
      <c r="J1762" s="3">
        <v>-0.52768919999999997</v>
      </c>
      <c r="K1762" s="3">
        <v>-0.93031819999999998</v>
      </c>
      <c r="L1762" s="3">
        <v>-0.27627750000000001</v>
      </c>
    </row>
    <row r="1763" spans="1:12" x14ac:dyDescent="0.25">
      <c r="A1763" t="s">
        <v>9213</v>
      </c>
      <c r="B1763" t="s">
        <v>9214</v>
      </c>
      <c r="I1763" t="s">
        <v>9215</v>
      </c>
      <c r="J1763" s="3">
        <v>0.30574859999999998</v>
      </c>
      <c r="K1763" s="3">
        <v>0.41077190000000002</v>
      </c>
      <c r="L1763" s="3">
        <v>0.43542360000000002</v>
      </c>
    </row>
    <row r="1764" spans="1:12" x14ac:dyDescent="0.25">
      <c r="A1764" t="s">
        <v>9212</v>
      </c>
      <c r="B1764" t="s">
        <v>957</v>
      </c>
      <c r="I1764" t="s">
        <v>455</v>
      </c>
      <c r="J1764" s="3">
        <v>0.36831639999999999</v>
      </c>
      <c r="K1764" s="3">
        <v>1.1928890000000001</v>
      </c>
      <c r="L1764" s="3">
        <v>0.25192490000000001</v>
      </c>
    </row>
    <row r="1765" spans="1:12" x14ac:dyDescent="0.25">
      <c r="A1765" t="s">
        <v>9211</v>
      </c>
      <c r="B1765" t="s">
        <v>957</v>
      </c>
      <c r="I1765" t="s">
        <v>455</v>
      </c>
      <c r="J1765" s="3">
        <v>4.5731889999999997E-2</v>
      </c>
      <c r="K1765" s="3">
        <v>-1.4816879999999999E-2</v>
      </c>
      <c r="L1765" s="3">
        <v>1.7266340000000002E-2</v>
      </c>
    </row>
    <row r="1766" spans="1:12" x14ac:dyDescent="0.25">
      <c r="A1766" t="s">
        <v>9208</v>
      </c>
      <c r="B1766" t="s">
        <v>9209</v>
      </c>
      <c r="I1766" t="s">
        <v>9210</v>
      </c>
      <c r="J1766" s="3">
        <v>-0.41644880000000001</v>
      </c>
      <c r="K1766" s="3">
        <v>0.20400879999999999</v>
      </c>
      <c r="L1766" s="3">
        <v>-1.5437289999999999E-2</v>
      </c>
    </row>
    <row r="1767" spans="1:12" x14ac:dyDescent="0.25">
      <c r="A1767" t="s">
        <v>9206</v>
      </c>
      <c r="B1767" t="s">
        <v>9207</v>
      </c>
      <c r="I1767" t="s">
        <v>1934</v>
      </c>
      <c r="J1767" s="3">
        <v>-0.50417789999999996</v>
      </c>
      <c r="K1767" s="3">
        <v>-0.41647610000000002</v>
      </c>
      <c r="L1767" s="3">
        <v>-0.25452330000000001</v>
      </c>
    </row>
    <row r="1768" spans="1:12" x14ac:dyDescent="0.25">
      <c r="A1768" t="s">
        <v>9203</v>
      </c>
      <c r="B1768" t="s">
        <v>9204</v>
      </c>
      <c r="I1768" t="s">
        <v>9205</v>
      </c>
      <c r="J1768" s="3">
        <v>0.13052459999999999</v>
      </c>
      <c r="K1768" s="3">
        <v>-6.0996559999999998E-2</v>
      </c>
      <c r="L1768" s="3">
        <v>-0.11657049999999999</v>
      </c>
    </row>
    <row r="1769" spans="1:12" x14ac:dyDescent="0.25">
      <c r="A1769" t="s">
        <v>9200</v>
      </c>
      <c r="B1769" t="s">
        <v>9201</v>
      </c>
      <c r="I1769" t="s">
        <v>9202</v>
      </c>
      <c r="J1769" s="3">
        <v>-0.45994370000000001</v>
      </c>
      <c r="K1769" s="3">
        <v>-0.38396629999999998</v>
      </c>
      <c r="L1769" s="3">
        <v>-0.21484329999999999</v>
      </c>
    </row>
    <row r="1770" spans="1:12" x14ac:dyDescent="0.25">
      <c r="A1770" t="s">
        <v>9198</v>
      </c>
      <c r="B1770" t="s">
        <v>9199</v>
      </c>
      <c r="I1770" t="s">
        <v>2738</v>
      </c>
      <c r="J1770" s="3">
        <v>-0.37785000000000002</v>
      </c>
      <c r="K1770" s="3">
        <v>-0.241727</v>
      </c>
      <c r="L1770" s="3">
        <v>-0.20752660000000001</v>
      </c>
    </row>
    <row r="1771" spans="1:12" x14ac:dyDescent="0.25">
      <c r="A1771" t="s">
        <v>9195</v>
      </c>
      <c r="B1771" t="s">
        <v>9196</v>
      </c>
      <c r="I1771" t="s">
        <v>9197</v>
      </c>
      <c r="J1771" s="3">
        <v>0.81693689999999997</v>
      </c>
      <c r="K1771" s="3">
        <v>0.70944759999999996</v>
      </c>
      <c r="L1771" s="3">
        <v>0.90316669999999999</v>
      </c>
    </row>
    <row r="1772" spans="1:12" x14ac:dyDescent="0.25">
      <c r="A1772" t="s">
        <v>9194</v>
      </c>
      <c r="B1772" t="s">
        <v>957</v>
      </c>
      <c r="I1772" t="s">
        <v>2852</v>
      </c>
      <c r="J1772" s="3">
        <v>-3.5745649999999997E-2</v>
      </c>
      <c r="K1772" s="3">
        <v>-5.9541469999999999E-2</v>
      </c>
      <c r="L1772" s="3">
        <v>-9.2407320000000001E-2</v>
      </c>
    </row>
    <row r="1773" spans="1:12" x14ac:dyDescent="0.25">
      <c r="A1773" t="s">
        <v>9193</v>
      </c>
      <c r="B1773" t="s">
        <v>957</v>
      </c>
      <c r="I1773" t="s">
        <v>453</v>
      </c>
      <c r="J1773" s="3">
        <v>-0.3070505</v>
      </c>
      <c r="K1773" s="3">
        <v>0.4065259</v>
      </c>
      <c r="L1773" s="3">
        <v>0.23427220000000001</v>
      </c>
    </row>
    <row r="1774" spans="1:12" x14ac:dyDescent="0.25">
      <c r="A1774" t="s">
        <v>10199</v>
      </c>
      <c r="B1774" t="s">
        <v>10200</v>
      </c>
      <c r="I1774" t="s">
        <v>10201</v>
      </c>
      <c r="J1774" s="3">
        <v>2.7553609999999999E-2</v>
      </c>
      <c r="K1774" s="3">
        <v>0.23820140000000001</v>
      </c>
      <c r="L1774" s="3">
        <v>-0.15952450000000001</v>
      </c>
    </row>
    <row r="1775" spans="1:12" x14ac:dyDescent="0.25">
      <c r="A1775" t="s">
        <v>10196</v>
      </c>
      <c r="B1775" t="s">
        <v>10197</v>
      </c>
      <c r="I1775" t="s">
        <v>10198</v>
      </c>
      <c r="J1775" s="3">
        <v>5.8865189999999998E-2</v>
      </c>
      <c r="K1775" s="3">
        <v>-1.597378</v>
      </c>
      <c r="L1775" s="3">
        <v>-0.31032549999999998</v>
      </c>
    </row>
    <row r="1776" spans="1:12" x14ac:dyDescent="0.25">
      <c r="A1776" t="s">
        <v>10195</v>
      </c>
      <c r="B1776" t="s">
        <v>957</v>
      </c>
      <c r="I1776" t="s">
        <v>455</v>
      </c>
      <c r="J1776" s="3">
        <v>0.42127189999999998</v>
      </c>
      <c r="K1776" s="3">
        <v>1.1423669999999999</v>
      </c>
      <c r="L1776" s="3">
        <v>0.62257050000000003</v>
      </c>
    </row>
    <row r="1777" spans="1:12" x14ac:dyDescent="0.25">
      <c r="A1777" t="s">
        <v>10192</v>
      </c>
      <c r="B1777" t="s">
        <v>10193</v>
      </c>
      <c r="I1777" t="s">
        <v>10194</v>
      </c>
      <c r="J1777" s="3">
        <v>-0.23614470000000001</v>
      </c>
      <c r="K1777" s="3">
        <v>-0.59225490000000003</v>
      </c>
      <c r="L1777" s="3">
        <v>-0.14922009999999999</v>
      </c>
    </row>
    <row r="1778" spans="1:12" x14ac:dyDescent="0.25">
      <c r="A1778" t="s">
        <v>10189</v>
      </c>
      <c r="B1778" t="s">
        <v>10190</v>
      </c>
      <c r="I1778" t="s">
        <v>10191</v>
      </c>
      <c r="J1778" s="3">
        <v>-0.6557866</v>
      </c>
      <c r="K1778" s="3">
        <v>-0.31997330000000002</v>
      </c>
      <c r="L1778" s="3">
        <v>-0.36206929999999998</v>
      </c>
    </row>
    <row r="1779" spans="1:12" x14ac:dyDescent="0.25">
      <c r="A1779" t="s">
        <v>10186</v>
      </c>
      <c r="B1779" t="s">
        <v>10187</v>
      </c>
      <c r="I1779" t="s">
        <v>10188</v>
      </c>
      <c r="J1779" s="3">
        <v>-0.32089580000000001</v>
      </c>
      <c r="K1779" s="3">
        <v>-0.70077829999999997</v>
      </c>
      <c r="L1779" s="3">
        <v>-0.34114870000000003</v>
      </c>
    </row>
    <row r="1780" spans="1:12" x14ac:dyDescent="0.25">
      <c r="A1780" t="s">
        <v>10183</v>
      </c>
      <c r="B1780" t="s">
        <v>10184</v>
      </c>
      <c r="I1780" t="s">
        <v>10185</v>
      </c>
      <c r="J1780" s="3">
        <v>-9.7984349999999998E-2</v>
      </c>
      <c r="K1780" s="3">
        <v>-0.200408</v>
      </c>
      <c r="L1780" s="3">
        <v>-0.27528170000000002</v>
      </c>
    </row>
    <row r="1781" spans="1:12" x14ac:dyDescent="0.25">
      <c r="A1781" t="s">
        <v>10182</v>
      </c>
      <c r="B1781" t="s">
        <v>957</v>
      </c>
      <c r="I1781" t="s">
        <v>455</v>
      </c>
      <c r="J1781" s="3">
        <v>-4.5930869999999999E-2</v>
      </c>
      <c r="K1781" s="3">
        <v>9.2916570000000004E-2</v>
      </c>
      <c r="L1781" s="3">
        <v>0.1357469</v>
      </c>
    </row>
    <row r="1782" spans="1:12" x14ac:dyDescent="0.25">
      <c r="A1782" t="s">
        <v>10179</v>
      </c>
      <c r="B1782" t="s">
        <v>10180</v>
      </c>
      <c r="I1782" t="s">
        <v>10181</v>
      </c>
      <c r="J1782" s="3">
        <v>-0.1227613</v>
      </c>
      <c r="K1782" s="3">
        <v>0.36200120000000002</v>
      </c>
      <c r="L1782" s="3">
        <v>0.1844298</v>
      </c>
    </row>
    <row r="1783" spans="1:12" x14ac:dyDescent="0.25">
      <c r="A1783" t="s">
        <v>10176</v>
      </c>
      <c r="B1783" t="s">
        <v>10177</v>
      </c>
      <c r="I1783" t="s">
        <v>10178</v>
      </c>
      <c r="J1783" s="3">
        <v>0.2162145</v>
      </c>
      <c r="K1783" s="3">
        <v>0.27142939999999999</v>
      </c>
      <c r="L1783" s="3">
        <v>9.5974580000000004E-2</v>
      </c>
    </row>
    <row r="1784" spans="1:12" x14ac:dyDescent="0.25">
      <c r="A1784" t="s">
        <v>10173</v>
      </c>
      <c r="B1784" t="s">
        <v>10174</v>
      </c>
      <c r="I1784" t="s">
        <v>10175</v>
      </c>
      <c r="J1784" s="3">
        <v>-0.27253509999999997</v>
      </c>
      <c r="K1784" s="3">
        <v>-0.52767960000000003</v>
      </c>
      <c r="L1784" s="3">
        <v>0.1154992</v>
      </c>
    </row>
    <row r="1785" spans="1:12" x14ac:dyDescent="0.25">
      <c r="A1785" t="s">
        <v>10170</v>
      </c>
      <c r="B1785" t="s">
        <v>10171</v>
      </c>
      <c r="I1785" t="s">
        <v>10172</v>
      </c>
      <c r="J1785" s="3">
        <v>2.6481230000000001E-2</v>
      </c>
      <c r="K1785" s="3">
        <v>5.649639E-2</v>
      </c>
      <c r="L1785" s="3">
        <v>0.2016491</v>
      </c>
    </row>
    <row r="1786" spans="1:12" x14ac:dyDescent="0.25">
      <c r="A1786" t="s">
        <v>10168</v>
      </c>
      <c r="B1786" t="s">
        <v>10169</v>
      </c>
      <c r="I1786" t="s">
        <v>6</v>
      </c>
      <c r="J1786" s="3">
        <v>4.362572E-2</v>
      </c>
      <c r="K1786" s="3">
        <v>0.47950369999999998</v>
      </c>
      <c r="L1786" s="3">
        <v>0.28194010000000003</v>
      </c>
    </row>
    <row r="1787" spans="1:12" x14ac:dyDescent="0.25">
      <c r="A1787" t="s">
        <v>10165</v>
      </c>
      <c r="B1787" t="s">
        <v>10166</v>
      </c>
      <c r="I1787" t="s">
        <v>10167</v>
      </c>
      <c r="J1787" s="3">
        <v>0.37493070000000001</v>
      </c>
      <c r="K1787" s="3">
        <v>0.268343</v>
      </c>
      <c r="L1787" s="3">
        <v>0.2364386</v>
      </c>
    </row>
    <row r="1788" spans="1:12" x14ac:dyDescent="0.25">
      <c r="A1788" t="s">
        <v>10162</v>
      </c>
      <c r="B1788" t="s">
        <v>10163</v>
      </c>
      <c r="I1788" t="s">
        <v>10164</v>
      </c>
      <c r="J1788" s="3">
        <v>0.32805200000000001</v>
      </c>
      <c r="K1788" s="3">
        <v>0.46694249999999998</v>
      </c>
      <c r="L1788" s="3">
        <v>0.1779097</v>
      </c>
    </row>
    <row r="1789" spans="1:12" x14ac:dyDescent="0.25">
      <c r="A1789" t="s">
        <v>10159</v>
      </c>
      <c r="B1789" t="s">
        <v>10160</v>
      </c>
      <c r="I1789" t="s">
        <v>10161</v>
      </c>
      <c r="J1789" s="3">
        <v>0.60060150000000001</v>
      </c>
      <c r="K1789" s="3">
        <v>-0.4185315</v>
      </c>
      <c r="L1789" s="3">
        <v>0.18423870000000001</v>
      </c>
    </row>
    <row r="1790" spans="1:12" x14ac:dyDescent="0.25">
      <c r="A1790" t="s">
        <v>10156</v>
      </c>
      <c r="B1790" t="s">
        <v>10157</v>
      </c>
      <c r="I1790" t="s">
        <v>10158</v>
      </c>
      <c r="J1790" s="3">
        <v>0.33227030000000002</v>
      </c>
      <c r="K1790" s="3">
        <v>-0.13114429999999999</v>
      </c>
      <c r="L1790" s="3">
        <v>2.280795E-2</v>
      </c>
    </row>
    <row r="1791" spans="1:12" x14ac:dyDescent="0.25">
      <c r="A1791" t="s">
        <v>10153</v>
      </c>
      <c r="B1791" t="s">
        <v>10154</v>
      </c>
      <c r="I1791" t="s">
        <v>10155</v>
      </c>
      <c r="J1791" s="3">
        <v>4.4358890000000002E-3</v>
      </c>
      <c r="K1791" s="3">
        <v>1.1526170000000001E-2</v>
      </c>
      <c r="L1791" s="3">
        <v>-0.1507415</v>
      </c>
    </row>
    <row r="1792" spans="1:12" x14ac:dyDescent="0.25">
      <c r="A1792" t="s">
        <v>10150</v>
      </c>
      <c r="B1792" t="s">
        <v>10151</v>
      </c>
      <c r="I1792" t="s">
        <v>10152</v>
      </c>
      <c r="J1792" s="3">
        <v>3.3559110000000003E-2</v>
      </c>
      <c r="K1792" s="3">
        <v>-0.46390480000000001</v>
      </c>
      <c r="L1792" s="3">
        <v>0.13529730000000001</v>
      </c>
    </row>
    <row r="1793" spans="1:12" x14ac:dyDescent="0.25">
      <c r="A1793" t="s">
        <v>10147</v>
      </c>
      <c r="B1793" t="s">
        <v>10148</v>
      </c>
      <c r="I1793" t="s">
        <v>10149</v>
      </c>
      <c r="J1793" s="3">
        <v>-0.2708894</v>
      </c>
      <c r="K1793" s="3">
        <v>0.32880389999999998</v>
      </c>
      <c r="L1793" s="3">
        <v>0.22849800000000001</v>
      </c>
    </row>
    <row r="1794" spans="1:12" x14ac:dyDescent="0.25">
      <c r="A1794" t="s">
        <v>10144</v>
      </c>
      <c r="B1794" t="s">
        <v>10145</v>
      </c>
      <c r="I1794" t="s">
        <v>10146</v>
      </c>
      <c r="J1794" s="3">
        <v>0.14818039999999999</v>
      </c>
      <c r="K1794" s="3">
        <v>1.2016360000000001E-3</v>
      </c>
      <c r="L1794" s="3">
        <v>0.59438780000000002</v>
      </c>
    </row>
    <row r="1795" spans="1:12" x14ac:dyDescent="0.25">
      <c r="A1795" t="s">
        <v>10141</v>
      </c>
      <c r="B1795" t="s">
        <v>10142</v>
      </c>
      <c r="I1795" t="s">
        <v>10143</v>
      </c>
      <c r="J1795" s="3">
        <v>0.38786730000000003</v>
      </c>
      <c r="K1795" s="3">
        <v>0.39662530000000001</v>
      </c>
      <c r="L1795" s="3">
        <v>0.52281279999999997</v>
      </c>
    </row>
    <row r="1796" spans="1:12" x14ac:dyDescent="0.25">
      <c r="A1796" t="s">
        <v>10138</v>
      </c>
      <c r="B1796" t="s">
        <v>10139</v>
      </c>
      <c r="I1796" t="s">
        <v>10140</v>
      </c>
      <c r="J1796" s="3">
        <v>0.43119580000000002</v>
      </c>
      <c r="K1796" s="3">
        <v>7.3279720000000007E-2</v>
      </c>
      <c r="L1796" s="3">
        <v>0.50549540000000004</v>
      </c>
    </row>
    <row r="1797" spans="1:12" x14ac:dyDescent="0.25">
      <c r="A1797" t="s">
        <v>10135</v>
      </c>
      <c r="B1797" t="s">
        <v>10136</v>
      </c>
      <c r="I1797" t="s">
        <v>10137</v>
      </c>
      <c r="J1797" s="3">
        <v>0.68679979999999996</v>
      </c>
      <c r="K1797" s="3">
        <v>1.3123050000000001</v>
      </c>
      <c r="L1797" s="3">
        <v>0.64100559999999995</v>
      </c>
    </row>
    <row r="1798" spans="1:12" x14ac:dyDescent="0.25">
      <c r="A1798" t="s">
        <v>10132</v>
      </c>
      <c r="B1798" t="s">
        <v>10133</v>
      </c>
      <c r="I1798" t="s">
        <v>10134</v>
      </c>
      <c r="J1798" s="3">
        <v>-0.48239080000000001</v>
      </c>
      <c r="K1798" s="3">
        <v>-0.44928990000000002</v>
      </c>
      <c r="L1798" s="3">
        <v>4.8000689999999999E-2</v>
      </c>
    </row>
    <row r="1799" spans="1:12" x14ac:dyDescent="0.25">
      <c r="A1799" t="s">
        <v>10129</v>
      </c>
      <c r="B1799" t="s">
        <v>10130</v>
      </c>
      <c r="I1799" t="s">
        <v>10131</v>
      </c>
      <c r="J1799" s="3">
        <v>1.858843</v>
      </c>
      <c r="K1799" s="3">
        <v>0.69168609999999997</v>
      </c>
      <c r="L1799" s="3">
        <v>1.255536</v>
      </c>
    </row>
    <row r="1800" spans="1:12" x14ac:dyDescent="0.25">
      <c r="A1800" t="s">
        <v>10127</v>
      </c>
      <c r="B1800" t="s">
        <v>957</v>
      </c>
      <c r="I1800" t="s">
        <v>10128</v>
      </c>
      <c r="J1800" s="3">
        <v>-0.2904253</v>
      </c>
      <c r="K1800" s="3">
        <v>-0.81612949999999995</v>
      </c>
      <c r="L1800" s="3">
        <v>-0.51133700000000004</v>
      </c>
    </row>
    <row r="1801" spans="1:12" x14ac:dyDescent="0.25">
      <c r="A1801" t="s">
        <v>10124</v>
      </c>
      <c r="B1801" t="s">
        <v>10125</v>
      </c>
      <c r="I1801" t="s">
        <v>10126</v>
      </c>
      <c r="J1801" s="3">
        <v>0.3860712</v>
      </c>
      <c r="K1801" s="3">
        <v>9.8262329999999995E-2</v>
      </c>
      <c r="L1801" s="3">
        <v>0.33281519999999998</v>
      </c>
    </row>
    <row r="1802" spans="1:12" x14ac:dyDescent="0.25">
      <c r="A1802" t="s">
        <v>10121</v>
      </c>
      <c r="B1802" t="s">
        <v>10122</v>
      </c>
      <c r="I1802" t="s">
        <v>10123</v>
      </c>
      <c r="J1802" s="3">
        <v>0.89378840000000004</v>
      </c>
      <c r="K1802" s="3">
        <v>0.17069490000000001</v>
      </c>
      <c r="L1802" s="3">
        <v>0.40173049999999999</v>
      </c>
    </row>
    <row r="1803" spans="1:12" x14ac:dyDescent="0.25">
      <c r="A1803" t="s">
        <v>10120</v>
      </c>
      <c r="B1803" t="s">
        <v>957</v>
      </c>
      <c r="I1803" t="s">
        <v>8814</v>
      </c>
      <c r="J1803" s="3">
        <v>-0.53071349999999995</v>
      </c>
      <c r="K1803" s="3">
        <v>-0.69062199999999996</v>
      </c>
      <c r="L1803" s="3">
        <v>-0.50370369999999998</v>
      </c>
    </row>
    <row r="1804" spans="1:12" x14ac:dyDescent="0.25">
      <c r="A1804" t="s">
        <v>10117</v>
      </c>
      <c r="B1804" t="s">
        <v>10118</v>
      </c>
      <c r="I1804" t="s">
        <v>10119</v>
      </c>
      <c r="J1804" s="3">
        <v>-0.23073009999999999</v>
      </c>
      <c r="K1804" s="3">
        <v>-0.22115850000000001</v>
      </c>
      <c r="L1804" s="3">
        <v>-0.2671211</v>
      </c>
    </row>
    <row r="1805" spans="1:12" x14ac:dyDescent="0.25">
      <c r="A1805" t="s">
        <v>10116</v>
      </c>
      <c r="B1805" t="s">
        <v>957</v>
      </c>
      <c r="I1805" t="s">
        <v>156</v>
      </c>
      <c r="J1805" s="3">
        <v>-0.21128269999999999</v>
      </c>
      <c r="K1805" s="3">
        <v>0.4521307</v>
      </c>
      <c r="L1805" s="3">
        <v>-0.40581660000000003</v>
      </c>
    </row>
    <row r="1806" spans="1:12" x14ac:dyDescent="0.25">
      <c r="A1806" t="s">
        <v>10113</v>
      </c>
      <c r="B1806" t="s">
        <v>10114</v>
      </c>
      <c r="I1806" t="s">
        <v>10115</v>
      </c>
      <c r="J1806" s="3">
        <v>-0.64451080000000005</v>
      </c>
      <c r="K1806" s="3">
        <v>-1.2826139999999999</v>
      </c>
      <c r="L1806" s="3">
        <v>-0.83548460000000002</v>
      </c>
    </row>
    <row r="1807" spans="1:12" x14ac:dyDescent="0.25">
      <c r="A1807" t="s">
        <v>9083</v>
      </c>
      <c r="B1807" t="s">
        <v>9084</v>
      </c>
      <c r="I1807" t="s">
        <v>10112</v>
      </c>
      <c r="J1807" s="3">
        <v>8.5464899999999996E-2</v>
      </c>
      <c r="K1807" s="3">
        <v>-0.1241654</v>
      </c>
      <c r="L1807" s="3">
        <v>8.4732849999999998E-2</v>
      </c>
    </row>
    <row r="1808" spans="1:12" x14ac:dyDescent="0.25">
      <c r="A1808" t="s">
        <v>9080</v>
      </c>
      <c r="B1808" t="s">
        <v>9081</v>
      </c>
      <c r="I1808" t="s">
        <v>9082</v>
      </c>
      <c r="J1808" s="3">
        <v>0.43397580000000002</v>
      </c>
      <c r="K1808" s="3">
        <v>-0.32526870000000002</v>
      </c>
      <c r="L1808" s="3">
        <v>-7.2880360000000005E-2</v>
      </c>
    </row>
    <row r="1809" spans="1:12" x14ac:dyDescent="0.25">
      <c r="A1809" t="s">
        <v>9077</v>
      </c>
      <c r="B1809" t="s">
        <v>9078</v>
      </c>
      <c r="I1809" t="s">
        <v>9079</v>
      </c>
      <c r="J1809" s="3">
        <v>8.1240709999999994E-2</v>
      </c>
      <c r="K1809" s="3">
        <v>0.42260639999999999</v>
      </c>
      <c r="L1809" s="3">
        <v>0.79497430000000002</v>
      </c>
    </row>
    <row r="1810" spans="1:12" x14ac:dyDescent="0.25">
      <c r="A1810" t="s">
        <v>9074</v>
      </c>
      <c r="B1810" t="s">
        <v>9075</v>
      </c>
      <c r="I1810" t="s">
        <v>9076</v>
      </c>
      <c r="J1810" s="3">
        <v>-0.39250649999999998</v>
      </c>
      <c r="K1810" s="3">
        <v>-0.65341660000000001</v>
      </c>
      <c r="L1810" s="3">
        <v>-0.28773700000000002</v>
      </c>
    </row>
    <row r="1811" spans="1:12" x14ac:dyDescent="0.25">
      <c r="A1811" t="s">
        <v>9071</v>
      </c>
      <c r="B1811" t="s">
        <v>9072</v>
      </c>
      <c r="I1811" t="s">
        <v>9073</v>
      </c>
      <c r="J1811" s="3">
        <v>-0.1261929</v>
      </c>
      <c r="K1811" s="3">
        <v>-0.80352699999999999</v>
      </c>
      <c r="L1811" s="3">
        <v>-0.36504170000000002</v>
      </c>
    </row>
    <row r="1812" spans="1:12" x14ac:dyDescent="0.25">
      <c r="A1812" t="s">
        <v>9070</v>
      </c>
      <c r="B1812" t="s">
        <v>957</v>
      </c>
      <c r="I1812" t="s">
        <v>455</v>
      </c>
      <c r="J1812" s="3">
        <v>-0.59165040000000002</v>
      </c>
      <c r="K1812" s="3">
        <v>-0.86505980000000005</v>
      </c>
      <c r="L1812" s="3">
        <v>-0.39581</v>
      </c>
    </row>
    <row r="1813" spans="1:12" x14ac:dyDescent="0.25">
      <c r="A1813" t="s">
        <v>9068</v>
      </c>
      <c r="B1813" t="s">
        <v>14091</v>
      </c>
      <c r="C1813" t="s">
        <v>14092</v>
      </c>
      <c r="I1813" t="s">
        <v>9069</v>
      </c>
      <c r="J1813" s="3">
        <v>0.1152763</v>
      </c>
      <c r="K1813" s="3">
        <v>0.74368509999999999</v>
      </c>
      <c r="L1813" s="3">
        <v>-5.893897E-2</v>
      </c>
    </row>
    <row r="1814" spans="1:12" x14ac:dyDescent="0.25">
      <c r="A1814" t="s">
        <v>10079</v>
      </c>
      <c r="B1814" t="s">
        <v>9066</v>
      </c>
      <c r="I1814" t="s">
        <v>9067</v>
      </c>
      <c r="J1814" s="3">
        <v>0.90319139999999998</v>
      </c>
      <c r="K1814" s="3">
        <v>0.66432559999999996</v>
      </c>
      <c r="L1814" s="3">
        <v>0.8460474</v>
      </c>
    </row>
    <row r="1815" spans="1:12" x14ac:dyDescent="0.25">
      <c r="A1815" t="s">
        <v>10076</v>
      </c>
      <c r="B1815" t="s">
        <v>10077</v>
      </c>
      <c r="I1815" t="s">
        <v>10078</v>
      </c>
      <c r="J1815" s="3">
        <v>-3.3338130000000001E-2</v>
      </c>
      <c r="K1815" s="3">
        <v>0.1996115</v>
      </c>
      <c r="L1815" s="3">
        <v>-0.1630528</v>
      </c>
    </row>
    <row r="1816" spans="1:12" x14ac:dyDescent="0.25">
      <c r="A1816" t="s">
        <v>10073</v>
      </c>
      <c r="B1816" t="s">
        <v>10074</v>
      </c>
      <c r="I1816" t="s">
        <v>10075</v>
      </c>
      <c r="J1816" s="3">
        <v>-4.0813389999999998E-2</v>
      </c>
      <c r="K1816" s="3">
        <v>-0.18784290000000001</v>
      </c>
      <c r="L1816" s="3">
        <v>5.892553E-3</v>
      </c>
    </row>
    <row r="1817" spans="1:12" x14ac:dyDescent="0.25">
      <c r="A1817" t="s">
        <v>10070</v>
      </c>
      <c r="B1817" t="s">
        <v>10071</v>
      </c>
      <c r="I1817" t="s">
        <v>10072</v>
      </c>
      <c r="J1817" s="3">
        <v>-0.2339542</v>
      </c>
      <c r="K1817" s="3">
        <v>-0.71762709999999996</v>
      </c>
      <c r="L1817" s="3">
        <v>-0.52547440000000001</v>
      </c>
    </row>
    <row r="1818" spans="1:12" x14ac:dyDescent="0.25">
      <c r="A1818" t="s">
        <v>10069</v>
      </c>
      <c r="B1818" t="s">
        <v>957</v>
      </c>
      <c r="I1818" t="s">
        <v>455</v>
      </c>
      <c r="J1818" s="3">
        <v>6.4048889999999997E-2</v>
      </c>
      <c r="K1818" s="3">
        <v>0.11722009999999999</v>
      </c>
      <c r="L1818" s="3">
        <v>7.6487940000000004E-2</v>
      </c>
    </row>
    <row r="1819" spans="1:12" x14ac:dyDescent="0.25">
      <c r="A1819" t="s">
        <v>10066</v>
      </c>
      <c r="B1819" t="s">
        <v>10067</v>
      </c>
      <c r="I1819" t="s">
        <v>10068</v>
      </c>
      <c r="J1819" s="3">
        <v>-0.40516740000000001</v>
      </c>
      <c r="K1819" s="3">
        <v>-0.68611909999999998</v>
      </c>
      <c r="L1819" s="3">
        <v>-0.2399454</v>
      </c>
    </row>
    <row r="1820" spans="1:12" x14ac:dyDescent="0.25">
      <c r="A1820" t="s">
        <v>10065</v>
      </c>
      <c r="B1820" t="s">
        <v>957</v>
      </c>
      <c r="I1820" t="s">
        <v>455</v>
      </c>
      <c r="J1820" s="3">
        <v>0.4210487</v>
      </c>
      <c r="K1820" s="3">
        <v>-0.59883129999999996</v>
      </c>
      <c r="L1820" s="3">
        <v>0.121793</v>
      </c>
    </row>
    <row r="1821" spans="1:12" x14ac:dyDescent="0.25">
      <c r="A1821" t="s">
        <v>10062</v>
      </c>
      <c r="B1821" t="s">
        <v>10063</v>
      </c>
      <c r="I1821" t="s">
        <v>10064</v>
      </c>
      <c r="J1821" s="3">
        <v>0.31341039999999998</v>
      </c>
      <c r="K1821" s="3">
        <v>0.18747900000000001</v>
      </c>
      <c r="L1821" s="3">
        <v>0.13437389999999999</v>
      </c>
    </row>
    <row r="1822" spans="1:12" x14ac:dyDescent="0.25">
      <c r="A1822" t="s">
        <v>10059</v>
      </c>
      <c r="B1822" t="s">
        <v>10060</v>
      </c>
      <c r="I1822" t="s">
        <v>10061</v>
      </c>
      <c r="J1822" s="3">
        <v>0.1748622</v>
      </c>
      <c r="K1822" s="3">
        <v>-0.14510010000000001</v>
      </c>
      <c r="L1822" s="3">
        <v>0.16572439999999999</v>
      </c>
    </row>
    <row r="1823" spans="1:12" x14ac:dyDescent="0.25">
      <c r="A1823" t="s">
        <v>10056</v>
      </c>
      <c r="B1823" t="s">
        <v>10057</v>
      </c>
      <c r="I1823" t="s">
        <v>10058</v>
      </c>
      <c r="J1823" s="3">
        <v>-0.53873610000000005</v>
      </c>
      <c r="K1823" s="3">
        <v>-0.63355249999999996</v>
      </c>
      <c r="L1823" s="3">
        <v>-0.57893190000000005</v>
      </c>
    </row>
    <row r="1824" spans="1:12" x14ac:dyDescent="0.25">
      <c r="A1824" t="s">
        <v>10053</v>
      </c>
      <c r="B1824" t="s">
        <v>10054</v>
      </c>
      <c r="I1824" t="s">
        <v>10055</v>
      </c>
      <c r="J1824" s="3">
        <v>-0.56228100000000003</v>
      </c>
      <c r="K1824" s="3">
        <v>0.4728194</v>
      </c>
      <c r="L1824" s="3">
        <v>-0.15827369999999999</v>
      </c>
    </row>
    <row r="1825" spans="1:12" x14ac:dyDescent="0.25">
      <c r="A1825" t="s">
        <v>10050</v>
      </c>
      <c r="B1825" t="s">
        <v>10051</v>
      </c>
      <c r="I1825" t="s">
        <v>10052</v>
      </c>
      <c r="J1825" s="3">
        <v>-0.41779270000000002</v>
      </c>
      <c r="K1825" s="3">
        <v>-0.75782139999999998</v>
      </c>
      <c r="L1825" s="3">
        <v>-0.5872077</v>
      </c>
    </row>
    <row r="1826" spans="1:12" x14ac:dyDescent="0.25">
      <c r="A1826" t="s">
        <v>10047</v>
      </c>
      <c r="B1826" t="s">
        <v>10048</v>
      </c>
      <c r="I1826" t="s">
        <v>10049</v>
      </c>
      <c r="J1826" s="3">
        <v>0.2481602</v>
      </c>
      <c r="K1826" s="3">
        <v>0.25755600000000001</v>
      </c>
      <c r="L1826" s="3">
        <v>2.1920209999999999E-2</v>
      </c>
    </row>
    <row r="1827" spans="1:12" x14ac:dyDescent="0.25">
      <c r="A1827" t="s">
        <v>10044</v>
      </c>
      <c r="B1827" t="s">
        <v>10045</v>
      </c>
      <c r="I1827" t="s">
        <v>10046</v>
      </c>
      <c r="J1827" s="3">
        <v>0.2184334</v>
      </c>
      <c r="K1827" s="3">
        <v>-0.64039279999999998</v>
      </c>
      <c r="L1827" s="3">
        <v>-0.27203470000000002</v>
      </c>
    </row>
    <row r="1828" spans="1:12" x14ac:dyDescent="0.25">
      <c r="A1828" t="s">
        <v>9030</v>
      </c>
      <c r="B1828" t="s">
        <v>9031</v>
      </c>
      <c r="I1828" t="s">
        <v>9032</v>
      </c>
      <c r="J1828" s="3">
        <v>0.16067409999999999</v>
      </c>
      <c r="K1828" s="3">
        <v>0.25620939999999998</v>
      </c>
      <c r="L1828" s="3">
        <v>0.32423059999999998</v>
      </c>
    </row>
    <row r="1829" spans="1:12" x14ac:dyDescent="0.25">
      <c r="A1829" t="s">
        <v>9027</v>
      </c>
      <c r="B1829" t="s">
        <v>9028</v>
      </c>
      <c r="I1829" t="s">
        <v>9029</v>
      </c>
      <c r="J1829" s="3">
        <v>-0.94519880000000001</v>
      </c>
      <c r="K1829" s="3">
        <v>-0.96972539999999996</v>
      </c>
      <c r="L1829" s="3">
        <v>-0.95724480000000001</v>
      </c>
    </row>
    <row r="1830" spans="1:12" x14ac:dyDescent="0.25">
      <c r="A1830" t="s">
        <v>9024</v>
      </c>
      <c r="B1830" t="s">
        <v>9025</v>
      </c>
      <c r="I1830" t="s">
        <v>9026</v>
      </c>
      <c r="J1830" s="3">
        <v>-0.43038310000000002</v>
      </c>
      <c r="K1830" s="3">
        <v>-0.73069550000000005</v>
      </c>
      <c r="L1830" s="3">
        <v>-0.6423162</v>
      </c>
    </row>
    <row r="1831" spans="1:12" x14ac:dyDescent="0.25">
      <c r="A1831" t="s">
        <v>9021</v>
      </c>
      <c r="B1831" t="s">
        <v>9022</v>
      </c>
      <c r="I1831" t="s">
        <v>9023</v>
      </c>
      <c r="J1831" s="3">
        <v>0.25757550000000001</v>
      </c>
      <c r="K1831" s="3">
        <v>-0.67746839999999997</v>
      </c>
      <c r="L1831" s="3">
        <v>-0.23825279999999999</v>
      </c>
    </row>
    <row r="1832" spans="1:12" x14ac:dyDescent="0.25">
      <c r="A1832" t="s">
        <v>9018</v>
      </c>
      <c r="B1832" t="s">
        <v>9019</v>
      </c>
      <c r="I1832" t="s">
        <v>9020</v>
      </c>
      <c r="J1832" s="3">
        <v>0.11973880000000001</v>
      </c>
      <c r="K1832" s="3">
        <v>-0.36865730000000002</v>
      </c>
      <c r="L1832" s="3">
        <v>0.14055899999999999</v>
      </c>
    </row>
    <row r="1833" spans="1:12" x14ac:dyDescent="0.25">
      <c r="A1833" t="s">
        <v>9015</v>
      </c>
      <c r="B1833" t="s">
        <v>9016</v>
      </c>
      <c r="I1833" t="s">
        <v>9017</v>
      </c>
      <c r="J1833" s="3">
        <v>0.14858460000000001</v>
      </c>
      <c r="K1833" s="3">
        <v>-0.1034069</v>
      </c>
      <c r="L1833" s="3">
        <v>-7.4524679999999996E-2</v>
      </c>
    </row>
    <row r="1834" spans="1:12" x14ac:dyDescent="0.25">
      <c r="A1834" t="s">
        <v>9013</v>
      </c>
      <c r="B1834" t="s">
        <v>14188</v>
      </c>
      <c r="C1834" t="s">
        <v>14189</v>
      </c>
      <c r="I1834" t="s">
        <v>9014</v>
      </c>
      <c r="J1834" s="3">
        <v>0.58380909999999997</v>
      </c>
      <c r="K1834" s="3">
        <v>0.35228549999999997</v>
      </c>
      <c r="L1834" s="3">
        <v>0.68631390000000003</v>
      </c>
    </row>
    <row r="1835" spans="1:12" x14ac:dyDescent="0.25">
      <c r="A1835" t="s">
        <v>9010</v>
      </c>
      <c r="B1835" t="s">
        <v>9011</v>
      </c>
      <c r="I1835" t="s">
        <v>9012</v>
      </c>
      <c r="J1835" s="3">
        <v>-1.7014199999999999</v>
      </c>
      <c r="K1835" s="3">
        <v>-0.86931190000000003</v>
      </c>
      <c r="L1835" s="3">
        <v>-0.87822529999999999</v>
      </c>
    </row>
    <row r="1836" spans="1:12" x14ac:dyDescent="0.25">
      <c r="A1836" t="s">
        <v>9008</v>
      </c>
      <c r="B1836" t="s">
        <v>9009</v>
      </c>
      <c r="I1836" t="s">
        <v>6437</v>
      </c>
      <c r="J1836" s="3">
        <v>-0.35224529999999998</v>
      </c>
      <c r="K1836" s="3">
        <v>0.14830199999999999</v>
      </c>
      <c r="L1836" s="3">
        <v>-0.23835249999999999</v>
      </c>
    </row>
    <row r="1837" spans="1:12" x14ac:dyDescent="0.25">
      <c r="A1837" t="s">
        <v>9007</v>
      </c>
      <c r="B1837" t="s">
        <v>957</v>
      </c>
      <c r="I1837" t="s">
        <v>455</v>
      </c>
      <c r="J1837" s="3">
        <v>0.41605370000000003</v>
      </c>
      <c r="K1837" s="3">
        <v>0.37466240000000001</v>
      </c>
      <c r="L1837" s="3">
        <v>0.59777290000000005</v>
      </c>
    </row>
    <row r="1838" spans="1:12" x14ac:dyDescent="0.25">
      <c r="A1838" t="s">
        <v>9006</v>
      </c>
      <c r="B1838" t="s">
        <v>957</v>
      </c>
      <c r="I1838" t="s">
        <v>823</v>
      </c>
      <c r="J1838" s="3">
        <v>0.3051276</v>
      </c>
      <c r="K1838" s="3">
        <v>-5.4352910000000001E-3</v>
      </c>
      <c r="L1838" s="3">
        <v>0.27351579999999998</v>
      </c>
    </row>
    <row r="1839" spans="1:12" x14ac:dyDescent="0.25">
      <c r="A1839" t="s">
        <v>9005</v>
      </c>
      <c r="B1839" t="s">
        <v>957</v>
      </c>
      <c r="I1839" t="s">
        <v>455</v>
      </c>
      <c r="J1839" s="3">
        <v>0.35094520000000001</v>
      </c>
      <c r="K1839" s="3">
        <v>0.45242450000000001</v>
      </c>
      <c r="L1839" s="3">
        <v>0.14533740000000001</v>
      </c>
    </row>
    <row r="1840" spans="1:12" x14ac:dyDescent="0.25">
      <c r="A1840" t="s">
        <v>9004</v>
      </c>
      <c r="B1840" t="s">
        <v>957</v>
      </c>
      <c r="I1840" t="s">
        <v>455</v>
      </c>
      <c r="J1840" s="3">
        <v>-5.7557339999999999E-2</v>
      </c>
      <c r="K1840" s="3">
        <v>-0.61510129999999996</v>
      </c>
      <c r="L1840" s="3">
        <v>-3.4880290000000001E-2</v>
      </c>
    </row>
    <row r="1841" spans="1:12" x14ac:dyDescent="0.25">
      <c r="A1841" t="s">
        <v>9001</v>
      </c>
      <c r="B1841" t="s">
        <v>9002</v>
      </c>
      <c r="I1841" t="s">
        <v>9003</v>
      </c>
      <c r="J1841" s="3">
        <v>0.30032930000000002</v>
      </c>
      <c r="K1841" s="3">
        <v>0.82567259999999998</v>
      </c>
      <c r="L1841" s="3">
        <v>0.46030700000000002</v>
      </c>
    </row>
    <row r="1842" spans="1:12" x14ac:dyDescent="0.25">
      <c r="A1842" t="s">
        <v>8998</v>
      </c>
      <c r="B1842" t="s">
        <v>8999</v>
      </c>
      <c r="I1842" t="s">
        <v>9000</v>
      </c>
      <c r="J1842" s="3">
        <v>9.9946900000000005E-2</v>
      </c>
      <c r="K1842" s="3">
        <v>0.48328539999999998</v>
      </c>
      <c r="L1842" s="3">
        <v>0.1113234</v>
      </c>
    </row>
    <row r="1843" spans="1:12" x14ac:dyDescent="0.25">
      <c r="A1843" t="s">
        <v>8997</v>
      </c>
      <c r="B1843" t="s">
        <v>957</v>
      </c>
      <c r="I1843" t="s">
        <v>455</v>
      </c>
      <c r="J1843" s="3">
        <v>0.16911000000000001</v>
      </c>
      <c r="K1843" s="3">
        <v>-8.7895630000000002E-2</v>
      </c>
      <c r="L1843" s="3">
        <v>0.13378970000000001</v>
      </c>
    </row>
    <row r="1844" spans="1:12" x14ac:dyDescent="0.25">
      <c r="A1844" t="s">
        <v>8994</v>
      </c>
      <c r="B1844" t="s">
        <v>8995</v>
      </c>
      <c r="I1844" t="s">
        <v>8996</v>
      </c>
      <c r="J1844" s="3">
        <v>-1.2394330000000001E-3</v>
      </c>
      <c r="K1844" s="3">
        <v>-0.19834070000000001</v>
      </c>
      <c r="L1844" s="3">
        <v>9.8207169999999996E-3</v>
      </c>
    </row>
    <row r="1845" spans="1:12" x14ac:dyDescent="0.25">
      <c r="A1845" t="s">
        <v>8991</v>
      </c>
      <c r="B1845" t="s">
        <v>8992</v>
      </c>
      <c r="I1845" t="s">
        <v>8993</v>
      </c>
      <c r="J1845" s="3">
        <v>0.44319799999999998</v>
      </c>
      <c r="K1845" s="3">
        <v>0.15083540000000001</v>
      </c>
      <c r="L1845" s="3">
        <v>0.4490883</v>
      </c>
    </row>
    <row r="1846" spans="1:12" x14ac:dyDescent="0.25">
      <c r="A1846" t="s">
        <v>8988</v>
      </c>
      <c r="B1846" t="s">
        <v>8989</v>
      </c>
      <c r="I1846" t="s">
        <v>8990</v>
      </c>
      <c r="J1846" s="3">
        <v>-0.26393929999999999</v>
      </c>
      <c r="K1846" s="3">
        <v>1.058535</v>
      </c>
      <c r="L1846" s="3">
        <v>0.44801540000000001</v>
      </c>
    </row>
    <row r="1847" spans="1:12" x14ac:dyDescent="0.25">
      <c r="A1847" t="s">
        <v>8985</v>
      </c>
      <c r="B1847" t="s">
        <v>8986</v>
      </c>
      <c r="I1847" t="s">
        <v>8987</v>
      </c>
      <c r="J1847" s="3">
        <v>-0.66962100000000002</v>
      </c>
      <c r="K1847" s="3">
        <v>-0.95504979999999995</v>
      </c>
      <c r="L1847" s="3">
        <v>-0.51422489999999998</v>
      </c>
    </row>
    <row r="1848" spans="1:12" x14ac:dyDescent="0.25">
      <c r="A1848" t="s">
        <v>8982</v>
      </c>
      <c r="B1848" t="s">
        <v>8983</v>
      </c>
      <c r="I1848" t="s">
        <v>8984</v>
      </c>
      <c r="J1848" s="3">
        <v>-0.15844810000000001</v>
      </c>
      <c r="K1848" s="3">
        <v>-0.68919140000000001</v>
      </c>
      <c r="L1848" s="3">
        <v>-0.23503569999999999</v>
      </c>
    </row>
    <row r="1849" spans="1:12" x14ac:dyDescent="0.25">
      <c r="A1849" t="s">
        <v>8979</v>
      </c>
      <c r="B1849" t="s">
        <v>8980</v>
      </c>
      <c r="I1849" t="s">
        <v>8981</v>
      </c>
      <c r="J1849" s="3">
        <v>2.9883570000000002E-2</v>
      </c>
      <c r="K1849" s="3">
        <v>1.9703689999999999E-2</v>
      </c>
      <c r="L1849" s="3">
        <v>4.508889E-2</v>
      </c>
    </row>
    <row r="1850" spans="1:12" x14ac:dyDescent="0.25">
      <c r="A1850" t="s">
        <v>8976</v>
      </c>
      <c r="B1850" t="s">
        <v>8977</v>
      </c>
      <c r="I1850" t="s">
        <v>8978</v>
      </c>
      <c r="J1850" s="3">
        <v>-0.36002260000000003</v>
      </c>
      <c r="K1850" s="3">
        <v>-0.58490819999999999</v>
      </c>
      <c r="L1850" s="3">
        <v>-0.46993230000000002</v>
      </c>
    </row>
    <row r="1851" spans="1:12" x14ac:dyDescent="0.25">
      <c r="A1851" t="s">
        <v>8974</v>
      </c>
      <c r="B1851" t="s">
        <v>8975</v>
      </c>
      <c r="I1851" t="s">
        <v>6925</v>
      </c>
      <c r="J1851" s="3">
        <v>-3.2414569999999997E-2</v>
      </c>
      <c r="K1851" s="3">
        <v>-0.35784969999999999</v>
      </c>
      <c r="L1851" s="3">
        <v>-6.3749760000000003E-2</v>
      </c>
    </row>
    <row r="1852" spans="1:12" x14ac:dyDescent="0.25">
      <c r="A1852" t="s">
        <v>8971</v>
      </c>
      <c r="B1852" t="s">
        <v>8972</v>
      </c>
      <c r="I1852" t="s">
        <v>8973</v>
      </c>
      <c r="J1852" s="3">
        <v>-0.4095548</v>
      </c>
      <c r="K1852" s="3">
        <v>-1.183349</v>
      </c>
      <c r="L1852" s="3">
        <v>-0.58663909999999997</v>
      </c>
    </row>
    <row r="1853" spans="1:12" x14ac:dyDescent="0.25">
      <c r="A1853" t="s">
        <v>10024</v>
      </c>
      <c r="B1853" t="s">
        <v>10025</v>
      </c>
      <c r="I1853" t="s">
        <v>8970</v>
      </c>
      <c r="J1853" s="3">
        <v>0.29378949999999998</v>
      </c>
      <c r="K1853" s="3">
        <v>-0.1316937</v>
      </c>
      <c r="L1853" s="3">
        <v>0.25316050000000001</v>
      </c>
    </row>
    <row r="1854" spans="1:12" x14ac:dyDescent="0.25">
      <c r="A1854" t="s">
        <v>10021</v>
      </c>
      <c r="B1854" t="s">
        <v>10022</v>
      </c>
      <c r="I1854" t="s">
        <v>10023</v>
      </c>
      <c r="J1854" s="3">
        <v>-0.62465389999999998</v>
      </c>
      <c r="K1854" s="3">
        <v>-0.6655932</v>
      </c>
      <c r="L1854" s="3">
        <v>-0.37427890000000003</v>
      </c>
    </row>
    <row r="1855" spans="1:12" x14ac:dyDescent="0.25">
      <c r="A1855" t="s">
        <v>10018</v>
      </c>
      <c r="B1855" t="s">
        <v>10019</v>
      </c>
      <c r="I1855" t="s">
        <v>10020</v>
      </c>
      <c r="J1855" s="3">
        <v>-0.15461069999999999</v>
      </c>
      <c r="K1855" s="3">
        <v>-9.8705520000000005E-2</v>
      </c>
      <c r="L1855" s="3">
        <v>6.2214190000000003E-2</v>
      </c>
    </row>
    <row r="1856" spans="1:12" x14ac:dyDescent="0.25">
      <c r="A1856" t="s">
        <v>10015</v>
      </c>
      <c r="B1856" t="s">
        <v>10016</v>
      </c>
      <c r="I1856" t="s">
        <v>10017</v>
      </c>
      <c r="J1856" s="3">
        <v>-0.30574630000000003</v>
      </c>
      <c r="K1856" s="3">
        <v>-0.50544670000000003</v>
      </c>
      <c r="L1856" s="3">
        <v>-0.36725289999999999</v>
      </c>
    </row>
    <row r="1857" spans="1:12" x14ac:dyDescent="0.25">
      <c r="A1857" t="s">
        <v>10012</v>
      </c>
      <c r="B1857" t="s">
        <v>10013</v>
      </c>
      <c r="I1857" t="s">
        <v>10014</v>
      </c>
      <c r="J1857" s="3">
        <v>-0.17126839999999999</v>
      </c>
      <c r="K1857" s="3">
        <v>-0.55582609999999999</v>
      </c>
      <c r="L1857" s="3">
        <v>-0.24238019999999999</v>
      </c>
    </row>
    <row r="1858" spans="1:12" x14ac:dyDescent="0.25">
      <c r="A1858" t="s">
        <v>10011</v>
      </c>
      <c r="B1858" t="s">
        <v>957</v>
      </c>
      <c r="I1858" t="s">
        <v>455</v>
      </c>
      <c r="J1858" s="3">
        <v>-0.6660798</v>
      </c>
      <c r="K1858" s="3">
        <v>-0.67925849999999999</v>
      </c>
      <c r="L1858" s="3">
        <v>-0.40236810000000001</v>
      </c>
    </row>
    <row r="1859" spans="1:12" x14ac:dyDescent="0.25">
      <c r="A1859" t="s">
        <v>10008</v>
      </c>
      <c r="B1859" t="s">
        <v>10009</v>
      </c>
      <c r="I1859" t="s">
        <v>10010</v>
      </c>
      <c r="J1859" s="3">
        <v>0.73854649999999999</v>
      </c>
      <c r="K1859" s="3">
        <v>0.53457169999999998</v>
      </c>
      <c r="L1859" s="3">
        <v>0.78777399999999997</v>
      </c>
    </row>
    <row r="1860" spans="1:12" x14ac:dyDescent="0.25">
      <c r="A1860" t="s">
        <v>10005</v>
      </c>
      <c r="B1860" t="s">
        <v>10006</v>
      </c>
      <c r="I1860" t="s">
        <v>10007</v>
      </c>
      <c r="J1860" s="3">
        <v>0.58652789999999999</v>
      </c>
      <c r="K1860" s="3">
        <v>1.667233</v>
      </c>
      <c r="L1860" s="3">
        <v>0.86641939999999995</v>
      </c>
    </row>
    <row r="1861" spans="1:12" x14ac:dyDescent="0.25">
      <c r="A1861" t="s">
        <v>10002</v>
      </c>
      <c r="B1861" t="s">
        <v>10003</v>
      </c>
      <c r="I1861" t="s">
        <v>10004</v>
      </c>
      <c r="J1861" s="3">
        <v>9.4376280000000007E-2</v>
      </c>
      <c r="K1861" s="3">
        <v>-0.127607</v>
      </c>
      <c r="L1861" s="3">
        <v>0.3598924</v>
      </c>
    </row>
    <row r="1862" spans="1:12" x14ac:dyDescent="0.25">
      <c r="A1862" t="s">
        <v>9999</v>
      </c>
      <c r="B1862" t="s">
        <v>10000</v>
      </c>
      <c r="I1862" t="s">
        <v>10001</v>
      </c>
      <c r="J1862" s="3">
        <v>-0.23576030000000001</v>
      </c>
      <c r="K1862" s="3">
        <v>-0.87205770000000005</v>
      </c>
      <c r="L1862" s="3">
        <v>7.0770529999999998E-2</v>
      </c>
    </row>
    <row r="1863" spans="1:12" x14ac:dyDescent="0.25">
      <c r="A1863" t="s">
        <v>9996</v>
      </c>
      <c r="B1863" t="s">
        <v>9997</v>
      </c>
      <c r="I1863" t="s">
        <v>9998</v>
      </c>
      <c r="J1863" s="3">
        <v>-0.70960509999999999</v>
      </c>
      <c r="K1863" s="3">
        <v>-1.0638350000000001</v>
      </c>
      <c r="L1863" s="3">
        <v>-0.83759620000000001</v>
      </c>
    </row>
    <row r="1864" spans="1:12" x14ac:dyDescent="0.25">
      <c r="A1864" t="s">
        <v>9995</v>
      </c>
      <c r="B1864" t="s">
        <v>957</v>
      </c>
      <c r="I1864" t="s">
        <v>4450</v>
      </c>
      <c r="J1864" s="3">
        <v>-0.35055540000000002</v>
      </c>
      <c r="K1864" s="3">
        <v>-0.52253309999999997</v>
      </c>
      <c r="L1864" s="3">
        <v>-1.46722E-3</v>
      </c>
    </row>
    <row r="1865" spans="1:12" x14ac:dyDescent="0.25">
      <c r="A1865" t="s">
        <v>9993</v>
      </c>
      <c r="B1865" t="s">
        <v>9994</v>
      </c>
      <c r="I1865" t="s">
        <v>4766</v>
      </c>
      <c r="J1865" s="3">
        <v>-0.14649000000000001</v>
      </c>
      <c r="K1865" s="3">
        <v>-0.58897409999999994</v>
      </c>
      <c r="L1865" s="3">
        <v>-6.5520270000000005E-2</v>
      </c>
    </row>
    <row r="1866" spans="1:12" x14ac:dyDescent="0.25">
      <c r="A1866" t="s">
        <v>9990</v>
      </c>
      <c r="B1866" t="s">
        <v>9991</v>
      </c>
      <c r="I1866" t="s">
        <v>9992</v>
      </c>
      <c r="J1866" s="3">
        <v>-0.87509939999999997</v>
      </c>
      <c r="K1866" s="3">
        <v>-1.087437</v>
      </c>
      <c r="L1866" s="3">
        <v>-0.60617770000000004</v>
      </c>
    </row>
    <row r="1867" spans="1:12" x14ac:dyDescent="0.25">
      <c r="A1867" t="s">
        <v>9987</v>
      </c>
      <c r="B1867" t="s">
        <v>9988</v>
      </c>
      <c r="I1867" t="s">
        <v>9989</v>
      </c>
      <c r="J1867" s="3">
        <v>-7.4579210000000007E-2</v>
      </c>
      <c r="K1867" s="3">
        <v>-0.38421349999999999</v>
      </c>
      <c r="L1867" s="3">
        <v>-0.3045716</v>
      </c>
    </row>
    <row r="1868" spans="1:12" x14ac:dyDescent="0.25">
      <c r="A1868" t="s">
        <v>9984</v>
      </c>
      <c r="B1868" t="s">
        <v>9985</v>
      </c>
      <c r="I1868" t="s">
        <v>9986</v>
      </c>
      <c r="J1868" s="3">
        <v>0.17586160000000001</v>
      </c>
      <c r="K1868" s="3">
        <v>7.3092770000000003E-3</v>
      </c>
      <c r="L1868" s="3">
        <v>-9.813202E-2</v>
      </c>
    </row>
    <row r="1869" spans="1:12" x14ac:dyDescent="0.25">
      <c r="A1869" t="s">
        <v>9982</v>
      </c>
      <c r="B1869" t="s">
        <v>957</v>
      </c>
      <c r="I1869" t="s">
        <v>9983</v>
      </c>
      <c r="J1869" s="3">
        <v>-0.64585689999999996</v>
      </c>
      <c r="K1869" s="3">
        <v>-0.20177510000000001</v>
      </c>
      <c r="L1869" s="3">
        <v>-0.66172759999999997</v>
      </c>
    </row>
    <row r="1870" spans="1:12" x14ac:dyDescent="0.25">
      <c r="A1870" t="s">
        <v>9979</v>
      </c>
      <c r="B1870" t="s">
        <v>9980</v>
      </c>
      <c r="I1870" t="s">
        <v>9981</v>
      </c>
      <c r="J1870" s="3">
        <v>1.9285839999999999E-2</v>
      </c>
      <c r="K1870" s="3">
        <v>0.1420844</v>
      </c>
      <c r="L1870" s="3">
        <v>0.18291489999999999</v>
      </c>
    </row>
    <row r="1871" spans="1:12" x14ac:dyDescent="0.25">
      <c r="A1871" t="s">
        <v>9976</v>
      </c>
      <c r="B1871" t="s">
        <v>9977</v>
      </c>
      <c r="I1871" t="s">
        <v>9978</v>
      </c>
      <c r="J1871" s="3">
        <v>0.94331220000000005</v>
      </c>
      <c r="K1871" s="3">
        <v>-0.19989080000000001</v>
      </c>
      <c r="L1871" s="3">
        <v>-3.000052E-3</v>
      </c>
    </row>
    <row r="1872" spans="1:12" x14ac:dyDescent="0.25">
      <c r="A1872" t="s">
        <v>9975</v>
      </c>
      <c r="B1872" t="s">
        <v>957</v>
      </c>
      <c r="I1872" t="s">
        <v>455</v>
      </c>
      <c r="J1872" s="3">
        <v>-0.30307610000000001</v>
      </c>
      <c r="K1872" s="3">
        <v>-1.171179</v>
      </c>
      <c r="L1872" s="3">
        <v>-0.90739329999999996</v>
      </c>
    </row>
    <row r="1873" spans="1:12" x14ac:dyDescent="0.25">
      <c r="A1873" t="s">
        <v>9972</v>
      </c>
      <c r="B1873" t="s">
        <v>9973</v>
      </c>
      <c r="I1873" t="s">
        <v>9974</v>
      </c>
      <c r="J1873" s="3">
        <v>0.2156381</v>
      </c>
      <c r="K1873" s="3">
        <v>0.45575490000000002</v>
      </c>
      <c r="L1873" s="3">
        <v>0.55449159999999997</v>
      </c>
    </row>
    <row r="1874" spans="1:12" x14ac:dyDescent="0.25">
      <c r="A1874" t="s">
        <v>9969</v>
      </c>
      <c r="B1874" t="s">
        <v>9970</v>
      </c>
      <c r="I1874" t="s">
        <v>9971</v>
      </c>
      <c r="J1874" s="3">
        <v>-0.2050892</v>
      </c>
      <c r="K1874" s="3">
        <v>1.359292E-2</v>
      </c>
      <c r="L1874" s="3">
        <v>-0.2010806</v>
      </c>
    </row>
    <row r="1875" spans="1:12" x14ac:dyDescent="0.25">
      <c r="A1875" t="s">
        <v>9966</v>
      </c>
      <c r="B1875" t="s">
        <v>9967</v>
      </c>
      <c r="I1875" t="s">
        <v>9968</v>
      </c>
      <c r="J1875" s="3">
        <v>4.3403110000000002E-2</v>
      </c>
      <c r="K1875" s="3">
        <v>5.4357509999999998E-2</v>
      </c>
      <c r="L1875" s="3">
        <v>0.10985549999999999</v>
      </c>
    </row>
    <row r="1876" spans="1:12" x14ac:dyDescent="0.25">
      <c r="A1876" t="s">
        <v>9963</v>
      </c>
      <c r="B1876" t="s">
        <v>9964</v>
      </c>
      <c r="I1876" t="s">
        <v>9965</v>
      </c>
      <c r="J1876" s="3">
        <v>1.1492799999999999E-3</v>
      </c>
      <c r="K1876" s="3">
        <v>-0.1244421</v>
      </c>
      <c r="L1876" s="3">
        <v>-0.1042198</v>
      </c>
    </row>
    <row r="1877" spans="1:12" x14ac:dyDescent="0.25">
      <c r="A1877" t="s">
        <v>9960</v>
      </c>
      <c r="B1877" t="s">
        <v>9961</v>
      </c>
      <c r="I1877" t="s">
        <v>9962</v>
      </c>
      <c r="J1877" s="3">
        <v>0.50016419999999995</v>
      </c>
      <c r="K1877" s="3">
        <v>0.58536489999999997</v>
      </c>
      <c r="L1877" s="3">
        <v>0.55781910000000001</v>
      </c>
    </row>
    <row r="1878" spans="1:12" x14ac:dyDescent="0.25">
      <c r="A1878" t="s">
        <v>9957</v>
      </c>
      <c r="B1878" t="s">
        <v>9958</v>
      </c>
      <c r="I1878" t="s">
        <v>9959</v>
      </c>
      <c r="J1878" s="3">
        <v>-6.6375139999999999E-2</v>
      </c>
      <c r="K1878" s="3">
        <v>-0.2739278</v>
      </c>
      <c r="L1878" s="3">
        <v>-8.8724300000000006E-2</v>
      </c>
    </row>
    <row r="1879" spans="1:12" x14ac:dyDescent="0.25">
      <c r="A1879" t="s">
        <v>9955</v>
      </c>
      <c r="B1879" t="s">
        <v>9956</v>
      </c>
      <c r="I1879" t="s">
        <v>1042</v>
      </c>
      <c r="J1879" s="3">
        <v>-0.24938679999999999</v>
      </c>
      <c r="K1879" s="3">
        <v>3.8897500000000002E-2</v>
      </c>
      <c r="L1879" s="3">
        <v>-0.46454580000000001</v>
      </c>
    </row>
    <row r="1880" spans="1:12" x14ac:dyDescent="0.25">
      <c r="A1880" t="s">
        <v>8900</v>
      </c>
      <c r="B1880" t="s">
        <v>8901</v>
      </c>
      <c r="I1880" t="s">
        <v>9954</v>
      </c>
      <c r="J1880" s="3">
        <v>0.66110369999999996</v>
      </c>
      <c r="K1880" s="3">
        <v>1.2485029999999999</v>
      </c>
      <c r="L1880" s="3">
        <v>0.56875200000000004</v>
      </c>
    </row>
    <row r="1881" spans="1:12" x14ac:dyDescent="0.25">
      <c r="A1881" t="s">
        <v>8897</v>
      </c>
      <c r="B1881" t="s">
        <v>8898</v>
      </c>
      <c r="I1881" t="s">
        <v>8899</v>
      </c>
      <c r="J1881" s="3">
        <v>1.1336649999999999</v>
      </c>
      <c r="K1881" s="3">
        <v>0.51567629999999998</v>
      </c>
      <c r="L1881" s="3">
        <v>0.47566819999999999</v>
      </c>
    </row>
    <row r="1882" spans="1:12" x14ac:dyDescent="0.25">
      <c r="A1882" t="s">
        <v>8894</v>
      </c>
      <c r="B1882" t="s">
        <v>8895</v>
      </c>
      <c r="I1882" t="s">
        <v>8896</v>
      </c>
      <c r="J1882" s="3">
        <v>0.2424528</v>
      </c>
      <c r="K1882" s="3">
        <v>0.1081276</v>
      </c>
      <c r="L1882" s="3">
        <v>0.58592809999999995</v>
      </c>
    </row>
    <row r="1883" spans="1:12" x14ac:dyDescent="0.25">
      <c r="A1883" t="s">
        <v>8891</v>
      </c>
      <c r="B1883" t="s">
        <v>8892</v>
      </c>
      <c r="I1883" t="s">
        <v>8893</v>
      </c>
      <c r="J1883" s="3">
        <v>-0.6515031</v>
      </c>
      <c r="K1883" s="3">
        <v>-1.3084519999999999</v>
      </c>
      <c r="L1883" s="3">
        <v>-0.79790450000000002</v>
      </c>
    </row>
    <row r="1884" spans="1:12" x14ac:dyDescent="0.25">
      <c r="A1884" t="s">
        <v>8888</v>
      </c>
      <c r="B1884" t="s">
        <v>8889</v>
      </c>
      <c r="I1884" t="s">
        <v>8890</v>
      </c>
      <c r="J1884" s="3">
        <v>-0.42507250000000002</v>
      </c>
      <c r="K1884" s="3">
        <v>-1.002246</v>
      </c>
      <c r="L1884" s="3">
        <v>-0.43600369999999999</v>
      </c>
    </row>
    <row r="1885" spans="1:12" x14ac:dyDescent="0.25">
      <c r="A1885" t="s">
        <v>8885</v>
      </c>
      <c r="B1885" t="s">
        <v>8886</v>
      </c>
      <c r="I1885" t="s">
        <v>8887</v>
      </c>
      <c r="J1885" s="3">
        <v>0.82440559999999996</v>
      </c>
      <c r="K1885" s="3">
        <v>1.0268649999999999</v>
      </c>
      <c r="L1885" s="3">
        <v>0.78420129999999999</v>
      </c>
    </row>
    <row r="1886" spans="1:12" x14ac:dyDescent="0.25">
      <c r="A1886" t="s">
        <v>8882</v>
      </c>
      <c r="B1886" t="s">
        <v>8883</v>
      </c>
      <c r="I1886" t="s">
        <v>8884</v>
      </c>
      <c r="J1886" s="3">
        <v>0.26048840000000001</v>
      </c>
      <c r="K1886" s="3">
        <v>-0.39267069999999998</v>
      </c>
      <c r="L1886" s="3">
        <v>0.51906569999999996</v>
      </c>
    </row>
    <row r="1887" spans="1:12" x14ac:dyDescent="0.25">
      <c r="A1887" t="s">
        <v>8879</v>
      </c>
      <c r="B1887" t="s">
        <v>8880</v>
      </c>
      <c r="I1887" t="s">
        <v>8881</v>
      </c>
      <c r="J1887" s="3">
        <v>-0.37144329999999998</v>
      </c>
      <c r="K1887" s="3">
        <v>-0.71899440000000003</v>
      </c>
      <c r="L1887" s="3">
        <v>-0.68470699999999995</v>
      </c>
    </row>
    <row r="1888" spans="1:12" x14ac:dyDescent="0.25">
      <c r="A1888" t="s">
        <v>8877</v>
      </c>
      <c r="B1888" t="s">
        <v>14190</v>
      </c>
      <c r="C1888" t="s">
        <v>14191</v>
      </c>
      <c r="I1888" t="s">
        <v>8878</v>
      </c>
      <c r="J1888" s="3">
        <v>0.2376954</v>
      </c>
      <c r="K1888" s="3">
        <v>0.23900830000000001</v>
      </c>
      <c r="L1888" s="3">
        <v>0.203122</v>
      </c>
    </row>
    <row r="1889" spans="1:12" x14ac:dyDescent="0.25">
      <c r="A1889" t="s">
        <v>9918</v>
      </c>
      <c r="B1889" t="s">
        <v>9919</v>
      </c>
      <c r="I1889" t="s">
        <v>8876</v>
      </c>
      <c r="J1889" s="3">
        <v>1.54363E-4</v>
      </c>
      <c r="K1889" s="3">
        <v>-9.5189019999999999E-2</v>
      </c>
      <c r="L1889" s="3">
        <v>-9.8264249999999997E-2</v>
      </c>
    </row>
    <row r="1890" spans="1:12" x14ac:dyDescent="0.25">
      <c r="A1890" t="s">
        <v>9915</v>
      </c>
      <c r="B1890" t="s">
        <v>9916</v>
      </c>
      <c r="I1890" t="s">
        <v>9917</v>
      </c>
      <c r="J1890" s="3">
        <v>0.23182369999999999</v>
      </c>
      <c r="K1890" s="3">
        <v>-0.28400229999999999</v>
      </c>
      <c r="L1890" s="3">
        <v>0.20418929999999999</v>
      </c>
    </row>
    <row r="1891" spans="1:12" x14ac:dyDescent="0.25">
      <c r="A1891" t="s">
        <v>9914</v>
      </c>
      <c r="B1891" t="s">
        <v>957</v>
      </c>
      <c r="I1891" t="s">
        <v>455</v>
      </c>
      <c r="J1891" s="3">
        <v>1.49563E-2</v>
      </c>
      <c r="K1891" s="3">
        <v>-0.21489949999999999</v>
      </c>
      <c r="L1891" s="3">
        <v>2.3966939999999999E-2</v>
      </c>
    </row>
    <row r="1892" spans="1:12" x14ac:dyDescent="0.25">
      <c r="A1892" t="s">
        <v>9913</v>
      </c>
      <c r="B1892" t="s">
        <v>957</v>
      </c>
      <c r="I1892" t="s">
        <v>455</v>
      </c>
      <c r="J1892" s="3">
        <v>0.57914600000000005</v>
      </c>
      <c r="K1892" s="3">
        <v>0.60760349999999996</v>
      </c>
      <c r="L1892" s="3">
        <v>0.1390333</v>
      </c>
    </row>
    <row r="1893" spans="1:12" x14ac:dyDescent="0.25">
      <c r="A1893" t="s">
        <v>9912</v>
      </c>
      <c r="B1893" t="s">
        <v>957</v>
      </c>
      <c r="I1893" t="s">
        <v>455</v>
      </c>
      <c r="J1893" s="3">
        <v>0.18947420000000001</v>
      </c>
      <c r="K1893" s="3">
        <v>-0.24762719999999999</v>
      </c>
      <c r="L1893" s="3">
        <v>-5.2760690000000004E-3</v>
      </c>
    </row>
    <row r="1894" spans="1:12" x14ac:dyDescent="0.25">
      <c r="A1894" t="s">
        <v>9910</v>
      </c>
      <c r="B1894" t="s">
        <v>9911</v>
      </c>
      <c r="I1894" t="s">
        <v>6221</v>
      </c>
      <c r="J1894" s="3">
        <v>0.36187780000000003</v>
      </c>
      <c r="K1894" s="3">
        <v>0.1445842</v>
      </c>
      <c r="L1894" s="3">
        <v>0.23891119999999999</v>
      </c>
    </row>
    <row r="1895" spans="1:12" x14ac:dyDescent="0.25">
      <c r="A1895" t="s">
        <v>9908</v>
      </c>
      <c r="B1895" t="s">
        <v>1375</v>
      </c>
      <c r="I1895" t="s">
        <v>9909</v>
      </c>
      <c r="J1895" s="3">
        <v>-0.26584550000000001</v>
      </c>
      <c r="K1895" s="3">
        <v>0.22007760000000001</v>
      </c>
      <c r="L1895" s="3">
        <v>-0.1649919</v>
      </c>
    </row>
    <row r="1896" spans="1:12" x14ac:dyDescent="0.25">
      <c r="A1896" t="s">
        <v>9905</v>
      </c>
      <c r="B1896" t="s">
        <v>9906</v>
      </c>
      <c r="I1896" t="s">
        <v>9907</v>
      </c>
      <c r="J1896" s="3">
        <v>-0.45395410000000003</v>
      </c>
      <c r="K1896" s="3">
        <v>-0.8561858</v>
      </c>
      <c r="L1896" s="3">
        <v>-0.21099809999999999</v>
      </c>
    </row>
    <row r="1897" spans="1:12" x14ac:dyDescent="0.25">
      <c r="A1897" t="s">
        <v>9902</v>
      </c>
      <c r="B1897" t="s">
        <v>9903</v>
      </c>
      <c r="I1897" t="s">
        <v>9904</v>
      </c>
      <c r="J1897" s="3">
        <v>0.37012139999999999</v>
      </c>
      <c r="K1897" s="3">
        <v>-0.14132939999999999</v>
      </c>
      <c r="L1897" s="3">
        <v>-0.26936959999999999</v>
      </c>
    </row>
    <row r="1898" spans="1:12" x14ac:dyDescent="0.25">
      <c r="A1898" t="s">
        <v>9899</v>
      </c>
      <c r="B1898" t="s">
        <v>9900</v>
      </c>
      <c r="I1898" t="s">
        <v>9901</v>
      </c>
      <c r="J1898" s="3">
        <v>6.0652049999999999E-2</v>
      </c>
      <c r="K1898" s="3">
        <v>-0.47916900000000001</v>
      </c>
      <c r="L1898" s="3">
        <v>-9.8171179999999997E-2</v>
      </c>
    </row>
    <row r="1899" spans="1:12" x14ac:dyDescent="0.25">
      <c r="A1899" t="s">
        <v>9898</v>
      </c>
      <c r="B1899" t="s">
        <v>957</v>
      </c>
      <c r="I1899" t="s">
        <v>455</v>
      </c>
      <c r="J1899" s="3">
        <v>2.4953260000000001E-2</v>
      </c>
      <c r="K1899" s="3">
        <v>-9.7166199999999994E-2</v>
      </c>
      <c r="L1899" s="3">
        <v>-0.30426370000000003</v>
      </c>
    </row>
    <row r="1900" spans="1:12" x14ac:dyDescent="0.25">
      <c r="A1900" t="s">
        <v>9897</v>
      </c>
      <c r="B1900" t="s">
        <v>14192</v>
      </c>
      <c r="C1900" t="s">
        <v>14193</v>
      </c>
      <c r="I1900" t="s">
        <v>2702</v>
      </c>
      <c r="J1900" s="3">
        <v>0.205875</v>
      </c>
      <c r="K1900" s="3">
        <v>0.34695150000000002</v>
      </c>
      <c r="L1900" s="3">
        <v>0.31795830000000003</v>
      </c>
    </row>
    <row r="1901" spans="1:12" x14ac:dyDescent="0.25">
      <c r="A1901" t="s">
        <v>8832</v>
      </c>
      <c r="B1901" t="s">
        <v>8833</v>
      </c>
      <c r="I1901" t="s">
        <v>9896</v>
      </c>
      <c r="J1901" s="3">
        <v>7.3085209999999998E-2</v>
      </c>
      <c r="K1901" s="3">
        <v>-0.30248809999999998</v>
      </c>
      <c r="L1901" s="3">
        <v>-0.26586320000000002</v>
      </c>
    </row>
    <row r="1902" spans="1:12" x14ac:dyDescent="0.25">
      <c r="A1902" t="s">
        <v>8829</v>
      </c>
      <c r="B1902" t="s">
        <v>8830</v>
      </c>
      <c r="I1902" t="s">
        <v>8831</v>
      </c>
      <c r="J1902" s="3">
        <v>0.18092549999999999</v>
      </c>
      <c r="K1902" s="3">
        <v>-0.23015540000000001</v>
      </c>
      <c r="L1902" s="3">
        <v>6.5432569999999995E-2</v>
      </c>
    </row>
    <row r="1903" spans="1:12" x14ac:dyDescent="0.25">
      <c r="A1903" t="s">
        <v>8827</v>
      </c>
      <c r="B1903" t="s">
        <v>8828</v>
      </c>
      <c r="I1903" t="s">
        <v>424</v>
      </c>
      <c r="J1903" s="3">
        <v>0.17482929999999999</v>
      </c>
      <c r="K1903" s="3">
        <v>-0.20143230000000001</v>
      </c>
      <c r="L1903" s="3">
        <v>-1.946618E-2</v>
      </c>
    </row>
    <row r="1904" spans="1:12" x14ac:dyDescent="0.25">
      <c r="A1904" t="s">
        <v>8824</v>
      </c>
      <c r="B1904" t="s">
        <v>8825</v>
      </c>
      <c r="I1904" t="s">
        <v>8826</v>
      </c>
      <c r="J1904" s="3">
        <v>-0.28622550000000002</v>
      </c>
      <c r="K1904" s="3">
        <v>-0.78809030000000002</v>
      </c>
      <c r="L1904" s="3">
        <v>6.7951300000000006E-2</v>
      </c>
    </row>
    <row r="1905" spans="1:12" x14ac:dyDescent="0.25">
      <c r="A1905" t="s">
        <v>8821</v>
      </c>
      <c r="B1905" t="s">
        <v>8822</v>
      </c>
      <c r="I1905" t="s">
        <v>8823</v>
      </c>
      <c r="J1905" s="3">
        <v>-0.1278629</v>
      </c>
      <c r="K1905" s="3">
        <v>7.0263809999999996E-2</v>
      </c>
      <c r="L1905" s="3">
        <v>-1.8408750000000002E-2</v>
      </c>
    </row>
    <row r="1906" spans="1:12" x14ac:dyDescent="0.25">
      <c r="A1906" t="s">
        <v>8818</v>
      </c>
      <c r="B1906" t="s">
        <v>8819</v>
      </c>
      <c r="I1906" t="s">
        <v>8820</v>
      </c>
      <c r="J1906" s="3">
        <v>-0.40475729999999999</v>
      </c>
      <c r="K1906" s="3">
        <v>-0.61081890000000005</v>
      </c>
      <c r="L1906" s="3">
        <v>-0.81300709999999998</v>
      </c>
    </row>
    <row r="1907" spans="1:12" x14ac:dyDescent="0.25">
      <c r="A1907" t="s">
        <v>8815</v>
      </c>
      <c r="B1907" t="s">
        <v>8816</v>
      </c>
      <c r="I1907" t="s">
        <v>8817</v>
      </c>
      <c r="J1907" s="3">
        <v>1.1826859999999999</v>
      </c>
      <c r="K1907" s="3">
        <v>0.58274939999999997</v>
      </c>
      <c r="L1907" s="3">
        <v>0.87978599999999996</v>
      </c>
    </row>
    <row r="1908" spans="1:12" x14ac:dyDescent="0.25">
      <c r="A1908" t="s">
        <v>8813</v>
      </c>
      <c r="B1908" t="s">
        <v>957</v>
      </c>
      <c r="I1908" t="s">
        <v>8814</v>
      </c>
      <c r="J1908" s="3">
        <v>0.22950000000000001</v>
      </c>
      <c r="K1908" s="3">
        <v>0.73298890000000005</v>
      </c>
      <c r="L1908" s="3">
        <v>0.82257709999999995</v>
      </c>
    </row>
    <row r="1909" spans="1:12" x14ac:dyDescent="0.25">
      <c r="A1909" t="s">
        <v>8810</v>
      </c>
      <c r="B1909" t="s">
        <v>8811</v>
      </c>
      <c r="I1909" t="s">
        <v>8812</v>
      </c>
      <c r="J1909" s="3">
        <v>-5.0515409999999997E-3</v>
      </c>
      <c r="K1909" s="3">
        <v>-3.8709540000000001E-2</v>
      </c>
      <c r="L1909" s="3">
        <v>-0.28561449999999999</v>
      </c>
    </row>
    <row r="1910" spans="1:12" x14ac:dyDescent="0.25">
      <c r="A1910" t="s">
        <v>8809</v>
      </c>
      <c r="B1910" t="s">
        <v>957</v>
      </c>
      <c r="I1910" t="s">
        <v>455</v>
      </c>
      <c r="J1910" s="3">
        <v>0.39873059999999999</v>
      </c>
      <c r="K1910" s="3">
        <v>0.57563600000000004</v>
      </c>
      <c r="L1910" s="3">
        <v>0.57392500000000002</v>
      </c>
    </row>
    <row r="1911" spans="1:12" x14ac:dyDescent="0.25">
      <c r="A1911" t="s">
        <v>8808</v>
      </c>
      <c r="B1911" t="s">
        <v>957</v>
      </c>
      <c r="I1911" t="s">
        <v>455</v>
      </c>
      <c r="J1911" s="3">
        <v>7.4811199999999994E-2</v>
      </c>
      <c r="K1911" s="3">
        <v>-0.2269496</v>
      </c>
      <c r="L1911" s="3">
        <v>-7.8209529999999999E-2</v>
      </c>
    </row>
    <row r="1912" spans="1:12" x14ac:dyDescent="0.25">
      <c r="A1912" t="s">
        <v>8806</v>
      </c>
      <c r="B1912" t="s">
        <v>8807</v>
      </c>
      <c r="I1912" t="s">
        <v>9757</v>
      </c>
      <c r="J1912" s="3">
        <v>0.12736700000000001</v>
      </c>
      <c r="K1912" s="3">
        <v>0.59995160000000003</v>
      </c>
      <c r="L1912" s="3">
        <v>0.61646509999999999</v>
      </c>
    </row>
    <row r="1913" spans="1:12" x14ac:dyDescent="0.25">
      <c r="A1913" t="s">
        <v>8803</v>
      </c>
      <c r="B1913" t="s">
        <v>8804</v>
      </c>
      <c r="I1913" t="s">
        <v>8805</v>
      </c>
      <c r="J1913" s="3">
        <v>-0.2819469</v>
      </c>
      <c r="K1913" s="3">
        <v>-9.3229400000000004E-2</v>
      </c>
      <c r="L1913" s="3">
        <v>-1.0063329999999999</v>
      </c>
    </row>
    <row r="1914" spans="1:12" x14ac:dyDescent="0.25">
      <c r="A1914" t="s">
        <v>8800</v>
      </c>
      <c r="B1914" t="s">
        <v>8801</v>
      </c>
      <c r="I1914" t="s">
        <v>8802</v>
      </c>
      <c r="J1914" s="3">
        <v>-0.84936210000000001</v>
      </c>
      <c r="K1914" s="3">
        <v>-1.3784730000000001</v>
      </c>
      <c r="L1914" s="3">
        <v>-0.88857649999999999</v>
      </c>
    </row>
    <row r="1915" spans="1:12" x14ac:dyDescent="0.25">
      <c r="A1915" t="s">
        <v>8797</v>
      </c>
      <c r="B1915" t="s">
        <v>8798</v>
      </c>
      <c r="I1915" t="s">
        <v>8799</v>
      </c>
      <c r="J1915" s="3">
        <v>-0.32940380000000002</v>
      </c>
      <c r="K1915" s="3">
        <v>-0.97770880000000004</v>
      </c>
      <c r="L1915" s="3">
        <v>-3.0618329999999999E-3</v>
      </c>
    </row>
    <row r="1916" spans="1:12" x14ac:dyDescent="0.25">
      <c r="A1916" t="s">
        <v>8794</v>
      </c>
      <c r="B1916" t="s">
        <v>8795</v>
      </c>
      <c r="I1916" t="s">
        <v>8796</v>
      </c>
      <c r="J1916" s="3">
        <v>0.13243569999999999</v>
      </c>
      <c r="K1916" s="3">
        <v>-0.39972800000000003</v>
      </c>
      <c r="L1916" s="3">
        <v>0.16373589999999999</v>
      </c>
    </row>
    <row r="1917" spans="1:12" x14ac:dyDescent="0.25">
      <c r="A1917" t="s">
        <v>8791</v>
      </c>
      <c r="B1917" t="s">
        <v>8792</v>
      </c>
      <c r="I1917" t="s">
        <v>8793</v>
      </c>
      <c r="J1917" s="3">
        <v>0.1074045</v>
      </c>
      <c r="K1917" s="3">
        <v>6.1748259999999999E-2</v>
      </c>
      <c r="L1917" s="3">
        <v>0.15810469999999999</v>
      </c>
    </row>
    <row r="1918" spans="1:12" x14ac:dyDescent="0.25">
      <c r="A1918" t="s">
        <v>8788</v>
      </c>
      <c r="B1918" t="s">
        <v>8789</v>
      </c>
      <c r="I1918" t="s">
        <v>8790</v>
      </c>
      <c r="J1918" s="3">
        <v>-0.29851549999999999</v>
      </c>
      <c r="K1918" s="3">
        <v>0.12296600000000001</v>
      </c>
      <c r="L1918" s="3">
        <v>0.30309049999999998</v>
      </c>
    </row>
    <row r="1919" spans="1:12" x14ac:dyDescent="0.25">
      <c r="A1919" t="s">
        <v>8785</v>
      </c>
      <c r="B1919" t="s">
        <v>8786</v>
      </c>
      <c r="I1919" t="s">
        <v>8787</v>
      </c>
      <c r="J1919" s="3">
        <v>0.36509219999999998</v>
      </c>
      <c r="K1919" s="3">
        <v>0.95664919999999998</v>
      </c>
      <c r="L1919" s="3">
        <v>0.1753644</v>
      </c>
    </row>
    <row r="1920" spans="1:12" x14ac:dyDescent="0.25">
      <c r="A1920" t="s">
        <v>8783</v>
      </c>
      <c r="B1920" t="s">
        <v>8784</v>
      </c>
      <c r="I1920" t="s">
        <v>2027</v>
      </c>
      <c r="J1920" s="3">
        <v>-1.231107</v>
      </c>
      <c r="K1920" s="3">
        <v>-0.26679140000000001</v>
      </c>
      <c r="L1920" s="3">
        <v>0.43984529999999999</v>
      </c>
    </row>
    <row r="1921" spans="1:12" x14ac:dyDescent="0.25">
      <c r="A1921" t="s">
        <v>8780</v>
      </c>
      <c r="B1921" t="s">
        <v>8781</v>
      </c>
      <c r="I1921" t="s">
        <v>8782</v>
      </c>
      <c r="J1921" s="3">
        <v>-0.36914979999999997</v>
      </c>
      <c r="K1921" s="3">
        <v>-0.64839769999999997</v>
      </c>
      <c r="L1921" s="3">
        <v>-0.53961930000000002</v>
      </c>
    </row>
    <row r="1922" spans="1:12" x14ac:dyDescent="0.25">
      <c r="A1922" t="s">
        <v>8777</v>
      </c>
      <c r="B1922" t="s">
        <v>8778</v>
      </c>
      <c r="I1922" t="s">
        <v>8779</v>
      </c>
      <c r="J1922" s="3">
        <v>-0.28132119999999999</v>
      </c>
      <c r="K1922" s="3">
        <v>-0.50499810000000001</v>
      </c>
      <c r="L1922" s="3">
        <v>-0.5822773</v>
      </c>
    </row>
    <row r="1923" spans="1:12" x14ac:dyDescent="0.25">
      <c r="A1923" t="s">
        <v>8774</v>
      </c>
      <c r="B1923" t="s">
        <v>8775</v>
      </c>
      <c r="I1923" t="s">
        <v>8776</v>
      </c>
      <c r="J1923" s="3">
        <v>-0.32920179999999999</v>
      </c>
      <c r="K1923" s="3">
        <v>-0.67534870000000002</v>
      </c>
      <c r="L1923" s="3">
        <v>-0.3892603</v>
      </c>
    </row>
    <row r="1924" spans="1:12" x14ac:dyDescent="0.25">
      <c r="A1924" t="s">
        <v>8771</v>
      </c>
      <c r="B1924" t="s">
        <v>8772</v>
      </c>
      <c r="I1924" t="s">
        <v>8773</v>
      </c>
      <c r="J1924" s="3">
        <v>-0.39041130000000002</v>
      </c>
      <c r="K1924" s="3">
        <v>-0.70300589999999996</v>
      </c>
      <c r="L1924" s="3">
        <v>-0.20510780000000001</v>
      </c>
    </row>
    <row r="1925" spans="1:12" x14ac:dyDescent="0.25">
      <c r="A1925" t="s">
        <v>8768</v>
      </c>
      <c r="B1925" t="s">
        <v>8769</v>
      </c>
      <c r="I1925" t="s">
        <v>8770</v>
      </c>
      <c r="J1925" s="3">
        <v>1.9734120000000001E-2</v>
      </c>
      <c r="K1925" s="3">
        <v>-0.127246</v>
      </c>
      <c r="L1925" s="3">
        <v>-0.28695120000000002</v>
      </c>
    </row>
    <row r="1926" spans="1:12" x14ac:dyDescent="0.25">
      <c r="A1926" t="s">
        <v>8767</v>
      </c>
      <c r="B1926" t="s">
        <v>957</v>
      </c>
      <c r="I1926" t="s">
        <v>455</v>
      </c>
      <c r="J1926" s="3">
        <v>-0.13019839999999999</v>
      </c>
      <c r="K1926" s="3">
        <v>0.17519770000000001</v>
      </c>
      <c r="L1926" s="3">
        <v>-0.26417849999999998</v>
      </c>
    </row>
    <row r="1927" spans="1:12" x14ac:dyDescent="0.25">
      <c r="A1927" t="s">
        <v>8764</v>
      </c>
      <c r="B1927" t="s">
        <v>8765</v>
      </c>
      <c r="I1927" t="s">
        <v>8766</v>
      </c>
      <c r="J1927" s="3">
        <v>0.31076229999999999</v>
      </c>
      <c r="K1927" s="3">
        <v>0.38767970000000002</v>
      </c>
      <c r="L1927" s="3">
        <v>0.34228370000000002</v>
      </c>
    </row>
    <row r="1928" spans="1:12" x14ac:dyDescent="0.25">
      <c r="A1928" t="s">
        <v>8761</v>
      </c>
      <c r="B1928" t="s">
        <v>8762</v>
      </c>
      <c r="I1928" t="s">
        <v>8763</v>
      </c>
      <c r="J1928" s="3">
        <v>0.61249209999999998</v>
      </c>
      <c r="K1928" s="3">
        <v>1.130123</v>
      </c>
      <c r="L1928" s="3">
        <v>0.15238479999999999</v>
      </c>
    </row>
    <row r="1929" spans="1:12" x14ac:dyDescent="0.25">
      <c r="A1929" t="s">
        <v>8758</v>
      </c>
      <c r="B1929" t="s">
        <v>8759</v>
      </c>
      <c r="I1929" t="s">
        <v>8760</v>
      </c>
      <c r="J1929" s="3">
        <v>0.37215809999999999</v>
      </c>
      <c r="K1929" s="3">
        <v>-0.16422900000000001</v>
      </c>
      <c r="L1929" s="3">
        <v>-4.8040760000000002E-2</v>
      </c>
    </row>
    <row r="1930" spans="1:12" x14ac:dyDescent="0.25">
      <c r="A1930" t="s">
        <v>8755</v>
      </c>
      <c r="B1930" t="s">
        <v>8756</v>
      </c>
      <c r="I1930" t="s">
        <v>8757</v>
      </c>
      <c r="J1930" s="3">
        <v>-0.1144053</v>
      </c>
      <c r="K1930" s="3">
        <v>-0.7185494</v>
      </c>
      <c r="L1930" s="3">
        <v>-9.7500829999999997E-2</v>
      </c>
    </row>
    <row r="1931" spans="1:12" x14ac:dyDescent="0.25">
      <c r="A1931" t="s">
        <v>8752</v>
      </c>
      <c r="B1931" t="s">
        <v>8753</v>
      </c>
      <c r="I1931" t="s">
        <v>8754</v>
      </c>
      <c r="J1931" s="3">
        <v>1.1529090000000001E-2</v>
      </c>
      <c r="K1931" s="3">
        <v>-9.1188660000000005E-2</v>
      </c>
      <c r="L1931" s="3">
        <v>-0.35777609999999999</v>
      </c>
    </row>
    <row r="1932" spans="1:12" x14ac:dyDescent="0.25">
      <c r="A1932" t="s">
        <v>8749</v>
      </c>
      <c r="B1932" t="s">
        <v>8750</v>
      </c>
      <c r="I1932" t="s">
        <v>8751</v>
      </c>
      <c r="J1932" s="3">
        <v>-0.59839730000000002</v>
      </c>
      <c r="K1932" s="3">
        <v>-0.4256105</v>
      </c>
      <c r="L1932" s="3">
        <v>-0.81456289999999998</v>
      </c>
    </row>
    <row r="1933" spans="1:12" x14ac:dyDescent="0.25">
      <c r="A1933" t="s">
        <v>8747</v>
      </c>
      <c r="B1933" t="s">
        <v>957</v>
      </c>
      <c r="I1933" t="s">
        <v>8748</v>
      </c>
      <c r="J1933" s="3">
        <v>-5.9126650000000003E-2</v>
      </c>
      <c r="K1933" s="3">
        <v>-0.552593</v>
      </c>
      <c r="L1933" s="3">
        <v>5.2989139999999997E-2</v>
      </c>
    </row>
    <row r="1934" spans="1:12" x14ac:dyDescent="0.25">
      <c r="A1934" t="s">
        <v>8744</v>
      </c>
      <c r="B1934" t="s">
        <v>8745</v>
      </c>
      <c r="I1934" t="s">
        <v>8746</v>
      </c>
      <c r="J1934" s="3">
        <v>-3.5621380000000001E-2</v>
      </c>
      <c r="K1934" s="3">
        <v>-0.13819890000000001</v>
      </c>
      <c r="L1934" s="3">
        <v>-0.15829190000000001</v>
      </c>
    </row>
    <row r="1935" spans="1:12" x14ac:dyDescent="0.25">
      <c r="A1935" t="s">
        <v>8741</v>
      </c>
      <c r="B1935" t="s">
        <v>8742</v>
      </c>
      <c r="I1935" t="s">
        <v>8743</v>
      </c>
      <c r="J1935" s="3">
        <v>-0.22058320000000001</v>
      </c>
      <c r="K1935" s="3">
        <v>-0.27183020000000002</v>
      </c>
      <c r="L1935" s="3">
        <v>-0.2289669</v>
      </c>
    </row>
    <row r="1936" spans="1:12" x14ac:dyDescent="0.25">
      <c r="A1936" t="s">
        <v>8740</v>
      </c>
      <c r="B1936" t="s">
        <v>957</v>
      </c>
      <c r="I1936" t="s">
        <v>453</v>
      </c>
      <c r="J1936" s="3">
        <v>3.6425239999999998E-2</v>
      </c>
      <c r="K1936" s="3">
        <v>-2.8483760000000001E-3</v>
      </c>
      <c r="L1936" s="3">
        <v>-8.5910910000000004E-3</v>
      </c>
    </row>
    <row r="1937" spans="1:12" x14ac:dyDescent="0.25">
      <c r="A1937" t="s">
        <v>9777</v>
      </c>
      <c r="B1937" t="s">
        <v>9778</v>
      </c>
      <c r="I1937" t="s">
        <v>8739</v>
      </c>
      <c r="J1937" s="3">
        <v>0.28064519999999998</v>
      </c>
      <c r="K1937" s="3">
        <v>2.0637800000000001E-2</v>
      </c>
      <c r="L1937" s="3">
        <v>0.43620609999999999</v>
      </c>
    </row>
    <row r="1938" spans="1:12" x14ac:dyDescent="0.25">
      <c r="A1938" t="s">
        <v>9774</v>
      </c>
      <c r="B1938" t="s">
        <v>9775</v>
      </c>
      <c r="I1938" t="s">
        <v>9776</v>
      </c>
      <c r="J1938" s="3">
        <v>0.67659559999999996</v>
      </c>
      <c r="K1938" s="3">
        <v>0.34681590000000001</v>
      </c>
      <c r="L1938" s="3">
        <v>0.65124230000000005</v>
      </c>
    </row>
    <row r="1939" spans="1:12" x14ac:dyDescent="0.25">
      <c r="A1939" t="s">
        <v>9771</v>
      </c>
      <c r="B1939" t="s">
        <v>9772</v>
      </c>
      <c r="I1939" t="s">
        <v>9773</v>
      </c>
      <c r="J1939" s="3">
        <v>-0.30416880000000002</v>
      </c>
      <c r="K1939" s="3">
        <v>-0.43212519999999999</v>
      </c>
      <c r="L1939" s="3">
        <v>-0.2786148</v>
      </c>
    </row>
    <row r="1940" spans="1:12" x14ac:dyDescent="0.25">
      <c r="A1940" t="s">
        <v>9768</v>
      </c>
      <c r="B1940" t="s">
        <v>9769</v>
      </c>
      <c r="I1940" t="s">
        <v>9770</v>
      </c>
      <c r="J1940" s="3">
        <v>-0.1034992</v>
      </c>
      <c r="K1940" s="3">
        <v>0.2060843</v>
      </c>
      <c r="L1940" s="3">
        <v>2.573425E-2</v>
      </c>
    </row>
    <row r="1941" spans="1:12" x14ac:dyDescent="0.25">
      <c r="A1941" t="s">
        <v>9765</v>
      </c>
      <c r="B1941" t="s">
        <v>9766</v>
      </c>
      <c r="I1941" t="s">
        <v>9767</v>
      </c>
      <c r="J1941" s="3">
        <v>0.26324180000000003</v>
      </c>
      <c r="K1941" s="3">
        <v>0.31999420000000001</v>
      </c>
      <c r="L1941" s="3">
        <v>-0.1402822</v>
      </c>
    </row>
    <row r="1942" spans="1:12" x14ac:dyDescent="0.25">
      <c r="A1942" t="s">
        <v>9762</v>
      </c>
      <c r="B1942" t="s">
        <v>9763</v>
      </c>
      <c r="I1942" t="s">
        <v>9764</v>
      </c>
      <c r="J1942" s="3">
        <v>0.57725170000000003</v>
      </c>
      <c r="K1942" s="3">
        <v>0.37878719999999999</v>
      </c>
      <c r="L1942" s="3">
        <v>0.6315212</v>
      </c>
    </row>
    <row r="1943" spans="1:12" x14ac:dyDescent="0.25">
      <c r="A1943" t="s">
        <v>9761</v>
      </c>
      <c r="B1943" t="s">
        <v>957</v>
      </c>
      <c r="I1943" t="s">
        <v>455</v>
      </c>
      <c r="J1943" s="3">
        <v>0.7975778</v>
      </c>
      <c r="K1943" s="3">
        <v>1.059188</v>
      </c>
      <c r="L1943" s="3">
        <v>0.58825950000000005</v>
      </c>
    </row>
    <row r="1944" spans="1:12" x14ac:dyDescent="0.25">
      <c r="A1944" t="s">
        <v>9758</v>
      </c>
      <c r="B1944" t="s">
        <v>9759</v>
      </c>
      <c r="I1944" t="s">
        <v>9760</v>
      </c>
      <c r="J1944" s="3">
        <v>0.65928949999999997</v>
      </c>
      <c r="K1944" s="3">
        <v>0.38050929999999999</v>
      </c>
      <c r="L1944" s="3">
        <v>0.52344760000000001</v>
      </c>
    </row>
    <row r="1945" spans="1:12" x14ac:dyDescent="0.25">
      <c r="A1945" t="s">
        <v>9755</v>
      </c>
      <c r="B1945" t="s">
        <v>9756</v>
      </c>
      <c r="I1945" t="s">
        <v>9757</v>
      </c>
      <c r="J1945" s="3">
        <v>0.1347545</v>
      </c>
      <c r="K1945" s="3">
        <v>0.53239179999999997</v>
      </c>
      <c r="L1945" s="3">
        <v>0.37892540000000002</v>
      </c>
    </row>
    <row r="1946" spans="1:12" x14ac:dyDescent="0.25">
      <c r="A1946" t="s">
        <v>9753</v>
      </c>
      <c r="B1946" t="s">
        <v>9754</v>
      </c>
      <c r="I1946" t="s">
        <v>5920</v>
      </c>
      <c r="J1946" s="3">
        <v>-0.18682969999999999</v>
      </c>
      <c r="K1946" s="3">
        <v>-5.5082180000000001E-2</v>
      </c>
      <c r="L1946" s="3">
        <v>-2.3175680000000001E-2</v>
      </c>
    </row>
    <row r="1947" spans="1:12" x14ac:dyDescent="0.25">
      <c r="A1947" t="s">
        <v>9750</v>
      </c>
      <c r="B1947" t="s">
        <v>9751</v>
      </c>
      <c r="I1947" t="s">
        <v>9752</v>
      </c>
      <c r="J1947" s="3">
        <v>-0.72863029999999995</v>
      </c>
      <c r="K1947" s="3">
        <v>-0.92845339999999998</v>
      </c>
      <c r="L1947" s="3">
        <v>-0.60132859999999999</v>
      </c>
    </row>
    <row r="1948" spans="1:12" x14ac:dyDescent="0.25">
      <c r="A1948" t="s">
        <v>9747</v>
      </c>
      <c r="B1948" t="s">
        <v>9748</v>
      </c>
      <c r="I1948" t="s">
        <v>9749</v>
      </c>
      <c r="J1948" s="3">
        <v>-0.4942686</v>
      </c>
      <c r="K1948" s="3">
        <v>-0.11937879999999999</v>
      </c>
      <c r="L1948" s="3">
        <v>-0.43997130000000001</v>
      </c>
    </row>
    <row r="1949" spans="1:12" x14ac:dyDescent="0.25">
      <c r="A1949" t="s">
        <v>8706</v>
      </c>
      <c r="B1949" t="s">
        <v>8707</v>
      </c>
      <c r="I1949" t="s">
        <v>9746</v>
      </c>
      <c r="J1949" s="3">
        <v>-0.30189650000000001</v>
      </c>
      <c r="K1949" s="3">
        <v>-0.85997699999999999</v>
      </c>
      <c r="L1949" s="3">
        <v>-0.59924670000000002</v>
      </c>
    </row>
    <row r="1950" spans="1:12" x14ac:dyDescent="0.25">
      <c r="A1950" t="s">
        <v>8703</v>
      </c>
      <c r="B1950" t="s">
        <v>8704</v>
      </c>
      <c r="I1950" t="s">
        <v>8705</v>
      </c>
      <c r="J1950" s="3">
        <v>-0.28856470000000001</v>
      </c>
      <c r="K1950" s="3">
        <v>0.54302899999999998</v>
      </c>
      <c r="L1950" s="3">
        <v>-0.34232509999999999</v>
      </c>
    </row>
    <row r="1951" spans="1:12" x14ac:dyDescent="0.25">
      <c r="A1951" t="s">
        <v>8700</v>
      </c>
      <c r="B1951" t="s">
        <v>8701</v>
      </c>
      <c r="I1951" t="s">
        <v>8702</v>
      </c>
      <c r="J1951" s="3">
        <v>0.25125370000000002</v>
      </c>
      <c r="K1951" s="3">
        <v>0.295012</v>
      </c>
      <c r="L1951" s="3">
        <v>0.35853479999999999</v>
      </c>
    </row>
    <row r="1952" spans="1:12" x14ac:dyDescent="0.25">
      <c r="A1952" t="s">
        <v>8697</v>
      </c>
      <c r="B1952" t="s">
        <v>8698</v>
      </c>
      <c r="I1952" t="s">
        <v>8699</v>
      </c>
      <c r="J1952" s="3">
        <v>-0.23173279999999999</v>
      </c>
      <c r="K1952" s="3">
        <v>-0.9103637</v>
      </c>
      <c r="L1952" s="3">
        <v>-0.1801818</v>
      </c>
    </row>
    <row r="1953" spans="1:12" x14ac:dyDescent="0.25">
      <c r="A1953" t="s">
        <v>8694</v>
      </c>
      <c r="B1953" t="s">
        <v>8695</v>
      </c>
      <c r="I1953" t="s">
        <v>8696</v>
      </c>
      <c r="J1953" s="3">
        <v>-0.20341790000000001</v>
      </c>
      <c r="K1953" s="3">
        <v>-0.5669997</v>
      </c>
      <c r="L1953" s="3">
        <v>-0.1197111</v>
      </c>
    </row>
    <row r="1954" spans="1:12" x14ac:dyDescent="0.25">
      <c r="A1954" t="s">
        <v>8691</v>
      </c>
      <c r="B1954" t="s">
        <v>8692</v>
      </c>
      <c r="I1954" t="s">
        <v>8693</v>
      </c>
      <c r="J1954" s="3">
        <v>2.3296790000000001</v>
      </c>
      <c r="K1954" s="3">
        <v>2.5602670000000001</v>
      </c>
      <c r="L1954" s="3">
        <v>1.677556</v>
      </c>
    </row>
    <row r="1955" spans="1:12" x14ac:dyDescent="0.25">
      <c r="A1955" t="s">
        <v>8688</v>
      </c>
      <c r="B1955" t="s">
        <v>8689</v>
      </c>
      <c r="I1955" t="s">
        <v>8690</v>
      </c>
      <c r="J1955" s="3">
        <v>0.29668499999999998</v>
      </c>
      <c r="K1955" s="3">
        <v>-0.48453940000000001</v>
      </c>
      <c r="L1955" s="3">
        <v>0.39204650000000002</v>
      </c>
    </row>
    <row r="1956" spans="1:12" x14ac:dyDescent="0.25">
      <c r="A1956" t="s">
        <v>8686</v>
      </c>
      <c r="B1956" t="s">
        <v>8687</v>
      </c>
      <c r="I1956" t="s">
        <v>3630</v>
      </c>
      <c r="J1956" s="3">
        <v>4.3058069999999997E-2</v>
      </c>
      <c r="K1956" s="3">
        <v>-0.1828292</v>
      </c>
      <c r="L1956" s="3">
        <v>-0.13894039999999999</v>
      </c>
    </row>
    <row r="1957" spans="1:12" x14ac:dyDescent="0.25">
      <c r="A1957" t="s">
        <v>8683</v>
      </c>
      <c r="B1957" t="s">
        <v>8684</v>
      </c>
      <c r="I1957" t="s">
        <v>8685</v>
      </c>
      <c r="J1957" s="3">
        <v>-0.22847680000000001</v>
      </c>
      <c r="K1957" s="3">
        <v>-0.64171160000000005</v>
      </c>
      <c r="L1957" s="3">
        <v>-0.3465183</v>
      </c>
    </row>
    <row r="1958" spans="1:12" x14ac:dyDescent="0.25">
      <c r="A1958" t="s">
        <v>8680</v>
      </c>
      <c r="B1958" t="s">
        <v>8681</v>
      </c>
      <c r="I1958" t="s">
        <v>8682</v>
      </c>
      <c r="J1958" s="3">
        <v>7.6974139999999996E-2</v>
      </c>
      <c r="K1958" s="3">
        <v>0.50723669999999998</v>
      </c>
      <c r="L1958" s="3">
        <v>6.4172510000000002E-2</v>
      </c>
    </row>
    <row r="1959" spans="1:12" x14ac:dyDescent="0.25">
      <c r="A1959" t="s">
        <v>8677</v>
      </c>
      <c r="B1959" t="s">
        <v>8678</v>
      </c>
      <c r="I1959" t="s">
        <v>8679</v>
      </c>
      <c r="J1959" s="3">
        <v>-9.8185469999999997E-2</v>
      </c>
      <c r="K1959" s="3">
        <v>-0.28568320000000003</v>
      </c>
      <c r="L1959" s="3">
        <v>-0.53646530000000003</v>
      </c>
    </row>
    <row r="1960" spans="1:12" x14ac:dyDescent="0.25">
      <c r="A1960" t="s">
        <v>8675</v>
      </c>
      <c r="B1960" t="s">
        <v>8676</v>
      </c>
      <c r="I1960" t="s">
        <v>86</v>
      </c>
      <c r="J1960" s="3">
        <v>0.1845522</v>
      </c>
      <c r="K1960" s="3">
        <v>-3.495467E-2</v>
      </c>
      <c r="L1960" s="3">
        <v>-2.9016E-2</v>
      </c>
    </row>
    <row r="1961" spans="1:12" x14ac:dyDescent="0.25">
      <c r="A1961" t="s">
        <v>9714</v>
      </c>
      <c r="B1961" t="s">
        <v>9715</v>
      </c>
      <c r="I1961" t="s">
        <v>8674</v>
      </c>
      <c r="J1961" s="3">
        <v>-0.2995352</v>
      </c>
      <c r="K1961" s="3">
        <v>-1.057588</v>
      </c>
      <c r="L1961" s="3">
        <v>-0.55147710000000005</v>
      </c>
    </row>
    <row r="1962" spans="1:12" x14ac:dyDescent="0.25">
      <c r="A1962" t="s">
        <v>9713</v>
      </c>
      <c r="B1962" t="s">
        <v>957</v>
      </c>
      <c r="I1962" t="s">
        <v>455</v>
      </c>
      <c r="J1962" s="3">
        <v>-0.4893576</v>
      </c>
      <c r="K1962" s="3">
        <v>4.8553190000000003E-2</v>
      </c>
      <c r="L1962" s="3">
        <v>-0.16800090000000001</v>
      </c>
    </row>
    <row r="1963" spans="1:12" x14ac:dyDescent="0.25">
      <c r="A1963" t="s">
        <v>9710</v>
      </c>
      <c r="B1963" t="s">
        <v>9711</v>
      </c>
      <c r="I1963" t="s">
        <v>9712</v>
      </c>
      <c r="J1963" s="3">
        <v>-0.28021689999999999</v>
      </c>
      <c r="K1963" s="3">
        <v>-0.32687929999999998</v>
      </c>
      <c r="L1963" s="3">
        <v>-7.8621280000000002E-2</v>
      </c>
    </row>
    <row r="1964" spans="1:12" x14ac:dyDescent="0.25">
      <c r="A1964" t="s">
        <v>9707</v>
      </c>
      <c r="B1964" t="s">
        <v>9708</v>
      </c>
      <c r="I1964" t="s">
        <v>9709</v>
      </c>
      <c r="J1964" s="3">
        <v>0.4010608</v>
      </c>
      <c r="K1964" s="3">
        <v>0.23837659999999999</v>
      </c>
      <c r="L1964" s="3">
        <v>0.27297369999999999</v>
      </c>
    </row>
    <row r="1965" spans="1:12" x14ac:dyDescent="0.25">
      <c r="A1965" t="s">
        <v>9705</v>
      </c>
      <c r="B1965" t="s">
        <v>9706</v>
      </c>
      <c r="I1965" t="s">
        <v>579</v>
      </c>
      <c r="J1965" s="3">
        <v>0.18232950000000001</v>
      </c>
      <c r="K1965" s="3">
        <v>0.25066060000000001</v>
      </c>
      <c r="L1965" s="3">
        <v>0.37289509999999998</v>
      </c>
    </row>
    <row r="1966" spans="1:12" x14ac:dyDescent="0.25">
      <c r="A1966" t="s">
        <v>9702</v>
      </c>
      <c r="B1966" t="s">
        <v>9703</v>
      </c>
      <c r="I1966" t="s">
        <v>9704</v>
      </c>
      <c r="J1966" s="3">
        <v>0.54296489999999997</v>
      </c>
      <c r="K1966" s="3">
        <v>0.34900140000000002</v>
      </c>
      <c r="L1966" s="3">
        <v>0.18042749999999999</v>
      </c>
    </row>
    <row r="1967" spans="1:12" x14ac:dyDescent="0.25">
      <c r="A1967" t="s">
        <v>9699</v>
      </c>
      <c r="B1967" t="s">
        <v>9700</v>
      </c>
      <c r="I1967" t="s">
        <v>9701</v>
      </c>
      <c r="J1967" s="3">
        <v>0.12535969999999999</v>
      </c>
      <c r="K1967" s="3">
        <v>0.28508990000000001</v>
      </c>
      <c r="L1967" s="3">
        <v>-0.2415311</v>
      </c>
    </row>
    <row r="1968" spans="1:12" x14ac:dyDescent="0.25">
      <c r="A1968" t="s">
        <v>9696</v>
      </c>
      <c r="B1968" t="s">
        <v>9697</v>
      </c>
      <c r="I1968" t="s">
        <v>9698</v>
      </c>
      <c r="J1968" s="3">
        <v>-0.14798900000000001</v>
      </c>
      <c r="K1968" s="3">
        <v>0.29885909999999999</v>
      </c>
      <c r="L1968" s="3">
        <v>0.32148290000000002</v>
      </c>
    </row>
    <row r="1969" spans="1:12" x14ac:dyDescent="0.25">
      <c r="A1969" t="s">
        <v>9695</v>
      </c>
      <c r="B1969" t="s">
        <v>957</v>
      </c>
      <c r="I1969" t="s">
        <v>455</v>
      </c>
      <c r="J1969" s="3">
        <v>-0.95181559999999998</v>
      </c>
      <c r="K1969" s="3">
        <v>-1.2528220000000001</v>
      </c>
      <c r="L1969" s="3">
        <v>-0.48322179999999998</v>
      </c>
    </row>
    <row r="1970" spans="1:12" x14ac:dyDescent="0.25">
      <c r="A1970" t="s">
        <v>9692</v>
      </c>
      <c r="B1970" t="s">
        <v>9693</v>
      </c>
      <c r="I1970" t="s">
        <v>9694</v>
      </c>
      <c r="J1970" s="3">
        <v>7.7073509999999998E-2</v>
      </c>
      <c r="K1970" s="3">
        <v>-0.24826690000000001</v>
      </c>
      <c r="L1970" s="3">
        <v>-0.10993219999999999</v>
      </c>
    </row>
    <row r="1971" spans="1:12" x14ac:dyDescent="0.25">
      <c r="A1971" t="s">
        <v>9689</v>
      </c>
      <c r="B1971" t="s">
        <v>9690</v>
      </c>
      <c r="I1971" t="s">
        <v>9691</v>
      </c>
      <c r="J1971" s="3">
        <v>-0.11487989999999999</v>
      </c>
      <c r="K1971" s="3">
        <v>-0.61958069999999998</v>
      </c>
      <c r="L1971" s="3">
        <v>-0.22051970000000001</v>
      </c>
    </row>
    <row r="1972" spans="1:12" x14ac:dyDescent="0.25">
      <c r="A1972" t="s">
        <v>9686</v>
      </c>
      <c r="B1972" t="s">
        <v>9687</v>
      </c>
      <c r="I1972" t="s">
        <v>9688</v>
      </c>
      <c r="J1972" s="3">
        <v>-0.71151679999999995</v>
      </c>
      <c r="K1972" s="3">
        <v>-0.21324860000000001</v>
      </c>
      <c r="L1972" s="3">
        <v>-0.1071738</v>
      </c>
    </row>
    <row r="1973" spans="1:12" x14ac:dyDescent="0.25">
      <c r="A1973" t="s">
        <v>9685</v>
      </c>
      <c r="B1973" t="s">
        <v>957</v>
      </c>
      <c r="I1973" t="s">
        <v>455</v>
      </c>
      <c r="J1973" s="3">
        <v>-0.28545730000000002</v>
      </c>
      <c r="K1973" s="3">
        <v>0.41595539999999998</v>
      </c>
      <c r="L1973" s="3">
        <v>-5.2480190000000003E-2</v>
      </c>
    </row>
    <row r="1974" spans="1:12" x14ac:dyDescent="0.25">
      <c r="A1974" t="s">
        <v>9684</v>
      </c>
      <c r="B1974" t="s">
        <v>957</v>
      </c>
      <c r="I1974" t="s">
        <v>455</v>
      </c>
      <c r="J1974" s="3">
        <v>0.20928350000000001</v>
      </c>
      <c r="K1974" s="3">
        <v>-9.0422390000000005E-2</v>
      </c>
      <c r="L1974" s="3">
        <v>0.27395960000000003</v>
      </c>
    </row>
    <row r="1975" spans="1:12" x14ac:dyDescent="0.25">
      <c r="A1975" t="s">
        <v>9681</v>
      </c>
      <c r="B1975" t="s">
        <v>9682</v>
      </c>
      <c r="I1975" t="s">
        <v>9683</v>
      </c>
      <c r="J1975" s="3">
        <v>-0.30169220000000002</v>
      </c>
      <c r="K1975" s="3">
        <v>-0.50190310000000005</v>
      </c>
      <c r="L1975" s="3">
        <v>-1.919935E-2</v>
      </c>
    </row>
    <row r="1976" spans="1:12" x14ac:dyDescent="0.25">
      <c r="A1976" t="s">
        <v>9678</v>
      </c>
      <c r="B1976" t="s">
        <v>9679</v>
      </c>
      <c r="I1976" t="s">
        <v>9680</v>
      </c>
      <c r="J1976" s="3">
        <v>-0.1734909</v>
      </c>
      <c r="K1976" s="3">
        <v>-0.73485909999999999</v>
      </c>
      <c r="L1976" s="3">
        <v>-0.1894912</v>
      </c>
    </row>
    <row r="1977" spans="1:12" x14ac:dyDescent="0.25">
      <c r="A1977" t="s">
        <v>9675</v>
      </c>
      <c r="B1977" t="s">
        <v>9676</v>
      </c>
      <c r="I1977" t="s">
        <v>9677</v>
      </c>
      <c r="J1977" s="3">
        <v>-0.13399079999999999</v>
      </c>
      <c r="K1977" s="3">
        <v>-2.9093500000000001E-2</v>
      </c>
      <c r="L1977" s="3">
        <v>5.7486460000000003E-2</v>
      </c>
    </row>
    <row r="1978" spans="1:12" x14ac:dyDescent="0.25">
      <c r="A1978" t="s">
        <v>9674</v>
      </c>
      <c r="B1978" t="s">
        <v>957</v>
      </c>
      <c r="I1978" t="s">
        <v>228</v>
      </c>
      <c r="J1978" s="3">
        <v>-0.19510839999999999</v>
      </c>
      <c r="K1978" s="3">
        <v>-0.12676699999999999</v>
      </c>
      <c r="L1978" s="3">
        <v>-0.42800250000000001</v>
      </c>
    </row>
    <row r="1979" spans="1:12" x14ac:dyDescent="0.25">
      <c r="A1979" t="s">
        <v>9671</v>
      </c>
      <c r="B1979" t="s">
        <v>9672</v>
      </c>
      <c r="I1979" t="s">
        <v>9673</v>
      </c>
      <c r="J1979" s="3">
        <v>-0.69021480000000002</v>
      </c>
      <c r="K1979" s="3">
        <v>-0.33193149999999999</v>
      </c>
      <c r="L1979" s="3">
        <v>-0.67545440000000001</v>
      </c>
    </row>
    <row r="1980" spans="1:12" x14ac:dyDescent="0.25">
      <c r="A1980" t="s">
        <v>9668</v>
      </c>
      <c r="B1980" t="s">
        <v>9669</v>
      </c>
      <c r="I1980" t="s">
        <v>9670</v>
      </c>
      <c r="J1980" s="3">
        <v>0.72918590000000005</v>
      </c>
      <c r="K1980" s="3">
        <v>7.5520889999999993E-2</v>
      </c>
      <c r="L1980" s="3">
        <v>0.32331199999999999</v>
      </c>
    </row>
    <row r="1981" spans="1:12" x14ac:dyDescent="0.25">
      <c r="A1981" t="s">
        <v>9665</v>
      </c>
      <c r="B1981" t="s">
        <v>9666</v>
      </c>
      <c r="I1981" t="s">
        <v>9667</v>
      </c>
      <c r="J1981" s="3">
        <v>-6.7976850000000005E-2</v>
      </c>
      <c r="K1981" s="3">
        <v>-0.2424412</v>
      </c>
      <c r="L1981" s="3">
        <v>-0.1158034</v>
      </c>
    </row>
    <row r="1982" spans="1:12" x14ac:dyDescent="0.25">
      <c r="A1982" t="s">
        <v>9662</v>
      </c>
      <c r="B1982" t="s">
        <v>9663</v>
      </c>
      <c r="I1982" t="s">
        <v>9664</v>
      </c>
      <c r="J1982" s="3">
        <v>2.2742680000000001E-2</v>
      </c>
      <c r="K1982" s="3">
        <v>0.86805949999999998</v>
      </c>
      <c r="L1982" s="3">
        <v>0.13094980000000001</v>
      </c>
    </row>
    <row r="1983" spans="1:12" x14ac:dyDescent="0.25">
      <c r="A1983" t="s">
        <v>9659</v>
      </c>
      <c r="B1983" t="s">
        <v>9660</v>
      </c>
      <c r="I1983" t="s">
        <v>9661</v>
      </c>
      <c r="J1983" s="3">
        <v>8.4742700000000004E-2</v>
      </c>
      <c r="K1983" s="3">
        <v>-0.40986479999999997</v>
      </c>
      <c r="L1983" s="3">
        <v>7.5184269999999997E-2</v>
      </c>
    </row>
    <row r="1984" spans="1:12" x14ac:dyDescent="0.25">
      <c r="A1984" t="s">
        <v>9658</v>
      </c>
      <c r="B1984" t="s">
        <v>957</v>
      </c>
      <c r="I1984" t="s">
        <v>455</v>
      </c>
      <c r="J1984" s="3">
        <v>0.62505129999999998</v>
      </c>
      <c r="K1984" s="3">
        <v>0.78992709999999999</v>
      </c>
      <c r="L1984" s="3">
        <v>0.94179489999999999</v>
      </c>
    </row>
    <row r="1985" spans="1:12" x14ac:dyDescent="0.25">
      <c r="A1985" t="s">
        <v>9655</v>
      </c>
      <c r="B1985" t="s">
        <v>9656</v>
      </c>
      <c r="I1985" t="s">
        <v>9657</v>
      </c>
      <c r="J1985" s="3">
        <v>0.11126270000000001</v>
      </c>
      <c r="K1985" s="3">
        <v>-0.30846479999999998</v>
      </c>
      <c r="L1985" s="3">
        <v>1.90873E-3</v>
      </c>
    </row>
    <row r="1986" spans="1:12" x14ac:dyDescent="0.25">
      <c r="A1986" t="s">
        <v>9652</v>
      </c>
      <c r="B1986" t="s">
        <v>9653</v>
      </c>
      <c r="I1986" t="s">
        <v>9654</v>
      </c>
      <c r="J1986" s="3">
        <v>-0.21459120000000001</v>
      </c>
      <c r="K1986" s="3">
        <v>-0.92219949999999995</v>
      </c>
      <c r="L1986" s="3">
        <v>-0.4002714</v>
      </c>
    </row>
    <row r="1987" spans="1:12" x14ac:dyDescent="0.25">
      <c r="A1987" t="s">
        <v>9649</v>
      </c>
      <c r="B1987" t="s">
        <v>9650</v>
      </c>
      <c r="I1987" t="s">
        <v>9651</v>
      </c>
      <c r="J1987" s="3">
        <v>-6.1867440000000003E-2</v>
      </c>
      <c r="K1987" s="3">
        <v>-0.34841699999999998</v>
      </c>
      <c r="L1987" s="3">
        <v>8.6315039999999999E-3</v>
      </c>
    </row>
    <row r="1988" spans="1:12" x14ac:dyDescent="0.25">
      <c r="A1988" t="s">
        <v>9646</v>
      </c>
      <c r="B1988" t="s">
        <v>9647</v>
      </c>
      <c r="I1988" t="s">
        <v>9648</v>
      </c>
      <c r="J1988" s="3">
        <v>-0.42060150000000002</v>
      </c>
      <c r="K1988" s="3">
        <v>-0.37955899999999998</v>
      </c>
      <c r="L1988" s="3">
        <v>-0.1892508</v>
      </c>
    </row>
    <row r="1989" spans="1:12" x14ac:dyDescent="0.25">
      <c r="A1989" t="s">
        <v>9643</v>
      </c>
      <c r="B1989" t="s">
        <v>9644</v>
      </c>
      <c r="I1989" t="s">
        <v>9645</v>
      </c>
      <c r="J1989" s="3">
        <v>7.1282979999999996E-2</v>
      </c>
      <c r="K1989" s="3">
        <v>7.7429010000000006E-2</v>
      </c>
      <c r="L1989" s="3">
        <v>-3.6515069999999997E-2</v>
      </c>
    </row>
    <row r="1990" spans="1:12" x14ac:dyDescent="0.25">
      <c r="A1990" t="s">
        <v>9640</v>
      </c>
      <c r="B1990" t="s">
        <v>9641</v>
      </c>
      <c r="I1990" t="s">
        <v>9642</v>
      </c>
      <c r="J1990" s="3">
        <v>0.1528909</v>
      </c>
      <c r="K1990" s="3">
        <v>-0.33354919999999999</v>
      </c>
      <c r="L1990" s="3">
        <v>-0.18836739999999999</v>
      </c>
    </row>
    <row r="1991" spans="1:12" x14ac:dyDescent="0.25">
      <c r="A1991" t="s">
        <v>9637</v>
      </c>
      <c r="B1991" t="s">
        <v>9638</v>
      </c>
      <c r="I1991" t="s">
        <v>9639</v>
      </c>
      <c r="J1991" s="3">
        <v>2.597843E-2</v>
      </c>
      <c r="K1991" s="3">
        <v>0.76484920000000001</v>
      </c>
      <c r="L1991" s="3">
        <v>-6.4032839999999994E-2</v>
      </c>
    </row>
    <row r="1992" spans="1:12" x14ac:dyDescent="0.25">
      <c r="A1992" t="s">
        <v>9636</v>
      </c>
      <c r="B1992" t="s">
        <v>957</v>
      </c>
      <c r="I1992" t="s">
        <v>455</v>
      </c>
      <c r="J1992" s="3">
        <v>0.44516450000000002</v>
      </c>
      <c r="K1992" s="3">
        <v>0.79627150000000002</v>
      </c>
      <c r="L1992" s="3">
        <v>0.78463760000000005</v>
      </c>
    </row>
    <row r="1993" spans="1:12" x14ac:dyDescent="0.25">
      <c r="A1993" t="s">
        <v>9633</v>
      </c>
      <c r="B1993" t="s">
        <v>9634</v>
      </c>
      <c r="I1993" t="s">
        <v>9635</v>
      </c>
      <c r="J1993" s="3">
        <v>3.0094369999999999E-2</v>
      </c>
      <c r="K1993" s="3">
        <v>0.5396358</v>
      </c>
      <c r="L1993" s="3">
        <v>0.4942935</v>
      </c>
    </row>
    <row r="1994" spans="1:12" x14ac:dyDescent="0.25">
      <c r="A1994" t="s">
        <v>9630</v>
      </c>
      <c r="B1994" t="s">
        <v>9631</v>
      </c>
      <c r="I1994" t="s">
        <v>9632</v>
      </c>
      <c r="J1994" s="3">
        <v>-0.38030799999999998</v>
      </c>
      <c r="K1994" s="3">
        <v>-0.90598480000000003</v>
      </c>
      <c r="L1994" s="3">
        <v>-0.4118906</v>
      </c>
    </row>
    <row r="1995" spans="1:12" x14ac:dyDescent="0.25">
      <c r="A1995" t="s">
        <v>9627</v>
      </c>
      <c r="B1995" t="s">
        <v>9628</v>
      </c>
      <c r="I1995" t="s">
        <v>9629</v>
      </c>
      <c r="J1995" s="3">
        <v>0.53629760000000004</v>
      </c>
      <c r="K1995" s="3">
        <v>1.133518</v>
      </c>
      <c r="L1995" s="3">
        <v>0.74925209999999998</v>
      </c>
    </row>
    <row r="1996" spans="1:12" x14ac:dyDescent="0.25">
      <c r="A1996" t="s">
        <v>9624</v>
      </c>
      <c r="B1996" t="s">
        <v>9625</v>
      </c>
      <c r="I1996" t="s">
        <v>9626</v>
      </c>
      <c r="J1996" s="3">
        <v>-0.62086410000000003</v>
      </c>
      <c r="K1996" s="3">
        <v>-0.73535280000000003</v>
      </c>
      <c r="L1996" s="3">
        <v>-0.54986699999999999</v>
      </c>
    </row>
    <row r="1997" spans="1:12" x14ac:dyDescent="0.25">
      <c r="A1997" t="s">
        <v>8576</v>
      </c>
      <c r="B1997" t="s">
        <v>8577</v>
      </c>
      <c r="I1997" t="s">
        <v>9623</v>
      </c>
      <c r="J1997" s="3">
        <v>-0.10028090000000001</v>
      </c>
      <c r="K1997" s="3">
        <v>1.9181500000000001E-2</v>
      </c>
      <c r="L1997" s="3">
        <v>-0.16036610000000001</v>
      </c>
    </row>
    <row r="1998" spans="1:12" x14ac:dyDescent="0.25">
      <c r="A1998" t="s">
        <v>8573</v>
      </c>
      <c r="B1998" t="s">
        <v>8574</v>
      </c>
      <c r="I1998" t="s">
        <v>8575</v>
      </c>
      <c r="J1998" s="3">
        <v>-0.37301849999999998</v>
      </c>
      <c r="K1998" s="3">
        <v>1.3244229999999999</v>
      </c>
      <c r="L1998" s="3">
        <v>0.15087130000000001</v>
      </c>
    </row>
    <row r="1999" spans="1:12" x14ac:dyDescent="0.25">
      <c r="A1999" t="s">
        <v>8570</v>
      </c>
      <c r="B1999" t="s">
        <v>8571</v>
      </c>
      <c r="I1999" t="s">
        <v>8572</v>
      </c>
      <c r="J1999" s="3">
        <v>-0.22905539999999999</v>
      </c>
      <c r="K1999" s="3">
        <v>4.039156E-2</v>
      </c>
      <c r="L1999" s="3">
        <v>0.60626179999999996</v>
      </c>
    </row>
    <row r="2000" spans="1:12" x14ac:dyDescent="0.25">
      <c r="A2000" t="s">
        <v>8569</v>
      </c>
      <c r="B2000" t="s">
        <v>957</v>
      </c>
      <c r="I2000" t="s">
        <v>205</v>
      </c>
      <c r="J2000" s="3">
        <v>-0.62851959999999996</v>
      </c>
      <c r="K2000" s="3">
        <v>0.77906450000000005</v>
      </c>
      <c r="L2000" s="3">
        <v>0.1272392</v>
      </c>
    </row>
    <row r="2001" spans="1:12" x14ac:dyDescent="0.25">
      <c r="A2001" t="s">
        <v>8568</v>
      </c>
      <c r="B2001" t="s">
        <v>957</v>
      </c>
      <c r="I2001" t="s">
        <v>1973</v>
      </c>
      <c r="J2001" s="3">
        <v>-0.4772363</v>
      </c>
      <c r="K2001" s="3">
        <v>0.1245518</v>
      </c>
      <c r="L2001" s="3">
        <v>0.19831090000000001</v>
      </c>
    </row>
    <row r="2002" spans="1:12" x14ac:dyDescent="0.25">
      <c r="A2002" t="s">
        <v>8565</v>
      </c>
      <c r="B2002" t="s">
        <v>8566</v>
      </c>
      <c r="I2002" t="s">
        <v>8567</v>
      </c>
      <c r="J2002" s="3">
        <v>-7.6208999999999999E-2</v>
      </c>
      <c r="K2002" s="3">
        <v>-0.10260229999999999</v>
      </c>
      <c r="L2002" s="3">
        <v>-6.1666220000000001E-2</v>
      </c>
    </row>
    <row r="2003" spans="1:12" x14ac:dyDescent="0.25">
      <c r="A2003" t="s">
        <v>8564</v>
      </c>
      <c r="B2003" t="s">
        <v>957</v>
      </c>
      <c r="I2003" t="s">
        <v>455</v>
      </c>
      <c r="J2003" s="3">
        <v>-1.291893E-2</v>
      </c>
      <c r="K2003" s="3">
        <v>-0.1310511</v>
      </c>
      <c r="L2003" s="3">
        <v>1.8900170000000001E-2</v>
      </c>
    </row>
    <row r="2004" spans="1:12" x14ac:dyDescent="0.25">
      <c r="A2004" t="s">
        <v>8562</v>
      </c>
      <c r="B2004" t="s">
        <v>8563</v>
      </c>
      <c r="I2004" t="s">
        <v>2942</v>
      </c>
      <c r="J2004" s="3">
        <v>5.8525790000000001E-2</v>
      </c>
      <c r="K2004" s="3">
        <v>-0.10635409999999999</v>
      </c>
      <c r="L2004" s="3">
        <v>-1.6243219999999999E-2</v>
      </c>
    </row>
    <row r="2005" spans="1:12" x14ac:dyDescent="0.25">
      <c r="A2005" t="s">
        <v>8560</v>
      </c>
      <c r="B2005" t="s">
        <v>957</v>
      </c>
      <c r="I2005" t="s">
        <v>8561</v>
      </c>
      <c r="J2005" s="3">
        <v>0.52536309999999997</v>
      </c>
      <c r="K2005" s="3">
        <v>0.26655610000000002</v>
      </c>
      <c r="L2005" s="3">
        <v>0.55246260000000003</v>
      </c>
    </row>
    <row r="2006" spans="1:12" x14ac:dyDescent="0.25">
      <c r="A2006" t="s">
        <v>8557</v>
      </c>
      <c r="B2006" t="s">
        <v>8558</v>
      </c>
      <c r="I2006" t="s">
        <v>8559</v>
      </c>
      <c r="J2006" s="3">
        <v>7.4891940000000004E-2</v>
      </c>
      <c r="K2006" s="3">
        <v>-0.60651069999999996</v>
      </c>
      <c r="L2006" s="3">
        <v>-0.16676659999999999</v>
      </c>
    </row>
    <row r="2007" spans="1:12" x14ac:dyDescent="0.25">
      <c r="A2007" t="s">
        <v>8554</v>
      </c>
      <c r="B2007" t="s">
        <v>8555</v>
      </c>
      <c r="I2007" t="s">
        <v>8556</v>
      </c>
      <c r="J2007" s="3">
        <v>0.2925603</v>
      </c>
      <c r="K2007" s="3">
        <v>-0.1995972</v>
      </c>
      <c r="L2007" s="3">
        <v>4.433583E-2</v>
      </c>
    </row>
    <row r="2008" spans="1:12" x14ac:dyDescent="0.25">
      <c r="A2008" t="s">
        <v>8551</v>
      </c>
      <c r="B2008" t="s">
        <v>8552</v>
      </c>
      <c r="I2008" t="s">
        <v>8553</v>
      </c>
      <c r="J2008" s="3">
        <v>1.6733789999999998E-2</v>
      </c>
      <c r="K2008" s="3">
        <v>0.4072848</v>
      </c>
      <c r="L2008" s="3">
        <v>-8.4759650000000006E-2</v>
      </c>
    </row>
    <row r="2009" spans="1:12" x14ac:dyDescent="0.25">
      <c r="A2009" t="s">
        <v>8548</v>
      </c>
      <c r="B2009" t="s">
        <v>8549</v>
      </c>
      <c r="I2009" t="s">
        <v>8550</v>
      </c>
      <c r="J2009" s="3">
        <v>-0.3131796</v>
      </c>
      <c r="K2009" s="3">
        <v>-1.1854929999999999</v>
      </c>
      <c r="L2009" s="3">
        <v>-0.27325290000000002</v>
      </c>
    </row>
    <row r="2010" spans="1:12" x14ac:dyDescent="0.25">
      <c r="A2010" t="s">
        <v>8545</v>
      </c>
      <c r="B2010" t="s">
        <v>8546</v>
      </c>
      <c r="I2010" t="s">
        <v>8547</v>
      </c>
      <c r="J2010" s="3">
        <v>-0.12502369999999999</v>
      </c>
      <c r="K2010" s="3">
        <v>-6.0553429999999998E-2</v>
      </c>
      <c r="L2010" s="3">
        <v>-4.3301829999999999E-2</v>
      </c>
    </row>
    <row r="2011" spans="1:12" x14ac:dyDescent="0.25">
      <c r="A2011" t="s">
        <v>9590</v>
      </c>
      <c r="B2011" t="s">
        <v>9591</v>
      </c>
      <c r="I2011" t="s">
        <v>8544</v>
      </c>
      <c r="J2011" s="3">
        <v>-0.36161339999999997</v>
      </c>
      <c r="K2011" s="3">
        <v>-0.81489750000000005</v>
      </c>
      <c r="L2011" s="3">
        <v>-0.34549059999999998</v>
      </c>
    </row>
    <row r="2012" spans="1:12" x14ac:dyDescent="0.25">
      <c r="A2012" t="s">
        <v>9587</v>
      </c>
      <c r="B2012" t="s">
        <v>9588</v>
      </c>
      <c r="I2012" t="s">
        <v>9589</v>
      </c>
      <c r="J2012" s="3">
        <v>0.21711530000000001</v>
      </c>
      <c r="K2012" s="3">
        <v>0.1357496</v>
      </c>
      <c r="L2012" s="3">
        <v>0.29076160000000001</v>
      </c>
    </row>
    <row r="2013" spans="1:12" x14ac:dyDescent="0.25">
      <c r="A2013" t="s">
        <v>9584</v>
      </c>
      <c r="B2013" t="s">
        <v>9585</v>
      </c>
      <c r="I2013" t="s">
        <v>9586</v>
      </c>
      <c r="J2013" s="3">
        <v>-0.56976640000000001</v>
      </c>
      <c r="K2013" s="3">
        <v>-1.2895430000000001</v>
      </c>
      <c r="L2013" s="3">
        <v>-0.68912609999999996</v>
      </c>
    </row>
    <row r="2014" spans="1:12" x14ac:dyDescent="0.25">
      <c r="A2014" t="s">
        <v>9582</v>
      </c>
      <c r="B2014" t="s">
        <v>9583</v>
      </c>
      <c r="I2014" t="s">
        <v>4325</v>
      </c>
      <c r="J2014" s="3">
        <v>0.70576329999999998</v>
      </c>
      <c r="K2014" s="3">
        <v>0.49296909999999999</v>
      </c>
      <c r="L2014" s="3">
        <v>0.60922569999999998</v>
      </c>
    </row>
    <row r="2015" spans="1:12" x14ac:dyDescent="0.25">
      <c r="A2015" t="s">
        <v>9581</v>
      </c>
      <c r="B2015" t="s">
        <v>957</v>
      </c>
      <c r="I2015" t="s">
        <v>455</v>
      </c>
      <c r="J2015" s="3">
        <v>-0.1364158</v>
      </c>
      <c r="K2015" s="3">
        <v>-0.27102860000000001</v>
      </c>
      <c r="L2015" s="3">
        <v>-0.1073276</v>
      </c>
    </row>
    <row r="2016" spans="1:12" x14ac:dyDescent="0.25">
      <c r="A2016" t="s">
        <v>9578</v>
      </c>
      <c r="B2016" t="s">
        <v>9579</v>
      </c>
      <c r="I2016" t="s">
        <v>9580</v>
      </c>
      <c r="J2016" s="3">
        <v>1.131951E-2</v>
      </c>
      <c r="K2016" s="3">
        <v>-0.36842439999999999</v>
      </c>
      <c r="L2016" s="3">
        <v>5.7345479999999997E-2</v>
      </c>
    </row>
    <row r="2017" spans="1:12" x14ac:dyDescent="0.25">
      <c r="A2017" t="s">
        <v>9575</v>
      </c>
      <c r="B2017" t="s">
        <v>9576</v>
      </c>
      <c r="I2017" t="s">
        <v>9577</v>
      </c>
      <c r="J2017" s="3">
        <v>0.46176250000000002</v>
      </c>
      <c r="K2017" s="3">
        <v>0.29382649999999999</v>
      </c>
      <c r="L2017" s="3">
        <v>0.54911220000000005</v>
      </c>
    </row>
    <row r="2018" spans="1:12" x14ac:dyDescent="0.25">
      <c r="A2018" t="s">
        <v>9574</v>
      </c>
      <c r="B2018" t="s">
        <v>957</v>
      </c>
      <c r="I2018" t="s">
        <v>455</v>
      </c>
      <c r="J2018" s="3">
        <v>0.27970800000000001</v>
      </c>
      <c r="K2018" s="3">
        <v>0.58875849999999996</v>
      </c>
      <c r="L2018" s="3">
        <v>2.9533810000000001E-2</v>
      </c>
    </row>
    <row r="2019" spans="1:12" x14ac:dyDescent="0.25">
      <c r="A2019" t="s">
        <v>9573</v>
      </c>
      <c r="B2019" t="s">
        <v>957</v>
      </c>
      <c r="I2019" t="s">
        <v>455</v>
      </c>
      <c r="J2019" s="3">
        <v>-0.3012475</v>
      </c>
      <c r="K2019" s="3">
        <v>-0.25545370000000001</v>
      </c>
      <c r="L2019" s="3">
        <v>-5.709492E-2</v>
      </c>
    </row>
    <row r="2020" spans="1:12" x14ac:dyDescent="0.25">
      <c r="A2020" t="s">
        <v>9572</v>
      </c>
      <c r="B2020" t="s">
        <v>957</v>
      </c>
      <c r="I2020" t="s">
        <v>455</v>
      </c>
      <c r="J2020" s="3">
        <v>-0.23294599999999999</v>
      </c>
      <c r="K2020" s="3">
        <v>-0.57065440000000001</v>
      </c>
      <c r="L2020" s="3">
        <v>-0.33319900000000002</v>
      </c>
    </row>
    <row r="2021" spans="1:12" x14ac:dyDescent="0.25">
      <c r="A2021" t="s">
        <v>9569</v>
      </c>
      <c r="B2021" t="s">
        <v>9570</v>
      </c>
      <c r="I2021" t="s">
        <v>9571</v>
      </c>
      <c r="J2021" s="3">
        <v>8.8280490000000003E-2</v>
      </c>
      <c r="K2021" s="3">
        <v>0.3100927</v>
      </c>
      <c r="L2021" s="3">
        <v>5.4476860000000002E-3</v>
      </c>
    </row>
    <row r="2022" spans="1:12" x14ac:dyDescent="0.25">
      <c r="A2022" t="s">
        <v>9566</v>
      </c>
      <c r="B2022" t="s">
        <v>9567</v>
      </c>
      <c r="I2022" t="s">
        <v>9568</v>
      </c>
      <c r="J2022" s="3">
        <v>3.8177570000000001E-2</v>
      </c>
      <c r="K2022" s="3">
        <v>-0.48006510000000002</v>
      </c>
      <c r="L2022" s="3">
        <v>0.1182711</v>
      </c>
    </row>
    <row r="2023" spans="1:12" x14ac:dyDescent="0.25">
      <c r="A2023" t="s">
        <v>9565</v>
      </c>
      <c r="B2023" t="s">
        <v>957</v>
      </c>
      <c r="I2023" t="s">
        <v>455</v>
      </c>
      <c r="J2023" s="3">
        <v>-0.76599569999999995</v>
      </c>
      <c r="K2023" s="3">
        <v>-1.1497189999999999</v>
      </c>
      <c r="L2023" s="3">
        <v>-0.58277199999999996</v>
      </c>
    </row>
    <row r="2024" spans="1:12" x14ac:dyDescent="0.25">
      <c r="A2024" t="s">
        <v>9562</v>
      </c>
      <c r="B2024" t="s">
        <v>9563</v>
      </c>
      <c r="I2024" t="s">
        <v>9564</v>
      </c>
      <c r="J2024" s="3">
        <v>7.6409930000000001E-2</v>
      </c>
      <c r="K2024" s="3">
        <v>0.42946869999999998</v>
      </c>
      <c r="L2024" s="3">
        <v>9.6502299999999999E-2</v>
      </c>
    </row>
    <row r="2025" spans="1:12" x14ac:dyDescent="0.25">
      <c r="A2025" t="s">
        <v>8511</v>
      </c>
      <c r="B2025" t="s">
        <v>8512</v>
      </c>
      <c r="I2025" t="s">
        <v>9561</v>
      </c>
      <c r="J2025" s="3">
        <v>-0.11007840000000001</v>
      </c>
      <c r="K2025" s="3">
        <v>-0.22969990000000001</v>
      </c>
      <c r="L2025" s="3">
        <v>-7.5260289999999994E-2</v>
      </c>
    </row>
    <row r="2026" spans="1:12" x14ac:dyDescent="0.25">
      <c r="A2026" t="s">
        <v>8510</v>
      </c>
      <c r="B2026" t="s">
        <v>957</v>
      </c>
      <c r="I2026" t="s">
        <v>4450</v>
      </c>
      <c r="J2026" s="3">
        <v>1.5972029999999999</v>
      </c>
      <c r="K2026" s="3">
        <v>1.9844850000000001</v>
      </c>
      <c r="L2026" s="3">
        <v>1.569982</v>
      </c>
    </row>
    <row r="2027" spans="1:12" x14ac:dyDescent="0.25">
      <c r="A2027" t="s">
        <v>8508</v>
      </c>
      <c r="B2027" t="s">
        <v>4312</v>
      </c>
      <c r="C2027" t="s">
        <v>14194</v>
      </c>
      <c r="I2027" t="s">
        <v>8509</v>
      </c>
      <c r="J2027" s="3">
        <v>0.30799159999999998</v>
      </c>
      <c r="K2027" s="3">
        <v>0.22242020000000001</v>
      </c>
      <c r="L2027" s="3">
        <v>0.2583704</v>
      </c>
    </row>
    <row r="2028" spans="1:12" x14ac:dyDescent="0.25">
      <c r="A2028" t="s">
        <v>8505</v>
      </c>
      <c r="B2028" t="s">
        <v>8506</v>
      </c>
      <c r="I2028" t="s">
        <v>8507</v>
      </c>
      <c r="J2028" s="3">
        <v>-0.2459991</v>
      </c>
      <c r="K2028" s="3">
        <v>-0.65644950000000002</v>
      </c>
      <c r="L2028" s="3">
        <v>-0.32559440000000001</v>
      </c>
    </row>
    <row r="2029" spans="1:12" x14ac:dyDescent="0.25">
      <c r="A2029" t="s">
        <v>8502</v>
      </c>
      <c r="B2029" t="s">
        <v>8503</v>
      </c>
      <c r="I2029" t="s">
        <v>8504</v>
      </c>
      <c r="J2029" s="3">
        <v>-5.7060680000000003E-2</v>
      </c>
      <c r="K2029" s="3">
        <v>-0.77207959999999998</v>
      </c>
      <c r="L2029" s="3">
        <v>-8.5630399999999995E-2</v>
      </c>
    </row>
    <row r="2030" spans="1:12" x14ac:dyDescent="0.25">
      <c r="A2030" t="s">
        <v>8500</v>
      </c>
      <c r="B2030" t="s">
        <v>8501</v>
      </c>
      <c r="I2030" t="s">
        <v>2224</v>
      </c>
      <c r="J2030" s="3">
        <v>-3.2818149999999997E-2</v>
      </c>
      <c r="K2030" s="3">
        <v>-0.4047906</v>
      </c>
      <c r="L2030" s="3">
        <v>6.4342559999999993E-2</v>
      </c>
    </row>
    <row r="2031" spans="1:12" x14ac:dyDescent="0.25">
      <c r="A2031" t="s">
        <v>8499</v>
      </c>
      <c r="B2031" t="s">
        <v>957</v>
      </c>
      <c r="I2031" t="s">
        <v>455</v>
      </c>
      <c r="J2031" s="3">
        <v>9.4399899999999995E-2</v>
      </c>
      <c r="K2031" s="3">
        <v>-0.1216396</v>
      </c>
      <c r="L2031" s="3">
        <v>0.24032539999999999</v>
      </c>
    </row>
    <row r="2032" spans="1:12" x14ac:dyDescent="0.25">
      <c r="A2032" t="s">
        <v>8496</v>
      </c>
      <c r="B2032" t="s">
        <v>8497</v>
      </c>
      <c r="I2032" t="s">
        <v>8498</v>
      </c>
      <c r="J2032" s="3">
        <v>7.5375699999999997E-4</v>
      </c>
      <c r="K2032" s="3">
        <v>-1.9114610000000001E-2</v>
      </c>
      <c r="L2032" s="3">
        <v>1.3413069999999999E-2</v>
      </c>
    </row>
    <row r="2033" spans="1:12" x14ac:dyDescent="0.25">
      <c r="A2033" t="s">
        <v>8493</v>
      </c>
      <c r="B2033" t="s">
        <v>8494</v>
      </c>
      <c r="I2033" t="s">
        <v>8495</v>
      </c>
      <c r="J2033" s="3">
        <v>-0.38618069999999999</v>
      </c>
      <c r="K2033" s="3">
        <v>-0.75848879999999996</v>
      </c>
      <c r="L2033" s="3">
        <v>-0.40325329999999998</v>
      </c>
    </row>
    <row r="2034" spans="1:12" x14ac:dyDescent="0.25">
      <c r="A2034" t="s">
        <v>8490</v>
      </c>
      <c r="B2034" t="s">
        <v>8491</v>
      </c>
      <c r="I2034" t="s">
        <v>8492</v>
      </c>
      <c r="J2034" s="3">
        <v>1.099874</v>
      </c>
      <c r="K2034" s="3">
        <v>1.1125370000000001</v>
      </c>
      <c r="L2034" s="3">
        <v>1.087021</v>
      </c>
    </row>
    <row r="2035" spans="1:12" x14ac:dyDescent="0.25">
      <c r="A2035" t="s">
        <v>8488</v>
      </c>
      <c r="B2035" t="s">
        <v>957</v>
      </c>
      <c r="I2035" t="s">
        <v>8489</v>
      </c>
      <c r="J2035" s="3">
        <v>0.80823999999999996</v>
      </c>
      <c r="K2035" s="3">
        <v>0.38262770000000002</v>
      </c>
      <c r="L2035" s="3">
        <v>0.64022880000000004</v>
      </c>
    </row>
    <row r="2036" spans="1:12" x14ac:dyDescent="0.25">
      <c r="A2036" t="s">
        <v>8487</v>
      </c>
      <c r="B2036" t="s">
        <v>957</v>
      </c>
      <c r="I2036" t="s">
        <v>1207</v>
      </c>
      <c r="J2036" s="3">
        <v>0.38455640000000002</v>
      </c>
      <c r="K2036" s="3">
        <v>0.61902460000000004</v>
      </c>
      <c r="L2036" s="3">
        <v>0.36642669999999999</v>
      </c>
    </row>
    <row r="2037" spans="1:12" x14ac:dyDescent="0.25">
      <c r="A2037" t="s">
        <v>8484</v>
      </c>
      <c r="B2037" t="s">
        <v>8485</v>
      </c>
      <c r="I2037" t="s">
        <v>8486</v>
      </c>
      <c r="J2037" s="3">
        <v>0.48375210000000002</v>
      </c>
      <c r="K2037" s="3">
        <v>1.0255209999999999</v>
      </c>
      <c r="L2037" s="3">
        <v>0.47476570000000001</v>
      </c>
    </row>
    <row r="2038" spans="1:12" x14ac:dyDescent="0.25">
      <c r="A2038" t="s">
        <v>8481</v>
      </c>
      <c r="B2038" t="s">
        <v>8482</v>
      </c>
      <c r="I2038" t="s">
        <v>8483</v>
      </c>
      <c r="J2038" s="3">
        <v>0.41946830000000002</v>
      </c>
      <c r="K2038" s="3">
        <v>0.40469519999999998</v>
      </c>
      <c r="L2038" s="3">
        <v>0.68324439999999997</v>
      </c>
    </row>
    <row r="2039" spans="1:12" x14ac:dyDescent="0.25">
      <c r="A2039" t="s">
        <v>8478</v>
      </c>
      <c r="B2039" t="s">
        <v>8479</v>
      </c>
      <c r="I2039" t="s">
        <v>8480</v>
      </c>
      <c r="J2039" s="3">
        <v>-0.50572240000000002</v>
      </c>
      <c r="K2039" s="3">
        <v>-0.13374630000000001</v>
      </c>
      <c r="L2039" s="3">
        <v>-0.36161070000000001</v>
      </c>
    </row>
    <row r="2040" spans="1:12" x14ac:dyDescent="0.25">
      <c r="A2040" t="s">
        <v>8475</v>
      </c>
      <c r="B2040" t="s">
        <v>8476</v>
      </c>
      <c r="I2040" t="s">
        <v>8477</v>
      </c>
      <c r="J2040" s="3">
        <v>-0.2033412</v>
      </c>
      <c r="K2040" s="3">
        <v>-0.52668519999999996</v>
      </c>
      <c r="L2040" s="3">
        <v>-0.25339980000000001</v>
      </c>
    </row>
    <row r="2041" spans="1:12" x14ac:dyDescent="0.25">
      <c r="A2041" t="s">
        <v>8472</v>
      </c>
      <c r="B2041" t="s">
        <v>8473</v>
      </c>
      <c r="I2041" t="s">
        <v>8474</v>
      </c>
      <c r="J2041" s="3">
        <v>-5.3742699999999997E-2</v>
      </c>
      <c r="K2041" s="3">
        <v>0.56979170000000001</v>
      </c>
      <c r="L2041" s="3">
        <v>0.52910290000000004</v>
      </c>
    </row>
    <row r="2042" spans="1:12" x14ac:dyDescent="0.25">
      <c r="A2042" t="s">
        <v>8471</v>
      </c>
      <c r="B2042" t="s">
        <v>957</v>
      </c>
      <c r="I2042" t="s">
        <v>455</v>
      </c>
      <c r="J2042" s="3">
        <v>-0.48047210000000001</v>
      </c>
      <c r="K2042" s="3">
        <v>-0.88975020000000005</v>
      </c>
      <c r="L2042" s="3">
        <v>-0.1565684</v>
      </c>
    </row>
    <row r="2043" spans="1:12" x14ac:dyDescent="0.25">
      <c r="A2043" t="s">
        <v>8470</v>
      </c>
      <c r="B2043" t="s">
        <v>957</v>
      </c>
      <c r="I2043" t="s">
        <v>455</v>
      </c>
      <c r="J2043" s="3">
        <v>0.73003300000000004</v>
      </c>
      <c r="K2043" s="3">
        <v>0.55953529999999996</v>
      </c>
      <c r="L2043" s="3">
        <v>0.74723949999999995</v>
      </c>
    </row>
    <row r="2044" spans="1:12" x14ac:dyDescent="0.25">
      <c r="A2044" t="s">
        <v>8467</v>
      </c>
      <c r="B2044" t="s">
        <v>8468</v>
      </c>
      <c r="I2044" t="s">
        <v>8469</v>
      </c>
      <c r="J2044" s="3">
        <v>5.5567380000000003E-3</v>
      </c>
      <c r="K2044" s="3">
        <v>-0.42217670000000002</v>
      </c>
      <c r="L2044" s="3">
        <v>-0.1337168</v>
      </c>
    </row>
    <row r="2045" spans="1:12" x14ac:dyDescent="0.25">
      <c r="A2045" t="s">
        <v>8466</v>
      </c>
      <c r="B2045" t="s">
        <v>957</v>
      </c>
      <c r="I2045" t="s">
        <v>455</v>
      </c>
      <c r="J2045" s="3">
        <v>-0.41543200000000002</v>
      </c>
      <c r="K2045" s="3">
        <v>0.1521286</v>
      </c>
      <c r="L2045" s="3">
        <v>-0.1854566</v>
      </c>
    </row>
    <row r="2046" spans="1:12" x14ac:dyDescent="0.25">
      <c r="A2046" t="s">
        <v>8464</v>
      </c>
      <c r="B2046" t="s">
        <v>957</v>
      </c>
      <c r="I2046" t="s">
        <v>8465</v>
      </c>
      <c r="J2046" s="3">
        <v>1.849727E-2</v>
      </c>
      <c r="K2046" s="3">
        <v>-0.47498679999999999</v>
      </c>
      <c r="L2046" s="3">
        <v>-0.41335559999999999</v>
      </c>
    </row>
    <row r="2047" spans="1:12" x14ac:dyDescent="0.25">
      <c r="A2047" t="s">
        <v>8461</v>
      </c>
      <c r="B2047" t="s">
        <v>8462</v>
      </c>
      <c r="I2047" t="s">
        <v>8463</v>
      </c>
      <c r="J2047" s="3">
        <v>0.15712799999999999</v>
      </c>
      <c r="K2047" s="3">
        <v>-0.1012058</v>
      </c>
      <c r="L2047" s="3">
        <v>0.1408287</v>
      </c>
    </row>
    <row r="2048" spans="1:12" x14ac:dyDescent="0.25">
      <c r="A2048" t="s">
        <v>8458</v>
      </c>
      <c r="B2048" t="s">
        <v>8459</v>
      </c>
      <c r="I2048" t="s">
        <v>8460</v>
      </c>
      <c r="J2048" s="3">
        <v>6.5235719999999997E-2</v>
      </c>
      <c r="K2048" s="3">
        <v>-0.4999963</v>
      </c>
      <c r="L2048" s="3">
        <v>-3.291119E-2</v>
      </c>
    </row>
    <row r="2049" spans="1:12" x14ac:dyDescent="0.25">
      <c r="A2049" t="s">
        <v>9496</v>
      </c>
      <c r="B2049" t="s">
        <v>9497</v>
      </c>
      <c r="I2049" t="s">
        <v>8457</v>
      </c>
      <c r="J2049" s="3">
        <v>-3.789981E-3</v>
      </c>
      <c r="K2049" s="3">
        <v>0.32170850000000001</v>
      </c>
      <c r="L2049" s="3">
        <v>-0.1227166</v>
      </c>
    </row>
    <row r="2050" spans="1:12" x14ac:dyDescent="0.25">
      <c r="A2050" t="s">
        <v>9495</v>
      </c>
      <c r="B2050" t="s">
        <v>957</v>
      </c>
      <c r="I2050" t="s">
        <v>823</v>
      </c>
      <c r="J2050" s="3">
        <v>0.75199559999999999</v>
      </c>
      <c r="K2050" s="3">
        <v>1.0990489999999999</v>
      </c>
      <c r="L2050" s="3">
        <v>0.21721660000000001</v>
      </c>
    </row>
    <row r="2051" spans="1:12" x14ac:dyDescent="0.25">
      <c r="A2051" t="s">
        <v>9494</v>
      </c>
      <c r="B2051" t="s">
        <v>957</v>
      </c>
      <c r="I2051" t="s">
        <v>455</v>
      </c>
      <c r="J2051" s="3">
        <v>0.30064649999999998</v>
      </c>
      <c r="K2051" s="3">
        <v>-0.37251790000000001</v>
      </c>
      <c r="L2051" s="3">
        <v>0.2484864</v>
      </c>
    </row>
    <row r="2052" spans="1:12" x14ac:dyDescent="0.25">
      <c r="A2052" t="s">
        <v>9492</v>
      </c>
      <c r="B2052" t="s">
        <v>957</v>
      </c>
      <c r="I2052" t="s">
        <v>9493</v>
      </c>
      <c r="J2052" s="3">
        <v>5.5774419999999998E-2</v>
      </c>
      <c r="K2052" s="3">
        <v>-7.3969199999999999E-2</v>
      </c>
      <c r="L2052" s="3">
        <v>-0.41251019999999999</v>
      </c>
    </row>
    <row r="2053" spans="1:12" x14ac:dyDescent="0.25">
      <c r="A2053" t="s">
        <v>9489</v>
      </c>
      <c r="B2053" t="s">
        <v>9490</v>
      </c>
      <c r="I2053" t="s">
        <v>9491</v>
      </c>
      <c r="J2053" s="3">
        <v>0.33466750000000001</v>
      </c>
      <c r="K2053" s="3">
        <v>0.21977969999999999</v>
      </c>
      <c r="L2053" s="3">
        <v>0.36651240000000002</v>
      </c>
    </row>
    <row r="2054" spans="1:12" x14ac:dyDescent="0.25">
      <c r="A2054" t="s">
        <v>9487</v>
      </c>
      <c r="B2054" t="s">
        <v>9488</v>
      </c>
      <c r="I2054" t="s">
        <v>5267</v>
      </c>
      <c r="J2054" s="3">
        <v>8.4884860000000006E-2</v>
      </c>
      <c r="K2054" s="3">
        <v>-0.1188027</v>
      </c>
      <c r="L2054" s="3">
        <v>-0.25440010000000002</v>
      </c>
    </row>
    <row r="2055" spans="1:12" x14ac:dyDescent="0.25">
      <c r="A2055" t="s">
        <v>9485</v>
      </c>
      <c r="B2055" t="s">
        <v>9486</v>
      </c>
      <c r="I2055" t="s">
        <v>6594</v>
      </c>
      <c r="J2055" s="3">
        <v>-0.4525055</v>
      </c>
      <c r="K2055" s="3">
        <v>-1.05236</v>
      </c>
      <c r="L2055" s="3">
        <v>-0.59513380000000005</v>
      </c>
    </row>
    <row r="2056" spans="1:12" x14ac:dyDescent="0.25">
      <c r="A2056" t="s">
        <v>9484</v>
      </c>
      <c r="B2056" t="s">
        <v>957</v>
      </c>
      <c r="I2056" t="s">
        <v>455</v>
      </c>
      <c r="J2056" s="3">
        <v>3.475456E-3</v>
      </c>
      <c r="K2056" s="3">
        <v>-0.12373240000000001</v>
      </c>
      <c r="L2056" s="3">
        <v>-0.21167939999999999</v>
      </c>
    </row>
    <row r="2057" spans="1:12" x14ac:dyDescent="0.25">
      <c r="A2057" t="s">
        <v>9481</v>
      </c>
      <c r="B2057" t="s">
        <v>9482</v>
      </c>
      <c r="I2057" t="s">
        <v>9483</v>
      </c>
      <c r="J2057" s="3">
        <v>0.2030863</v>
      </c>
      <c r="K2057" s="3">
        <v>0.28379939999999998</v>
      </c>
      <c r="L2057" s="3">
        <v>0.37582910000000003</v>
      </c>
    </row>
    <row r="2058" spans="1:12" x14ac:dyDescent="0.25">
      <c r="A2058" t="s">
        <v>9478</v>
      </c>
      <c r="B2058" t="s">
        <v>9479</v>
      </c>
      <c r="I2058" t="s">
        <v>9480</v>
      </c>
      <c r="J2058" s="3">
        <v>1.2212750000000001</v>
      </c>
      <c r="K2058" s="3">
        <v>1.0116050000000001</v>
      </c>
      <c r="L2058" s="3">
        <v>1.3703270000000001</v>
      </c>
    </row>
    <row r="2059" spans="1:12" x14ac:dyDescent="0.25">
      <c r="A2059" t="s">
        <v>9475</v>
      </c>
      <c r="B2059" t="s">
        <v>9476</v>
      </c>
      <c r="I2059" t="s">
        <v>9477</v>
      </c>
      <c r="J2059" s="3">
        <v>0.23183480000000001</v>
      </c>
      <c r="K2059" s="3">
        <v>0.1228186</v>
      </c>
      <c r="L2059" s="3">
        <v>0.49314439999999998</v>
      </c>
    </row>
    <row r="2060" spans="1:12" x14ac:dyDescent="0.25">
      <c r="A2060" t="s">
        <v>9472</v>
      </c>
      <c r="B2060" t="s">
        <v>9473</v>
      </c>
      <c r="I2060" t="s">
        <v>9474</v>
      </c>
      <c r="J2060" s="3">
        <v>7.5743450000000004E-2</v>
      </c>
      <c r="K2060" s="3">
        <v>0.73756250000000001</v>
      </c>
      <c r="L2060" s="3">
        <v>0.43744149999999998</v>
      </c>
    </row>
    <row r="2061" spans="1:12" x14ac:dyDescent="0.25">
      <c r="A2061" t="s">
        <v>9469</v>
      </c>
      <c r="B2061" t="s">
        <v>9470</v>
      </c>
      <c r="I2061" t="s">
        <v>9471</v>
      </c>
      <c r="J2061" s="3">
        <v>-0.1333684</v>
      </c>
      <c r="K2061" s="3">
        <v>0.35185670000000002</v>
      </c>
      <c r="L2061" s="3">
        <v>1.3173600000000001E-2</v>
      </c>
    </row>
    <row r="2062" spans="1:12" x14ac:dyDescent="0.25">
      <c r="A2062" t="s">
        <v>9466</v>
      </c>
      <c r="B2062" t="s">
        <v>9467</v>
      </c>
      <c r="I2062" t="s">
        <v>9468</v>
      </c>
      <c r="J2062" s="3">
        <v>-0.50634120000000005</v>
      </c>
      <c r="K2062" s="3">
        <v>-0.34010679999999999</v>
      </c>
      <c r="L2062" s="3">
        <v>-0.71728570000000003</v>
      </c>
    </row>
    <row r="2063" spans="1:12" x14ac:dyDescent="0.25">
      <c r="A2063" t="s">
        <v>9465</v>
      </c>
      <c r="B2063" t="s">
        <v>957</v>
      </c>
      <c r="I2063" t="s">
        <v>455</v>
      </c>
      <c r="J2063" s="3">
        <v>0.5690151</v>
      </c>
      <c r="K2063" s="3">
        <v>1.347556</v>
      </c>
      <c r="L2063" s="3">
        <v>0.2417058</v>
      </c>
    </row>
    <row r="2064" spans="1:12" x14ac:dyDescent="0.25">
      <c r="A2064" t="s">
        <v>9463</v>
      </c>
      <c r="B2064" t="s">
        <v>957</v>
      </c>
      <c r="I2064" t="s">
        <v>9464</v>
      </c>
      <c r="J2064" s="3">
        <v>-0.50439579999999995</v>
      </c>
      <c r="K2064" s="3">
        <v>-1.1337699999999999</v>
      </c>
      <c r="L2064" s="3">
        <v>-0.89987139999999999</v>
      </c>
    </row>
    <row r="2065" spans="1:12" x14ac:dyDescent="0.25">
      <c r="A2065" t="s">
        <v>9462</v>
      </c>
      <c r="B2065" t="s">
        <v>957</v>
      </c>
      <c r="I2065" t="s">
        <v>455</v>
      </c>
      <c r="J2065" s="3">
        <v>-0.17063329999999999</v>
      </c>
      <c r="K2065" s="3">
        <v>0.62583429999999995</v>
      </c>
      <c r="L2065" s="3">
        <v>-0.241116</v>
      </c>
    </row>
    <row r="2066" spans="1:12" x14ac:dyDescent="0.25">
      <c r="A2066" t="s">
        <v>9459</v>
      </c>
      <c r="B2066" t="s">
        <v>9460</v>
      </c>
      <c r="I2066" t="s">
        <v>9461</v>
      </c>
      <c r="J2066" s="3">
        <v>0.60091989999999995</v>
      </c>
      <c r="K2066" s="3">
        <v>0.4059914</v>
      </c>
      <c r="L2066" s="3">
        <v>0.49439109999999997</v>
      </c>
    </row>
    <row r="2067" spans="1:12" x14ac:dyDescent="0.25">
      <c r="A2067" t="s">
        <v>9458</v>
      </c>
      <c r="B2067" t="s">
        <v>957</v>
      </c>
      <c r="I2067" t="s">
        <v>455</v>
      </c>
      <c r="J2067" s="3">
        <v>0.4611208</v>
      </c>
      <c r="K2067" s="3">
        <v>0.28419460000000002</v>
      </c>
      <c r="L2067" s="3">
        <v>0.29288389999999997</v>
      </c>
    </row>
    <row r="2068" spans="1:12" x14ac:dyDescent="0.25">
      <c r="A2068" t="s">
        <v>9455</v>
      </c>
      <c r="B2068" t="s">
        <v>9456</v>
      </c>
      <c r="I2068" t="s">
        <v>9457</v>
      </c>
      <c r="J2068" s="3">
        <v>-0.57321109999999997</v>
      </c>
      <c r="K2068" s="3">
        <v>-1.095286</v>
      </c>
      <c r="L2068" s="3">
        <v>-0.42710579999999998</v>
      </c>
    </row>
    <row r="2069" spans="1:12" x14ac:dyDescent="0.25">
      <c r="A2069" t="s">
        <v>9452</v>
      </c>
      <c r="B2069" t="s">
        <v>9453</v>
      </c>
      <c r="I2069" t="s">
        <v>9454</v>
      </c>
      <c r="J2069" s="3">
        <v>0.23122529999999999</v>
      </c>
      <c r="K2069" s="3">
        <v>0.58368359999999997</v>
      </c>
      <c r="L2069" s="3">
        <v>0.281362</v>
      </c>
    </row>
    <row r="2070" spans="1:12" x14ac:dyDescent="0.25">
      <c r="A2070" t="s">
        <v>9449</v>
      </c>
      <c r="B2070" t="s">
        <v>9450</v>
      </c>
      <c r="I2070" t="s">
        <v>9451</v>
      </c>
      <c r="J2070" s="3">
        <v>0.13966709999999999</v>
      </c>
      <c r="K2070" s="3">
        <v>0.44959680000000002</v>
      </c>
      <c r="L2070" s="3">
        <v>5.2107149999999998E-2</v>
      </c>
    </row>
    <row r="2071" spans="1:12" x14ac:dyDescent="0.25">
      <c r="A2071" t="s">
        <v>9447</v>
      </c>
      <c r="B2071" t="s">
        <v>9448</v>
      </c>
      <c r="I2071" t="s">
        <v>593</v>
      </c>
      <c r="J2071" s="3">
        <v>-0.88936170000000003</v>
      </c>
      <c r="K2071" s="3">
        <v>-1.2586539999999999</v>
      </c>
      <c r="L2071" s="3">
        <v>-0.64300049999999997</v>
      </c>
    </row>
    <row r="2072" spans="1:12" x14ac:dyDescent="0.25">
      <c r="A2072" t="s">
        <v>9444</v>
      </c>
      <c r="B2072" t="s">
        <v>9445</v>
      </c>
      <c r="I2072" t="s">
        <v>9446</v>
      </c>
      <c r="J2072" s="3">
        <v>0.14686179999999999</v>
      </c>
      <c r="K2072" s="3">
        <v>0.44989249999999997</v>
      </c>
      <c r="L2072" s="3">
        <v>0.2511968</v>
      </c>
    </row>
    <row r="2073" spans="1:12" x14ac:dyDescent="0.25">
      <c r="A2073" t="s">
        <v>9441</v>
      </c>
      <c r="B2073" t="s">
        <v>9442</v>
      </c>
      <c r="I2073" t="s">
        <v>9443</v>
      </c>
      <c r="J2073" s="3">
        <v>0.39255069999999997</v>
      </c>
      <c r="K2073" s="3">
        <v>2.8946429999999999E-2</v>
      </c>
      <c r="L2073" s="3">
        <v>0.31860179999999999</v>
      </c>
    </row>
    <row r="2074" spans="1:12" x14ac:dyDescent="0.25">
      <c r="A2074" t="s">
        <v>9440</v>
      </c>
      <c r="B2074" t="s">
        <v>957</v>
      </c>
      <c r="I2074" t="s">
        <v>455</v>
      </c>
      <c r="J2074" s="3">
        <v>0.78427999999999998</v>
      </c>
      <c r="K2074" s="3">
        <v>0.57912370000000002</v>
      </c>
      <c r="L2074" s="3">
        <v>0.23438829999999999</v>
      </c>
    </row>
    <row r="2075" spans="1:12" x14ac:dyDescent="0.25">
      <c r="A2075" t="s">
        <v>9437</v>
      </c>
      <c r="B2075" t="s">
        <v>9438</v>
      </c>
      <c r="I2075" t="s">
        <v>9439</v>
      </c>
      <c r="J2075" s="3">
        <v>0.78275729999999999</v>
      </c>
      <c r="K2075" s="3">
        <v>0.47824519999999998</v>
      </c>
      <c r="L2075" s="3">
        <v>0.6980151</v>
      </c>
    </row>
    <row r="2076" spans="1:12" x14ac:dyDescent="0.25">
      <c r="A2076" t="s">
        <v>9434</v>
      </c>
      <c r="B2076" t="s">
        <v>9435</v>
      </c>
      <c r="I2076" t="s">
        <v>9436</v>
      </c>
      <c r="J2076" s="3">
        <v>-6.2041939999999997E-2</v>
      </c>
      <c r="K2076" s="3">
        <v>-0.37766660000000002</v>
      </c>
      <c r="L2076" s="3">
        <v>4.6489969999999999E-2</v>
      </c>
    </row>
    <row r="2077" spans="1:12" x14ac:dyDescent="0.25">
      <c r="A2077" t="s">
        <v>9431</v>
      </c>
      <c r="B2077" t="s">
        <v>9432</v>
      </c>
      <c r="I2077" t="s">
        <v>9433</v>
      </c>
      <c r="J2077" s="3">
        <v>-0.1640577</v>
      </c>
      <c r="K2077" s="3">
        <v>0.1008985</v>
      </c>
      <c r="L2077" s="3">
        <v>-0.1116542</v>
      </c>
    </row>
    <row r="2078" spans="1:12" x14ac:dyDescent="0.25">
      <c r="A2078" t="s">
        <v>9428</v>
      </c>
      <c r="B2078" t="s">
        <v>9429</v>
      </c>
      <c r="I2078" t="s">
        <v>9430</v>
      </c>
      <c r="J2078" s="3">
        <v>-0.43363429999999997</v>
      </c>
      <c r="K2078" s="3">
        <v>-0.77177450000000003</v>
      </c>
      <c r="L2078" s="3">
        <v>-0.514957</v>
      </c>
    </row>
    <row r="2079" spans="1:12" x14ac:dyDescent="0.25">
      <c r="A2079" t="s">
        <v>9426</v>
      </c>
      <c r="B2079" t="s">
        <v>9427</v>
      </c>
      <c r="I2079" t="s">
        <v>430</v>
      </c>
      <c r="J2079" s="3">
        <v>-0.99647759999999996</v>
      </c>
      <c r="K2079" s="3">
        <v>-1.4262490000000001</v>
      </c>
      <c r="L2079" s="3">
        <v>-1.0450600000000001</v>
      </c>
    </row>
    <row r="2080" spans="1:12" x14ac:dyDescent="0.25">
      <c r="A2080" t="s">
        <v>9425</v>
      </c>
      <c r="B2080" t="s">
        <v>14195</v>
      </c>
      <c r="C2080" t="s">
        <v>14196</v>
      </c>
      <c r="I2080" t="s">
        <v>587</v>
      </c>
      <c r="J2080" s="3">
        <v>0.15997359999999999</v>
      </c>
      <c r="K2080" s="3">
        <v>-0.1975065</v>
      </c>
      <c r="L2080" s="3">
        <v>0.237182</v>
      </c>
    </row>
    <row r="2081" spans="1:12" x14ac:dyDescent="0.25">
      <c r="A2081" t="s">
        <v>9422</v>
      </c>
      <c r="B2081" t="s">
        <v>9423</v>
      </c>
      <c r="I2081" t="s">
        <v>9424</v>
      </c>
      <c r="J2081" s="3">
        <v>0.2354233</v>
      </c>
      <c r="K2081" s="3">
        <v>-7.4999960000000004E-2</v>
      </c>
      <c r="L2081" s="3">
        <v>6.8852479999999994E-2</v>
      </c>
    </row>
    <row r="2082" spans="1:12" x14ac:dyDescent="0.25">
      <c r="A2082" t="s">
        <v>8401</v>
      </c>
      <c r="B2082" t="s">
        <v>8402</v>
      </c>
      <c r="I2082" t="s">
        <v>8403</v>
      </c>
      <c r="J2082" s="3">
        <v>2.8046000000000002</v>
      </c>
      <c r="K2082" s="3">
        <v>3.325199</v>
      </c>
      <c r="L2082" s="3">
        <v>2.896442</v>
      </c>
    </row>
    <row r="2083" spans="1:12" x14ac:dyDescent="0.25">
      <c r="A2083" t="s">
        <v>8398</v>
      </c>
      <c r="B2083" t="s">
        <v>8399</v>
      </c>
      <c r="I2083" t="s">
        <v>8400</v>
      </c>
      <c r="J2083" s="3">
        <v>-0.2260064</v>
      </c>
      <c r="K2083" s="3">
        <v>1.136477</v>
      </c>
      <c r="L2083" s="3">
        <v>-0.27992089999999997</v>
      </c>
    </row>
    <row r="2084" spans="1:12" x14ac:dyDescent="0.25">
      <c r="A2084" t="s">
        <v>8395</v>
      </c>
      <c r="B2084" t="s">
        <v>8396</v>
      </c>
      <c r="I2084" t="s">
        <v>8397</v>
      </c>
      <c r="J2084" s="3">
        <v>-7.156266E-2</v>
      </c>
      <c r="K2084" s="3">
        <v>-0.38820519999999997</v>
      </c>
      <c r="L2084" s="3">
        <v>0.30133690000000002</v>
      </c>
    </row>
    <row r="2085" spans="1:12" x14ac:dyDescent="0.25">
      <c r="A2085" t="s">
        <v>8393</v>
      </c>
      <c r="B2085" t="s">
        <v>8394</v>
      </c>
      <c r="I2085" t="s">
        <v>4112</v>
      </c>
      <c r="J2085" s="3">
        <v>0.34741470000000002</v>
      </c>
      <c r="K2085" s="3">
        <v>0.1231906</v>
      </c>
      <c r="L2085" s="3">
        <v>0.15161910000000001</v>
      </c>
    </row>
    <row r="2086" spans="1:12" x14ac:dyDescent="0.25">
      <c r="A2086" t="s">
        <v>8391</v>
      </c>
      <c r="B2086" t="s">
        <v>8392</v>
      </c>
      <c r="I2086" t="s">
        <v>403</v>
      </c>
      <c r="J2086" s="3">
        <v>-0.3078863</v>
      </c>
      <c r="K2086" s="3">
        <v>-0.70635230000000004</v>
      </c>
      <c r="L2086" s="3">
        <v>-0.33447310000000002</v>
      </c>
    </row>
    <row r="2087" spans="1:12" x14ac:dyDescent="0.25">
      <c r="A2087" t="s">
        <v>8388</v>
      </c>
      <c r="B2087" t="s">
        <v>8389</v>
      </c>
      <c r="I2087" t="s">
        <v>8390</v>
      </c>
      <c r="J2087" s="3">
        <v>-0.3783146</v>
      </c>
      <c r="K2087" s="3">
        <v>-0.16128429999999999</v>
      </c>
      <c r="L2087" s="3">
        <v>3.7652579999999998E-2</v>
      </c>
    </row>
    <row r="2088" spans="1:12" x14ac:dyDescent="0.25">
      <c r="A2088" t="s">
        <v>8387</v>
      </c>
      <c r="B2088" t="s">
        <v>957</v>
      </c>
      <c r="I2088" t="s">
        <v>455</v>
      </c>
      <c r="J2088" s="3">
        <v>-0.271563</v>
      </c>
      <c r="K2088" s="3">
        <v>-0.57291150000000002</v>
      </c>
      <c r="L2088" s="3">
        <v>-0.33715079999999997</v>
      </c>
    </row>
    <row r="2089" spans="1:12" x14ac:dyDescent="0.25">
      <c r="A2089" t="s">
        <v>8384</v>
      </c>
      <c r="B2089" t="s">
        <v>8385</v>
      </c>
      <c r="I2089" t="s">
        <v>8386</v>
      </c>
      <c r="J2089" s="3">
        <v>2.844172E-2</v>
      </c>
      <c r="K2089" s="3">
        <v>-0.30479400000000001</v>
      </c>
      <c r="L2089" s="3">
        <v>-0.23713690000000001</v>
      </c>
    </row>
    <row r="2090" spans="1:12" x14ac:dyDescent="0.25">
      <c r="A2090" t="s">
        <v>8382</v>
      </c>
      <c r="B2090" t="s">
        <v>8383</v>
      </c>
      <c r="I2090" t="s">
        <v>2587</v>
      </c>
      <c r="J2090" s="3">
        <v>0.23968970000000001</v>
      </c>
      <c r="K2090" s="3">
        <v>9.0984839999999997E-2</v>
      </c>
      <c r="L2090" s="3">
        <v>0.13493910000000001</v>
      </c>
    </row>
    <row r="2091" spans="1:12" x14ac:dyDescent="0.25">
      <c r="A2091" t="s">
        <v>8379</v>
      </c>
      <c r="B2091" t="s">
        <v>8380</v>
      </c>
      <c r="I2091" t="s">
        <v>8381</v>
      </c>
      <c r="J2091" s="3">
        <v>0.2297466</v>
      </c>
      <c r="K2091" s="3">
        <v>1.3222210000000001</v>
      </c>
      <c r="L2091" s="3">
        <v>0.45009650000000001</v>
      </c>
    </row>
    <row r="2092" spans="1:12" x14ac:dyDescent="0.25">
      <c r="A2092" t="s">
        <v>8376</v>
      </c>
      <c r="B2092" t="s">
        <v>8377</v>
      </c>
      <c r="I2092" t="s">
        <v>8378</v>
      </c>
      <c r="J2092" s="3">
        <v>0.48705369999999998</v>
      </c>
      <c r="K2092" s="3">
        <v>0.55918670000000004</v>
      </c>
      <c r="L2092" s="3">
        <v>0.42968990000000001</v>
      </c>
    </row>
    <row r="2093" spans="1:12" x14ac:dyDescent="0.25">
      <c r="A2093" t="s">
        <v>8373</v>
      </c>
      <c r="B2093" t="s">
        <v>8374</v>
      </c>
      <c r="I2093" t="s">
        <v>8375</v>
      </c>
      <c r="J2093" s="3">
        <v>-0.14942449999999999</v>
      </c>
      <c r="K2093" s="3">
        <v>0.65023569999999997</v>
      </c>
      <c r="L2093" s="3">
        <v>2.9459880000000001E-2</v>
      </c>
    </row>
    <row r="2094" spans="1:12" x14ac:dyDescent="0.25">
      <c r="A2094" t="s">
        <v>8370</v>
      </c>
      <c r="B2094" t="s">
        <v>8371</v>
      </c>
      <c r="I2094" t="s">
        <v>8372</v>
      </c>
      <c r="J2094" s="3">
        <v>-0.35575259999999997</v>
      </c>
      <c r="K2094" s="3">
        <v>-0.26986139999999997</v>
      </c>
      <c r="L2094" s="3">
        <v>-0.17506350000000001</v>
      </c>
    </row>
    <row r="2095" spans="1:12" x14ac:dyDescent="0.25">
      <c r="A2095" t="s">
        <v>9388</v>
      </c>
      <c r="B2095" t="s">
        <v>9389</v>
      </c>
      <c r="I2095" t="s">
        <v>8369</v>
      </c>
      <c r="J2095" s="3">
        <v>3.5986230000000001E-2</v>
      </c>
      <c r="K2095" s="3">
        <v>-0.29496699999999998</v>
      </c>
      <c r="L2095" s="3">
        <v>8.9434609999999998E-2</v>
      </c>
    </row>
    <row r="2096" spans="1:12" x14ac:dyDescent="0.25">
      <c r="A2096" t="s">
        <v>9385</v>
      </c>
      <c r="B2096" t="s">
        <v>9386</v>
      </c>
      <c r="I2096" t="s">
        <v>9387</v>
      </c>
      <c r="J2096" s="3">
        <v>-0.29393560000000002</v>
      </c>
      <c r="K2096" s="3">
        <v>-5.8011069999999998E-2</v>
      </c>
      <c r="L2096" s="3">
        <v>-0.1223291</v>
      </c>
    </row>
    <row r="2097" spans="1:12" x14ac:dyDescent="0.25">
      <c r="A2097" t="s">
        <v>9384</v>
      </c>
      <c r="B2097" t="s">
        <v>957</v>
      </c>
      <c r="I2097" t="s">
        <v>455</v>
      </c>
      <c r="J2097" s="3">
        <v>-0.60148769999999996</v>
      </c>
      <c r="K2097" s="3">
        <v>-0.76581770000000005</v>
      </c>
      <c r="L2097" s="3">
        <v>-0.34825220000000001</v>
      </c>
    </row>
    <row r="2098" spans="1:12" x14ac:dyDescent="0.25">
      <c r="A2098" t="s">
        <v>9381</v>
      </c>
      <c r="B2098" t="s">
        <v>9382</v>
      </c>
      <c r="I2098" t="s">
        <v>9383</v>
      </c>
      <c r="J2098" s="3">
        <v>-0.56606009999999995</v>
      </c>
      <c r="K2098" s="3">
        <v>-0.62295849999999997</v>
      </c>
      <c r="L2098" s="3">
        <v>-0.66067730000000002</v>
      </c>
    </row>
    <row r="2099" spans="1:12" x14ac:dyDescent="0.25">
      <c r="A2099" t="s">
        <v>9378</v>
      </c>
      <c r="B2099" t="s">
        <v>9379</v>
      </c>
      <c r="I2099" t="s">
        <v>9380</v>
      </c>
      <c r="J2099" s="3">
        <v>3.433336E-2</v>
      </c>
      <c r="K2099" s="3">
        <v>-0.1924971</v>
      </c>
      <c r="L2099" s="3">
        <v>0.159195</v>
      </c>
    </row>
    <row r="2100" spans="1:12" x14ac:dyDescent="0.25">
      <c r="A2100" t="s">
        <v>9376</v>
      </c>
      <c r="B2100" t="s">
        <v>9377</v>
      </c>
      <c r="I2100" t="s">
        <v>8731</v>
      </c>
      <c r="J2100" s="3">
        <v>-4.4263759999999999E-2</v>
      </c>
      <c r="K2100" s="3">
        <v>-7.0528540000000001E-2</v>
      </c>
      <c r="L2100" s="3">
        <v>0.2123544</v>
      </c>
    </row>
    <row r="2101" spans="1:12" x14ac:dyDescent="0.25">
      <c r="A2101" t="s">
        <v>9375</v>
      </c>
      <c r="B2101" t="s">
        <v>957</v>
      </c>
      <c r="I2101" t="s">
        <v>455</v>
      </c>
      <c r="J2101" s="3">
        <v>0.33519559999999998</v>
      </c>
      <c r="K2101" s="3">
        <v>0.54369509999999999</v>
      </c>
      <c r="L2101" s="3">
        <v>0.35627389999999998</v>
      </c>
    </row>
    <row r="2102" spans="1:12" x14ac:dyDescent="0.25">
      <c r="A2102" t="s">
        <v>9373</v>
      </c>
      <c r="B2102" t="s">
        <v>9374</v>
      </c>
      <c r="I2102" t="s">
        <v>135</v>
      </c>
      <c r="J2102" s="3">
        <v>-0.1076313</v>
      </c>
      <c r="K2102" s="3">
        <v>0.28785060000000001</v>
      </c>
      <c r="L2102" s="3">
        <v>0.24630440000000001</v>
      </c>
    </row>
    <row r="2103" spans="1:12" x14ac:dyDescent="0.25">
      <c r="A2103" t="s">
        <v>9370</v>
      </c>
      <c r="B2103" t="s">
        <v>9371</v>
      </c>
      <c r="I2103" t="s">
        <v>9372</v>
      </c>
      <c r="J2103" s="3">
        <v>-4.0912009999999999E-2</v>
      </c>
      <c r="K2103" s="3">
        <v>0.86169600000000002</v>
      </c>
      <c r="L2103" s="3">
        <v>0.33059860000000002</v>
      </c>
    </row>
    <row r="2104" spans="1:12" x14ac:dyDescent="0.25">
      <c r="A2104" t="s">
        <v>9369</v>
      </c>
      <c r="B2104" t="s">
        <v>957</v>
      </c>
      <c r="I2104" t="s">
        <v>8135</v>
      </c>
      <c r="J2104" s="3">
        <v>-0.38724979999999998</v>
      </c>
      <c r="K2104" s="3">
        <v>-0.2261531</v>
      </c>
      <c r="L2104" s="3">
        <v>-0.40064670000000002</v>
      </c>
    </row>
    <row r="2105" spans="1:12" x14ac:dyDescent="0.25">
      <c r="A2105" t="s">
        <v>9368</v>
      </c>
      <c r="B2105" t="s">
        <v>957</v>
      </c>
      <c r="I2105" t="s">
        <v>8135</v>
      </c>
      <c r="J2105" s="3">
        <v>-0.68935279999999999</v>
      </c>
      <c r="K2105" s="3">
        <v>-0.99519840000000004</v>
      </c>
      <c r="L2105" s="3">
        <v>-0.73294800000000004</v>
      </c>
    </row>
    <row r="2106" spans="1:12" x14ac:dyDescent="0.25">
      <c r="A2106" t="s">
        <v>9367</v>
      </c>
      <c r="B2106" t="s">
        <v>957</v>
      </c>
      <c r="I2106" t="s">
        <v>455</v>
      </c>
      <c r="J2106" s="3">
        <v>-0.20168649999999999</v>
      </c>
      <c r="K2106" s="3">
        <v>-0.36617559999999999</v>
      </c>
      <c r="L2106" s="3">
        <v>-8.4564959999999995E-2</v>
      </c>
    </row>
    <row r="2107" spans="1:12" x14ac:dyDescent="0.25">
      <c r="A2107" t="s">
        <v>9366</v>
      </c>
      <c r="B2107" t="s">
        <v>957</v>
      </c>
      <c r="I2107" t="s">
        <v>455</v>
      </c>
      <c r="J2107" s="3">
        <v>-0.40691519999999998</v>
      </c>
      <c r="K2107" s="3">
        <v>-0.92787419999999998</v>
      </c>
      <c r="L2107" s="3">
        <v>-0.3269301</v>
      </c>
    </row>
    <row r="2108" spans="1:12" x14ac:dyDescent="0.25">
      <c r="A2108" t="s">
        <v>9363</v>
      </c>
      <c r="B2108" t="s">
        <v>9364</v>
      </c>
      <c r="I2108" t="s">
        <v>9365</v>
      </c>
      <c r="J2108" s="3">
        <v>-6.6203719999999994E-2</v>
      </c>
      <c r="K2108" s="3">
        <v>-0.25579229999999997</v>
      </c>
      <c r="L2108" s="3">
        <v>-5.1095250000000002E-2</v>
      </c>
    </row>
    <row r="2109" spans="1:12" x14ac:dyDescent="0.25">
      <c r="A2109" t="s">
        <v>9360</v>
      </c>
      <c r="B2109" t="s">
        <v>9361</v>
      </c>
      <c r="I2109" t="s">
        <v>9362</v>
      </c>
      <c r="J2109" s="3">
        <v>4.3162300000000001E-2</v>
      </c>
      <c r="K2109" s="3">
        <v>-0.46290500000000001</v>
      </c>
      <c r="L2109" s="3">
        <v>-0.1113664</v>
      </c>
    </row>
    <row r="2110" spans="1:12" x14ac:dyDescent="0.25">
      <c r="A2110" t="s">
        <v>9357</v>
      </c>
      <c r="B2110" t="s">
        <v>9358</v>
      </c>
      <c r="I2110" t="s">
        <v>9359</v>
      </c>
      <c r="J2110" s="3">
        <v>-4.153602E-2</v>
      </c>
      <c r="K2110" s="3">
        <v>-0.30646220000000002</v>
      </c>
      <c r="L2110" s="3">
        <v>-0.1543804</v>
      </c>
    </row>
    <row r="2111" spans="1:12" x14ac:dyDescent="0.25">
      <c r="A2111" t="s">
        <v>9356</v>
      </c>
      <c r="B2111" t="s">
        <v>957</v>
      </c>
      <c r="I2111" t="s">
        <v>455</v>
      </c>
      <c r="J2111" s="3">
        <v>0.55939519999999998</v>
      </c>
      <c r="K2111" s="3">
        <v>-0.1333279</v>
      </c>
      <c r="L2111" s="3">
        <v>0.294236</v>
      </c>
    </row>
    <row r="2112" spans="1:12" x14ac:dyDescent="0.25">
      <c r="A2112" t="s">
        <v>9355</v>
      </c>
      <c r="B2112" t="s">
        <v>14197</v>
      </c>
      <c r="C2112" t="s">
        <v>14198</v>
      </c>
      <c r="I2112" t="s">
        <v>109</v>
      </c>
      <c r="J2112" s="3">
        <v>0.21266360000000001</v>
      </c>
      <c r="K2112" s="3">
        <v>-3.002022E-2</v>
      </c>
      <c r="L2112" s="3">
        <v>0.1723363</v>
      </c>
    </row>
    <row r="2113" spans="1:12" x14ac:dyDescent="0.25">
      <c r="A2113" t="s">
        <v>9352</v>
      </c>
      <c r="B2113" t="s">
        <v>9353</v>
      </c>
      <c r="I2113" t="s">
        <v>9354</v>
      </c>
      <c r="J2113" s="3">
        <v>-0.17547370000000001</v>
      </c>
      <c r="K2113" s="3">
        <v>-0.99284640000000002</v>
      </c>
      <c r="L2113" s="3">
        <v>-0.39748020000000001</v>
      </c>
    </row>
    <row r="2114" spans="1:12" x14ac:dyDescent="0.25">
      <c r="A2114" t="s">
        <v>9350</v>
      </c>
      <c r="B2114" t="s">
        <v>9351</v>
      </c>
      <c r="I2114" t="s">
        <v>579</v>
      </c>
      <c r="J2114" s="3">
        <v>-0.20364640000000001</v>
      </c>
      <c r="K2114" s="3">
        <v>-0.34859580000000001</v>
      </c>
      <c r="L2114" s="3">
        <v>-0.12446160000000001</v>
      </c>
    </row>
    <row r="2115" spans="1:12" x14ac:dyDescent="0.25">
      <c r="A2115" t="s">
        <v>9347</v>
      </c>
      <c r="B2115" t="s">
        <v>9348</v>
      </c>
      <c r="I2115" t="s">
        <v>9349</v>
      </c>
      <c r="J2115" s="3">
        <v>-0.69533929999999999</v>
      </c>
      <c r="K2115" s="3">
        <v>-0.25060179999999999</v>
      </c>
      <c r="L2115" s="3">
        <v>-0.62388909999999997</v>
      </c>
    </row>
    <row r="2116" spans="1:12" x14ac:dyDescent="0.25">
      <c r="A2116" t="s">
        <v>9346</v>
      </c>
      <c r="B2116" t="s">
        <v>957</v>
      </c>
      <c r="I2116" t="s">
        <v>156</v>
      </c>
      <c r="J2116" s="3">
        <v>-0.7862112</v>
      </c>
      <c r="K2116" s="3">
        <v>-0.3773552</v>
      </c>
      <c r="L2116" s="3">
        <v>-0.46675850000000002</v>
      </c>
    </row>
    <row r="2117" spans="1:12" x14ac:dyDescent="0.25">
      <c r="A2117" t="s">
        <v>9345</v>
      </c>
      <c r="B2117" t="s">
        <v>957</v>
      </c>
      <c r="I2117" t="s">
        <v>455</v>
      </c>
      <c r="J2117" s="3">
        <v>-4.1510849999999997E-3</v>
      </c>
      <c r="K2117" s="3">
        <v>-0.22599320000000001</v>
      </c>
      <c r="L2117" s="3">
        <v>-3.7323510000000001E-3</v>
      </c>
    </row>
    <row r="2118" spans="1:12" x14ac:dyDescent="0.25">
      <c r="A2118" t="s">
        <v>8339</v>
      </c>
      <c r="B2118" t="s">
        <v>8340</v>
      </c>
      <c r="I2118" t="s">
        <v>9344</v>
      </c>
      <c r="J2118" s="3">
        <v>-0.28837659999999998</v>
      </c>
      <c r="K2118" s="3">
        <v>0.17284640000000001</v>
      </c>
      <c r="L2118" s="3">
        <v>-0.36574810000000002</v>
      </c>
    </row>
    <row r="2119" spans="1:12" x14ac:dyDescent="0.25">
      <c r="A2119" t="s">
        <v>8336</v>
      </c>
      <c r="B2119" t="s">
        <v>8337</v>
      </c>
      <c r="I2119" t="s">
        <v>8338</v>
      </c>
      <c r="J2119" s="3">
        <v>0.20136519999999999</v>
      </c>
      <c r="K2119" s="3">
        <v>-3.6195509999999999E-3</v>
      </c>
      <c r="L2119" s="3">
        <v>-0.1576882</v>
      </c>
    </row>
    <row r="2120" spans="1:12" x14ac:dyDescent="0.25">
      <c r="A2120" t="s">
        <v>8335</v>
      </c>
      <c r="B2120" t="s">
        <v>957</v>
      </c>
      <c r="I2120" t="s">
        <v>455</v>
      </c>
      <c r="J2120" s="3">
        <v>-0.2263559</v>
      </c>
      <c r="K2120" s="3">
        <v>-0.14216529999999999</v>
      </c>
      <c r="L2120" s="3">
        <v>-0.1624149</v>
      </c>
    </row>
    <row r="2121" spans="1:12" x14ac:dyDescent="0.25">
      <c r="A2121" t="s">
        <v>8334</v>
      </c>
      <c r="B2121" t="s">
        <v>957</v>
      </c>
      <c r="I2121" t="s">
        <v>455</v>
      </c>
      <c r="J2121" s="3">
        <v>0.41878559999999998</v>
      </c>
      <c r="K2121" s="3">
        <v>0.41345320000000002</v>
      </c>
      <c r="L2121" s="3">
        <v>0.13765340000000001</v>
      </c>
    </row>
    <row r="2122" spans="1:12" x14ac:dyDescent="0.25">
      <c r="A2122" t="s">
        <v>8333</v>
      </c>
      <c r="B2122" t="s">
        <v>957</v>
      </c>
      <c r="I2122" t="s">
        <v>455</v>
      </c>
      <c r="J2122" s="3">
        <v>0.39768700000000001</v>
      </c>
      <c r="K2122" s="3">
        <v>0.4898285</v>
      </c>
      <c r="L2122" s="3">
        <v>0.36447230000000003</v>
      </c>
    </row>
    <row r="2123" spans="1:12" x14ac:dyDescent="0.25">
      <c r="A2123" t="s">
        <v>8330</v>
      </c>
      <c r="B2123" t="s">
        <v>8331</v>
      </c>
      <c r="I2123" t="s">
        <v>8332</v>
      </c>
      <c r="J2123" s="3">
        <v>-0.27326230000000001</v>
      </c>
      <c r="K2123" s="3">
        <v>7.9332340000000008E-3</v>
      </c>
      <c r="L2123" s="3">
        <v>-0.25071969999999999</v>
      </c>
    </row>
    <row r="2124" spans="1:12" x14ac:dyDescent="0.25">
      <c r="A2124" t="s">
        <v>8327</v>
      </c>
      <c r="B2124" t="s">
        <v>8328</v>
      </c>
      <c r="I2124" t="s">
        <v>8329</v>
      </c>
      <c r="J2124" s="3">
        <v>5.2221589999999998E-2</v>
      </c>
      <c r="K2124" s="3">
        <v>5.1993150000000002E-2</v>
      </c>
      <c r="L2124" s="3">
        <v>0.49904179999999998</v>
      </c>
    </row>
    <row r="2125" spans="1:12" x14ac:dyDescent="0.25">
      <c r="A2125" t="s">
        <v>8326</v>
      </c>
      <c r="B2125" t="s">
        <v>957</v>
      </c>
      <c r="I2125" t="s">
        <v>475</v>
      </c>
      <c r="J2125" s="3">
        <v>0.41103869999999998</v>
      </c>
      <c r="K2125" s="3">
        <v>-8.1487260000000006E-2</v>
      </c>
      <c r="L2125" s="3">
        <v>0.34777419999999998</v>
      </c>
    </row>
    <row r="2126" spans="1:12" x14ac:dyDescent="0.25">
      <c r="A2126" t="s">
        <v>8325</v>
      </c>
      <c r="B2126" t="s">
        <v>957</v>
      </c>
      <c r="I2126" t="s">
        <v>455</v>
      </c>
      <c r="J2126" s="3">
        <v>0.28569099999999997</v>
      </c>
      <c r="K2126" s="3">
        <v>0.55711049999999995</v>
      </c>
      <c r="L2126" s="3">
        <v>0.1326948</v>
      </c>
    </row>
    <row r="2127" spans="1:12" x14ac:dyDescent="0.25">
      <c r="A2127" t="s">
        <v>8323</v>
      </c>
      <c r="B2127" t="s">
        <v>8324</v>
      </c>
      <c r="I2127" t="s">
        <v>9107</v>
      </c>
      <c r="J2127" s="3">
        <v>-0.39656049999999998</v>
      </c>
      <c r="K2127" s="3">
        <v>-0.69577020000000001</v>
      </c>
      <c r="L2127" s="3">
        <v>-0.33876400000000001</v>
      </c>
    </row>
    <row r="2128" spans="1:12" x14ac:dyDescent="0.25">
      <c r="A2128" t="s">
        <v>8320</v>
      </c>
      <c r="B2128" t="s">
        <v>8321</v>
      </c>
      <c r="I2128" t="s">
        <v>8322</v>
      </c>
      <c r="J2128" s="3">
        <v>0.67144400000000004</v>
      </c>
      <c r="K2128" s="3">
        <v>1.0629090000000001</v>
      </c>
      <c r="L2128" s="3">
        <v>0.70281859999999996</v>
      </c>
    </row>
    <row r="2129" spans="1:12" x14ac:dyDescent="0.25">
      <c r="A2129" t="s">
        <v>8318</v>
      </c>
      <c r="B2129" t="s">
        <v>8319</v>
      </c>
      <c r="I2129" t="s">
        <v>2236</v>
      </c>
      <c r="J2129" s="3">
        <v>0.638598</v>
      </c>
      <c r="K2129" s="3">
        <v>1.0231079999999999</v>
      </c>
      <c r="L2129" s="3">
        <v>0.71520010000000001</v>
      </c>
    </row>
    <row r="2130" spans="1:12" x14ac:dyDescent="0.25">
      <c r="A2130" t="s">
        <v>8315</v>
      </c>
      <c r="B2130" t="s">
        <v>8316</v>
      </c>
      <c r="I2130" t="s">
        <v>8317</v>
      </c>
      <c r="J2130" s="3">
        <v>-0.4848151</v>
      </c>
      <c r="K2130" s="3">
        <v>-0.69259289999999996</v>
      </c>
      <c r="L2130" s="3">
        <v>-0.1972314</v>
      </c>
    </row>
    <row r="2131" spans="1:12" x14ac:dyDescent="0.25">
      <c r="A2131" t="s">
        <v>8312</v>
      </c>
      <c r="B2131" t="s">
        <v>8313</v>
      </c>
      <c r="I2131" t="s">
        <v>8314</v>
      </c>
      <c r="J2131" s="3">
        <v>-9.3762300000000007E-2</v>
      </c>
      <c r="K2131" s="3">
        <v>2.843497E-3</v>
      </c>
      <c r="L2131" s="3">
        <v>-0.1368984</v>
      </c>
    </row>
    <row r="2132" spans="1:12" x14ac:dyDescent="0.25">
      <c r="A2132" t="s">
        <v>8310</v>
      </c>
      <c r="B2132" t="s">
        <v>458</v>
      </c>
      <c r="C2132" t="s">
        <v>14199</v>
      </c>
      <c r="I2132" t="s">
        <v>8311</v>
      </c>
      <c r="J2132" s="3">
        <v>0.14723220000000001</v>
      </c>
      <c r="K2132" s="3">
        <v>0.27386939999999999</v>
      </c>
      <c r="L2132" s="3">
        <v>-0.17251659999999999</v>
      </c>
    </row>
    <row r="2133" spans="1:12" x14ac:dyDescent="0.25">
      <c r="A2133" t="s">
        <v>8307</v>
      </c>
      <c r="B2133" t="s">
        <v>8308</v>
      </c>
      <c r="I2133" t="s">
        <v>8309</v>
      </c>
      <c r="J2133" s="3">
        <v>0.55483519999999997</v>
      </c>
      <c r="K2133" s="3">
        <v>9.2471789999999998E-2</v>
      </c>
      <c r="L2133" s="3">
        <v>-7.9224630000000004E-2</v>
      </c>
    </row>
    <row r="2134" spans="1:12" x14ac:dyDescent="0.25">
      <c r="A2134" t="s">
        <v>8304</v>
      </c>
      <c r="B2134" t="s">
        <v>8305</v>
      </c>
      <c r="I2134" t="s">
        <v>8306</v>
      </c>
      <c r="J2134" s="3">
        <v>6.5268930000000003E-2</v>
      </c>
      <c r="K2134" s="3">
        <v>0.1177841</v>
      </c>
      <c r="L2134" s="3">
        <v>8.5070880000000001E-2</v>
      </c>
    </row>
    <row r="2135" spans="1:12" x14ac:dyDescent="0.25">
      <c r="A2135" t="s">
        <v>8301</v>
      </c>
      <c r="B2135" t="s">
        <v>8302</v>
      </c>
      <c r="I2135" t="s">
        <v>8303</v>
      </c>
      <c r="J2135" s="3">
        <v>-1.1843440000000001</v>
      </c>
      <c r="K2135" s="3">
        <v>-0.56147729999999996</v>
      </c>
      <c r="L2135" s="3">
        <v>0.29408400000000001</v>
      </c>
    </row>
    <row r="2136" spans="1:12" x14ac:dyDescent="0.25">
      <c r="A2136" t="s">
        <v>8298</v>
      </c>
      <c r="B2136" t="s">
        <v>8299</v>
      </c>
      <c r="I2136" t="s">
        <v>8300</v>
      </c>
      <c r="J2136" s="3">
        <v>0.3506456</v>
      </c>
      <c r="K2136" s="3">
        <v>0.39577299999999999</v>
      </c>
      <c r="L2136" s="3">
        <v>0.16825619999999999</v>
      </c>
    </row>
    <row r="2137" spans="1:12" x14ac:dyDescent="0.25">
      <c r="A2137" t="s">
        <v>8295</v>
      </c>
      <c r="B2137" t="s">
        <v>8296</v>
      </c>
      <c r="I2137" t="s">
        <v>8297</v>
      </c>
      <c r="J2137" s="3">
        <v>1.8486370000000001</v>
      </c>
      <c r="K2137" s="3">
        <v>2.5682100000000001</v>
      </c>
      <c r="L2137" s="3">
        <v>2.257047</v>
      </c>
    </row>
    <row r="2138" spans="1:12" x14ac:dyDescent="0.25">
      <c r="A2138" t="s">
        <v>8292</v>
      </c>
      <c r="B2138" t="s">
        <v>8293</v>
      </c>
      <c r="I2138" t="s">
        <v>8294</v>
      </c>
      <c r="J2138" s="3">
        <v>-0.61164700000000005</v>
      </c>
      <c r="K2138" s="3">
        <v>-0.6685449</v>
      </c>
      <c r="L2138" s="3">
        <v>-0.67392050000000003</v>
      </c>
    </row>
    <row r="2139" spans="1:12" x14ac:dyDescent="0.25">
      <c r="A2139" t="s">
        <v>8291</v>
      </c>
      <c r="B2139" t="s">
        <v>957</v>
      </c>
      <c r="I2139" t="s">
        <v>455</v>
      </c>
      <c r="J2139" s="3">
        <v>5.7504159999999999E-2</v>
      </c>
      <c r="K2139" s="3">
        <v>0.3012418</v>
      </c>
      <c r="L2139" s="3">
        <v>-6.2076029999999997E-2</v>
      </c>
    </row>
    <row r="2140" spans="1:12" x14ac:dyDescent="0.25">
      <c r="A2140" t="s">
        <v>8290</v>
      </c>
      <c r="B2140" t="s">
        <v>957</v>
      </c>
      <c r="I2140" t="s">
        <v>453</v>
      </c>
      <c r="J2140" s="3">
        <v>-0.1230175</v>
      </c>
      <c r="K2140" s="3">
        <v>0.55784929999999999</v>
      </c>
      <c r="L2140" s="3">
        <v>-0.1535666</v>
      </c>
    </row>
    <row r="2141" spans="1:12" x14ac:dyDescent="0.25">
      <c r="A2141" t="s">
        <v>8287</v>
      </c>
      <c r="B2141" t="s">
        <v>8288</v>
      </c>
      <c r="I2141" t="s">
        <v>8289</v>
      </c>
      <c r="J2141" s="3">
        <v>-0.1193167</v>
      </c>
      <c r="K2141" s="3">
        <v>-0.86270100000000005</v>
      </c>
      <c r="L2141" s="3">
        <v>-0.24424499999999999</v>
      </c>
    </row>
    <row r="2142" spans="1:12" x14ac:dyDescent="0.25">
      <c r="A2142" t="s">
        <v>8284</v>
      </c>
      <c r="B2142" t="s">
        <v>8285</v>
      </c>
      <c r="I2142" t="s">
        <v>8286</v>
      </c>
      <c r="J2142" s="3">
        <v>0.3464892</v>
      </c>
      <c r="K2142" s="3">
        <v>-0.27797670000000002</v>
      </c>
      <c r="L2142" s="3">
        <v>0.49193969999999998</v>
      </c>
    </row>
    <row r="2143" spans="1:12" x14ac:dyDescent="0.25">
      <c r="A2143" t="s">
        <v>8283</v>
      </c>
      <c r="B2143" t="s">
        <v>957</v>
      </c>
      <c r="I2143" t="s">
        <v>455</v>
      </c>
      <c r="J2143" s="3">
        <v>-0.1170049</v>
      </c>
      <c r="K2143" s="3">
        <v>6.6094130000000001E-2</v>
      </c>
      <c r="L2143" s="3">
        <v>0.12785740000000001</v>
      </c>
    </row>
    <row r="2144" spans="1:12" x14ac:dyDescent="0.25">
      <c r="A2144" t="s">
        <v>8282</v>
      </c>
      <c r="B2144" t="s">
        <v>957</v>
      </c>
      <c r="I2144" t="s">
        <v>455</v>
      </c>
      <c r="J2144" s="3">
        <v>-0.4473377</v>
      </c>
      <c r="K2144" s="3">
        <v>-0.65224020000000005</v>
      </c>
      <c r="L2144" s="3">
        <v>-0.52674259999999995</v>
      </c>
    </row>
    <row r="2145" spans="1:12" x14ac:dyDescent="0.25">
      <c r="A2145" t="s">
        <v>8279</v>
      </c>
      <c r="B2145" t="s">
        <v>8280</v>
      </c>
      <c r="I2145" t="s">
        <v>8281</v>
      </c>
      <c r="J2145" s="3">
        <v>0.1156649</v>
      </c>
      <c r="K2145" s="3">
        <v>-0.61673770000000006</v>
      </c>
      <c r="L2145" s="3">
        <v>1.6760580000000001E-2</v>
      </c>
    </row>
    <row r="2146" spans="1:12" x14ac:dyDescent="0.25">
      <c r="A2146" t="s">
        <v>8278</v>
      </c>
      <c r="B2146" t="s">
        <v>957</v>
      </c>
      <c r="I2146" t="s">
        <v>455</v>
      </c>
      <c r="J2146" s="3">
        <v>-1.9084369999999999</v>
      </c>
      <c r="K2146" s="3">
        <v>-1.596678</v>
      </c>
      <c r="L2146" s="3">
        <v>-0.85788200000000003</v>
      </c>
    </row>
    <row r="2147" spans="1:12" x14ac:dyDescent="0.25">
      <c r="A2147" t="s">
        <v>8276</v>
      </c>
      <c r="B2147" t="s">
        <v>957</v>
      </c>
      <c r="I2147" t="s">
        <v>8277</v>
      </c>
      <c r="J2147" s="3">
        <v>1.1422909999999999</v>
      </c>
      <c r="K2147" s="3">
        <v>1.9298360000000001</v>
      </c>
      <c r="L2147" s="3">
        <v>0.90235469999999995</v>
      </c>
    </row>
    <row r="2148" spans="1:12" x14ac:dyDescent="0.25">
      <c r="A2148" t="s">
        <v>8273</v>
      </c>
      <c r="B2148" t="s">
        <v>8274</v>
      </c>
      <c r="I2148" t="s">
        <v>8275</v>
      </c>
      <c r="J2148" s="3">
        <v>0.19327050000000001</v>
      </c>
      <c r="K2148" s="3">
        <v>0.43872450000000002</v>
      </c>
      <c r="L2148" s="3">
        <v>0.15764610000000001</v>
      </c>
    </row>
    <row r="2149" spans="1:12" x14ac:dyDescent="0.25">
      <c r="A2149" t="s">
        <v>8270</v>
      </c>
      <c r="B2149" t="s">
        <v>8271</v>
      </c>
      <c r="I2149" t="s">
        <v>8272</v>
      </c>
      <c r="J2149" s="3">
        <v>-5.8941239999999999E-2</v>
      </c>
      <c r="K2149" s="3">
        <v>-7.745734E-2</v>
      </c>
      <c r="L2149" s="3">
        <v>3.6485150000000002E-3</v>
      </c>
    </row>
    <row r="2150" spans="1:12" x14ac:dyDescent="0.25">
      <c r="A2150" t="s">
        <v>8267</v>
      </c>
      <c r="B2150" t="s">
        <v>8268</v>
      </c>
      <c r="I2150" t="s">
        <v>8269</v>
      </c>
      <c r="J2150" s="3">
        <v>-1.287334</v>
      </c>
      <c r="K2150" s="3">
        <v>-1.0421990000000001</v>
      </c>
      <c r="L2150" s="3">
        <v>-0.61037810000000003</v>
      </c>
    </row>
    <row r="2151" spans="1:12" x14ac:dyDescent="0.25">
      <c r="A2151" t="s">
        <v>8264</v>
      </c>
      <c r="B2151" t="s">
        <v>8265</v>
      </c>
      <c r="I2151" t="s">
        <v>8266</v>
      </c>
      <c r="J2151" s="3">
        <v>0.27719440000000001</v>
      </c>
      <c r="K2151" s="3">
        <v>0.2068729</v>
      </c>
      <c r="L2151" s="3">
        <v>-3.8756980000000003E-2</v>
      </c>
    </row>
    <row r="2152" spans="1:12" x14ac:dyDescent="0.25">
      <c r="A2152" t="s">
        <v>8261</v>
      </c>
      <c r="B2152" t="s">
        <v>8262</v>
      </c>
      <c r="I2152" t="s">
        <v>8263</v>
      </c>
      <c r="J2152" s="3">
        <v>0.59052369999999998</v>
      </c>
      <c r="K2152" s="3">
        <v>0.75756020000000002</v>
      </c>
      <c r="L2152" s="3">
        <v>0.1124281</v>
      </c>
    </row>
    <row r="2153" spans="1:12" x14ac:dyDescent="0.25">
      <c r="A2153" t="s">
        <v>8258</v>
      </c>
      <c r="B2153" t="s">
        <v>8259</v>
      </c>
      <c r="I2153" t="s">
        <v>8260</v>
      </c>
      <c r="J2153" s="3">
        <v>0.98641679999999998</v>
      </c>
      <c r="K2153" s="3">
        <v>0.85841529999999999</v>
      </c>
      <c r="L2153" s="3">
        <v>0.72463250000000001</v>
      </c>
    </row>
    <row r="2154" spans="1:12" x14ac:dyDescent="0.25">
      <c r="A2154" t="s">
        <v>8255</v>
      </c>
      <c r="B2154" t="s">
        <v>8256</v>
      </c>
      <c r="I2154" t="s">
        <v>8257</v>
      </c>
      <c r="J2154" s="3">
        <v>6.9333660000000005E-2</v>
      </c>
      <c r="K2154" s="3">
        <v>-0.1824926</v>
      </c>
      <c r="L2154" s="3">
        <v>-0.2123688</v>
      </c>
    </row>
    <row r="2155" spans="1:12" x14ac:dyDescent="0.25">
      <c r="A2155" t="s">
        <v>8252</v>
      </c>
      <c r="B2155" t="s">
        <v>8253</v>
      </c>
      <c r="I2155" t="s">
        <v>8254</v>
      </c>
      <c r="J2155" s="3">
        <v>-0.21829480000000001</v>
      </c>
      <c r="K2155" s="3">
        <v>-0.74873020000000001</v>
      </c>
      <c r="L2155" s="3">
        <v>-0.23337820000000001</v>
      </c>
    </row>
    <row r="2156" spans="1:12" x14ac:dyDescent="0.25">
      <c r="A2156" t="s">
        <v>8250</v>
      </c>
      <c r="B2156" t="s">
        <v>8251</v>
      </c>
      <c r="I2156" t="s">
        <v>430</v>
      </c>
      <c r="J2156" s="3">
        <v>-0.68196310000000004</v>
      </c>
      <c r="K2156" s="3">
        <v>-0.93102399999999996</v>
      </c>
      <c r="L2156" s="3">
        <v>-0.64915820000000002</v>
      </c>
    </row>
    <row r="2157" spans="1:12" x14ac:dyDescent="0.25">
      <c r="A2157" t="s">
        <v>8247</v>
      </c>
      <c r="B2157" t="s">
        <v>8248</v>
      </c>
      <c r="I2157" t="s">
        <v>8249</v>
      </c>
      <c r="J2157" s="3">
        <v>0.6366482</v>
      </c>
      <c r="K2157" s="3">
        <v>0.5183605</v>
      </c>
      <c r="L2157" s="3">
        <v>8.7986560000000005E-2</v>
      </c>
    </row>
    <row r="2158" spans="1:12" x14ac:dyDescent="0.25">
      <c r="A2158" t="s">
        <v>8244</v>
      </c>
      <c r="B2158" t="s">
        <v>8245</v>
      </c>
      <c r="I2158" t="s">
        <v>8246</v>
      </c>
      <c r="J2158" s="3">
        <v>-0.26729439999999999</v>
      </c>
      <c r="K2158" s="3">
        <v>-0.84536279999999997</v>
      </c>
      <c r="L2158" s="3">
        <v>-0.16940659999999999</v>
      </c>
    </row>
    <row r="2159" spans="1:12" x14ac:dyDescent="0.25">
      <c r="A2159" t="s">
        <v>8243</v>
      </c>
      <c r="B2159" t="s">
        <v>957</v>
      </c>
      <c r="I2159" t="s">
        <v>455</v>
      </c>
      <c r="J2159" s="3">
        <v>-9.8146999999999998E-2</v>
      </c>
      <c r="K2159" s="3">
        <v>-0.13178780000000001</v>
      </c>
      <c r="L2159" s="3">
        <v>0.19128239999999999</v>
      </c>
    </row>
    <row r="2160" spans="1:12" x14ac:dyDescent="0.25">
      <c r="A2160" t="s">
        <v>8240</v>
      </c>
      <c r="B2160" t="s">
        <v>8241</v>
      </c>
      <c r="I2160" t="s">
        <v>8242</v>
      </c>
      <c r="J2160" s="3">
        <v>0.51023229999999997</v>
      </c>
      <c r="K2160" s="3">
        <v>1.2703880000000001E-2</v>
      </c>
      <c r="L2160" s="3">
        <v>0.1918492</v>
      </c>
    </row>
    <row r="2161" spans="1:12" x14ac:dyDescent="0.25">
      <c r="A2161" t="s">
        <v>8239</v>
      </c>
      <c r="B2161" t="s">
        <v>957</v>
      </c>
      <c r="I2161" t="s">
        <v>614</v>
      </c>
      <c r="J2161" s="3">
        <v>3.6453789999999998E-3</v>
      </c>
      <c r="K2161" s="3">
        <v>-7.4234240000000007E-2</v>
      </c>
      <c r="L2161" s="3">
        <v>0.24309259999999999</v>
      </c>
    </row>
    <row r="2162" spans="1:12" x14ac:dyDescent="0.25">
      <c r="A2162" t="s">
        <v>8236</v>
      </c>
      <c r="B2162" t="s">
        <v>8237</v>
      </c>
      <c r="I2162" t="s">
        <v>8238</v>
      </c>
      <c r="J2162" s="3">
        <v>-0.1767089</v>
      </c>
      <c r="K2162" s="3">
        <v>-0.50363100000000005</v>
      </c>
      <c r="L2162" s="3">
        <v>-0.2085745</v>
      </c>
    </row>
    <row r="2163" spans="1:12" x14ac:dyDescent="0.25">
      <c r="A2163" t="s">
        <v>8233</v>
      </c>
      <c r="B2163" t="s">
        <v>8234</v>
      </c>
      <c r="I2163" t="s">
        <v>8235</v>
      </c>
      <c r="J2163" s="3">
        <v>-0.4063351</v>
      </c>
      <c r="K2163" s="3">
        <v>-0.32658320000000002</v>
      </c>
      <c r="L2163" s="3">
        <v>-0.22211520000000001</v>
      </c>
    </row>
    <row r="2164" spans="1:12" x14ac:dyDescent="0.25">
      <c r="A2164" t="s">
        <v>8230</v>
      </c>
      <c r="B2164" t="s">
        <v>8231</v>
      </c>
      <c r="I2164" t="s">
        <v>8232</v>
      </c>
      <c r="J2164" s="3">
        <v>-0.55872679999999997</v>
      </c>
      <c r="K2164" s="3">
        <v>0.23762159999999999</v>
      </c>
      <c r="L2164" s="3">
        <v>-0.2435253</v>
      </c>
    </row>
    <row r="2165" spans="1:12" x14ac:dyDescent="0.25">
      <c r="A2165" t="s">
        <v>9269</v>
      </c>
      <c r="B2165" t="s">
        <v>9270</v>
      </c>
      <c r="I2165" t="s">
        <v>8229</v>
      </c>
      <c r="J2165" s="3">
        <v>9.9740549999999997E-2</v>
      </c>
      <c r="K2165" s="3">
        <v>0.42395529999999998</v>
      </c>
      <c r="L2165" s="3">
        <v>0.30627690000000002</v>
      </c>
    </row>
    <row r="2166" spans="1:12" x14ac:dyDescent="0.25">
      <c r="A2166" t="s">
        <v>9266</v>
      </c>
      <c r="B2166" t="s">
        <v>9267</v>
      </c>
      <c r="I2166" t="s">
        <v>9268</v>
      </c>
      <c r="J2166" s="3">
        <v>-0.86666670000000001</v>
      </c>
      <c r="K2166" s="3">
        <v>-1.477026</v>
      </c>
      <c r="L2166" s="3">
        <v>-0.66835339999999999</v>
      </c>
    </row>
    <row r="2167" spans="1:12" x14ac:dyDescent="0.25">
      <c r="A2167" t="s">
        <v>9265</v>
      </c>
      <c r="B2167" t="s">
        <v>957</v>
      </c>
      <c r="I2167" t="s">
        <v>453</v>
      </c>
      <c r="J2167" s="3">
        <v>-0.39377390000000001</v>
      </c>
      <c r="K2167" s="3">
        <v>-0.1116584</v>
      </c>
      <c r="L2167" s="3">
        <v>-0.16883429999999999</v>
      </c>
    </row>
    <row r="2168" spans="1:12" x14ac:dyDescent="0.25">
      <c r="A2168" t="s">
        <v>9262</v>
      </c>
      <c r="B2168" t="s">
        <v>9263</v>
      </c>
      <c r="I2168" t="s">
        <v>9264</v>
      </c>
      <c r="J2168" s="3">
        <v>0.39220509999999997</v>
      </c>
      <c r="K2168" s="3">
        <v>0.4729621</v>
      </c>
      <c r="L2168" s="3">
        <v>0.33277679999999998</v>
      </c>
    </row>
    <row r="2169" spans="1:12" x14ac:dyDescent="0.25">
      <c r="A2169" t="s">
        <v>9259</v>
      </c>
      <c r="B2169" t="s">
        <v>9260</v>
      </c>
      <c r="I2169" t="s">
        <v>9261</v>
      </c>
      <c r="J2169" s="3">
        <v>-0.15944649999999999</v>
      </c>
      <c r="K2169" s="3">
        <v>0.16995759999999999</v>
      </c>
      <c r="L2169" s="3">
        <v>5.3407489999999997E-3</v>
      </c>
    </row>
    <row r="2170" spans="1:12" x14ac:dyDescent="0.25">
      <c r="A2170" t="s">
        <v>9256</v>
      </c>
      <c r="B2170" t="s">
        <v>9257</v>
      </c>
      <c r="I2170" t="s">
        <v>9258</v>
      </c>
      <c r="J2170" s="3">
        <v>9.4243729999999998E-2</v>
      </c>
      <c r="K2170" s="3">
        <v>-0.21685170000000001</v>
      </c>
      <c r="L2170" s="3">
        <v>-3.0979110000000001E-2</v>
      </c>
    </row>
    <row r="2171" spans="1:12" x14ac:dyDescent="0.25">
      <c r="A2171" t="s">
        <v>9254</v>
      </c>
      <c r="B2171" t="s">
        <v>9255</v>
      </c>
      <c r="I2171" t="s">
        <v>1057</v>
      </c>
      <c r="J2171" s="3">
        <v>-0.13216310000000001</v>
      </c>
      <c r="K2171" s="3">
        <v>-0.59475109999999998</v>
      </c>
      <c r="L2171" s="3">
        <v>-8.1583050000000004E-2</v>
      </c>
    </row>
    <row r="2172" spans="1:12" x14ac:dyDescent="0.25">
      <c r="A2172" t="s">
        <v>9252</v>
      </c>
      <c r="B2172" t="s">
        <v>9253</v>
      </c>
      <c r="I2172" t="s">
        <v>6680</v>
      </c>
      <c r="J2172" s="3">
        <v>0.25500790000000001</v>
      </c>
      <c r="K2172" s="3">
        <v>0.15950110000000001</v>
      </c>
      <c r="L2172" s="3">
        <v>0.30567309999999998</v>
      </c>
    </row>
    <row r="2173" spans="1:12" x14ac:dyDescent="0.25">
      <c r="A2173" t="s">
        <v>9249</v>
      </c>
      <c r="B2173" t="s">
        <v>9250</v>
      </c>
      <c r="I2173" t="s">
        <v>9251</v>
      </c>
      <c r="J2173" s="3">
        <v>-0.12994900000000001</v>
      </c>
      <c r="K2173" s="3">
        <v>-0.43455159999999998</v>
      </c>
      <c r="L2173" s="3">
        <v>-0.15855420000000001</v>
      </c>
    </row>
    <row r="2174" spans="1:12" x14ac:dyDescent="0.25">
      <c r="A2174" t="s">
        <v>9246</v>
      </c>
      <c r="B2174" t="s">
        <v>9247</v>
      </c>
      <c r="I2174" t="s">
        <v>9248</v>
      </c>
      <c r="J2174" s="3">
        <v>-0.33542660000000002</v>
      </c>
      <c r="K2174" s="3">
        <v>-0.27121440000000002</v>
      </c>
      <c r="L2174" s="3">
        <v>-0.3412364</v>
      </c>
    </row>
    <row r="2175" spans="1:12" x14ac:dyDescent="0.25">
      <c r="A2175" t="s">
        <v>9243</v>
      </c>
      <c r="B2175" t="s">
        <v>9244</v>
      </c>
      <c r="I2175" t="s">
        <v>9245</v>
      </c>
      <c r="J2175" s="3">
        <v>0.38202390000000003</v>
      </c>
      <c r="K2175" s="3">
        <v>-1.8939629999999999E-2</v>
      </c>
      <c r="L2175" s="3">
        <v>0.25237340000000003</v>
      </c>
    </row>
    <row r="2176" spans="1:12" x14ac:dyDescent="0.25">
      <c r="A2176" t="s">
        <v>8184</v>
      </c>
      <c r="B2176" t="s">
        <v>8185</v>
      </c>
      <c r="I2176" t="s">
        <v>9242</v>
      </c>
      <c r="J2176" s="3">
        <v>0.46233639999999998</v>
      </c>
      <c r="K2176" s="3">
        <v>0.1622121</v>
      </c>
      <c r="L2176" s="3">
        <v>0.39575589999999999</v>
      </c>
    </row>
    <row r="2177" spans="1:12" x14ac:dyDescent="0.25">
      <c r="A2177" t="s">
        <v>8181</v>
      </c>
      <c r="B2177" t="s">
        <v>8182</v>
      </c>
      <c r="I2177" t="s">
        <v>8183</v>
      </c>
      <c r="J2177" s="3">
        <v>-0.57536880000000001</v>
      </c>
      <c r="K2177" s="3">
        <v>-1.28152</v>
      </c>
      <c r="L2177" s="3">
        <v>-0.4733</v>
      </c>
    </row>
    <row r="2178" spans="1:12" x14ac:dyDescent="0.25">
      <c r="A2178" t="s">
        <v>8178</v>
      </c>
      <c r="B2178" t="s">
        <v>8179</v>
      </c>
      <c r="I2178" t="s">
        <v>8180</v>
      </c>
      <c r="J2178" s="3">
        <v>0.14371539999999999</v>
      </c>
      <c r="K2178" s="3">
        <v>-0.1040526</v>
      </c>
      <c r="L2178" s="3">
        <v>-8.452691E-3</v>
      </c>
    </row>
    <row r="2179" spans="1:12" x14ac:dyDescent="0.25">
      <c r="A2179" t="s">
        <v>8175</v>
      </c>
      <c r="B2179" t="s">
        <v>8176</v>
      </c>
      <c r="I2179" t="s">
        <v>8177</v>
      </c>
      <c r="J2179" s="3">
        <v>0.45468239999999999</v>
      </c>
      <c r="K2179" s="3">
        <v>0.43048500000000001</v>
      </c>
      <c r="L2179" s="3">
        <v>0.40436369999999999</v>
      </c>
    </row>
    <row r="2180" spans="1:12" x14ac:dyDescent="0.25">
      <c r="A2180" t="s">
        <v>8172</v>
      </c>
      <c r="B2180" t="s">
        <v>8173</v>
      </c>
      <c r="I2180" t="s">
        <v>8174</v>
      </c>
      <c r="J2180" s="3">
        <v>0.73514659999999998</v>
      </c>
      <c r="K2180" s="3">
        <v>3.3734769999999997E-2</v>
      </c>
      <c r="L2180" s="3">
        <v>5.046395E-2</v>
      </c>
    </row>
    <row r="2181" spans="1:12" x14ac:dyDescent="0.25">
      <c r="A2181" t="s">
        <v>8169</v>
      </c>
      <c r="B2181" t="s">
        <v>8170</v>
      </c>
      <c r="I2181" t="s">
        <v>8171</v>
      </c>
      <c r="J2181" s="3">
        <v>-0.27592650000000002</v>
      </c>
      <c r="K2181" s="3">
        <v>-0.12952169999999999</v>
      </c>
      <c r="L2181" s="3">
        <v>-0.22953660000000001</v>
      </c>
    </row>
    <row r="2182" spans="1:12" x14ac:dyDescent="0.25">
      <c r="A2182" t="s">
        <v>8167</v>
      </c>
      <c r="B2182" t="s">
        <v>14200</v>
      </c>
      <c r="C2182" t="s">
        <v>14201</v>
      </c>
      <c r="I2182" t="s">
        <v>8168</v>
      </c>
      <c r="J2182" s="3">
        <v>0.44021749999999998</v>
      </c>
      <c r="K2182" s="3">
        <v>0.45353139999999997</v>
      </c>
      <c r="L2182" s="3">
        <v>0.52441450000000001</v>
      </c>
    </row>
    <row r="2183" spans="1:12" x14ac:dyDescent="0.25">
      <c r="A2183" t="s">
        <v>8164</v>
      </c>
      <c r="B2183" t="s">
        <v>8165</v>
      </c>
      <c r="I2183" t="s">
        <v>8166</v>
      </c>
      <c r="J2183" s="3">
        <v>-0.22779840000000001</v>
      </c>
      <c r="K2183" s="3">
        <v>-0.81737800000000005</v>
      </c>
      <c r="L2183" s="3">
        <v>-0.16530929999999999</v>
      </c>
    </row>
    <row r="2184" spans="1:12" x14ac:dyDescent="0.25">
      <c r="A2184" t="s">
        <v>8161</v>
      </c>
      <c r="B2184" t="s">
        <v>8162</v>
      </c>
      <c r="I2184" t="s">
        <v>8163</v>
      </c>
      <c r="J2184" s="3">
        <v>-0.16922970000000001</v>
      </c>
      <c r="K2184" s="3">
        <v>-3.3422769999999997E-2</v>
      </c>
      <c r="L2184" s="3">
        <v>0.37003140000000001</v>
      </c>
    </row>
    <row r="2185" spans="1:12" x14ac:dyDescent="0.25">
      <c r="A2185" t="s">
        <v>9191</v>
      </c>
      <c r="B2185" t="s">
        <v>9192</v>
      </c>
      <c r="I2185" t="s">
        <v>8160</v>
      </c>
      <c r="J2185" s="3">
        <v>-0.88628960000000001</v>
      </c>
      <c r="K2185" s="3">
        <v>-0.7301029</v>
      </c>
      <c r="L2185" s="3">
        <v>-0.47111730000000002</v>
      </c>
    </row>
    <row r="2186" spans="1:12" x14ac:dyDescent="0.25">
      <c r="A2186" t="s">
        <v>9189</v>
      </c>
      <c r="B2186" t="s">
        <v>9190</v>
      </c>
      <c r="I2186" t="s">
        <v>2418</v>
      </c>
      <c r="J2186" s="3">
        <v>-0.22669629999999999</v>
      </c>
      <c r="K2186" s="3">
        <v>-0.79360560000000002</v>
      </c>
      <c r="L2186" s="3">
        <v>-0.2402773</v>
      </c>
    </row>
    <row r="2187" spans="1:12" x14ac:dyDescent="0.25">
      <c r="A2187" t="s">
        <v>9186</v>
      </c>
      <c r="B2187" t="s">
        <v>9187</v>
      </c>
      <c r="I2187" t="s">
        <v>9188</v>
      </c>
      <c r="J2187" s="3">
        <v>-0.23136950000000001</v>
      </c>
      <c r="K2187" s="3">
        <v>-3.9539379999999997E-3</v>
      </c>
      <c r="L2187" s="3">
        <v>-0.38448130000000003</v>
      </c>
    </row>
    <row r="2188" spans="1:12" x14ac:dyDescent="0.25">
      <c r="A2188" t="s">
        <v>9184</v>
      </c>
      <c r="B2188" t="s">
        <v>957</v>
      </c>
      <c r="I2188" t="s">
        <v>9185</v>
      </c>
      <c r="J2188" s="3">
        <v>-8.9085490000000003E-2</v>
      </c>
      <c r="K2188" s="3">
        <v>-0.4765508</v>
      </c>
      <c r="L2188" s="3">
        <v>-0.40923409999999999</v>
      </c>
    </row>
    <row r="2189" spans="1:12" x14ac:dyDescent="0.25">
      <c r="A2189" t="s">
        <v>9181</v>
      </c>
      <c r="B2189" t="s">
        <v>9182</v>
      </c>
      <c r="I2189" t="s">
        <v>9183</v>
      </c>
      <c r="J2189" s="3">
        <v>0.24145050000000001</v>
      </c>
      <c r="K2189" s="3">
        <v>0.67803089999999999</v>
      </c>
      <c r="L2189" s="3">
        <v>0.31618010000000002</v>
      </c>
    </row>
    <row r="2190" spans="1:12" x14ac:dyDescent="0.25">
      <c r="A2190" t="s">
        <v>9178</v>
      </c>
      <c r="B2190" t="s">
        <v>9179</v>
      </c>
      <c r="I2190" t="s">
        <v>9180</v>
      </c>
      <c r="J2190" s="3">
        <v>0.14430709999999999</v>
      </c>
      <c r="K2190" s="3">
        <v>-3.0619159999999999E-2</v>
      </c>
      <c r="L2190" s="3">
        <v>0.26284170000000001</v>
      </c>
    </row>
    <row r="2191" spans="1:12" x14ac:dyDescent="0.25">
      <c r="A2191" t="s">
        <v>9177</v>
      </c>
      <c r="B2191" t="s">
        <v>957</v>
      </c>
      <c r="I2191" t="s">
        <v>455</v>
      </c>
      <c r="J2191" s="3">
        <v>0.78446380000000004</v>
      </c>
      <c r="K2191" s="3">
        <v>0.93243810000000005</v>
      </c>
      <c r="L2191" s="3">
        <v>0.71671439999999997</v>
      </c>
    </row>
    <row r="2192" spans="1:12" x14ac:dyDescent="0.25">
      <c r="A2192" t="s">
        <v>9174</v>
      </c>
      <c r="B2192" t="s">
        <v>9175</v>
      </c>
      <c r="I2192" t="s">
        <v>9176</v>
      </c>
      <c r="J2192" s="3">
        <v>0.2444605</v>
      </c>
      <c r="K2192" s="3">
        <v>-0.1070902</v>
      </c>
      <c r="L2192" s="3">
        <v>0.2567643</v>
      </c>
    </row>
    <row r="2193" spans="1:12" x14ac:dyDescent="0.25">
      <c r="A2193" t="s">
        <v>9172</v>
      </c>
      <c r="B2193" t="s">
        <v>957</v>
      </c>
      <c r="I2193" t="s">
        <v>9173</v>
      </c>
      <c r="J2193" s="3">
        <v>0.91109969999999996</v>
      </c>
      <c r="K2193" s="3">
        <v>1.630504</v>
      </c>
      <c r="L2193" s="3">
        <v>1.0711109999999999</v>
      </c>
    </row>
    <row r="2194" spans="1:12" x14ac:dyDescent="0.25">
      <c r="A2194" t="s">
        <v>9171</v>
      </c>
      <c r="B2194" t="s">
        <v>957</v>
      </c>
      <c r="I2194" t="s">
        <v>453</v>
      </c>
      <c r="J2194" s="3">
        <v>-0.64060760000000005</v>
      </c>
      <c r="K2194" s="3">
        <v>0.1151592</v>
      </c>
      <c r="L2194" s="3">
        <v>0.42576039999999998</v>
      </c>
    </row>
    <row r="2195" spans="1:12" x14ac:dyDescent="0.25">
      <c r="A2195" t="s">
        <v>9168</v>
      </c>
      <c r="B2195" t="s">
        <v>9169</v>
      </c>
      <c r="I2195" t="s">
        <v>9170</v>
      </c>
      <c r="J2195" s="3">
        <v>-0.3100193</v>
      </c>
      <c r="K2195" s="3">
        <v>-2.777746E-2</v>
      </c>
      <c r="L2195" s="3">
        <v>-0.1638667</v>
      </c>
    </row>
    <row r="2196" spans="1:12" x14ac:dyDescent="0.25">
      <c r="A2196" t="s">
        <v>9166</v>
      </c>
      <c r="B2196" t="s">
        <v>957</v>
      </c>
      <c r="I2196" t="s">
        <v>9167</v>
      </c>
      <c r="J2196" s="3">
        <v>-7.1468130000000005E-2</v>
      </c>
      <c r="K2196" s="3">
        <v>0.53233019999999998</v>
      </c>
      <c r="L2196" s="3">
        <v>0.39188099999999998</v>
      </c>
    </row>
    <row r="2197" spans="1:12" x14ac:dyDescent="0.25">
      <c r="A2197" t="s">
        <v>9165</v>
      </c>
      <c r="B2197" t="s">
        <v>957</v>
      </c>
      <c r="I2197" t="s">
        <v>455</v>
      </c>
      <c r="J2197" s="3">
        <v>-2.673337E-3</v>
      </c>
      <c r="K2197" s="3">
        <v>-1.6521999999999998E-2</v>
      </c>
      <c r="L2197" s="3">
        <v>0.17141870000000001</v>
      </c>
    </row>
    <row r="2198" spans="1:12" x14ac:dyDescent="0.25">
      <c r="A2198" t="s">
        <v>9164</v>
      </c>
      <c r="B2198" t="s">
        <v>957</v>
      </c>
      <c r="I2198" t="s">
        <v>455</v>
      </c>
      <c r="J2198" s="3">
        <v>-0.63475389999999998</v>
      </c>
      <c r="K2198" s="3">
        <v>-1.177886</v>
      </c>
      <c r="L2198" s="3">
        <v>3.6578329999999999E-2</v>
      </c>
    </row>
    <row r="2199" spans="1:12" x14ac:dyDescent="0.25">
      <c r="A2199" t="s">
        <v>9161</v>
      </c>
      <c r="B2199" t="s">
        <v>9162</v>
      </c>
      <c r="I2199" t="s">
        <v>9163</v>
      </c>
      <c r="J2199" s="3">
        <v>0.37370120000000001</v>
      </c>
      <c r="K2199" s="3">
        <v>0.42180240000000002</v>
      </c>
      <c r="L2199" s="3">
        <v>0.14783579999999999</v>
      </c>
    </row>
    <row r="2200" spans="1:12" x14ac:dyDescent="0.25">
      <c r="A2200" t="s">
        <v>9159</v>
      </c>
      <c r="B2200" t="s">
        <v>9160</v>
      </c>
      <c r="I2200" t="s">
        <v>5999</v>
      </c>
      <c r="J2200" s="3">
        <v>0.1201583</v>
      </c>
      <c r="K2200" s="3">
        <v>0.23768159999999999</v>
      </c>
      <c r="L2200" s="3">
        <v>0.15392800000000001</v>
      </c>
    </row>
    <row r="2201" spans="1:12" x14ac:dyDescent="0.25">
      <c r="A2201" t="s">
        <v>9158</v>
      </c>
      <c r="B2201" t="s">
        <v>957</v>
      </c>
      <c r="I2201" t="s">
        <v>455</v>
      </c>
      <c r="J2201" s="3">
        <v>-0.1843273</v>
      </c>
      <c r="K2201" s="3">
        <v>8.9602570000000006E-2</v>
      </c>
      <c r="L2201" s="3">
        <v>0.31459690000000001</v>
      </c>
    </row>
    <row r="2202" spans="1:12" x14ac:dyDescent="0.25">
      <c r="A2202" t="s">
        <v>9155</v>
      </c>
      <c r="B2202" t="s">
        <v>9156</v>
      </c>
      <c r="I2202" t="s">
        <v>9157</v>
      </c>
      <c r="J2202" s="3">
        <v>-0.32329330000000001</v>
      </c>
      <c r="K2202" s="3">
        <v>5.591086E-2</v>
      </c>
      <c r="L2202" s="3">
        <v>0.55935650000000003</v>
      </c>
    </row>
    <row r="2203" spans="1:12" x14ac:dyDescent="0.25">
      <c r="A2203" t="s">
        <v>9152</v>
      </c>
      <c r="B2203" t="s">
        <v>9153</v>
      </c>
      <c r="I2203" t="s">
        <v>9154</v>
      </c>
      <c r="J2203" s="3">
        <v>0.2058178</v>
      </c>
      <c r="K2203" s="3">
        <v>0.34863830000000001</v>
      </c>
      <c r="L2203" s="3">
        <v>0.26572620000000002</v>
      </c>
    </row>
    <row r="2204" spans="1:12" x14ac:dyDescent="0.25">
      <c r="A2204" t="s">
        <v>9149</v>
      </c>
      <c r="B2204" t="s">
        <v>9150</v>
      </c>
      <c r="I2204" t="s">
        <v>9151</v>
      </c>
      <c r="J2204" s="3">
        <v>0.86187999999999998</v>
      </c>
      <c r="K2204" s="3">
        <v>1.7718430000000001</v>
      </c>
      <c r="L2204" s="3">
        <v>1.2098089999999999</v>
      </c>
    </row>
    <row r="2205" spans="1:12" x14ac:dyDescent="0.25">
      <c r="A2205" t="s">
        <v>9146</v>
      </c>
      <c r="B2205" t="s">
        <v>9147</v>
      </c>
      <c r="I2205" t="s">
        <v>9148</v>
      </c>
      <c r="J2205" s="3">
        <v>1.2183630000000001</v>
      </c>
      <c r="K2205" s="3">
        <v>1.0156149999999999</v>
      </c>
      <c r="L2205" s="3">
        <v>1.1861269999999999</v>
      </c>
    </row>
    <row r="2206" spans="1:12" x14ac:dyDescent="0.25">
      <c r="A2206" t="s">
        <v>9144</v>
      </c>
      <c r="B2206" t="s">
        <v>9145</v>
      </c>
      <c r="I2206" t="s">
        <v>430</v>
      </c>
      <c r="J2206" s="3">
        <v>-0.81219580000000002</v>
      </c>
      <c r="K2206" s="3">
        <v>-1.297358</v>
      </c>
      <c r="L2206" s="3">
        <v>-0.6777533</v>
      </c>
    </row>
    <row r="2207" spans="1:12" x14ac:dyDescent="0.25">
      <c r="A2207" t="s">
        <v>9141</v>
      </c>
      <c r="B2207" t="s">
        <v>9142</v>
      </c>
      <c r="I2207" t="s">
        <v>9143</v>
      </c>
      <c r="J2207" s="3">
        <v>-0.61574019999999996</v>
      </c>
      <c r="K2207" s="3">
        <v>0.43468889999999999</v>
      </c>
      <c r="L2207" s="3">
        <v>-0.46565309999999999</v>
      </c>
    </row>
    <row r="2208" spans="1:12" x14ac:dyDescent="0.25">
      <c r="A2208" t="s">
        <v>9138</v>
      </c>
      <c r="B2208" t="s">
        <v>9139</v>
      </c>
      <c r="I2208" t="s">
        <v>9140</v>
      </c>
      <c r="J2208" s="3">
        <v>0.68246359999999995</v>
      </c>
      <c r="K2208" s="3">
        <v>0.50284340000000005</v>
      </c>
      <c r="L2208" s="3">
        <v>0.43280689999999999</v>
      </c>
    </row>
    <row r="2209" spans="1:12" x14ac:dyDescent="0.25">
      <c r="A2209" t="s">
        <v>9135</v>
      </c>
      <c r="B2209" t="s">
        <v>9136</v>
      </c>
      <c r="I2209" t="s">
        <v>9137</v>
      </c>
      <c r="J2209" s="3">
        <v>-0.2239527</v>
      </c>
      <c r="K2209" s="3">
        <v>-0.24064859999999999</v>
      </c>
      <c r="L2209" s="3">
        <v>-0.40544170000000002</v>
      </c>
    </row>
    <row r="2210" spans="1:12" x14ac:dyDescent="0.25">
      <c r="A2210" t="s">
        <v>9133</v>
      </c>
      <c r="B2210" t="s">
        <v>9134</v>
      </c>
      <c r="I2210" t="s">
        <v>593</v>
      </c>
      <c r="J2210" s="3">
        <v>-1.048135</v>
      </c>
      <c r="K2210" s="3">
        <v>-1.4907029999999999</v>
      </c>
      <c r="L2210" s="3">
        <v>-1.0317210000000001</v>
      </c>
    </row>
    <row r="2211" spans="1:12" x14ac:dyDescent="0.25">
      <c r="A2211" t="s">
        <v>9130</v>
      </c>
      <c r="B2211" t="s">
        <v>9131</v>
      </c>
      <c r="I2211" t="s">
        <v>9132</v>
      </c>
      <c r="J2211" s="3">
        <v>0.33204800000000001</v>
      </c>
      <c r="K2211" s="3">
        <v>0.58582250000000002</v>
      </c>
      <c r="L2211" s="3">
        <v>0.49691570000000002</v>
      </c>
    </row>
    <row r="2212" spans="1:12" x14ac:dyDescent="0.25">
      <c r="A2212" t="s">
        <v>9127</v>
      </c>
      <c r="B2212" t="s">
        <v>9128</v>
      </c>
      <c r="I2212" t="s">
        <v>9129</v>
      </c>
      <c r="J2212" s="3">
        <v>-0.10614030000000001</v>
      </c>
      <c r="K2212" s="3">
        <v>-0.21759709999999999</v>
      </c>
      <c r="L2212" s="3">
        <v>-0.2160359</v>
      </c>
    </row>
    <row r="2213" spans="1:12" x14ac:dyDescent="0.25">
      <c r="A2213" t="s">
        <v>9124</v>
      </c>
      <c r="B2213" t="s">
        <v>9125</v>
      </c>
      <c r="I2213" t="s">
        <v>9126</v>
      </c>
      <c r="J2213" s="3">
        <v>-2.4878140000000001E-3</v>
      </c>
      <c r="K2213" s="3">
        <v>-0.53601690000000002</v>
      </c>
      <c r="L2213" s="3">
        <v>1.3426860000000001E-2</v>
      </c>
    </row>
    <row r="2214" spans="1:12" x14ac:dyDescent="0.25">
      <c r="A2214" t="s">
        <v>9121</v>
      </c>
      <c r="B2214" t="s">
        <v>9122</v>
      </c>
      <c r="I2214" t="s">
        <v>9123</v>
      </c>
      <c r="J2214" s="3">
        <v>7.6531669999999996E-2</v>
      </c>
      <c r="K2214" s="3">
        <v>0.10904320000000001</v>
      </c>
      <c r="L2214" s="3">
        <v>-2.130079E-2</v>
      </c>
    </row>
    <row r="2215" spans="1:12" x14ac:dyDescent="0.25">
      <c r="A2215" t="s">
        <v>9118</v>
      </c>
      <c r="B2215" t="s">
        <v>9119</v>
      </c>
      <c r="I2215" t="s">
        <v>9120</v>
      </c>
      <c r="J2215" s="3">
        <v>0.60533159999999997</v>
      </c>
      <c r="K2215" s="3">
        <v>0.39960970000000001</v>
      </c>
      <c r="L2215" s="3">
        <v>0.20933019999999999</v>
      </c>
    </row>
    <row r="2216" spans="1:12" x14ac:dyDescent="0.25">
      <c r="A2216" t="s">
        <v>9117</v>
      </c>
      <c r="B2216" t="s">
        <v>957</v>
      </c>
      <c r="I2216" t="s">
        <v>957</v>
      </c>
      <c r="J2216" s="3">
        <v>0.428012</v>
      </c>
      <c r="K2216" s="3">
        <v>0.63572870000000004</v>
      </c>
      <c r="L2216" s="3">
        <v>0.26824969999999998</v>
      </c>
    </row>
    <row r="2217" spans="1:12" x14ac:dyDescent="0.25">
      <c r="A2217" t="s">
        <v>9114</v>
      </c>
      <c r="B2217" t="s">
        <v>9115</v>
      </c>
      <c r="I2217" t="s">
        <v>9116</v>
      </c>
      <c r="J2217" s="3">
        <v>-3.296255E-2</v>
      </c>
      <c r="K2217" s="3">
        <v>0.67698700000000001</v>
      </c>
      <c r="L2217" s="3">
        <v>0.1057211</v>
      </c>
    </row>
    <row r="2218" spans="1:12" x14ac:dyDescent="0.25">
      <c r="A2218" t="s">
        <v>9111</v>
      </c>
      <c r="B2218" t="s">
        <v>9112</v>
      </c>
      <c r="I2218" t="s">
        <v>9113</v>
      </c>
      <c r="J2218" s="3">
        <v>-0.36232710000000001</v>
      </c>
      <c r="K2218" s="3">
        <v>-1.204291</v>
      </c>
      <c r="L2218" s="3">
        <v>-0.70109589999999999</v>
      </c>
    </row>
    <row r="2219" spans="1:12" x14ac:dyDescent="0.25">
      <c r="A2219" t="s">
        <v>9108</v>
      </c>
      <c r="B2219" t="s">
        <v>9109</v>
      </c>
      <c r="I2219" t="s">
        <v>9110</v>
      </c>
      <c r="J2219" s="3">
        <v>-0.1151441</v>
      </c>
      <c r="K2219" s="3">
        <v>-0.27346740000000003</v>
      </c>
      <c r="L2219" s="3">
        <v>0.36910749999999998</v>
      </c>
    </row>
    <row r="2220" spans="1:12" x14ac:dyDescent="0.25">
      <c r="A2220" t="s">
        <v>9105</v>
      </c>
      <c r="B2220" t="s">
        <v>9106</v>
      </c>
      <c r="I2220" t="s">
        <v>9107</v>
      </c>
      <c r="J2220" s="3">
        <v>-0.45490269999999999</v>
      </c>
      <c r="K2220" s="3">
        <v>-0.8053418</v>
      </c>
      <c r="L2220" s="3">
        <v>-0.31377739999999998</v>
      </c>
    </row>
    <row r="2221" spans="1:12" x14ac:dyDescent="0.25">
      <c r="A2221" t="s">
        <v>9102</v>
      </c>
      <c r="B2221" t="s">
        <v>9103</v>
      </c>
      <c r="I2221" t="s">
        <v>9104</v>
      </c>
      <c r="J2221" s="3">
        <v>-0.45509620000000001</v>
      </c>
      <c r="K2221" s="3">
        <v>-0.1616957</v>
      </c>
      <c r="L2221" s="3">
        <v>-0.39249919999999999</v>
      </c>
    </row>
    <row r="2222" spans="1:12" x14ac:dyDescent="0.25">
      <c r="A2222" t="s">
        <v>9099</v>
      </c>
      <c r="B2222" t="s">
        <v>9100</v>
      </c>
      <c r="I2222" t="s">
        <v>9101</v>
      </c>
      <c r="J2222" s="3">
        <v>0.275787</v>
      </c>
      <c r="K2222" s="3">
        <v>0.29798740000000001</v>
      </c>
      <c r="L2222" s="3">
        <v>0.38134230000000002</v>
      </c>
    </row>
    <row r="2223" spans="1:12" x14ac:dyDescent="0.25">
      <c r="A2223" t="s">
        <v>9096</v>
      </c>
      <c r="B2223" t="s">
        <v>9097</v>
      </c>
      <c r="I2223" t="s">
        <v>9098</v>
      </c>
      <c r="J2223" s="3">
        <v>-0.39398549999999999</v>
      </c>
      <c r="K2223" s="3">
        <v>-0.54618460000000002</v>
      </c>
      <c r="L2223" s="3">
        <v>-0.1114522</v>
      </c>
    </row>
    <row r="2224" spans="1:12" x14ac:dyDescent="0.25">
      <c r="A2224" t="s">
        <v>9095</v>
      </c>
      <c r="B2224" t="s">
        <v>957</v>
      </c>
      <c r="I2224" t="s">
        <v>455</v>
      </c>
      <c r="J2224" s="3">
        <v>-0.61762779999999995</v>
      </c>
      <c r="K2224" s="3">
        <v>-1.306643</v>
      </c>
      <c r="L2224" s="3">
        <v>-0.50543159999999998</v>
      </c>
    </row>
    <row r="2225" spans="1:12" x14ac:dyDescent="0.25">
      <c r="A2225" t="s">
        <v>9093</v>
      </c>
      <c r="B2225" t="s">
        <v>9094</v>
      </c>
      <c r="I2225" t="s">
        <v>4226</v>
      </c>
      <c r="J2225" s="3">
        <v>0.46140170000000003</v>
      </c>
      <c r="K2225" s="3">
        <v>0.37820330000000002</v>
      </c>
      <c r="L2225" s="3">
        <v>0.43023689999999998</v>
      </c>
    </row>
    <row r="2226" spans="1:12" x14ac:dyDescent="0.25">
      <c r="A2226" t="s">
        <v>9092</v>
      </c>
      <c r="B2226" t="s">
        <v>957</v>
      </c>
      <c r="I2226" t="s">
        <v>455</v>
      </c>
      <c r="J2226" s="3">
        <v>0.49806929999999999</v>
      </c>
      <c r="K2226" s="3">
        <v>0.1312509</v>
      </c>
      <c r="L2226" s="3">
        <v>0.320857</v>
      </c>
    </row>
    <row r="2227" spans="1:12" x14ac:dyDescent="0.25">
      <c r="A2227" t="s">
        <v>9089</v>
      </c>
      <c r="B2227" t="s">
        <v>9090</v>
      </c>
      <c r="I2227" t="s">
        <v>9091</v>
      </c>
      <c r="J2227" s="3">
        <v>-0.7014416</v>
      </c>
      <c r="K2227" s="3">
        <v>-0.85979000000000005</v>
      </c>
      <c r="L2227" s="3">
        <v>-0.64947429999999995</v>
      </c>
    </row>
    <row r="2228" spans="1:12" x14ac:dyDescent="0.25">
      <c r="A2228" t="s">
        <v>9086</v>
      </c>
      <c r="B2228" t="s">
        <v>9087</v>
      </c>
      <c r="I2228" t="s">
        <v>9088</v>
      </c>
      <c r="J2228" s="3">
        <v>-0.1724675</v>
      </c>
      <c r="K2228" s="3">
        <v>-1.0039020000000001</v>
      </c>
      <c r="L2228" s="3">
        <v>-0.48678569999999999</v>
      </c>
    </row>
    <row r="2229" spans="1:12" x14ac:dyDescent="0.25">
      <c r="A2229" t="s">
        <v>8063</v>
      </c>
      <c r="B2229" t="s">
        <v>8064</v>
      </c>
      <c r="I2229" t="s">
        <v>9085</v>
      </c>
      <c r="J2229" s="3">
        <v>-0.15564939999999999</v>
      </c>
      <c r="K2229" s="3">
        <v>7.3489360000000004E-2</v>
      </c>
      <c r="L2229" s="3">
        <v>-5.5827590000000003E-2</v>
      </c>
    </row>
    <row r="2230" spans="1:12" x14ac:dyDescent="0.25">
      <c r="A2230" t="s">
        <v>8062</v>
      </c>
      <c r="B2230" t="s">
        <v>957</v>
      </c>
      <c r="I2230" t="s">
        <v>156</v>
      </c>
      <c r="J2230" s="3">
        <v>0.43736029999999998</v>
      </c>
      <c r="K2230" s="3">
        <v>0.65283780000000002</v>
      </c>
      <c r="L2230" s="3">
        <v>0.55365310000000001</v>
      </c>
    </row>
    <row r="2231" spans="1:12" x14ac:dyDescent="0.25">
      <c r="A2231" t="s">
        <v>8059</v>
      </c>
      <c r="B2231" t="s">
        <v>8060</v>
      </c>
      <c r="I2231" t="s">
        <v>8061</v>
      </c>
      <c r="J2231" s="3">
        <v>0.1662314</v>
      </c>
      <c r="K2231" s="3">
        <v>0.24398890000000001</v>
      </c>
      <c r="L2231" s="3">
        <v>0.20482130000000001</v>
      </c>
    </row>
    <row r="2232" spans="1:12" x14ac:dyDescent="0.25">
      <c r="A2232" t="s">
        <v>8058</v>
      </c>
      <c r="B2232" t="s">
        <v>957</v>
      </c>
      <c r="I2232" t="s">
        <v>2471</v>
      </c>
      <c r="J2232" s="3">
        <v>-0.19023010000000001</v>
      </c>
      <c r="K2232" s="3">
        <v>-0.1145544</v>
      </c>
      <c r="L2232" s="3">
        <v>-0.2627371</v>
      </c>
    </row>
    <row r="2233" spans="1:12" x14ac:dyDescent="0.25">
      <c r="A2233" t="s">
        <v>8055</v>
      </c>
      <c r="B2233" t="s">
        <v>8056</v>
      </c>
      <c r="I2233" t="s">
        <v>8057</v>
      </c>
      <c r="J2233" s="3">
        <v>5.7202009999999998E-2</v>
      </c>
      <c r="K2233" s="3">
        <v>-0.51877569999999995</v>
      </c>
      <c r="L2233" s="3">
        <v>2.8201420000000001E-2</v>
      </c>
    </row>
    <row r="2234" spans="1:12" x14ac:dyDescent="0.25">
      <c r="A2234" t="s">
        <v>8052</v>
      </c>
      <c r="B2234" t="s">
        <v>8053</v>
      </c>
      <c r="I2234" t="s">
        <v>8054</v>
      </c>
      <c r="J2234" s="3">
        <v>-7.8937300000000001E-4</v>
      </c>
      <c r="K2234" s="3">
        <v>-0.7816206</v>
      </c>
      <c r="L2234" s="3">
        <v>-0.24844810000000001</v>
      </c>
    </row>
    <row r="2235" spans="1:12" x14ac:dyDescent="0.25">
      <c r="A2235" t="s">
        <v>8049</v>
      </c>
      <c r="B2235" t="s">
        <v>8050</v>
      </c>
      <c r="I2235" t="s">
        <v>8051</v>
      </c>
      <c r="J2235" s="3">
        <v>-0.58919829999999995</v>
      </c>
      <c r="K2235" s="3">
        <v>-1.3050440000000001</v>
      </c>
      <c r="L2235" s="3">
        <v>-0.38003179999999998</v>
      </c>
    </row>
    <row r="2236" spans="1:12" x14ac:dyDescent="0.25">
      <c r="A2236" t="s">
        <v>8046</v>
      </c>
      <c r="B2236" t="s">
        <v>8047</v>
      </c>
      <c r="I2236" t="s">
        <v>8048</v>
      </c>
      <c r="J2236" s="3">
        <v>-0.52884759999999997</v>
      </c>
      <c r="K2236" s="3">
        <v>-0.11798450000000001</v>
      </c>
      <c r="L2236" s="3">
        <v>-0.17562910000000001</v>
      </c>
    </row>
    <row r="2237" spans="1:12" x14ac:dyDescent="0.25">
      <c r="A2237" t="s">
        <v>8043</v>
      </c>
      <c r="B2237" t="s">
        <v>8044</v>
      </c>
      <c r="I2237" t="s">
        <v>8045</v>
      </c>
      <c r="J2237" s="3">
        <v>0.4341642</v>
      </c>
      <c r="K2237" s="3">
        <v>0.71940170000000003</v>
      </c>
      <c r="L2237" s="3">
        <v>0.56426909999999997</v>
      </c>
    </row>
    <row r="2238" spans="1:12" x14ac:dyDescent="0.25">
      <c r="A2238" t="s">
        <v>8040</v>
      </c>
      <c r="B2238" t="s">
        <v>8041</v>
      </c>
      <c r="I2238" t="s">
        <v>8042</v>
      </c>
      <c r="J2238" s="3">
        <v>0.1801159</v>
      </c>
      <c r="K2238" s="3">
        <v>1.6603950000000001</v>
      </c>
      <c r="L2238" s="3">
        <v>0.2258174</v>
      </c>
    </row>
    <row r="2239" spans="1:12" x14ac:dyDescent="0.25">
      <c r="A2239" t="s">
        <v>8039</v>
      </c>
      <c r="B2239" t="s">
        <v>957</v>
      </c>
      <c r="I2239" t="s">
        <v>455</v>
      </c>
      <c r="J2239" s="3">
        <v>-0.15905610000000001</v>
      </c>
      <c r="K2239" s="3">
        <v>-0.1892778</v>
      </c>
      <c r="L2239" s="3">
        <v>-0.30234060000000001</v>
      </c>
    </row>
    <row r="2240" spans="1:12" x14ac:dyDescent="0.25">
      <c r="A2240" t="s">
        <v>8038</v>
      </c>
      <c r="B2240" t="s">
        <v>957</v>
      </c>
      <c r="I2240" t="s">
        <v>2</v>
      </c>
      <c r="J2240" s="3">
        <v>-0.2317293</v>
      </c>
      <c r="K2240" s="3">
        <v>-0.46315200000000001</v>
      </c>
      <c r="L2240" s="3">
        <v>-0.17693990000000001</v>
      </c>
    </row>
    <row r="2241" spans="1:12" x14ac:dyDescent="0.25">
      <c r="A2241" t="s">
        <v>8035</v>
      </c>
      <c r="B2241" t="s">
        <v>8036</v>
      </c>
      <c r="I2241" t="s">
        <v>8037</v>
      </c>
      <c r="J2241" s="3">
        <v>-1.5583949999999999E-2</v>
      </c>
      <c r="K2241" s="3">
        <v>-0.60852890000000004</v>
      </c>
      <c r="L2241" s="3">
        <v>-0.15912999999999999</v>
      </c>
    </row>
    <row r="2242" spans="1:12" x14ac:dyDescent="0.25">
      <c r="A2242" t="s">
        <v>8032</v>
      </c>
      <c r="B2242" t="s">
        <v>8033</v>
      </c>
      <c r="I2242" t="s">
        <v>8034</v>
      </c>
      <c r="J2242" s="3">
        <v>-0.51080939999999997</v>
      </c>
      <c r="K2242" s="3">
        <v>-0.89361040000000003</v>
      </c>
      <c r="L2242" s="3">
        <v>-0.391123</v>
      </c>
    </row>
    <row r="2243" spans="1:12" x14ac:dyDescent="0.25">
      <c r="A2243" t="s">
        <v>8031</v>
      </c>
      <c r="B2243" t="s">
        <v>14202</v>
      </c>
      <c r="C2243" t="s">
        <v>14203</v>
      </c>
      <c r="I2243" t="s">
        <v>8442</v>
      </c>
      <c r="J2243" s="3">
        <v>0.80891239999999998</v>
      </c>
      <c r="K2243" s="3">
        <v>1.1014889999999999</v>
      </c>
      <c r="L2243" s="3">
        <v>1.0228079999999999</v>
      </c>
    </row>
    <row r="2244" spans="1:12" x14ac:dyDescent="0.25">
      <c r="A2244" t="s">
        <v>9064</v>
      </c>
      <c r="B2244" t="s">
        <v>9065</v>
      </c>
      <c r="I2244" t="s">
        <v>8030</v>
      </c>
      <c r="J2244" s="3">
        <v>0.94679049999999998</v>
      </c>
      <c r="K2244" s="3">
        <v>1.362293</v>
      </c>
      <c r="L2244" s="3">
        <v>0.63020220000000005</v>
      </c>
    </row>
    <row r="2245" spans="1:12" x14ac:dyDescent="0.25">
      <c r="A2245" t="s">
        <v>9061</v>
      </c>
      <c r="B2245" t="s">
        <v>9062</v>
      </c>
      <c r="I2245" t="s">
        <v>9063</v>
      </c>
      <c r="J2245" s="3">
        <v>1.221538</v>
      </c>
      <c r="K2245" s="3">
        <v>1.5553939999999999</v>
      </c>
      <c r="L2245" s="3">
        <v>1.150679</v>
      </c>
    </row>
    <row r="2246" spans="1:12" x14ac:dyDescent="0.25">
      <c r="A2246" t="s">
        <v>9058</v>
      </c>
      <c r="B2246" t="s">
        <v>9059</v>
      </c>
      <c r="I2246" t="s">
        <v>9060</v>
      </c>
      <c r="J2246" s="3">
        <v>-0.18828210000000001</v>
      </c>
      <c r="K2246" s="3">
        <v>-0.39057190000000003</v>
      </c>
      <c r="L2246" s="3">
        <v>-0.33732590000000001</v>
      </c>
    </row>
    <row r="2247" spans="1:12" x14ac:dyDescent="0.25">
      <c r="A2247" t="s">
        <v>9055</v>
      </c>
      <c r="B2247" t="s">
        <v>9056</v>
      </c>
      <c r="I2247" t="s">
        <v>9057</v>
      </c>
      <c r="J2247" s="3">
        <v>-7.7562259999999994E-2</v>
      </c>
      <c r="K2247" s="3">
        <v>-0.44031769999999998</v>
      </c>
      <c r="L2247" s="3">
        <v>-0.205516</v>
      </c>
    </row>
    <row r="2248" spans="1:12" x14ac:dyDescent="0.25">
      <c r="A2248" t="s">
        <v>9052</v>
      </c>
      <c r="B2248" t="s">
        <v>9053</v>
      </c>
      <c r="I2248" t="s">
        <v>9054</v>
      </c>
      <c r="J2248" s="3">
        <v>-0.32628309999999999</v>
      </c>
      <c r="K2248" s="3">
        <v>0.1540174</v>
      </c>
      <c r="L2248" s="3">
        <v>-2.5196550000000002E-2</v>
      </c>
    </row>
    <row r="2249" spans="1:12" x14ac:dyDescent="0.25">
      <c r="A2249" t="s">
        <v>9049</v>
      </c>
      <c r="B2249" t="s">
        <v>9050</v>
      </c>
      <c r="I2249" t="s">
        <v>9051</v>
      </c>
      <c r="J2249" s="3">
        <v>-4.1096420000000002E-2</v>
      </c>
      <c r="K2249" s="3">
        <v>7.7115699999999995E-2</v>
      </c>
      <c r="L2249" s="3">
        <v>0.13973530000000001</v>
      </c>
    </row>
    <row r="2250" spans="1:12" x14ac:dyDescent="0.25">
      <c r="A2250" t="s">
        <v>9047</v>
      </c>
      <c r="B2250" t="s">
        <v>9048</v>
      </c>
      <c r="I2250" t="s">
        <v>2383</v>
      </c>
      <c r="J2250" s="3">
        <v>-0.3631008</v>
      </c>
      <c r="K2250" s="3">
        <v>-0.1853506</v>
      </c>
      <c r="L2250" s="3">
        <v>-0.1109086</v>
      </c>
    </row>
    <row r="2251" spans="1:12" x14ac:dyDescent="0.25">
      <c r="A2251" t="s">
        <v>9045</v>
      </c>
      <c r="B2251" t="s">
        <v>957</v>
      </c>
      <c r="I2251" t="s">
        <v>9046</v>
      </c>
      <c r="J2251" s="3">
        <v>0.43471530000000003</v>
      </c>
      <c r="K2251" s="3">
        <v>0.87014979999999997</v>
      </c>
      <c r="L2251" s="3">
        <v>0.46689190000000003</v>
      </c>
    </row>
    <row r="2252" spans="1:12" x14ac:dyDescent="0.25">
      <c r="A2252" t="s">
        <v>9042</v>
      </c>
      <c r="B2252" t="s">
        <v>9043</v>
      </c>
      <c r="I2252" t="s">
        <v>9044</v>
      </c>
      <c r="J2252" s="3">
        <v>-4.5422789999999998E-2</v>
      </c>
      <c r="K2252" s="3">
        <v>-0.2148977</v>
      </c>
      <c r="L2252" s="3">
        <v>-0.34875040000000002</v>
      </c>
    </row>
    <row r="2253" spans="1:12" x14ac:dyDescent="0.25">
      <c r="A2253" t="s">
        <v>9040</v>
      </c>
      <c r="B2253" t="s">
        <v>957</v>
      </c>
      <c r="I2253" t="s">
        <v>9041</v>
      </c>
      <c r="J2253" s="3">
        <v>-0.45227260000000002</v>
      </c>
      <c r="K2253" s="3">
        <v>-0.5905203</v>
      </c>
      <c r="L2253" s="3">
        <v>-0.34516629999999998</v>
      </c>
    </row>
    <row r="2254" spans="1:12" x14ac:dyDescent="0.25">
      <c r="A2254" t="s">
        <v>9037</v>
      </c>
      <c r="B2254" t="s">
        <v>9038</v>
      </c>
      <c r="I2254" t="s">
        <v>9039</v>
      </c>
      <c r="J2254" s="3">
        <v>-0.36753829999999998</v>
      </c>
      <c r="K2254" s="3">
        <v>-0.91687160000000001</v>
      </c>
      <c r="L2254" s="3">
        <v>-0.59622439999999999</v>
      </c>
    </row>
    <row r="2255" spans="1:12" x14ac:dyDescent="0.25">
      <c r="A2255" t="s">
        <v>9034</v>
      </c>
      <c r="B2255" t="s">
        <v>9035</v>
      </c>
      <c r="I2255" t="s">
        <v>9036</v>
      </c>
      <c r="J2255" s="3">
        <v>0.43471919999999997</v>
      </c>
      <c r="K2255" s="3">
        <v>0.32547039999999999</v>
      </c>
      <c r="L2255" s="3">
        <v>0.5119821</v>
      </c>
    </row>
    <row r="2256" spans="1:12" x14ac:dyDescent="0.25">
      <c r="A2256" t="s">
        <v>7996</v>
      </c>
      <c r="B2256" t="s">
        <v>7997</v>
      </c>
      <c r="I2256" t="s">
        <v>9033</v>
      </c>
      <c r="J2256" s="3">
        <v>-2.7541369999999999E-2</v>
      </c>
      <c r="K2256" s="3">
        <v>-0.63760039999999996</v>
      </c>
      <c r="L2256" s="3">
        <v>-9.7016320000000003E-2</v>
      </c>
    </row>
    <row r="2257" spans="1:12" x14ac:dyDescent="0.25">
      <c r="A2257" t="s">
        <v>7995</v>
      </c>
      <c r="B2257" t="s">
        <v>957</v>
      </c>
      <c r="I2257" t="s">
        <v>1973</v>
      </c>
      <c r="J2257" s="3">
        <v>-0.36332910000000002</v>
      </c>
      <c r="K2257" s="3">
        <v>-0.47476740000000001</v>
      </c>
      <c r="L2257" s="3">
        <v>-0.14491380000000001</v>
      </c>
    </row>
    <row r="2258" spans="1:12" x14ac:dyDescent="0.25">
      <c r="A2258" t="s">
        <v>7992</v>
      </c>
      <c r="B2258" t="s">
        <v>7993</v>
      </c>
      <c r="I2258" t="s">
        <v>7994</v>
      </c>
      <c r="J2258" s="3">
        <v>-0.33917029999999998</v>
      </c>
      <c r="K2258" s="3">
        <v>-0.91446309999999997</v>
      </c>
      <c r="L2258" s="3">
        <v>-0.37560130000000003</v>
      </c>
    </row>
    <row r="2259" spans="1:12" x14ac:dyDescent="0.25">
      <c r="A2259" t="s">
        <v>7991</v>
      </c>
      <c r="B2259" t="s">
        <v>957</v>
      </c>
      <c r="I2259" t="s">
        <v>455</v>
      </c>
      <c r="J2259" s="3">
        <v>-0.34210669999999999</v>
      </c>
      <c r="K2259" s="3">
        <v>-0.4907511</v>
      </c>
      <c r="L2259" s="3">
        <v>-0.243174</v>
      </c>
    </row>
    <row r="2260" spans="1:12" x14ac:dyDescent="0.25">
      <c r="A2260" t="s">
        <v>7990</v>
      </c>
      <c r="B2260" t="s">
        <v>957</v>
      </c>
      <c r="I2260" t="s">
        <v>455</v>
      </c>
      <c r="J2260" s="3">
        <v>-0.14500189999999999</v>
      </c>
      <c r="K2260" s="3">
        <v>-2.3783559999999999E-2</v>
      </c>
      <c r="L2260" s="3">
        <v>5.0577530000000002E-2</v>
      </c>
    </row>
    <row r="2261" spans="1:12" x14ac:dyDescent="0.25">
      <c r="A2261" t="s">
        <v>7987</v>
      </c>
      <c r="B2261" t="s">
        <v>7988</v>
      </c>
      <c r="I2261" t="s">
        <v>7989</v>
      </c>
      <c r="J2261" s="3">
        <v>-0.45081169999999998</v>
      </c>
      <c r="K2261" s="3">
        <v>-1.158021</v>
      </c>
      <c r="L2261" s="3">
        <v>-0.48250890000000002</v>
      </c>
    </row>
    <row r="2262" spans="1:12" x14ac:dyDescent="0.25">
      <c r="A2262" t="s">
        <v>7984</v>
      </c>
      <c r="B2262" t="s">
        <v>7985</v>
      </c>
      <c r="I2262" t="s">
        <v>7986</v>
      </c>
      <c r="J2262" s="3">
        <v>-0.22552729999999999</v>
      </c>
      <c r="K2262" s="3">
        <v>-0.60692820000000003</v>
      </c>
      <c r="L2262" s="3">
        <v>-4.1751509999999999E-2</v>
      </c>
    </row>
    <row r="2263" spans="1:12" x14ac:dyDescent="0.25">
      <c r="A2263" t="s">
        <v>7981</v>
      </c>
      <c r="B2263" t="s">
        <v>7982</v>
      </c>
      <c r="I2263" t="s">
        <v>7983</v>
      </c>
      <c r="J2263" s="3">
        <v>-0.26662390000000002</v>
      </c>
      <c r="K2263" s="3">
        <v>-0.86515549999999997</v>
      </c>
      <c r="L2263" s="3">
        <v>-0.16755900000000001</v>
      </c>
    </row>
    <row r="2264" spans="1:12" x14ac:dyDescent="0.25">
      <c r="A2264" t="s">
        <v>7979</v>
      </c>
      <c r="B2264" t="s">
        <v>957</v>
      </c>
      <c r="I2264" t="s">
        <v>7980</v>
      </c>
      <c r="J2264" s="3">
        <v>0.68602600000000002</v>
      </c>
      <c r="K2264" s="3">
        <v>0.57955350000000005</v>
      </c>
      <c r="L2264" s="3">
        <v>0.55570169999999997</v>
      </c>
    </row>
    <row r="2265" spans="1:12" x14ac:dyDescent="0.25">
      <c r="A2265" t="s">
        <v>7976</v>
      </c>
      <c r="B2265" t="s">
        <v>7977</v>
      </c>
      <c r="I2265" t="s">
        <v>7978</v>
      </c>
      <c r="J2265" s="3">
        <v>1.751231E-2</v>
      </c>
      <c r="K2265" s="3">
        <v>-0.34199059999999998</v>
      </c>
      <c r="L2265" s="3">
        <v>-8.8762789999999994E-2</v>
      </c>
    </row>
    <row r="2266" spans="1:12" x14ac:dyDescent="0.25">
      <c r="A2266" t="s">
        <v>7973</v>
      </c>
      <c r="B2266" t="s">
        <v>7974</v>
      </c>
      <c r="I2266" t="s">
        <v>7975</v>
      </c>
      <c r="J2266" s="3">
        <v>-0.30449680000000001</v>
      </c>
      <c r="K2266" s="3">
        <v>-0.29543979999999997</v>
      </c>
      <c r="L2266" s="3">
        <v>3.2798239999999999E-2</v>
      </c>
    </row>
    <row r="2267" spans="1:12" x14ac:dyDescent="0.25">
      <c r="A2267" t="s">
        <v>7970</v>
      </c>
      <c r="B2267" t="s">
        <v>7971</v>
      </c>
      <c r="I2267" t="s">
        <v>7972</v>
      </c>
      <c r="J2267" s="3">
        <v>-2.4381219999999999E-2</v>
      </c>
      <c r="K2267" s="3">
        <v>-0.41828700000000002</v>
      </c>
      <c r="L2267" s="3">
        <v>6.4196030000000001E-2</v>
      </c>
    </row>
    <row r="2268" spans="1:12" x14ac:dyDescent="0.25">
      <c r="A2268" t="s">
        <v>7967</v>
      </c>
      <c r="B2268" t="s">
        <v>7968</v>
      </c>
      <c r="I2268" t="s">
        <v>7969</v>
      </c>
      <c r="J2268" s="3">
        <v>-1.6981449999999999E-2</v>
      </c>
      <c r="K2268" s="3">
        <v>7.5740950000000001E-2</v>
      </c>
      <c r="L2268" s="3">
        <v>-0.10209940000000001</v>
      </c>
    </row>
    <row r="2269" spans="1:12" x14ac:dyDescent="0.25">
      <c r="A2269" t="s">
        <v>7964</v>
      </c>
      <c r="B2269" t="s">
        <v>7965</v>
      </c>
      <c r="I2269" t="s">
        <v>7966</v>
      </c>
      <c r="J2269" s="3">
        <v>4.6391090000000003E-2</v>
      </c>
      <c r="K2269" s="3">
        <v>3.4527269999999999E-2</v>
      </c>
      <c r="L2269" s="3">
        <v>-0.1140668</v>
      </c>
    </row>
    <row r="2270" spans="1:12" x14ac:dyDescent="0.25">
      <c r="A2270" t="s">
        <v>7963</v>
      </c>
      <c r="B2270" t="s">
        <v>957</v>
      </c>
      <c r="I2270" t="s">
        <v>455</v>
      </c>
      <c r="J2270" s="3">
        <v>-0.12570819999999999</v>
      </c>
      <c r="K2270" s="3">
        <v>0.44688319999999998</v>
      </c>
      <c r="L2270" s="3">
        <v>7.3039839999999995E-2</v>
      </c>
    </row>
    <row r="2271" spans="1:12" x14ac:dyDescent="0.25">
      <c r="A2271" t="s">
        <v>7960</v>
      </c>
      <c r="B2271" t="s">
        <v>7961</v>
      </c>
      <c r="I2271" t="s">
        <v>7962</v>
      </c>
      <c r="J2271" s="3">
        <v>4.5938880000000001E-2</v>
      </c>
      <c r="K2271" s="3">
        <v>0.47151779999999999</v>
      </c>
      <c r="L2271" s="3">
        <v>0.2072166</v>
      </c>
    </row>
    <row r="2272" spans="1:12" x14ac:dyDescent="0.25">
      <c r="A2272" t="s">
        <v>7957</v>
      </c>
      <c r="B2272" t="s">
        <v>7958</v>
      </c>
      <c r="I2272" t="s">
        <v>7959</v>
      </c>
      <c r="J2272" s="3">
        <v>-0.1934476</v>
      </c>
      <c r="K2272" s="3">
        <v>-0.38160290000000002</v>
      </c>
      <c r="L2272" s="3">
        <v>-2.107295E-2</v>
      </c>
    </row>
    <row r="2273" spans="1:12" x14ac:dyDescent="0.25">
      <c r="A2273" t="s">
        <v>7954</v>
      </c>
      <c r="B2273" t="s">
        <v>7955</v>
      </c>
      <c r="I2273" t="s">
        <v>7956</v>
      </c>
      <c r="J2273" s="3">
        <v>-0.95382509999999998</v>
      </c>
      <c r="K2273" s="3">
        <v>-1.069957</v>
      </c>
      <c r="L2273" s="3">
        <v>-1.248202</v>
      </c>
    </row>
    <row r="2274" spans="1:12" x14ac:dyDescent="0.25">
      <c r="A2274" t="s">
        <v>7953</v>
      </c>
      <c r="B2274" t="s">
        <v>957</v>
      </c>
      <c r="I2274" t="s">
        <v>455</v>
      </c>
      <c r="J2274" s="3">
        <v>-9.4624219999999995E-2</v>
      </c>
      <c r="K2274" s="3">
        <v>0.83261589999999996</v>
      </c>
      <c r="L2274" s="3">
        <v>0.14105819999999999</v>
      </c>
    </row>
    <row r="2275" spans="1:12" x14ac:dyDescent="0.25">
      <c r="A2275" t="s">
        <v>7950</v>
      </c>
      <c r="B2275" t="s">
        <v>7951</v>
      </c>
      <c r="I2275" t="s">
        <v>7952</v>
      </c>
      <c r="J2275" s="3">
        <v>-0.35080729999999999</v>
      </c>
      <c r="K2275" s="3">
        <v>-0.30181459999999999</v>
      </c>
      <c r="L2275" s="3">
        <v>-0.21707660000000001</v>
      </c>
    </row>
    <row r="2276" spans="1:12" x14ac:dyDescent="0.25">
      <c r="A2276" t="s">
        <v>7947</v>
      </c>
      <c r="B2276" t="s">
        <v>7948</v>
      </c>
      <c r="I2276" t="s">
        <v>7949</v>
      </c>
      <c r="J2276" s="3">
        <v>-0.31479269999999998</v>
      </c>
      <c r="K2276" s="3">
        <v>3.163796E-2</v>
      </c>
      <c r="L2276" s="3">
        <v>-0.17415130000000001</v>
      </c>
    </row>
    <row r="2277" spans="1:12" x14ac:dyDescent="0.25">
      <c r="A2277" t="s">
        <v>7945</v>
      </c>
      <c r="B2277" t="s">
        <v>14124</v>
      </c>
      <c r="C2277" t="s">
        <v>14183</v>
      </c>
      <c r="D2277" t="s">
        <v>14184</v>
      </c>
      <c r="E2277" t="s">
        <v>14185</v>
      </c>
      <c r="F2277" t="s">
        <v>14125</v>
      </c>
      <c r="I2277" t="s">
        <v>7946</v>
      </c>
      <c r="J2277" s="3">
        <v>0.23890149999999999</v>
      </c>
      <c r="K2277" s="3">
        <v>0.48784519999999998</v>
      </c>
      <c r="L2277" s="3">
        <v>0.28505910000000001</v>
      </c>
    </row>
    <row r="2278" spans="1:12" x14ac:dyDescent="0.25">
      <c r="A2278" t="s">
        <v>7944</v>
      </c>
      <c r="B2278" t="s">
        <v>14204</v>
      </c>
      <c r="C2278" t="s">
        <v>14205</v>
      </c>
      <c r="I2278" t="s">
        <v>6984</v>
      </c>
      <c r="J2278" s="3">
        <v>0.44392369999999998</v>
      </c>
      <c r="K2278" s="3">
        <v>0.43129489999999998</v>
      </c>
      <c r="L2278" s="3">
        <v>0.38668710000000001</v>
      </c>
    </row>
    <row r="2279" spans="1:12" x14ac:dyDescent="0.25">
      <c r="A2279" t="s">
        <v>7941</v>
      </c>
      <c r="B2279" t="s">
        <v>7942</v>
      </c>
      <c r="I2279" t="s">
        <v>7943</v>
      </c>
      <c r="J2279" s="3">
        <v>-0.1715467</v>
      </c>
      <c r="K2279" s="3">
        <v>-0.47434730000000003</v>
      </c>
      <c r="L2279" s="3">
        <v>7.2291099999999997E-2</v>
      </c>
    </row>
    <row r="2280" spans="1:12" x14ac:dyDescent="0.25">
      <c r="A2280" t="s">
        <v>7938</v>
      </c>
      <c r="B2280" t="s">
        <v>7939</v>
      </c>
      <c r="I2280" t="s">
        <v>7940</v>
      </c>
      <c r="J2280" s="3">
        <v>0.1797742</v>
      </c>
      <c r="K2280" s="3">
        <v>0.27734730000000002</v>
      </c>
      <c r="L2280" s="3">
        <v>6.9592730000000005E-2</v>
      </c>
    </row>
    <row r="2281" spans="1:12" x14ac:dyDescent="0.25">
      <c r="A2281" t="s">
        <v>7936</v>
      </c>
      <c r="B2281" t="s">
        <v>7937</v>
      </c>
      <c r="I2281" t="s">
        <v>430</v>
      </c>
      <c r="J2281" s="3">
        <v>-0.27527560000000001</v>
      </c>
      <c r="K2281" s="3">
        <v>-0.29808129999999999</v>
      </c>
      <c r="L2281" s="3">
        <v>-0.71830579999999999</v>
      </c>
    </row>
    <row r="2282" spans="1:12" x14ac:dyDescent="0.25">
      <c r="A2282" t="s">
        <v>7933</v>
      </c>
      <c r="B2282" t="s">
        <v>7934</v>
      </c>
      <c r="I2282" t="s">
        <v>7935</v>
      </c>
      <c r="J2282" s="3">
        <v>0.39653959999999999</v>
      </c>
      <c r="K2282" s="3">
        <v>0.63677139999999999</v>
      </c>
      <c r="L2282" s="3">
        <v>0.5219859</v>
      </c>
    </row>
    <row r="2283" spans="1:12" x14ac:dyDescent="0.25">
      <c r="A2283" t="s">
        <v>8968</v>
      </c>
      <c r="B2283" t="s">
        <v>8969</v>
      </c>
      <c r="I2283" t="s">
        <v>7932</v>
      </c>
      <c r="J2283" s="3">
        <v>-9.7738080000000005E-2</v>
      </c>
      <c r="K2283" s="3">
        <v>-0.77607800000000005</v>
      </c>
      <c r="L2283" s="3">
        <v>-0.40307920000000003</v>
      </c>
    </row>
    <row r="2284" spans="1:12" x14ac:dyDescent="0.25">
      <c r="A2284" t="s">
        <v>8967</v>
      </c>
      <c r="B2284" t="s">
        <v>957</v>
      </c>
      <c r="I2284" t="s">
        <v>455</v>
      </c>
      <c r="J2284" s="3">
        <v>0.57669009999999998</v>
      </c>
      <c r="K2284" s="3">
        <v>0.46737099999999998</v>
      </c>
      <c r="L2284" s="3">
        <v>5.1067729999999999E-2</v>
      </c>
    </row>
    <row r="2285" spans="1:12" x14ac:dyDescent="0.25">
      <c r="A2285" t="s">
        <v>8965</v>
      </c>
      <c r="B2285" t="s">
        <v>8966</v>
      </c>
      <c r="I2285" t="s">
        <v>7880</v>
      </c>
      <c r="J2285" s="3">
        <v>-0.2952748</v>
      </c>
      <c r="K2285" s="3">
        <v>-0.71466249999999998</v>
      </c>
      <c r="L2285" s="3">
        <v>-0.40570990000000001</v>
      </c>
    </row>
    <row r="2286" spans="1:12" x14ac:dyDescent="0.25">
      <c r="A2286" t="s">
        <v>8964</v>
      </c>
      <c r="B2286" t="s">
        <v>957</v>
      </c>
      <c r="I2286" t="s">
        <v>8963</v>
      </c>
      <c r="J2286" s="3">
        <v>-8.6452260000000003E-2</v>
      </c>
      <c r="K2286" s="3">
        <v>-0.32576509999999997</v>
      </c>
      <c r="L2286" s="3">
        <v>-0.12297950000000001</v>
      </c>
    </row>
    <row r="2287" spans="1:12" x14ac:dyDescent="0.25">
      <c r="A2287" t="s">
        <v>8962</v>
      </c>
      <c r="B2287" t="s">
        <v>957</v>
      </c>
      <c r="I2287" t="s">
        <v>8963</v>
      </c>
      <c r="J2287" s="3">
        <v>-0.40728799999999998</v>
      </c>
      <c r="K2287" s="3">
        <v>-0.89891560000000004</v>
      </c>
      <c r="L2287" s="3">
        <v>-0.43977050000000001</v>
      </c>
    </row>
    <row r="2288" spans="1:12" x14ac:dyDescent="0.25">
      <c r="A2288" t="s">
        <v>8961</v>
      </c>
      <c r="B2288" t="s">
        <v>957</v>
      </c>
      <c r="I2288" t="s">
        <v>455</v>
      </c>
      <c r="J2288" s="3">
        <v>0.1659717</v>
      </c>
      <c r="K2288" s="3">
        <v>-4.091728E-2</v>
      </c>
      <c r="L2288" s="3">
        <v>9.6496150000000003E-2</v>
      </c>
    </row>
    <row r="2289" spans="1:12" x14ac:dyDescent="0.25">
      <c r="A2289" t="s">
        <v>8959</v>
      </c>
      <c r="B2289" t="s">
        <v>8960</v>
      </c>
      <c r="I2289" t="s">
        <v>2102</v>
      </c>
      <c r="J2289" s="3">
        <v>-5.3887060000000001E-2</v>
      </c>
      <c r="K2289" s="3">
        <v>1.4938950000000001E-3</v>
      </c>
      <c r="L2289" s="3">
        <v>-0.1389531</v>
      </c>
    </row>
    <row r="2290" spans="1:12" x14ac:dyDescent="0.25">
      <c r="A2290" t="s">
        <v>8958</v>
      </c>
      <c r="B2290" t="s">
        <v>957</v>
      </c>
      <c r="I2290" t="s">
        <v>455</v>
      </c>
      <c r="J2290" s="3">
        <v>4.7786889999999999E-2</v>
      </c>
      <c r="K2290" s="3">
        <v>9.2063820000000005E-2</v>
      </c>
      <c r="L2290" s="3">
        <v>0.13179940000000001</v>
      </c>
    </row>
    <row r="2291" spans="1:12" x14ac:dyDescent="0.25">
      <c r="A2291" t="s">
        <v>8957</v>
      </c>
      <c r="B2291" t="s">
        <v>957</v>
      </c>
      <c r="I2291" t="s">
        <v>455</v>
      </c>
      <c r="J2291" s="3">
        <v>-9.0598300000000007E-2</v>
      </c>
      <c r="K2291" s="3">
        <v>-0.61768279999999998</v>
      </c>
      <c r="L2291" s="3">
        <v>-2.898243E-3</v>
      </c>
    </row>
    <row r="2292" spans="1:12" x14ac:dyDescent="0.25">
      <c r="A2292" t="s">
        <v>8954</v>
      </c>
      <c r="B2292" t="s">
        <v>8955</v>
      </c>
      <c r="I2292" t="s">
        <v>8956</v>
      </c>
      <c r="J2292" s="3">
        <v>-0.80848180000000003</v>
      </c>
      <c r="K2292" s="3">
        <v>-0.95077420000000001</v>
      </c>
      <c r="L2292" s="3">
        <v>-0.72141509999999998</v>
      </c>
    </row>
    <row r="2293" spans="1:12" x14ac:dyDescent="0.25">
      <c r="A2293" t="s">
        <v>8951</v>
      </c>
      <c r="B2293" t="s">
        <v>8952</v>
      </c>
      <c r="I2293" t="s">
        <v>8953</v>
      </c>
      <c r="J2293" s="3">
        <v>0.83914699999999998</v>
      </c>
      <c r="K2293" s="3">
        <v>0.44568380000000002</v>
      </c>
      <c r="L2293" s="3">
        <v>1.0131779999999999</v>
      </c>
    </row>
    <row r="2294" spans="1:12" x14ac:dyDescent="0.25">
      <c r="A2294" t="s">
        <v>8950</v>
      </c>
      <c r="B2294" t="s">
        <v>957</v>
      </c>
      <c r="I2294" t="s">
        <v>1207</v>
      </c>
      <c r="J2294" s="3">
        <v>-0.1045214</v>
      </c>
      <c r="K2294" s="3">
        <v>0.60894579999999998</v>
      </c>
      <c r="L2294" s="3">
        <v>-2.7316839999999998E-2</v>
      </c>
    </row>
    <row r="2295" spans="1:12" x14ac:dyDescent="0.25">
      <c r="A2295" t="s">
        <v>8947</v>
      </c>
      <c r="B2295" t="s">
        <v>8948</v>
      </c>
      <c r="I2295" t="s">
        <v>8949</v>
      </c>
      <c r="J2295" s="3">
        <v>0.39359660000000002</v>
      </c>
      <c r="K2295" s="3">
        <v>0.68214249999999998</v>
      </c>
      <c r="L2295" s="3">
        <v>0.1149437</v>
      </c>
    </row>
    <row r="2296" spans="1:12" x14ac:dyDescent="0.25">
      <c r="A2296" t="s">
        <v>8946</v>
      </c>
      <c r="B2296" t="s">
        <v>957</v>
      </c>
      <c r="I2296" t="s">
        <v>455</v>
      </c>
      <c r="J2296" s="3">
        <v>0.27442480000000002</v>
      </c>
      <c r="K2296" s="3">
        <v>1.102292</v>
      </c>
      <c r="L2296" s="3">
        <v>0.39677129999999999</v>
      </c>
    </row>
    <row r="2297" spans="1:12" x14ac:dyDescent="0.25">
      <c r="A2297" t="s">
        <v>8945</v>
      </c>
      <c r="B2297" t="s">
        <v>957</v>
      </c>
      <c r="I2297" t="s">
        <v>455</v>
      </c>
      <c r="J2297" s="3">
        <v>-0.12884470000000001</v>
      </c>
      <c r="K2297" s="3">
        <v>-0.1005361</v>
      </c>
      <c r="L2297" s="3">
        <v>-0.22177810000000001</v>
      </c>
    </row>
    <row r="2298" spans="1:12" x14ac:dyDescent="0.25">
      <c r="A2298" t="s">
        <v>8942</v>
      </c>
      <c r="B2298" t="s">
        <v>8943</v>
      </c>
      <c r="I2298" t="s">
        <v>8944</v>
      </c>
      <c r="J2298" s="3">
        <v>7.3072419999999999E-2</v>
      </c>
      <c r="K2298" s="3">
        <v>7.8322439999999993E-2</v>
      </c>
      <c r="L2298" s="3">
        <v>0.29926249999999999</v>
      </c>
    </row>
    <row r="2299" spans="1:12" x14ac:dyDescent="0.25">
      <c r="A2299" t="s">
        <v>8939</v>
      </c>
      <c r="B2299" t="s">
        <v>8940</v>
      </c>
      <c r="I2299" t="s">
        <v>8941</v>
      </c>
      <c r="J2299" s="3">
        <v>-1.4433149999999999</v>
      </c>
      <c r="K2299" s="3">
        <v>-1.244999</v>
      </c>
      <c r="L2299" s="3">
        <v>-0.4784986</v>
      </c>
    </row>
    <row r="2300" spans="1:12" x14ac:dyDescent="0.25">
      <c r="A2300" t="s">
        <v>8938</v>
      </c>
      <c r="B2300" t="s">
        <v>957</v>
      </c>
      <c r="I2300" t="s">
        <v>823</v>
      </c>
      <c r="J2300" s="3">
        <v>-0.6820136</v>
      </c>
      <c r="K2300" s="3">
        <v>-0.68158149999999995</v>
      </c>
      <c r="L2300" s="3">
        <v>-0.21561459999999999</v>
      </c>
    </row>
    <row r="2301" spans="1:12" x14ac:dyDescent="0.25">
      <c r="A2301" t="s">
        <v>8935</v>
      </c>
      <c r="B2301" t="s">
        <v>8936</v>
      </c>
      <c r="I2301" t="s">
        <v>8937</v>
      </c>
      <c r="J2301" s="3">
        <v>-0.69193959999999999</v>
      </c>
      <c r="K2301" s="3">
        <v>-0.50001059999999997</v>
      </c>
      <c r="L2301" s="3">
        <v>-0.197771</v>
      </c>
    </row>
    <row r="2302" spans="1:12" x14ac:dyDescent="0.25">
      <c r="A2302" t="s">
        <v>8932</v>
      </c>
      <c r="B2302" t="s">
        <v>8933</v>
      </c>
      <c r="I2302" t="s">
        <v>8934</v>
      </c>
      <c r="J2302" s="3">
        <v>-3.8531129999999997E-2</v>
      </c>
      <c r="K2302" s="3">
        <v>-0.36152990000000002</v>
      </c>
      <c r="L2302" s="3">
        <v>-5.9478619999999999E-3</v>
      </c>
    </row>
    <row r="2303" spans="1:12" x14ac:dyDescent="0.25">
      <c r="A2303" t="s">
        <v>8929</v>
      </c>
      <c r="B2303" t="s">
        <v>8930</v>
      </c>
      <c r="I2303" t="s">
        <v>8931</v>
      </c>
      <c r="J2303" s="3">
        <v>-0.47248639999999997</v>
      </c>
      <c r="K2303" s="3">
        <v>0.1071402</v>
      </c>
      <c r="L2303" s="3">
        <v>-0.7315526</v>
      </c>
    </row>
    <row r="2304" spans="1:12" x14ac:dyDescent="0.25">
      <c r="A2304" t="s">
        <v>8926</v>
      </c>
      <c r="B2304" t="s">
        <v>8927</v>
      </c>
      <c r="I2304" t="s">
        <v>8928</v>
      </c>
      <c r="J2304" s="3">
        <v>4.42228E-2</v>
      </c>
      <c r="K2304" s="3">
        <v>-0.28661900000000001</v>
      </c>
      <c r="L2304" s="3">
        <v>0.18448229999999999</v>
      </c>
    </row>
    <row r="2305" spans="1:12" x14ac:dyDescent="0.25">
      <c r="A2305" t="s">
        <v>8925</v>
      </c>
      <c r="B2305" t="s">
        <v>957</v>
      </c>
      <c r="I2305" t="s">
        <v>455</v>
      </c>
      <c r="J2305" s="3">
        <v>0.65958839999999996</v>
      </c>
      <c r="K2305" s="3">
        <v>1.1034649999999999</v>
      </c>
      <c r="L2305" s="3">
        <v>3.2172079999999999E-2</v>
      </c>
    </row>
    <row r="2306" spans="1:12" x14ac:dyDescent="0.25">
      <c r="A2306" t="s">
        <v>8922</v>
      </c>
      <c r="B2306" t="s">
        <v>8923</v>
      </c>
      <c r="I2306" t="s">
        <v>8924</v>
      </c>
      <c r="J2306" s="3">
        <v>0.28130729999999998</v>
      </c>
      <c r="K2306" s="3">
        <v>4.535728E-2</v>
      </c>
      <c r="L2306" s="3">
        <v>6.240097E-2</v>
      </c>
    </row>
    <row r="2307" spans="1:12" x14ac:dyDescent="0.25">
      <c r="A2307" t="s">
        <v>8919</v>
      </c>
      <c r="B2307" t="s">
        <v>8920</v>
      </c>
      <c r="I2307" t="s">
        <v>8921</v>
      </c>
      <c r="J2307" s="3">
        <v>1.05985</v>
      </c>
      <c r="K2307" s="3">
        <v>1.5985339999999999</v>
      </c>
      <c r="L2307" s="3">
        <v>0.90293299999999999</v>
      </c>
    </row>
    <row r="2308" spans="1:12" x14ac:dyDescent="0.25">
      <c r="A2308" t="s">
        <v>8918</v>
      </c>
      <c r="B2308" t="s">
        <v>957</v>
      </c>
      <c r="I2308" t="s">
        <v>2724</v>
      </c>
      <c r="J2308" s="3">
        <v>-0.23043910000000001</v>
      </c>
      <c r="K2308" s="3">
        <v>0.13405069999999999</v>
      </c>
      <c r="L2308" s="3">
        <v>-0.444691</v>
      </c>
    </row>
    <row r="2309" spans="1:12" x14ac:dyDescent="0.25">
      <c r="A2309" t="s">
        <v>8915</v>
      </c>
      <c r="B2309" t="s">
        <v>8916</v>
      </c>
      <c r="I2309" t="s">
        <v>8917</v>
      </c>
      <c r="J2309" s="3">
        <v>0.20618</v>
      </c>
      <c r="K2309" s="3">
        <v>-0.58822220000000003</v>
      </c>
      <c r="L2309" s="3">
        <v>0.20150090000000001</v>
      </c>
    </row>
    <row r="2310" spans="1:12" x14ac:dyDescent="0.25">
      <c r="A2310" t="s">
        <v>8912</v>
      </c>
      <c r="B2310" t="s">
        <v>8913</v>
      </c>
      <c r="I2310" t="s">
        <v>8914</v>
      </c>
      <c r="J2310" s="3">
        <v>0.2824411</v>
      </c>
      <c r="K2310" s="3">
        <v>-6.6575809999999999E-2</v>
      </c>
      <c r="L2310" s="3">
        <v>0.52107110000000001</v>
      </c>
    </row>
    <row r="2311" spans="1:12" x14ac:dyDescent="0.25">
      <c r="A2311" t="s">
        <v>8909</v>
      </c>
      <c r="B2311" t="s">
        <v>8910</v>
      </c>
      <c r="I2311" t="s">
        <v>8911</v>
      </c>
      <c r="J2311" s="3">
        <v>-0.21278839999999999</v>
      </c>
      <c r="K2311" s="3">
        <v>-4.2781529999999998E-2</v>
      </c>
      <c r="L2311" s="3">
        <v>-3.2664850000000002E-2</v>
      </c>
    </row>
    <row r="2312" spans="1:12" x14ac:dyDescent="0.25">
      <c r="A2312" t="s">
        <v>8908</v>
      </c>
      <c r="B2312" t="s">
        <v>14206</v>
      </c>
      <c r="C2312" t="s">
        <v>14207</v>
      </c>
      <c r="I2312" t="s">
        <v>5108</v>
      </c>
      <c r="J2312" s="3">
        <v>0.84314909999999998</v>
      </c>
      <c r="K2312" s="3">
        <v>0.80833560000000004</v>
      </c>
      <c r="L2312" s="3">
        <v>0.88460700000000003</v>
      </c>
    </row>
    <row r="2313" spans="1:12" x14ac:dyDescent="0.25">
      <c r="A2313" t="s">
        <v>8905</v>
      </c>
      <c r="B2313" t="s">
        <v>8906</v>
      </c>
      <c r="I2313" t="s">
        <v>8907</v>
      </c>
      <c r="J2313" s="3">
        <v>-7.6767100000000005E-2</v>
      </c>
      <c r="K2313" s="3">
        <v>-0.45319229999999999</v>
      </c>
      <c r="L2313" s="3">
        <v>0.13272490000000001</v>
      </c>
    </row>
    <row r="2314" spans="1:12" x14ac:dyDescent="0.25">
      <c r="A2314" t="s">
        <v>8903</v>
      </c>
      <c r="B2314" t="s">
        <v>957</v>
      </c>
      <c r="I2314" t="s">
        <v>8904</v>
      </c>
      <c r="J2314" s="3">
        <v>1.284616</v>
      </c>
      <c r="K2314" s="3">
        <v>0.94993989999999995</v>
      </c>
      <c r="L2314" s="3">
        <v>0.98545760000000004</v>
      </c>
    </row>
    <row r="2315" spans="1:12" x14ac:dyDescent="0.25">
      <c r="A2315" t="s">
        <v>7856</v>
      </c>
      <c r="B2315" t="s">
        <v>7857</v>
      </c>
      <c r="I2315" t="s">
        <v>8902</v>
      </c>
      <c r="J2315" s="3">
        <v>-3.7277079999999997E-2</v>
      </c>
      <c r="K2315" s="3">
        <v>1.0574619999999999</v>
      </c>
      <c r="L2315" s="3">
        <v>0.42834420000000001</v>
      </c>
    </row>
    <row r="2316" spans="1:12" x14ac:dyDescent="0.25">
      <c r="A2316" t="s">
        <v>7853</v>
      </c>
      <c r="B2316" t="s">
        <v>7854</v>
      </c>
      <c r="I2316" t="s">
        <v>7855</v>
      </c>
      <c r="J2316" s="3">
        <v>-0.31220629999999999</v>
      </c>
      <c r="K2316" s="3">
        <v>-0.5245708</v>
      </c>
      <c r="L2316" s="3">
        <v>-0.33481939999999999</v>
      </c>
    </row>
    <row r="2317" spans="1:12" x14ac:dyDescent="0.25">
      <c r="A2317" t="s">
        <v>7852</v>
      </c>
      <c r="B2317" t="s">
        <v>957</v>
      </c>
      <c r="I2317" t="s">
        <v>455</v>
      </c>
      <c r="J2317" s="3">
        <v>0.20995920000000001</v>
      </c>
      <c r="K2317" s="3">
        <v>0.42916399999999999</v>
      </c>
      <c r="L2317" s="3">
        <v>7.2635050000000007E-2</v>
      </c>
    </row>
    <row r="2318" spans="1:12" x14ac:dyDescent="0.25">
      <c r="A2318" t="s">
        <v>7849</v>
      </c>
      <c r="B2318" t="s">
        <v>7850</v>
      </c>
      <c r="I2318" t="s">
        <v>7851</v>
      </c>
      <c r="J2318" s="3">
        <v>0.56853050000000005</v>
      </c>
      <c r="K2318" s="3">
        <v>0.70517379999999996</v>
      </c>
      <c r="L2318" s="3">
        <v>0.54491880000000004</v>
      </c>
    </row>
    <row r="2319" spans="1:12" x14ac:dyDescent="0.25">
      <c r="A2319" t="s">
        <v>7848</v>
      </c>
      <c r="B2319" t="s">
        <v>957</v>
      </c>
      <c r="I2319" t="s">
        <v>455</v>
      </c>
      <c r="J2319" s="3">
        <v>0.3251308</v>
      </c>
      <c r="K2319" s="3">
        <v>1.6049949999999999</v>
      </c>
      <c r="L2319" s="3">
        <v>0.70568109999999995</v>
      </c>
    </row>
    <row r="2320" spans="1:12" x14ac:dyDescent="0.25">
      <c r="A2320" t="s">
        <v>7846</v>
      </c>
      <c r="B2320" t="s">
        <v>7847</v>
      </c>
      <c r="I2320" t="s">
        <v>1768</v>
      </c>
      <c r="J2320" s="3">
        <v>0.21086479999999999</v>
      </c>
      <c r="K2320" s="3">
        <v>0.87694059999999996</v>
      </c>
      <c r="L2320" s="3">
        <v>-3.8606519999999998E-2</v>
      </c>
    </row>
    <row r="2321" spans="1:12" x14ac:dyDescent="0.25">
      <c r="A2321" t="s">
        <v>7844</v>
      </c>
      <c r="B2321" t="s">
        <v>957</v>
      </c>
      <c r="I2321" t="s">
        <v>7845</v>
      </c>
      <c r="J2321" s="3">
        <v>0.48532049999999999</v>
      </c>
      <c r="K2321" s="3">
        <v>1.353639</v>
      </c>
      <c r="L2321" s="3">
        <v>0.51203160000000003</v>
      </c>
    </row>
    <row r="2322" spans="1:12" x14ac:dyDescent="0.25">
      <c r="A2322" t="s">
        <v>7841</v>
      </c>
      <c r="B2322" t="s">
        <v>7842</v>
      </c>
      <c r="I2322" t="s">
        <v>7843</v>
      </c>
      <c r="J2322" s="3">
        <v>0.99499800000000005</v>
      </c>
      <c r="K2322" s="3">
        <v>1.1206290000000001</v>
      </c>
      <c r="L2322" s="3">
        <v>1.3305769999999999</v>
      </c>
    </row>
    <row r="2323" spans="1:12" x14ac:dyDescent="0.25">
      <c r="A2323" t="s">
        <v>7840</v>
      </c>
      <c r="B2323" t="s">
        <v>957</v>
      </c>
      <c r="I2323" t="s">
        <v>1207</v>
      </c>
      <c r="J2323" s="3">
        <v>-1.4955700000000001</v>
      </c>
      <c r="K2323" s="3">
        <v>-0.63497230000000005</v>
      </c>
      <c r="L2323" s="3">
        <v>-1.562121E-2</v>
      </c>
    </row>
    <row r="2324" spans="1:12" x14ac:dyDescent="0.25">
      <c r="A2324" t="s">
        <v>7837</v>
      </c>
      <c r="B2324" t="s">
        <v>7838</v>
      </c>
      <c r="I2324" t="s">
        <v>7839</v>
      </c>
      <c r="J2324" s="3">
        <v>-1.283412</v>
      </c>
      <c r="K2324" s="3">
        <v>1.4312530000000001</v>
      </c>
      <c r="L2324" s="3">
        <v>0.9577563</v>
      </c>
    </row>
    <row r="2325" spans="1:12" x14ac:dyDescent="0.25">
      <c r="A2325" t="s">
        <v>7835</v>
      </c>
      <c r="B2325" t="s">
        <v>7836</v>
      </c>
      <c r="I2325" t="s">
        <v>7628</v>
      </c>
      <c r="J2325" s="3">
        <v>4.1875679999999998E-2</v>
      </c>
      <c r="K2325" s="3">
        <v>-0.25456570000000001</v>
      </c>
      <c r="L2325" s="3">
        <v>0.1593745</v>
      </c>
    </row>
    <row r="2326" spans="1:12" x14ac:dyDescent="0.25">
      <c r="A2326" t="s">
        <v>7832</v>
      </c>
      <c r="B2326" t="s">
        <v>7833</v>
      </c>
      <c r="I2326" t="s">
        <v>7834</v>
      </c>
      <c r="J2326" s="3">
        <v>-0.14973990000000001</v>
      </c>
      <c r="K2326" s="3">
        <v>-0.1050886</v>
      </c>
      <c r="L2326" s="3">
        <v>-0.26818989999999998</v>
      </c>
    </row>
    <row r="2327" spans="1:12" x14ac:dyDescent="0.25">
      <c r="A2327" t="s">
        <v>7829</v>
      </c>
      <c r="B2327" t="s">
        <v>7830</v>
      </c>
      <c r="I2327" t="s">
        <v>7831</v>
      </c>
      <c r="J2327" s="3">
        <v>3.884551E-2</v>
      </c>
      <c r="K2327" s="3">
        <v>-3.4207880000000003E-2</v>
      </c>
      <c r="L2327" s="3">
        <v>-3.5787800000000002E-2</v>
      </c>
    </row>
    <row r="2328" spans="1:12" x14ac:dyDescent="0.25">
      <c r="A2328" t="s">
        <v>7828</v>
      </c>
      <c r="B2328" t="s">
        <v>957</v>
      </c>
      <c r="I2328" t="s">
        <v>455</v>
      </c>
      <c r="J2328" s="3">
        <v>-0.14091119999999999</v>
      </c>
      <c r="K2328" s="3">
        <v>-0.1590916</v>
      </c>
      <c r="L2328" s="3">
        <v>0.1475871</v>
      </c>
    </row>
    <row r="2329" spans="1:12" x14ac:dyDescent="0.25">
      <c r="A2329" t="s">
        <v>7825</v>
      </c>
      <c r="B2329" t="s">
        <v>7826</v>
      </c>
      <c r="I2329" t="s">
        <v>7827</v>
      </c>
      <c r="J2329" s="3">
        <v>-0.17192560000000001</v>
      </c>
      <c r="K2329" s="3">
        <v>-0.58644719999999995</v>
      </c>
      <c r="L2329" s="3">
        <v>-0.35130869999999997</v>
      </c>
    </row>
    <row r="2330" spans="1:12" x14ac:dyDescent="0.25">
      <c r="A2330" t="s">
        <v>7822</v>
      </c>
      <c r="B2330" t="s">
        <v>7823</v>
      </c>
      <c r="I2330" t="s">
        <v>7824</v>
      </c>
      <c r="J2330" s="3">
        <v>0.23662040000000001</v>
      </c>
      <c r="K2330" s="3">
        <v>-0.43679630000000003</v>
      </c>
      <c r="L2330" s="3">
        <v>-3.5737640000000001E-2</v>
      </c>
    </row>
    <row r="2331" spans="1:12" x14ac:dyDescent="0.25">
      <c r="A2331" t="s">
        <v>8874</v>
      </c>
      <c r="B2331" t="s">
        <v>8875</v>
      </c>
      <c r="I2331" t="s">
        <v>7821</v>
      </c>
      <c r="J2331" s="3">
        <v>-0.70227890000000004</v>
      </c>
      <c r="K2331" s="3">
        <v>-0.93600919999999999</v>
      </c>
      <c r="L2331" s="3">
        <v>-0.54290110000000003</v>
      </c>
    </row>
    <row r="2332" spans="1:12" x14ac:dyDescent="0.25">
      <c r="A2332" t="s">
        <v>8871</v>
      </c>
      <c r="B2332" t="s">
        <v>8872</v>
      </c>
      <c r="I2332" t="s">
        <v>8873</v>
      </c>
      <c r="J2332" s="3">
        <v>0.12772269999999999</v>
      </c>
      <c r="K2332" s="3">
        <v>-0.73748429999999998</v>
      </c>
      <c r="L2332" s="3">
        <v>-0.1729251</v>
      </c>
    </row>
    <row r="2333" spans="1:12" x14ac:dyDescent="0.25">
      <c r="A2333" t="s">
        <v>8868</v>
      </c>
      <c r="B2333" t="s">
        <v>8869</v>
      </c>
      <c r="I2333" t="s">
        <v>8870</v>
      </c>
      <c r="J2333" s="3">
        <v>0.56545650000000003</v>
      </c>
      <c r="K2333" s="3">
        <v>0.46698980000000001</v>
      </c>
      <c r="L2333" s="3">
        <v>0.46582810000000002</v>
      </c>
    </row>
    <row r="2334" spans="1:12" x14ac:dyDescent="0.25">
      <c r="A2334" t="s">
        <v>8867</v>
      </c>
      <c r="B2334" t="s">
        <v>957</v>
      </c>
      <c r="I2334" t="s">
        <v>1207</v>
      </c>
      <c r="J2334" s="3">
        <v>0.47722019999999998</v>
      </c>
      <c r="K2334" s="3">
        <v>0.88541259999999999</v>
      </c>
      <c r="L2334" s="3">
        <v>0.47226990000000002</v>
      </c>
    </row>
    <row r="2335" spans="1:12" x14ac:dyDescent="0.25">
      <c r="A2335" t="s">
        <v>8864</v>
      </c>
      <c r="B2335" t="s">
        <v>8865</v>
      </c>
      <c r="I2335" t="s">
        <v>8866</v>
      </c>
      <c r="J2335" s="3">
        <v>0.4889001</v>
      </c>
      <c r="K2335" s="3">
        <v>0.43155539999999998</v>
      </c>
      <c r="L2335" s="3">
        <v>0.29821059999999999</v>
      </c>
    </row>
    <row r="2336" spans="1:12" x14ac:dyDescent="0.25">
      <c r="A2336" t="s">
        <v>8863</v>
      </c>
      <c r="B2336" t="s">
        <v>957</v>
      </c>
      <c r="I2336" t="s">
        <v>455</v>
      </c>
      <c r="J2336" s="3">
        <v>-0.65454000000000001</v>
      </c>
      <c r="K2336" s="3">
        <v>-0.18352660000000001</v>
      </c>
      <c r="L2336" s="3">
        <v>-0.46601599999999999</v>
      </c>
    </row>
    <row r="2337" spans="1:12" x14ac:dyDescent="0.25">
      <c r="A2337" t="s">
        <v>8860</v>
      </c>
      <c r="B2337" t="s">
        <v>8861</v>
      </c>
      <c r="I2337" t="s">
        <v>8862</v>
      </c>
      <c r="J2337" s="3">
        <v>0.49589129999999998</v>
      </c>
      <c r="K2337" s="3">
        <v>1.1437649999999999E-3</v>
      </c>
      <c r="L2337" s="3">
        <v>0.54506659999999996</v>
      </c>
    </row>
    <row r="2338" spans="1:12" x14ac:dyDescent="0.25">
      <c r="A2338" t="s">
        <v>8857</v>
      </c>
      <c r="B2338" t="s">
        <v>8858</v>
      </c>
      <c r="I2338" t="s">
        <v>8859</v>
      </c>
      <c r="J2338" s="3">
        <v>-0.66632630000000004</v>
      </c>
      <c r="K2338" s="3">
        <v>-1.038778</v>
      </c>
      <c r="L2338" s="3">
        <v>-0.32994830000000003</v>
      </c>
    </row>
    <row r="2339" spans="1:12" x14ac:dyDescent="0.25">
      <c r="A2339" t="s">
        <v>8854</v>
      </c>
      <c r="B2339" t="s">
        <v>8855</v>
      </c>
      <c r="I2339" t="s">
        <v>8856</v>
      </c>
      <c r="J2339" s="3">
        <v>-0.13188720000000001</v>
      </c>
      <c r="K2339" s="3">
        <v>-0.7084625</v>
      </c>
      <c r="L2339" s="3">
        <v>-6.5021689999999993E-2</v>
      </c>
    </row>
    <row r="2340" spans="1:12" x14ac:dyDescent="0.25">
      <c r="A2340" t="s">
        <v>8852</v>
      </c>
      <c r="B2340" t="s">
        <v>8853</v>
      </c>
      <c r="I2340" t="s">
        <v>1416</v>
      </c>
      <c r="J2340" s="3">
        <v>-0.1587075</v>
      </c>
      <c r="K2340" s="3">
        <v>-0.30654520000000002</v>
      </c>
      <c r="L2340" s="3">
        <v>0.313801</v>
      </c>
    </row>
    <row r="2341" spans="1:12" x14ac:dyDescent="0.25">
      <c r="A2341" t="s">
        <v>8849</v>
      </c>
      <c r="B2341" t="s">
        <v>8850</v>
      </c>
      <c r="I2341" t="s">
        <v>8851</v>
      </c>
      <c r="J2341" s="3">
        <v>-4.8261000000000002E-4</v>
      </c>
      <c r="K2341" s="3">
        <v>0.25175360000000002</v>
      </c>
      <c r="L2341" s="3">
        <v>7.0516319999999993E-2</v>
      </c>
    </row>
    <row r="2342" spans="1:12" x14ac:dyDescent="0.25">
      <c r="A2342" t="s">
        <v>8846</v>
      </c>
      <c r="B2342" t="s">
        <v>8847</v>
      </c>
      <c r="I2342" t="s">
        <v>8848</v>
      </c>
      <c r="J2342" s="3">
        <v>-0.29377579999999998</v>
      </c>
      <c r="K2342" s="3">
        <v>-0.89525379999999999</v>
      </c>
      <c r="L2342" s="3">
        <v>-0.35168880000000002</v>
      </c>
    </row>
    <row r="2343" spans="1:12" x14ac:dyDescent="0.25">
      <c r="A2343" t="s">
        <v>8843</v>
      </c>
      <c r="B2343" t="s">
        <v>8844</v>
      </c>
      <c r="I2343" t="s">
        <v>8845</v>
      </c>
      <c r="J2343" s="3">
        <v>-0.36382809999999999</v>
      </c>
      <c r="K2343" s="3">
        <v>-3.7216909999999999E-2</v>
      </c>
      <c r="L2343" s="3">
        <v>0.1912228</v>
      </c>
    </row>
    <row r="2344" spans="1:12" x14ac:dyDescent="0.25">
      <c r="A2344" t="s">
        <v>8840</v>
      </c>
      <c r="B2344" t="s">
        <v>8841</v>
      </c>
      <c r="I2344" t="s">
        <v>8842</v>
      </c>
      <c r="J2344" s="3">
        <v>-0.46200469999999999</v>
      </c>
      <c r="K2344" s="3">
        <v>-0.32339790000000002</v>
      </c>
      <c r="L2344" s="3">
        <v>-0.22178519999999999</v>
      </c>
    </row>
    <row r="2345" spans="1:12" x14ac:dyDescent="0.25">
      <c r="A2345" t="s">
        <v>8837</v>
      </c>
      <c r="B2345" t="s">
        <v>8838</v>
      </c>
      <c r="I2345" t="s">
        <v>8839</v>
      </c>
      <c r="J2345" s="3">
        <v>-0.35952509999999999</v>
      </c>
      <c r="K2345" s="3">
        <v>-0.83254399999999995</v>
      </c>
      <c r="L2345" s="3">
        <v>-0.62257609999999997</v>
      </c>
    </row>
    <row r="2346" spans="1:12" x14ac:dyDescent="0.25">
      <c r="A2346" t="s">
        <v>8834</v>
      </c>
      <c r="B2346" t="s">
        <v>8835</v>
      </c>
      <c r="I2346" t="s">
        <v>8836</v>
      </c>
      <c r="J2346" s="3">
        <v>-0.10292560000000001</v>
      </c>
      <c r="K2346" s="3">
        <v>9.8096500000000003E-2</v>
      </c>
      <c r="L2346" s="3">
        <v>-0.16891329999999999</v>
      </c>
    </row>
    <row r="2347" spans="1:12" x14ac:dyDescent="0.25">
      <c r="A2347" t="s">
        <v>7780</v>
      </c>
      <c r="B2347" t="s">
        <v>957</v>
      </c>
      <c r="I2347" t="s">
        <v>2</v>
      </c>
      <c r="J2347" s="3">
        <v>-0.1463796</v>
      </c>
      <c r="K2347" s="3">
        <v>-6.1455160000000002E-2</v>
      </c>
      <c r="L2347" s="3">
        <v>-0.27973789999999998</v>
      </c>
    </row>
    <row r="2348" spans="1:12" x14ac:dyDescent="0.25">
      <c r="A2348" t="s">
        <v>7777</v>
      </c>
      <c r="B2348" t="s">
        <v>7778</v>
      </c>
      <c r="I2348" t="s">
        <v>7779</v>
      </c>
      <c r="J2348" s="3">
        <v>0.50024290000000005</v>
      </c>
      <c r="K2348" s="3">
        <v>0.49627450000000001</v>
      </c>
      <c r="L2348" s="3">
        <v>0.47444999999999998</v>
      </c>
    </row>
    <row r="2349" spans="1:12" x14ac:dyDescent="0.25">
      <c r="A2349" t="s">
        <v>7775</v>
      </c>
      <c r="B2349" t="s">
        <v>7776</v>
      </c>
      <c r="I2349" t="s">
        <v>1768</v>
      </c>
      <c r="J2349" s="3">
        <v>-2.647244E-2</v>
      </c>
      <c r="K2349" s="3">
        <v>0.21178900000000001</v>
      </c>
      <c r="L2349" s="3">
        <v>2.765101E-2</v>
      </c>
    </row>
    <row r="2350" spans="1:12" x14ac:dyDescent="0.25">
      <c r="A2350" t="s">
        <v>7774</v>
      </c>
      <c r="B2350" t="s">
        <v>957</v>
      </c>
      <c r="I2350" t="s">
        <v>455</v>
      </c>
      <c r="J2350" s="3">
        <v>2.60945E-2</v>
      </c>
      <c r="K2350" s="3">
        <v>0.6418161</v>
      </c>
      <c r="L2350" s="3">
        <v>-0.18399799999999999</v>
      </c>
    </row>
    <row r="2351" spans="1:12" x14ac:dyDescent="0.25">
      <c r="A2351" t="s">
        <v>7773</v>
      </c>
      <c r="B2351" t="s">
        <v>957</v>
      </c>
      <c r="I2351" t="s">
        <v>453</v>
      </c>
      <c r="J2351" s="3">
        <v>-2.8395509999999999E-2</v>
      </c>
      <c r="K2351" s="3">
        <v>-6.4178559999999996E-2</v>
      </c>
      <c r="L2351" s="3">
        <v>4.6505930000000001E-2</v>
      </c>
    </row>
    <row r="2352" spans="1:12" x14ac:dyDescent="0.25">
      <c r="A2352" t="s">
        <v>7770</v>
      </c>
      <c r="B2352" t="s">
        <v>7771</v>
      </c>
      <c r="I2352" t="s">
        <v>7772</v>
      </c>
      <c r="J2352" s="3">
        <v>-0.14786869999999999</v>
      </c>
      <c r="K2352" s="3">
        <v>-0.49762990000000001</v>
      </c>
      <c r="L2352" s="3">
        <v>1.046132E-2</v>
      </c>
    </row>
    <row r="2353" spans="1:12" x14ac:dyDescent="0.25">
      <c r="A2353" t="s">
        <v>7767</v>
      </c>
      <c r="B2353" t="s">
        <v>7768</v>
      </c>
      <c r="I2353" t="s">
        <v>7769</v>
      </c>
      <c r="J2353" s="3">
        <v>-0.53062920000000002</v>
      </c>
      <c r="K2353" s="3">
        <v>-0.30727159999999998</v>
      </c>
      <c r="L2353" s="3">
        <v>-0.68437060000000005</v>
      </c>
    </row>
    <row r="2354" spans="1:12" x14ac:dyDescent="0.25">
      <c r="A2354" t="s">
        <v>7764</v>
      </c>
      <c r="B2354" t="s">
        <v>7765</v>
      </c>
      <c r="I2354" t="s">
        <v>7766</v>
      </c>
      <c r="J2354" s="3">
        <v>-0.11841930000000001</v>
      </c>
      <c r="K2354" s="3">
        <v>0.20893510000000001</v>
      </c>
      <c r="L2354" s="3">
        <v>6.7880319999999994E-2</v>
      </c>
    </row>
    <row r="2355" spans="1:12" x14ac:dyDescent="0.25">
      <c r="A2355" t="s">
        <v>7761</v>
      </c>
      <c r="B2355" t="s">
        <v>7762</v>
      </c>
      <c r="I2355" t="s">
        <v>7763</v>
      </c>
      <c r="J2355" s="3">
        <v>-2.9034849999999999E-3</v>
      </c>
      <c r="K2355" s="3">
        <v>0.18285999999999999</v>
      </c>
      <c r="L2355" s="3">
        <v>1.8414460000000001E-2</v>
      </c>
    </row>
    <row r="2356" spans="1:12" x14ac:dyDescent="0.25">
      <c r="A2356" t="s">
        <v>7758</v>
      </c>
      <c r="B2356" t="s">
        <v>7759</v>
      </c>
      <c r="I2356" t="s">
        <v>7760</v>
      </c>
      <c r="J2356" s="3">
        <v>-0.2214122</v>
      </c>
      <c r="K2356" s="3">
        <v>-0.66399790000000003</v>
      </c>
      <c r="L2356" s="3">
        <v>-0.38303470000000001</v>
      </c>
    </row>
    <row r="2357" spans="1:12" x14ac:dyDescent="0.25">
      <c r="A2357" t="s">
        <v>7755</v>
      </c>
      <c r="B2357" t="s">
        <v>7756</v>
      </c>
      <c r="I2357" t="s">
        <v>7757</v>
      </c>
      <c r="J2357" s="3">
        <v>0.1783566</v>
      </c>
      <c r="K2357" s="3">
        <v>-9.3035889999999996E-2</v>
      </c>
      <c r="L2357" s="3">
        <v>9.8659570000000002E-2</v>
      </c>
    </row>
    <row r="2358" spans="1:12" x14ac:dyDescent="0.25">
      <c r="A2358" t="s">
        <v>7754</v>
      </c>
      <c r="B2358" t="s">
        <v>957</v>
      </c>
      <c r="I2358" t="s">
        <v>455</v>
      </c>
      <c r="J2358" s="3">
        <v>0.1630122</v>
      </c>
      <c r="K2358" s="3">
        <v>-0.53496279999999996</v>
      </c>
      <c r="L2358" s="3">
        <v>-0.15247140000000001</v>
      </c>
    </row>
    <row r="2359" spans="1:12" x14ac:dyDescent="0.25">
      <c r="A2359" t="s">
        <v>7751</v>
      </c>
      <c r="B2359" t="s">
        <v>7752</v>
      </c>
      <c r="I2359" t="s">
        <v>7753</v>
      </c>
      <c r="J2359" s="3">
        <v>0.68420809999999999</v>
      </c>
      <c r="K2359" s="3">
        <v>-0.49644559999999999</v>
      </c>
      <c r="L2359" s="3">
        <v>7.0489220000000005E-2</v>
      </c>
    </row>
    <row r="2360" spans="1:12" x14ac:dyDescent="0.25">
      <c r="A2360" t="s">
        <v>7748</v>
      </c>
      <c r="B2360" t="s">
        <v>7749</v>
      </c>
      <c r="I2360" t="s">
        <v>7750</v>
      </c>
      <c r="J2360" s="3">
        <v>-0.2149112</v>
      </c>
      <c r="K2360" s="3">
        <v>-0.25785249999999998</v>
      </c>
      <c r="L2360" s="3">
        <v>-5.6852069999999998E-2</v>
      </c>
    </row>
    <row r="2361" spans="1:12" x14ac:dyDescent="0.25">
      <c r="A2361" t="s">
        <v>7747</v>
      </c>
      <c r="B2361" t="s">
        <v>957</v>
      </c>
      <c r="I2361" t="s">
        <v>455</v>
      </c>
      <c r="J2361" s="3">
        <v>5.0700000000000002E-2</v>
      </c>
      <c r="K2361" s="3">
        <v>0.26241560000000003</v>
      </c>
      <c r="L2361" s="3">
        <v>-0.37780530000000001</v>
      </c>
    </row>
    <row r="2362" spans="1:12" x14ac:dyDescent="0.25">
      <c r="A2362" t="s">
        <v>7746</v>
      </c>
      <c r="B2362" t="s">
        <v>957</v>
      </c>
      <c r="I2362" t="s">
        <v>455</v>
      </c>
      <c r="J2362" s="3">
        <v>-0.1795523</v>
      </c>
      <c r="K2362" s="3">
        <v>-4.0643869999999999E-2</v>
      </c>
      <c r="L2362" s="3">
        <v>-0.4412626</v>
      </c>
    </row>
    <row r="2363" spans="1:12" x14ac:dyDescent="0.25">
      <c r="A2363" t="s">
        <v>7743</v>
      </c>
      <c r="B2363" t="s">
        <v>7744</v>
      </c>
      <c r="I2363" t="s">
        <v>7745</v>
      </c>
      <c r="J2363" s="3">
        <v>0.27909420000000001</v>
      </c>
      <c r="K2363" s="3">
        <v>-8.0898330000000004E-2</v>
      </c>
      <c r="L2363" s="3">
        <v>0.12685189999999999</v>
      </c>
    </row>
    <row r="2364" spans="1:12" x14ac:dyDescent="0.25">
      <c r="A2364" t="s">
        <v>7742</v>
      </c>
      <c r="B2364" t="s">
        <v>957</v>
      </c>
      <c r="I2364" t="s">
        <v>455</v>
      </c>
      <c r="J2364" s="3">
        <v>-0.2451314</v>
      </c>
      <c r="K2364" s="3">
        <v>-0.31230350000000001</v>
      </c>
      <c r="L2364" s="3">
        <v>-0.11915779999999999</v>
      </c>
    </row>
    <row r="2365" spans="1:12" x14ac:dyDescent="0.25">
      <c r="A2365" t="s">
        <v>7741</v>
      </c>
      <c r="B2365" t="s">
        <v>957</v>
      </c>
      <c r="I2365" t="s">
        <v>2</v>
      </c>
      <c r="J2365" s="3">
        <v>2.0175190000000002E-3</v>
      </c>
      <c r="K2365" s="3">
        <v>-0.33649659999999998</v>
      </c>
      <c r="L2365" s="3">
        <v>-9.2785779999999998E-2</v>
      </c>
    </row>
    <row r="2366" spans="1:12" x14ac:dyDescent="0.25">
      <c r="A2366" t="s">
        <v>7738</v>
      </c>
      <c r="B2366" t="s">
        <v>7739</v>
      </c>
      <c r="I2366" t="s">
        <v>7740</v>
      </c>
      <c r="J2366" s="3">
        <v>0.1287623</v>
      </c>
      <c r="K2366" s="3">
        <v>9.3771849999999997E-3</v>
      </c>
      <c r="L2366" s="3">
        <v>0.15603639999999999</v>
      </c>
    </row>
    <row r="2367" spans="1:12" x14ac:dyDescent="0.25">
      <c r="A2367" t="s">
        <v>7735</v>
      </c>
      <c r="B2367" t="s">
        <v>7736</v>
      </c>
      <c r="I2367" t="s">
        <v>7737</v>
      </c>
      <c r="J2367" s="3">
        <v>-0.83400890000000005</v>
      </c>
      <c r="K2367" s="3">
        <v>-1.2111940000000001</v>
      </c>
      <c r="L2367" s="3">
        <v>-0.68640540000000005</v>
      </c>
    </row>
    <row r="2368" spans="1:12" x14ac:dyDescent="0.25">
      <c r="A2368" t="s">
        <v>7732</v>
      </c>
      <c r="B2368" t="s">
        <v>7733</v>
      </c>
      <c r="I2368" t="s">
        <v>7734</v>
      </c>
      <c r="J2368" s="3">
        <v>9.7328499999999995E-4</v>
      </c>
      <c r="K2368" s="3">
        <v>0.46134930000000002</v>
      </c>
      <c r="L2368" s="3">
        <v>0.1372139</v>
      </c>
    </row>
    <row r="2369" spans="1:12" x14ac:dyDescent="0.25">
      <c r="A2369" t="s">
        <v>7729</v>
      </c>
      <c r="B2369" t="s">
        <v>7730</v>
      </c>
      <c r="I2369" t="s">
        <v>7731</v>
      </c>
      <c r="J2369" s="3">
        <v>-0.2096597</v>
      </c>
      <c r="K2369" s="3">
        <v>-0.52378800000000003</v>
      </c>
      <c r="L2369" s="3">
        <v>0.15330009999999999</v>
      </c>
    </row>
    <row r="2370" spans="1:12" x14ac:dyDescent="0.25">
      <c r="A2370" t="s">
        <v>7726</v>
      </c>
      <c r="B2370" t="s">
        <v>7727</v>
      </c>
      <c r="I2370" t="s">
        <v>7728</v>
      </c>
      <c r="J2370" s="3">
        <v>-0.45024409999999998</v>
      </c>
      <c r="K2370" s="3">
        <v>-0.34789969999999998</v>
      </c>
      <c r="L2370" s="3">
        <v>-0.12985240000000001</v>
      </c>
    </row>
    <row r="2371" spans="1:12" x14ac:dyDescent="0.25">
      <c r="A2371" t="s">
        <v>7723</v>
      </c>
      <c r="B2371" t="s">
        <v>7724</v>
      </c>
      <c r="I2371" t="s">
        <v>7725</v>
      </c>
      <c r="J2371" s="3">
        <v>-0.118688</v>
      </c>
      <c r="K2371" s="3">
        <v>0.97606309999999996</v>
      </c>
      <c r="L2371" s="3">
        <v>0.60599150000000002</v>
      </c>
    </row>
    <row r="2372" spans="1:12" x14ac:dyDescent="0.25">
      <c r="A2372" t="s">
        <v>7720</v>
      </c>
      <c r="B2372" t="s">
        <v>7721</v>
      </c>
      <c r="I2372" t="s">
        <v>7722</v>
      </c>
      <c r="J2372" s="3">
        <v>0.1286725</v>
      </c>
      <c r="K2372" s="3">
        <v>0.29447679999999998</v>
      </c>
      <c r="L2372" s="3">
        <v>6.3235420000000001E-2</v>
      </c>
    </row>
    <row r="2373" spans="1:12" x14ac:dyDescent="0.25">
      <c r="A2373" t="s">
        <v>7718</v>
      </c>
      <c r="B2373" t="s">
        <v>14208</v>
      </c>
      <c r="C2373" t="s">
        <v>7716</v>
      </c>
      <c r="I2373" t="s">
        <v>7719</v>
      </c>
      <c r="J2373" s="3">
        <v>-0.40447499999999997</v>
      </c>
      <c r="K2373" s="3">
        <v>4.10576E-2</v>
      </c>
      <c r="L2373" s="3">
        <v>0.13492029999999999</v>
      </c>
    </row>
    <row r="2374" spans="1:12" x14ac:dyDescent="0.25">
      <c r="A2374" t="s">
        <v>7715</v>
      </c>
      <c r="B2374" t="s">
        <v>7716</v>
      </c>
      <c r="I2374" t="s">
        <v>7717</v>
      </c>
      <c r="J2374" s="3">
        <v>-0.34087109999999998</v>
      </c>
      <c r="K2374" s="3">
        <v>-3.7365450000000001E-2</v>
      </c>
      <c r="L2374" s="3">
        <v>-8.664036E-2</v>
      </c>
    </row>
    <row r="2375" spans="1:12" x14ac:dyDescent="0.25">
      <c r="A2375" t="s">
        <v>7714</v>
      </c>
      <c r="B2375" t="s">
        <v>957</v>
      </c>
      <c r="I2375" t="s">
        <v>455</v>
      </c>
      <c r="J2375" s="3">
        <v>-0.83569439999999995</v>
      </c>
      <c r="K2375" s="3">
        <v>-0.37000309999999997</v>
      </c>
      <c r="L2375" s="3">
        <v>-0.8354992</v>
      </c>
    </row>
    <row r="2376" spans="1:12" x14ac:dyDescent="0.25">
      <c r="A2376" t="s">
        <v>7711</v>
      </c>
      <c r="B2376" t="s">
        <v>7712</v>
      </c>
      <c r="I2376" t="s">
        <v>7713</v>
      </c>
      <c r="J2376" s="3">
        <v>0.8111971</v>
      </c>
      <c r="K2376" s="3">
        <v>1.3634729999999999</v>
      </c>
      <c r="L2376" s="3">
        <v>0.41038770000000002</v>
      </c>
    </row>
    <row r="2377" spans="1:12" x14ac:dyDescent="0.25">
      <c r="A2377" t="s">
        <v>7708</v>
      </c>
      <c r="B2377" t="s">
        <v>7709</v>
      </c>
      <c r="I2377" t="s">
        <v>7710</v>
      </c>
      <c r="J2377" s="3">
        <v>9.9485799999999999E-2</v>
      </c>
      <c r="K2377" s="3">
        <v>0.1129361</v>
      </c>
      <c r="L2377" s="3">
        <v>3.3285719999999998E-2</v>
      </c>
    </row>
    <row r="2378" spans="1:12" x14ac:dyDescent="0.25">
      <c r="A2378" t="s">
        <v>7707</v>
      </c>
      <c r="B2378" t="s">
        <v>957</v>
      </c>
      <c r="I2378" t="s">
        <v>455</v>
      </c>
      <c r="J2378" s="3">
        <v>-0.64657169999999997</v>
      </c>
      <c r="K2378" s="3">
        <v>-8.2292039999999997E-2</v>
      </c>
      <c r="L2378" s="3">
        <v>-0.3228955</v>
      </c>
    </row>
    <row r="2379" spans="1:12" x14ac:dyDescent="0.25">
      <c r="A2379" t="s">
        <v>7704</v>
      </c>
      <c r="B2379" t="s">
        <v>7705</v>
      </c>
      <c r="I2379" t="s">
        <v>7706</v>
      </c>
      <c r="J2379" s="3">
        <v>-0.11066139999999999</v>
      </c>
      <c r="K2379" s="3">
        <v>-0.21374850000000001</v>
      </c>
      <c r="L2379" s="3">
        <v>-0.3753301</v>
      </c>
    </row>
    <row r="2380" spans="1:12" x14ac:dyDescent="0.25">
      <c r="A2380" t="s">
        <v>7701</v>
      </c>
      <c r="B2380" t="s">
        <v>7702</v>
      </c>
      <c r="I2380" t="s">
        <v>7703</v>
      </c>
      <c r="J2380" s="3">
        <v>-0.1441104</v>
      </c>
      <c r="K2380" s="3">
        <v>-0.59179519999999997</v>
      </c>
      <c r="L2380" s="3">
        <v>-0.23948330000000001</v>
      </c>
    </row>
    <row r="2381" spans="1:12" x14ac:dyDescent="0.25">
      <c r="A2381" t="s">
        <v>7700</v>
      </c>
      <c r="B2381" t="s">
        <v>957</v>
      </c>
      <c r="I2381" t="s">
        <v>1207</v>
      </c>
      <c r="J2381" s="3">
        <v>-0.38031239999999999</v>
      </c>
      <c r="K2381" s="3">
        <v>0.1089214</v>
      </c>
      <c r="L2381" s="3">
        <v>-0.59372190000000002</v>
      </c>
    </row>
    <row r="2382" spans="1:12" x14ac:dyDescent="0.25">
      <c r="A2382" t="s">
        <v>7697</v>
      </c>
      <c r="B2382" t="s">
        <v>7698</v>
      </c>
      <c r="I2382" t="s">
        <v>7699</v>
      </c>
      <c r="J2382" s="3">
        <v>-0.48643419999999998</v>
      </c>
      <c r="K2382" s="3">
        <v>-0.50633300000000003</v>
      </c>
      <c r="L2382" s="3">
        <v>-0.3175</v>
      </c>
    </row>
    <row r="2383" spans="1:12" x14ac:dyDescent="0.25">
      <c r="A2383" t="s">
        <v>7694</v>
      </c>
      <c r="B2383" t="s">
        <v>7695</v>
      </c>
      <c r="I2383" t="s">
        <v>7696</v>
      </c>
      <c r="J2383" s="3">
        <v>-0.297483</v>
      </c>
      <c r="K2383" s="3">
        <v>-0.36644189999999999</v>
      </c>
      <c r="L2383" s="3">
        <v>-0.3595874</v>
      </c>
    </row>
    <row r="2384" spans="1:12" x14ac:dyDescent="0.25">
      <c r="A2384" t="s">
        <v>7692</v>
      </c>
      <c r="B2384" t="s">
        <v>14209</v>
      </c>
      <c r="C2384" t="s">
        <v>14210</v>
      </c>
      <c r="I2384" t="s">
        <v>7693</v>
      </c>
      <c r="J2384" s="3">
        <v>8.7235019999999996E-2</v>
      </c>
      <c r="K2384" s="3">
        <v>-0.26925399999999999</v>
      </c>
      <c r="L2384" s="3">
        <v>0.1356108</v>
      </c>
    </row>
    <row r="2385" spans="1:12" x14ac:dyDescent="0.25">
      <c r="A2385" t="s">
        <v>7689</v>
      </c>
      <c r="B2385" t="s">
        <v>7690</v>
      </c>
      <c r="I2385" t="s">
        <v>7691</v>
      </c>
      <c r="J2385" s="3">
        <v>0.1032752</v>
      </c>
      <c r="K2385" s="3">
        <v>8.9737369999999997E-2</v>
      </c>
      <c r="L2385" s="3">
        <v>-1.928349E-2</v>
      </c>
    </row>
    <row r="2386" spans="1:12" x14ac:dyDescent="0.25">
      <c r="A2386" t="s">
        <v>8737</v>
      </c>
      <c r="B2386" t="s">
        <v>8738</v>
      </c>
      <c r="I2386" t="s">
        <v>7688</v>
      </c>
      <c r="J2386" s="3">
        <v>4.068596E-2</v>
      </c>
      <c r="K2386" s="3">
        <v>-0.1873155</v>
      </c>
      <c r="L2386" s="3">
        <v>9.6516900000000003E-2</v>
      </c>
    </row>
    <row r="2387" spans="1:12" x14ac:dyDescent="0.25">
      <c r="A2387" t="s">
        <v>8734</v>
      </c>
      <c r="B2387" t="s">
        <v>8735</v>
      </c>
      <c r="I2387" t="s">
        <v>8736</v>
      </c>
      <c r="J2387" s="3">
        <v>-0.1617635</v>
      </c>
      <c r="K2387" s="3">
        <v>-0.28296339999999998</v>
      </c>
      <c r="L2387" s="3">
        <v>0.2045865</v>
      </c>
    </row>
    <row r="2388" spans="1:12" x14ac:dyDescent="0.25">
      <c r="A2388" t="s">
        <v>8732</v>
      </c>
      <c r="B2388" t="s">
        <v>8733</v>
      </c>
      <c r="I2388" t="s">
        <v>2418</v>
      </c>
      <c r="J2388" s="3">
        <v>-0.56063569999999996</v>
      </c>
      <c r="K2388" s="3">
        <v>-0.75386129999999996</v>
      </c>
      <c r="L2388" s="3">
        <v>-0.44781100000000001</v>
      </c>
    </row>
    <row r="2389" spans="1:12" x14ac:dyDescent="0.25">
      <c r="A2389" t="s">
        <v>8729</v>
      </c>
      <c r="B2389" t="s">
        <v>8730</v>
      </c>
      <c r="I2389" t="s">
        <v>8731</v>
      </c>
      <c r="J2389" s="3">
        <v>-1.405961E-2</v>
      </c>
      <c r="K2389" s="3">
        <v>-7.9027609999999998E-2</v>
      </c>
      <c r="L2389" s="3">
        <v>0.75847489999999995</v>
      </c>
    </row>
    <row r="2390" spans="1:12" x14ac:dyDescent="0.25">
      <c r="A2390" t="s">
        <v>8726</v>
      </c>
      <c r="B2390" t="s">
        <v>8727</v>
      </c>
      <c r="I2390" t="s">
        <v>8728</v>
      </c>
      <c r="J2390" s="3">
        <v>0.15845580000000001</v>
      </c>
      <c r="K2390" s="3">
        <v>0.57232919999999998</v>
      </c>
      <c r="L2390" s="3">
        <v>1.2579419999999999</v>
      </c>
    </row>
    <row r="2391" spans="1:12" x14ac:dyDescent="0.25">
      <c r="A2391" t="s">
        <v>8724</v>
      </c>
      <c r="B2391" t="s">
        <v>8725</v>
      </c>
      <c r="I2391" t="s">
        <v>2224</v>
      </c>
      <c r="J2391" s="3">
        <v>1.910837E-2</v>
      </c>
      <c r="K2391" s="3">
        <v>0.200072</v>
      </c>
      <c r="L2391" s="3">
        <v>8.6200799999999994E-2</v>
      </c>
    </row>
    <row r="2392" spans="1:12" x14ac:dyDescent="0.25">
      <c r="A2392" t="s">
        <v>8721</v>
      </c>
      <c r="B2392" t="s">
        <v>8722</v>
      </c>
      <c r="I2392" t="s">
        <v>8723</v>
      </c>
      <c r="J2392" s="3">
        <v>0.1968298</v>
      </c>
      <c r="K2392" s="3">
        <v>-0.31931219999999999</v>
      </c>
      <c r="L2392" s="3">
        <v>0.30386580000000002</v>
      </c>
    </row>
    <row r="2393" spans="1:12" x14ac:dyDescent="0.25">
      <c r="A2393" t="s">
        <v>8718</v>
      </c>
      <c r="B2393" t="s">
        <v>8719</v>
      </c>
      <c r="I2393" t="s">
        <v>8720</v>
      </c>
      <c r="J2393" s="3">
        <v>-0.28887380000000001</v>
      </c>
      <c r="K2393" s="3">
        <v>-9.5989469999999993E-2</v>
      </c>
      <c r="L2393" s="3">
        <v>-0.20094200000000001</v>
      </c>
    </row>
    <row r="2394" spans="1:12" x14ac:dyDescent="0.25">
      <c r="A2394" t="s">
        <v>8715</v>
      </c>
      <c r="B2394" t="s">
        <v>8716</v>
      </c>
      <c r="I2394" t="s">
        <v>8717</v>
      </c>
      <c r="J2394" s="3">
        <v>-0.22952839999999999</v>
      </c>
      <c r="K2394" s="3">
        <v>-0.17454919999999999</v>
      </c>
      <c r="L2394" s="3">
        <v>-8.8164199999999998E-2</v>
      </c>
    </row>
    <row r="2395" spans="1:12" x14ac:dyDescent="0.25">
      <c r="A2395" t="s">
        <v>8712</v>
      </c>
      <c r="B2395" t="s">
        <v>8713</v>
      </c>
      <c r="I2395" t="s">
        <v>8714</v>
      </c>
      <c r="J2395" s="3">
        <v>-0.49008230000000003</v>
      </c>
      <c r="K2395" s="3">
        <v>-0.57271859999999997</v>
      </c>
      <c r="L2395" s="3">
        <v>-0.62068990000000002</v>
      </c>
    </row>
    <row r="2396" spans="1:12" x14ac:dyDescent="0.25">
      <c r="A2396" t="s">
        <v>8709</v>
      </c>
      <c r="B2396" t="s">
        <v>8710</v>
      </c>
      <c r="I2396" t="s">
        <v>8711</v>
      </c>
      <c r="J2396" s="3">
        <v>-3.4065140000000001E-2</v>
      </c>
      <c r="K2396" s="3">
        <v>-0.15003739999999999</v>
      </c>
      <c r="L2396" s="3">
        <v>0.14921590000000001</v>
      </c>
    </row>
    <row r="2397" spans="1:12" x14ac:dyDescent="0.25">
      <c r="A2397" t="s">
        <v>7644</v>
      </c>
      <c r="B2397" t="s">
        <v>7645</v>
      </c>
      <c r="I2397" t="s">
        <v>8708</v>
      </c>
      <c r="J2397" s="3">
        <v>-6.1730689999999998E-2</v>
      </c>
      <c r="K2397" s="3">
        <v>0.56582149999999998</v>
      </c>
      <c r="L2397" s="3">
        <v>5.6868179999999997E-2</v>
      </c>
    </row>
    <row r="2398" spans="1:12" x14ac:dyDescent="0.25">
      <c r="A2398" t="s">
        <v>7641</v>
      </c>
      <c r="B2398" t="s">
        <v>7642</v>
      </c>
      <c r="I2398" t="s">
        <v>7643</v>
      </c>
      <c r="J2398" s="3">
        <v>-0.33211429999999997</v>
      </c>
      <c r="K2398" s="3">
        <v>-0.59399279999999999</v>
      </c>
      <c r="L2398" s="3">
        <v>-0.30044369999999998</v>
      </c>
    </row>
    <row r="2399" spans="1:12" x14ac:dyDescent="0.25">
      <c r="A2399" t="s">
        <v>7638</v>
      </c>
      <c r="B2399" t="s">
        <v>7639</v>
      </c>
      <c r="I2399" t="s">
        <v>7640</v>
      </c>
      <c r="J2399" s="3">
        <v>0.21193029999999999</v>
      </c>
      <c r="K2399" s="3">
        <v>0.61397040000000003</v>
      </c>
      <c r="L2399" s="3">
        <v>9.6080700000000005E-2</v>
      </c>
    </row>
    <row r="2400" spans="1:12" x14ac:dyDescent="0.25">
      <c r="A2400" t="s">
        <v>7635</v>
      </c>
      <c r="B2400" t="s">
        <v>7636</v>
      </c>
      <c r="I2400" t="s">
        <v>7637</v>
      </c>
      <c r="J2400" s="3">
        <v>0.33654230000000002</v>
      </c>
      <c r="K2400" s="3">
        <v>-0.25059890000000001</v>
      </c>
      <c r="L2400" s="3">
        <v>-0.55400689999999997</v>
      </c>
    </row>
    <row r="2401" spans="1:12" x14ac:dyDescent="0.25">
      <c r="A2401" t="s">
        <v>7632</v>
      </c>
      <c r="B2401" t="s">
        <v>7633</v>
      </c>
      <c r="I2401" t="s">
        <v>7634</v>
      </c>
      <c r="J2401" s="3">
        <v>-0.25124649999999998</v>
      </c>
      <c r="K2401" s="3">
        <v>2.0447529999999998E-3</v>
      </c>
      <c r="L2401" s="3">
        <v>-0.52814119999999998</v>
      </c>
    </row>
    <row r="2402" spans="1:12" x14ac:dyDescent="0.25">
      <c r="A2402" t="s">
        <v>7629</v>
      </c>
      <c r="B2402" t="s">
        <v>7630</v>
      </c>
      <c r="I2402" t="s">
        <v>7631</v>
      </c>
      <c r="J2402" s="3">
        <v>-5.8980270000000001E-2</v>
      </c>
      <c r="K2402" s="3">
        <v>-3.402264E-2</v>
      </c>
      <c r="L2402" s="3">
        <v>0.32091389999999997</v>
      </c>
    </row>
    <row r="2403" spans="1:12" x14ac:dyDescent="0.25">
      <c r="A2403" t="s">
        <v>7626</v>
      </c>
      <c r="B2403" t="s">
        <v>7627</v>
      </c>
      <c r="I2403" t="s">
        <v>7628</v>
      </c>
      <c r="J2403" s="3">
        <v>0.31554989999999999</v>
      </c>
      <c r="K2403" s="3">
        <v>-0.31399129999999997</v>
      </c>
      <c r="L2403" s="3">
        <v>8.3505990000000002E-2</v>
      </c>
    </row>
    <row r="2404" spans="1:12" x14ac:dyDescent="0.25">
      <c r="A2404" t="s">
        <v>7623</v>
      </c>
      <c r="B2404" t="s">
        <v>7624</v>
      </c>
      <c r="I2404" t="s">
        <v>7625</v>
      </c>
      <c r="J2404" s="3">
        <v>-0.2671154</v>
      </c>
      <c r="K2404" s="3">
        <v>-0.1034713</v>
      </c>
      <c r="L2404" s="3">
        <v>-0.2271948</v>
      </c>
    </row>
    <row r="2405" spans="1:12" x14ac:dyDescent="0.25">
      <c r="A2405" t="s">
        <v>7620</v>
      </c>
      <c r="B2405" t="s">
        <v>7621</v>
      </c>
      <c r="I2405" t="s">
        <v>7622</v>
      </c>
      <c r="J2405" s="3">
        <v>0.98925189999999996</v>
      </c>
      <c r="K2405" s="3">
        <v>0.58629869999999995</v>
      </c>
      <c r="L2405" s="3">
        <v>0.40346130000000002</v>
      </c>
    </row>
    <row r="2406" spans="1:12" x14ac:dyDescent="0.25">
      <c r="A2406" t="s">
        <v>7617</v>
      </c>
      <c r="B2406" t="s">
        <v>7618</v>
      </c>
      <c r="I2406" t="s">
        <v>7619</v>
      </c>
      <c r="J2406" s="3">
        <v>-0.19274440000000001</v>
      </c>
      <c r="K2406" s="3">
        <v>-0.2462396</v>
      </c>
      <c r="L2406" s="3">
        <v>-1.305281E-2</v>
      </c>
    </row>
    <row r="2407" spans="1:12" x14ac:dyDescent="0.25">
      <c r="A2407" t="s">
        <v>8672</v>
      </c>
      <c r="B2407" t="s">
        <v>8673</v>
      </c>
      <c r="I2407" t="s">
        <v>7616</v>
      </c>
      <c r="J2407" s="3">
        <v>-0.35419869999999998</v>
      </c>
      <c r="K2407" s="3">
        <v>-0.3274822</v>
      </c>
      <c r="L2407" s="3">
        <v>-0.47648410000000002</v>
      </c>
    </row>
    <row r="2408" spans="1:12" x14ac:dyDescent="0.25">
      <c r="A2408" t="s">
        <v>8671</v>
      </c>
      <c r="B2408" t="s">
        <v>957</v>
      </c>
      <c r="I2408" t="s">
        <v>455</v>
      </c>
      <c r="J2408" s="3">
        <v>-0.62877000000000005</v>
      </c>
      <c r="K2408" s="3">
        <v>-0.2567354</v>
      </c>
      <c r="L2408" s="3">
        <v>-0.57930320000000002</v>
      </c>
    </row>
    <row r="2409" spans="1:12" x14ac:dyDescent="0.25">
      <c r="A2409" t="s">
        <v>8668</v>
      </c>
      <c r="B2409" t="s">
        <v>8669</v>
      </c>
      <c r="I2409" t="s">
        <v>8670</v>
      </c>
      <c r="J2409" s="3">
        <v>0.15782589999999999</v>
      </c>
      <c r="K2409" s="3">
        <v>0.1195678</v>
      </c>
      <c r="L2409" s="3">
        <v>3.3747029999999997E-2</v>
      </c>
    </row>
    <row r="2410" spans="1:12" x14ac:dyDescent="0.25">
      <c r="A2410" t="s">
        <v>8665</v>
      </c>
      <c r="B2410" t="s">
        <v>8666</v>
      </c>
      <c r="I2410" t="s">
        <v>8667</v>
      </c>
      <c r="J2410" s="3">
        <v>0.1079724</v>
      </c>
      <c r="K2410" s="3">
        <v>1.453924E-2</v>
      </c>
      <c r="L2410" s="3">
        <v>9.5623009999999994E-2</v>
      </c>
    </row>
    <row r="2411" spans="1:12" x14ac:dyDescent="0.25">
      <c r="A2411" t="s">
        <v>8664</v>
      </c>
      <c r="B2411" t="s">
        <v>957</v>
      </c>
      <c r="I2411" t="s">
        <v>455</v>
      </c>
      <c r="J2411" s="3">
        <v>-0.1072106</v>
      </c>
      <c r="K2411" s="3">
        <v>-0.17146239999999999</v>
      </c>
      <c r="L2411" s="3">
        <v>-0.1196107</v>
      </c>
    </row>
    <row r="2412" spans="1:12" x14ac:dyDescent="0.25">
      <c r="A2412" t="s">
        <v>8661</v>
      </c>
      <c r="B2412" t="s">
        <v>8662</v>
      </c>
      <c r="I2412" t="s">
        <v>8663</v>
      </c>
      <c r="J2412" s="3">
        <v>-0.55024490000000004</v>
      </c>
      <c r="K2412" s="3">
        <v>-0.94035060000000004</v>
      </c>
      <c r="L2412" s="3">
        <v>-0.26289800000000002</v>
      </c>
    </row>
    <row r="2413" spans="1:12" x14ac:dyDescent="0.25">
      <c r="A2413" t="s">
        <v>8658</v>
      </c>
      <c r="B2413" t="s">
        <v>8659</v>
      </c>
      <c r="I2413" t="s">
        <v>8660</v>
      </c>
      <c r="J2413" s="3">
        <v>-0.17337730000000001</v>
      </c>
      <c r="K2413" s="3">
        <v>-0.2236639</v>
      </c>
      <c r="L2413" s="3">
        <v>-0.16126019999999999</v>
      </c>
    </row>
    <row r="2414" spans="1:12" x14ac:dyDescent="0.25">
      <c r="A2414" t="s">
        <v>8655</v>
      </c>
      <c r="B2414" t="s">
        <v>8656</v>
      </c>
      <c r="I2414" t="s">
        <v>8657</v>
      </c>
      <c r="J2414" s="3">
        <v>-0.48439310000000002</v>
      </c>
      <c r="K2414" s="3">
        <v>-0.2251824</v>
      </c>
      <c r="L2414" s="3">
        <v>-0.42466589999999999</v>
      </c>
    </row>
    <row r="2415" spans="1:12" x14ac:dyDescent="0.25">
      <c r="A2415" t="s">
        <v>8652</v>
      </c>
      <c r="B2415" t="s">
        <v>8653</v>
      </c>
      <c r="I2415" t="s">
        <v>8654</v>
      </c>
      <c r="J2415" s="3">
        <v>9.2509149999999998E-2</v>
      </c>
      <c r="K2415" s="3">
        <v>2.5181209999999999E-2</v>
      </c>
      <c r="L2415" s="3">
        <v>-2.4740999999999999E-2</v>
      </c>
    </row>
    <row r="2416" spans="1:12" x14ac:dyDescent="0.25">
      <c r="A2416" t="s">
        <v>8649</v>
      </c>
      <c r="B2416" t="s">
        <v>8650</v>
      </c>
      <c r="I2416" t="s">
        <v>8651</v>
      </c>
      <c r="J2416" s="3">
        <v>-9.7644499999999995E-2</v>
      </c>
      <c r="K2416" s="3">
        <v>-0.12535579999999999</v>
      </c>
      <c r="L2416" s="3">
        <v>-0.14587939999999999</v>
      </c>
    </row>
    <row r="2417" spans="1:12" x14ac:dyDescent="0.25">
      <c r="A2417" t="s">
        <v>8646</v>
      </c>
      <c r="B2417" t="s">
        <v>8647</v>
      </c>
      <c r="I2417" t="s">
        <v>8648</v>
      </c>
      <c r="J2417" s="3">
        <v>-0.20943490000000001</v>
      </c>
      <c r="K2417" s="3">
        <v>0.1714629</v>
      </c>
      <c r="L2417" s="3">
        <v>-0.19531680000000001</v>
      </c>
    </row>
    <row r="2418" spans="1:12" x14ac:dyDescent="0.25">
      <c r="A2418" t="s">
        <v>8645</v>
      </c>
      <c r="B2418" t="s">
        <v>957</v>
      </c>
      <c r="I2418" t="s">
        <v>156</v>
      </c>
      <c r="J2418" s="3">
        <v>0.1400768</v>
      </c>
      <c r="K2418" s="3">
        <v>0.10679710000000001</v>
      </c>
      <c r="L2418" s="3">
        <v>0.19628480000000001</v>
      </c>
    </row>
    <row r="2419" spans="1:12" x14ac:dyDescent="0.25">
      <c r="A2419" t="s">
        <v>8643</v>
      </c>
      <c r="B2419" t="s">
        <v>957</v>
      </c>
      <c r="I2419" t="s">
        <v>8644</v>
      </c>
      <c r="J2419" s="3">
        <v>0.21938730000000001</v>
      </c>
      <c r="K2419" s="3">
        <v>0.33513999999999999</v>
      </c>
      <c r="L2419" s="3">
        <v>0.49567860000000002</v>
      </c>
    </row>
    <row r="2420" spans="1:12" x14ac:dyDescent="0.25">
      <c r="A2420" t="s">
        <v>8640</v>
      </c>
      <c r="B2420" t="s">
        <v>8641</v>
      </c>
      <c r="I2420" t="s">
        <v>8642</v>
      </c>
      <c r="J2420" s="3">
        <v>-0.25095400000000001</v>
      </c>
      <c r="K2420" s="3">
        <v>-1.023272</v>
      </c>
      <c r="L2420" s="3">
        <v>-0.1880394</v>
      </c>
    </row>
    <row r="2421" spans="1:12" x14ac:dyDescent="0.25">
      <c r="A2421" t="s">
        <v>8637</v>
      </c>
      <c r="B2421" t="s">
        <v>8638</v>
      </c>
      <c r="I2421" t="s">
        <v>8639</v>
      </c>
      <c r="J2421" s="3">
        <v>3.258345E-2</v>
      </c>
      <c r="K2421" s="3">
        <v>0.1386261</v>
      </c>
      <c r="L2421" s="3">
        <v>7.2643810000000003E-2</v>
      </c>
    </row>
    <row r="2422" spans="1:12" x14ac:dyDescent="0.25">
      <c r="A2422" t="s">
        <v>8634</v>
      </c>
      <c r="B2422" t="s">
        <v>8635</v>
      </c>
      <c r="I2422" t="s">
        <v>8636</v>
      </c>
      <c r="J2422" s="3">
        <v>-0.77137549999999999</v>
      </c>
      <c r="K2422" s="3">
        <v>-1.193192</v>
      </c>
      <c r="L2422" s="3">
        <v>-0.55591820000000003</v>
      </c>
    </row>
    <row r="2423" spans="1:12" x14ac:dyDescent="0.25">
      <c r="A2423" t="s">
        <v>8631</v>
      </c>
      <c r="B2423" t="s">
        <v>8632</v>
      </c>
      <c r="I2423" t="s">
        <v>8633</v>
      </c>
      <c r="J2423" s="3">
        <v>9.7460400000000003E-2</v>
      </c>
      <c r="K2423" s="3">
        <v>-0.12639810000000001</v>
      </c>
      <c r="L2423" s="3">
        <v>-1.3140779999999999E-2</v>
      </c>
    </row>
    <row r="2424" spans="1:12" x14ac:dyDescent="0.25">
      <c r="A2424" t="s">
        <v>8629</v>
      </c>
      <c r="B2424" t="s">
        <v>8630</v>
      </c>
      <c r="I2424" t="s">
        <v>3615</v>
      </c>
      <c r="J2424" s="3">
        <v>1.3063899999999999</v>
      </c>
      <c r="K2424" s="3">
        <v>2.0142139999999999</v>
      </c>
      <c r="L2424" s="3">
        <v>1.0414060000000001</v>
      </c>
    </row>
    <row r="2425" spans="1:12" x14ac:dyDescent="0.25">
      <c r="A2425" t="s">
        <v>8626</v>
      </c>
      <c r="B2425" t="s">
        <v>8627</v>
      </c>
      <c r="I2425" t="s">
        <v>8628</v>
      </c>
      <c r="J2425" s="3">
        <v>4.9900380000000001E-2</v>
      </c>
      <c r="K2425" s="3">
        <v>0.76184739999999995</v>
      </c>
      <c r="L2425" s="3">
        <v>0.37424679999999999</v>
      </c>
    </row>
    <row r="2426" spans="1:12" x14ac:dyDescent="0.25">
      <c r="A2426" t="s">
        <v>8623</v>
      </c>
      <c r="B2426" t="s">
        <v>8624</v>
      </c>
      <c r="I2426" t="s">
        <v>8625</v>
      </c>
      <c r="J2426" s="3">
        <v>0.51778659999999999</v>
      </c>
      <c r="K2426" s="3">
        <v>0.43908429999999998</v>
      </c>
      <c r="L2426" s="3">
        <v>0.37158770000000002</v>
      </c>
    </row>
    <row r="2427" spans="1:12" x14ac:dyDescent="0.25">
      <c r="A2427" t="s">
        <v>8622</v>
      </c>
      <c r="B2427" t="s">
        <v>957</v>
      </c>
      <c r="I2427" t="s">
        <v>455</v>
      </c>
      <c r="J2427" s="3">
        <v>0.98020130000000005</v>
      </c>
      <c r="K2427" s="3">
        <v>-9.0650400000000006E-2</v>
      </c>
      <c r="L2427" s="3">
        <v>0.61263369999999995</v>
      </c>
    </row>
    <row r="2428" spans="1:12" x14ac:dyDescent="0.25">
      <c r="A2428" t="s">
        <v>8619</v>
      </c>
      <c r="B2428" t="s">
        <v>8620</v>
      </c>
      <c r="I2428" t="s">
        <v>8621</v>
      </c>
      <c r="J2428" s="3">
        <v>-0.22208919999999999</v>
      </c>
      <c r="K2428" s="3">
        <v>-0.16314580000000001</v>
      </c>
      <c r="L2428" s="3">
        <v>3.4224289999999998E-3</v>
      </c>
    </row>
    <row r="2429" spans="1:12" x14ac:dyDescent="0.25">
      <c r="A2429" t="s">
        <v>8616</v>
      </c>
      <c r="B2429" t="s">
        <v>8617</v>
      </c>
      <c r="I2429" t="s">
        <v>8618</v>
      </c>
      <c r="J2429" s="3">
        <v>-0.52802890000000002</v>
      </c>
      <c r="K2429" s="3">
        <v>-0.81621469999999996</v>
      </c>
      <c r="L2429" s="3">
        <v>-0.57109390000000004</v>
      </c>
    </row>
    <row r="2430" spans="1:12" x14ac:dyDescent="0.25">
      <c r="A2430" t="s">
        <v>8615</v>
      </c>
      <c r="B2430" t="s">
        <v>957</v>
      </c>
      <c r="I2430" t="s">
        <v>455</v>
      </c>
      <c r="J2430" s="3">
        <v>0.26859260000000001</v>
      </c>
      <c r="K2430" s="3">
        <v>0.27134229999999998</v>
      </c>
      <c r="L2430" s="3">
        <v>0.2943211</v>
      </c>
    </row>
    <row r="2431" spans="1:12" x14ac:dyDescent="0.25">
      <c r="A2431" t="s">
        <v>8612</v>
      </c>
      <c r="B2431" t="s">
        <v>8613</v>
      </c>
      <c r="I2431" t="s">
        <v>8614</v>
      </c>
      <c r="J2431" s="3">
        <v>-0.1216743</v>
      </c>
      <c r="K2431" s="3">
        <v>0.16569539999999999</v>
      </c>
      <c r="L2431" s="3">
        <v>4.5663080000000002E-2</v>
      </c>
    </row>
    <row r="2432" spans="1:12" x14ac:dyDescent="0.25">
      <c r="A2432" t="s">
        <v>8609</v>
      </c>
      <c r="B2432" t="s">
        <v>8610</v>
      </c>
      <c r="I2432" t="s">
        <v>8611</v>
      </c>
      <c r="J2432" s="3">
        <v>-1.8146019999999999E-2</v>
      </c>
      <c r="K2432" s="3">
        <v>-2.8877779999999999E-2</v>
      </c>
      <c r="L2432" s="3">
        <v>0.1102436</v>
      </c>
    </row>
    <row r="2433" spans="1:12" x14ac:dyDescent="0.25">
      <c r="A2433" t="s">
        <v>8606</v>
      </c>
      <c r="B2433" t="s">
        <v>8607</v>
      </c>
      <c r="I2433" t="s">
        <v>8608</v>
      </c>
      <c r="J2433" s="3">
        <v>-0.4041247</v>
      </c>
      <c r="K2433" s="3">
        <v>-0.56701210000000002</v>
      </c>
      <c r="L2433" s="3">
        <v>-0.56816449999999996</v>
      </c>
    </row>
    <row r="2434" spans="1:12" x14ac:dyDescent="0.25">
      <c r="A2434" t="s">
        <v>8603</v>
      </c>
      <c r="B2434" t="s">
        <v>8604</v>
      </c>
      <c r="I2434" t="s">
        <v>8605</v>
      </c>
      <c r="J2434" s="3">
        <v>0.3096661</v>
      </c>
      <c r="K2434" s="3">
        <v>0.75165210000000005</v>
      </c>
      <c r="L2434" s="3">
        <v>0.51195239999999997</v>
      </c>
    </row>
    <row r="2435" spans="1:12" x14ac:dyDescent="0.25">
      <c r="A2435" t="s">
        <v>8600</v>
      </c>
      <c r="B2435" t="s">
        <v>8601</v>
      </c>
      <c r="I2435" t="s">
        <v>8602</v>
      </c>
      <c r="J2435" s="3">
        <v>5.4497940000000002E-2</v>
      </c>
      <c r="K2435" s="3">
        <v>-7.532076E-2</v>
      </c>
      <c r="L2435" s="3">
        <v>2.7135570000000001E-2</v>
      </c>
    </row>
    <row r="2436" spans="1:12" x14ac:dyDescent="0.25">
      <c r="A2436" t="s">
        <v>8597</v>
      </c>
      <c r="B2436" t="s">
        <v>8598</v>
      </c>
      <c r="I2436" t="s">
        <v>8599</v>
      </c>
      <c r="J2436" s="3">
        <v>1.0217130000000001</v>
      </c>
      <c r="K2436" s="3">
        <v>1.0462400000000001</v>
      </c>
      <c r="L2436" s="3">
        <v>0.73683319999999997</v>
      </c>
    </row>
    <row r="2437" spans="1:12" x14ac:dyDescent="0.25">
      <c r="A2437" t="s">
        <v>8595</v>
      </c>
      <c r="B2437" t="s">
        <v>8596</v>
      </c>
      <c r="I2437" t="s">
        <v>5372</v>
      </c>
      <c r="J2437" s="3">
        <v>-0.40135520000000002</v>
      </c>
      <c r="K2437" s="3">
        <v>-1.043809</v>
      </c>
      <c r="L2437" s="3">
        <v>-0.43399860000000001</v>
      </c>
    </row>
    <row r="2438" spans="1:12" x14ac:dyDescent="0.25">
      <c r="A2438" t="s">
        <v>8592</v>
      </c>
      <c r="B2438" t="s">
        <v>8593</v>
      </c>
      <c r="I2438" t="s">
        <v>8594</v>
      </c>
      <c r="J2438" s="3">
        <v>0.51602599999999998</v>
      </c>
      <c r="K2438" s="3">
        <v>0.79095479999999996</v>
      </c>
      <c r="L2438" s="3">
        <v>0.74857940000000001</v>
      </c>
    </row>
    <row r="2439" spans="1:12" x14ac:dyDescent="0.25">
      <c r="A2439" t="s">
        <v>8589</v>
      </c>
      <c r="B2439" t="s">
        <v>8590</v>
      </c>
      <c r="I2439" t="s">
        <v>8591</v>
      </c>
      <c r="J2439" s="3">
        <v>-0.25280380000000002</v>
      </c>
      <c r="K2439" s="3">
        <v>5.1726420000000002E-2</v>
      </c>
      <c r="L2439" s="3">
        <v>-0.22573460000000001</v>
      </c>
    </row>
    <row r="2440" spans="1:12" x14ac:dyDescent="0.25">
      <c r="A2440" t="s">
        <v>8587</v>
      </c>
      <c r="B2440" t="s">
        <v>8588</v>
      </c>
      <c r="I2440" t="s">
        <v>1934</v>
      </c>
      <c r="J2440" s="3">
        <v>-0.34411580000000003</v>
      </c>
      <c r="K2440" s="3">
        <v>-0.75308830000000004</v>
      </c>
      <c r="L2440" s="3">
        <v>-0.27073069999999999</v>
      </c>
    </row>
    <row r="2441" spans="1:12" x14ac:dyDescent="0.25">
      <c r="A2441" t="s">
        <v>8584</v>
      </c>
      <c r="B2441" t="s">
        <v>8585</v>
      </c>
      <c r="I2441" t="s">
        <v>8586</v>
      </c>
      <c r="J2441" s="3">
        <v>0.1668724</v>
      </c>
      <c r="K2441" s="3">
        <v>-0.1422023</v>
      </c>
      <c r="L2441" s="3">
        <v>0.1231086</v>
      </c>
    </row>
    <row r="2442" spans="1:12" x14ac:dyDescent="0.25">
      <c r="A2442" t="s">
        <v>8583</v>
      </c>
      <c r="B2442" t="s">
        <v>957</v>
      </c>
      <c r="I2442" t="s">
        <v>455</v>
      </c>
      <c r="J2442" s="3">
        <v>0.48664639999999998</v>
      </c>
      <c r="K2442" s="3">
        <v>0.95481859999999996</v>
      </c>
      <c r="L2442" s="3">
        <v>0.60177340000000001</v>
      </c>
    </row>
    <row r="2443" spans="1:12" x14ac:dyDescent="0.25">
      <c r="A2443" t="s">
        <v>8582</v>
      </c>
      <c r="B2443" t="s">
        <v>957</v>
      </c>
      <c r="I2443" t="s">
        <v>2008</v>
      </c>
      <c r="J2443" s="3">
        <v>-0.68402070000000004</v>
      </c>
      <c r="K2443" s="3">
        <v>0.15181120000000001</v>
      </c>
      <c r="L2443" s="3">
        <v>-0.34374070000000001</v>
      </c>
    </row>
    <row r="2444" spans="1:12" x14ac:dyDescent="0.25">
      <c r="A2444" t="s">
        <v>8579</v>
      </c>
      <c r="B2444" t="s">
        <v>8580</v>
      </c>
      <c r="I2444" t="s">
        <v>8581</v>
      </c>
      <c r="J2444" s="3">
        <v>0.18986220000000001</v>
      </c>
      <c r="K2444" s="3">
        <v>-0.44465329999999997</v>
      </c>
      <c r="L2444" s="3">
        <v>0.13204569999999999</v>
      </c>
    </row>
    <row r="2445" spans="1:12" x14ac:dyDescent="0.25">
      <c r="A2445" t="s">
        <v>7503</v>
      </c>
      <c r="B2445" t="s">
        <v>7504</v>
      </c>
      <c r="I2445" t="s">
        <v>8578</v>
      </c>
      <c r="J2445" s="3">
        <v>3.9991369999999998E-2</v>
      </c>
      <c r="K2445" s="3">
        <v>-0.13800960000000001</v>
      </c>
      <c r="L2445" s="3">
        <v>-0.24133859999999999</v>
      </c>
    </row>
    <row r="2446" spans="1:12" x14ac:dyDescent="0.25">
      <c r="A2446" t="s">
        <v>7500</v>
      </c>
      <c r="B2446" t="s">
        <v>7501</v>
      </c>
      <c r="I2446" t="s">
        <v>7502</v>
      </c>
      <c r="J2446" s="3">
        <v>-0.91320599999999996</v>
      </c>
      <c r="K2446" s="3">
        <v>-0.91289489999999995</v>
      </c>
      <c r="L2446" s="3">
        <v>-0.94588749999999999</v>
      </c>
    </row>
    <row r="2447" spans="1:12" x14ac:dyDescent="0.25">
      <c r="A2447" t="s">
        <v>7497</v>
      </c>
      <c r="B2447" t="s">
        <v>7498</v>
      </c>
      <c r="I2447" t="s">
        <v>7499</v>
      </c>
      <c r="J2447" s="3">
        <v>0.43822050000000001</v>
      </c>
      <c r="K2447" s="3">
        <v>0.31981599999999999</v>
      </c>
      <c r="L2447" s="3">
        <v>0.5491935</v>
      </c>
    </row>
    <row r="2448" spans="1:12" x14ac:dyDescent="0.25">
      <c r="A2448" t="s">
        <v>7494</v>
      </c>
      <c r="B2448" t="s">
        <v>7495</v>
      </c>
      <c r="I2448" t="s">
        <v>7496</v>
      </c>
      <c r="J2448" s="3">
        <v>-0.52382799999999996</v>
      </c>
      <c r="K2448" s="3">
        <v>-0.768042</v>
      </c>
      <c r="L2448" s="3">
        <v>-0.31405319999999998</v>
      </c>
    </row>
    <row r="2449" spans="1:12" x14ac:dyDescent="0.25">
      <c r="A2449" t="s">
        <v>7491</v>
      </c>
      <c r="B2449" t="s">
        <v>7492</v>
      </c>
      <c r="I2449" t="s">
        <v>7493</v>
      </c>
      <c r="J2449" s="3">
        <v>-0.36288160000000003</v>
      </c>
      <c r="K2449" s="3">
        <v>-0.7785107</v>
      </c>
      <c r="L2449" s="3">
        <v>-0.603603</v>
      </c>
    </row>
    <row r="2450" spans="1:12" x14ac:dyDescent="0.25">
      <c r="A2450" t="s">
        <v>7488</v>
      </c>
      <c r="B2450" t="s">
        <v>7489</v>
      </c>
      <c r="I2450" t="s">
        <v>7490</v>
      </c>
      <c r="J2450" s="3">
        <v>6.5150700000000006E-2</v>
      </c>
      <c r="K2450" s="3">
        <v>4.0867170000000001E-2</v>
      </c>
      <c r="L2450" s="3">
        <v>4.4569890000000001E-2</v>
      </c>
    </row>
    <row r="2451" spans="1:12" x14ac:dyDescent="0.25">
      <c r="A2451" t="s">
        <v>7485</v>
      </c>
      <c r="B2451" t="s">
        <v>7486</v>
      </c>
      <c r="I2451" t="s">
        <v>7487</v>
      </c>
      <c r="J2451" s="3">
        <v>-0.69870259999999995</v>
      </c>
      <c r="K2451" s="3">
        <v>-1.193956</v>
      </c>
      <c r="L2451" s="3">
        <v>-0.39007399999999998</v>
      </c>
    </row>
    <row r="2452" spans="1:12" x14ac:dyDescent="0.25">
      <c r="A2452" t="s">
        <v>7484</v>
      </c>
      <c r="B2452" t="s">
        <v>957</v>
      </c>
      <c r="I2452" t="s">
        <v>2</v>
      </c>
      <c r="J2452" s="3">
        <v>-0.51628569999999996</v>
      </c>
      <c r="K2452" s="3">
        <v>-0.59616829999999998</v>
      </c>
      <c r="L2452" s="3">
        <v>-0.58283940000000001</v>
      </c>
    </row>
    <row r="2453" spans="1:12" x14ac:dyDescent="0.25">
      <c r="A2453" t="s">
        <v>7481</v>
      </c>
      <c r="B2453" t="s">
        <v>7482</v>
      </c>
      <c r="I2453" t="s">
        <v>7483</v>
      </c>
      <c r="J2453" s="3">
        <v>-0.75144279999999997</v>
      </c>
      <c r="K2453" s="3">
        <v>-8.7547949999999999E-2</v>
      </c>
      <c r="L2453" s="3">
        <v>-0.22113350000000001</v>
      </c>
    </row>
    <row r="2454" spans="1:12" x14ac:dyDescent="0.25">
      <c r="A2454" t="s">
        <v>7478</v>
      </c>
      <c r="B2454" t="s">
        <v>7479</v>
      </c>
      <c r="I2454" t="s">
        <v>7480</v>
      </c>
      <c r="J2454" s="3">
        <v>0.53929139999999998</v>
      </c>
      <c r="K2454" s="3">
        <v>8.3772110000000007E-3</v>
      </c>
      <c r="L2454" s="3">
        <v>0.72261529999999996</v>
      </c>
    </row>
    <row r="2455" spans="1:12" x14ac:dyDescent="0.25">
      <c r="A2455" t="s">
        <v>7477</v>
      </c>
      <c r="B2455" t="s">
        <v>957</v>
      </c>
      <c r="I2455" t="s">
        <v>455</v>
      </c>
      <c r="J2455" s="3">
        <v>0.35515570000000002</v>
      </c>
      <c r="K2455" s="3">
        <v>0.30249740000000003</v>
      </c>
      <c r="L2455" s="3">
        <v>0.38394099999999998</v>
      </c>
    </row>
    <row r="2456" spans="1:12" x14ac:dyDescent="0.25">
      <c r="A2456" t="s">
        <v>7475</v>
      </c>
      <c r="B2456" t="s">
        <v>957</v>
      </c>
      <c r="I2456" t="s">
        <v>7476</v>
      </c>
      <c r="J2456" s="3">
        <v>-0.29724080000000003</v>
      </c>
      <c r="K2456" s="3">
        <v>-0.59666419999999998</v>
      </c>
      <c r="L2456" s="3">
        <v>7.9819299999999996E-2</v>
      </c>
    </row>
    <row r="2457" spans="1:12" x14ac:dyDescent="0.25">
      <c r="A2457" t="s">
        <v>8542</v>
      </c>
      <c r="B2457" t="s">
        <v>8543</v>
      </c>
      <c r="I2457" t="s">
        <v>7474</v>
      </c>
      <c r="J2457" s="3">
        <v>-0.65274010000000005</v>
      </c>
      <c r="K2457" s="3">
        <v>-0.13938710000000001</v>
      </c>
      <c r="L2457" s="3">
        <v>-0.35418880000000003</v>
      </c>
    </row>
    <row r="2458" spans="1:12" x14ac:dyDescent="0.25">
      <c r="A2458" t="s">
        <v>8539</v>
      </c>
      <c r="B2458" t="s">
        <v>8540</v>
      </c>
      <c r="I2458" t="s">
        <v>8541</v>
      </c>
      <c r="J2458" s="3">
        <v>-0.34958420000000001</v>
      </c>
      <c r="K2458" s="3">
        <v>-0.46624139999999997</v>
      </c>
      <c r="L2458" s="3">
        <v>-0.18631590000000001</v>
      </c>
    </row>
    <row r="2459" spans="1:12" x14ac:dyDescent="0.25">
      <c r="A2459" t="s">
        <v>8538</v>
      </c>
      <c r="B2459" t="s">
        <v>957</v>
      </c>
      <c r="I2459" t="s">
        <v>455</v>
      </c>
      <c r="J2459" s="3">
        <v>-6.032883E-2</v>
      </c>
      <c r="K2459" s="3">
        <v>-0.1108966</v>
      </c>
      <c r="L2459" s="3">
        <v>-0.1964834</v>
      </c>
    </row>
    <row r="2460" spans="1:12" x14ac:dyDescent="0.25">
      <c r="A2460" t="s">
        <v>8535</v>
      </c>
      <c r="B2460" t="s">
        <v>8536</v>
      </c>
      <c r="I2460" t="s">
        <v>8537</v>
      </c>
      <c r="J2460" s="3">
        <v>0.28036800000000001</v>
      </c>
      <c r="K2460" s="3">
        <v>0.12389600000000001</v>
      </c>
      <c r="L2460" s="3">
        <v>0.31894990000000001</v>
      </c>
    </row>
    <row r="2461" spans="1:12" x14ac:dyDescent="0.25">
      <c r="A2461" t="s">
        <v>8534</v>
      </c>
      <c r="B2461" t="s">
        <v>957</v>
      </c>
      <c r="I2461" t="s">
        <v>455</v>
      </c>
      <c r="J2461" s="3">
        <v>-0.59231710000000004</v>
      </c>
      <c r="K2461" s="3">
        <v>-0.75505750000000005</v>
      </c>
      <c r="L2461" s="3">
        <v>-0.26248650000000001</v>
      </c>
    </row>
    <row r="2462" spans="1:12" x14ac:dyDescent="0.25">
      <c r="A2462" t="s">
        <v>8532</v>
      </c>
      <c r="B2462" t="s">
        <v>957</v>
      </c>
      <c r="I2462" t="s">
        <v>8533</v>
      </c>
      <c r="J2462" s="3">
        <v>0.4841684</v>
      </c>
      <c r="K2462" s="3">
        <v>0.85002540000000004</v>
      </c>
      <c r="L2462" s="3">
        <v>0.46845229999999999</v>
      </c>
    </row>
    <row r="2463" spans="1:12" x14ac:dyDescent="0.25">
      <c r="A2463" t="s">
        <v>8529</v>
      </c>
      <c r="B2463" t="s">
        <v>8530</v>
      </c>
      <c r="I2463" t="s">
        <v>8531</v>
      </c>
      <c r="J2463" s="3">
        <v>-8.9007849999999999E-2</v>
      </c>
      <c r="K2463" s="3">
        <v>-0.33292040000000001</v>
      </c>
      <c r="L2463" s="3">
        <v>-0.17884659999999999</v>
      </c>
    </row>
    <row r="2464" spans="1:12" x14ac:dyDescent="0.25">
      <c r="A2464" t="s">
        <v>8526</v>
      </c>
      <c r="B2464" t="s">
        <v>8527</v>
      </c>
      <c r="I2464" t="s">
        <v>8528</v>
      </c>
      <c r="J2464" s="3">
        <v>-0.35664469999999998</v>
      </c>
      <c r="K2464" s="3">
        <v>-0.71944969999999997</v>
      </c>
      <c r="L2464" s="3">
        <v>-0.3760097</v>
      </c>
    </row>
    <row r="2465" spans="1:12" x14ac:dyDescent="0.25">
      <c r="A2465" t="s">
        <v>8523</v>
      </c>
      <c r="B2465" t="s">
        <v>8524</v>
      </c>
      <c r="I2465" t="s">
        <v>8525</v>
      </c>
      <c r="J2465" s="3">
        <v>-0.10999009999999999</v>
      </c>
      <c r="K2465" s="3">
        <v>0.10338070000000001</v>
      </c>
      <c r="L2465" s="3">
        <v>0.68476079999999995</v>
      </c>
    </row>
    <row r="2466" spans="1:12" x14ac:dyDescent="0.25">
      <c r="A2466" t="s">
        <v>8520</v>
      </c>
      <c r="B2466" t="s">
        <v>8521</v>
      </c>
      <c r="I2466" t="s">
        <v>8522</v>
      </c>
      <c r="J2466" s="3">
        <v>0.6504162</v>
      </c>
      <c r="K2466" s="3">
        <v>1.8706849999999999</v>
      </c>
      <c r="L2466" s="3">
        <v>0.38488499999999998</v>
      </c>
    </row>
    <row r="2467" spans="1:12" x14ac:dyDescent="0.25">
      <c r="A2467" t="s">
        <v>8518</v>
      </c>
      <c r="B2467" t="s">
        <v>957</v>
      </c>
      <c r="I2467" t="s">
        <v>8519</v>
      </c>
      <c r="J2467" s="3">
        <v>0.30680809999999997</v>
      </c>
      <c r="K2467" s="3">
        <v>0.18517690000000001</v>
      </c>
      <c r="L2467" s="3">
        <v>0.27934900000000001</v>
      </c>
    </row>
    <row r="2468" spans="1:12" x14ac:dyDescent="0.25">
      <c r="A2468" t="s">
        <v>8515</v>
      </c>
      <c r="B2468" t="s">
        <v>8516</v>
      </c>
      <c r="I2468" t="s">
        <v>8517</v>
      </c>
      <c r="J2468" s="3">
        <v>3.2056580000000001</v>
      </c>
      <c r="K2468" s="3">
        <v>3.8334419999999998</v>
      </c>
      <c r="L2468" s="3">
        <v>2.0626319999999998</v>
      </c>
    </row>
    <row r="2469" spans="1:12" x14ac:dyDescent="0.25">
      <c r="A2469" t="s">
        <v>8514</v>
      </c>
      <c r="B2469" t="s">
        <v>957</v>
      </c>
      <c r="I2469" t="s">
        <v>455</v>
      </c>
      <c r="J2469" s="3">
        <v>1.5732710000000001</v>
      </c>
      <c r="K2469" s="3">
        <v>2.8424640000000001</v>
      </c>
      <c r="L2469" s="3">
        <v>1.3573010000000001</v>
      </c>
    </row>
    <row r="2470" spans="1:12" x14ac:dyDescent="0.25">
      <c r="A2470" t="s">
        <v>7442</v>
      </c>
      <c r="B2470" t="s">
        <v>14211</v>
      </c>
      <c r="C2470" t="s">
        <v>14212</v>
      </c>
      <c r="I2470" t="s">
        <v>8513</v>
      </c>
      <c r="J2470" s="3">
        <v>0.39373530000000001</v>
      </c>
      <c r="K2470" s="3">
        <v>0.1186412</v>
      </c>
      <c r="L2470" s="3">
        <v>0.31539329999999999</v>
      </c>
    </row>
    <row r="2471" spans="1:12" x14ac:dyDescent="0.25">
      <c r="A2471" t="s">
        <v>7439</v>
      </c>
      <c r="B2471" t="s">
        <v>7440</v>
      </c>
      <c r="I2471" t="s">
        <v>7441</v>
      </c>
      <c r="J2471" s="3">
        <v>-4.0449300000000001E-2</v>
      </c>
      <c r="K2471" s="3">
        <v>0.1630298</v>
      </c>
      <c r="L2471" s="3">
        <v>-8.4299760000000001E-2</v>
      </c>
    </row>
    <row r="2472" spans="1:12" x14ac:dyDescent="0.25">
      <c r="A2472" t="s">
        <v>7436</v>
      </c>
      <c r="B2472" t="s">
        <v>7437</v>
      </c>
      <c r="I2472" t="s">
        <v>7438</v>
      </c>
      <c r="J2472" s="3">
        <v>-0.93631180000000003</v>
      </c>
      <c r="K2472" s="3">
        <v>0.59590019999999999</v>
      </c>
      <c r="L2472" s="3">
        <v>0.97486799999999996</v>
      </c>
    </row>
    <row r="2473" spans="1:12" x14ac:dyDescent="0.25">
      <c r="A2473" t="s">
        <v>7433</v>
      </c>
      <c r="B2473" t="s">
        <v>7434</v>
      </c>
      <c r="I2473" t="s">
        <v>7435</v>
      </c>
      <c r="J2473" s="3">
        <v>-0.43082670000000001</v>
      </c>
      <c r="K2473" s="3">
        <v>-0.57373859999999999</v>
      </c>
      <c r="L2473" s="3">
        <v>-0.40845090000000001</v>
      </c>
    </row>
    <row r="2474" spans="1:12" x14ac:dyDescent="0.25">
      <c r="A2474" t="s">
        <v>7430</v>
      </c>
      <c r="B2474" t="s">
        <v>7431</v>
      </c>
      <c r="I2474" t="s">
        <v>7432</v>
      </c>
      <c r="J2474" s="3">
        <v>-0.27627689999999999</v>
      </c>
      <c r="K2474" s="3">
        <v>-0.1171135</v>
      </c>
      <c r="L2474" s="3">
        <v>-0.1323674</v>
      </c>
    </row>
    <row r="2475" spans="1:12" x14ac:dyDescent="0.25">
      <c r="A2475" t="s">
        <v>7427</v>
      </c>
      <c r="B2475" t="s">
        <v>7428</v>
      </c>
      <c r="I2475" t="s">
        <v>7429</v>
      </c>
      <c r="J2475" s="3">
        <v>-0.12197719999999999</v>
      </c>
      <c r="K2475" s="3">
        <v>-1.043358</v>
      </c>
      <c r="L2475" s="3">
        <v>-4.4610379999999998E-2</v>
      </c>
    </row>
    <row r="2476" spans="1:12" x14ac:dyDescent="0.25">
      <c r="A2476" t="s">
        <v>7425</v>
      </c>
      <c r="B2476" t="s">
        <v>7426</v>
      </c>
      <c r="I2476" t="s">
        <v>593</v>
      </c>
      <c r="J2476" s="3">
        <v>-0.97124999999999995</v>
      </c>
      <c r="K2476" s="3">
        <v>-0.76616810000000002</v>
      </c>
      <c r="L2476" s="3">
        <v>-0.5985182</v>
      </c>
    </row>
    <row r="2477" spans="1:12" x14ac:dyDescent="0.25">
      <c r="A2477" t="s">
        <v>7422</v>
      </c>
      <c r="B2477" t="s">
        <v>7423</v>
      </c>
      <c r="I2477" t="s">
        <v>7424</v>
      </c>
      <c r="J2477" s="3">
        <v>-0.1526806</v>
      </c>
      <c r="K2477" s="3">
        <v>-7.1764120000000001E-2</v>
      </c>
      <c r="L2477" s="3">
        <v>-0.19715920000000001</v>
      </c>
    </row>
    <row r="2478" spans="1:12" x14ac:dyDescent="0.25">
      <c r="A2478" t="s">
        <v>7419</v>
      </c>
      <c r="B2478" t="s">
        <v>7420</v>
      </c>
      <c r="I2478" t="s">
        <v>7421</v>
      </c>
      <c r="J2478" s="3">
        <v>3.8401629999999999E-2</v>
      </c>
      <c r="K2478" s="3">
        <v>-0.22380510000000001</v>
      </c>
      <c r="L2478" s="3">
        <v>0.38395820000000003</v>
      </c>
    </row>
    <row r="2479" spans="1:12" x14ac:dyDescent="0.25">
      <c r="A2479" t="s">
        <v>7416</v>
      </c>
      <c r="B2479" t="s">
        <v>7417</v>
      </c>
      <c r="I2479" t="s">
        <v>7418</v>
      </c>
      <c r="J2479" s="3">
        <v>0.54719850000000003</v>
      </c>
      <c r="K2479" s="3">
        <v>-0.10254630000000001</v>
      </c>
      <c r="L2479" s="3">
        <v>0.25588490000000003</v>
      </c>
    </row>
    <row r="2480" spans="1:12" x14ac:dyDescent="0.25">
      <c r="A2480" t="s">
        <v>7415</v>
      </c>
      <c r="B2480" t="s">
        <v>957</v>
      </c>
      <c r="I2480" t="s">
        <v>455</v>
      </c>
      <c r="J2480" s="3">
        <v>-6.9745680000000004E-2</v>
      </c>
      <c r="K2480" s="3">
        <v>0.45934340000000001</v>
      </c>
      <c r="L2480" s="3">
        <v>-0.17085900000000001</v>
      </c>
    </row>
    <row r="2481" spans="1:12" x14ac:dyDescent="0.25">
      <c r="A2481" t="s">
        <v>7412</v>
      </c>
      <c r="B2481" t="s">
        <v>7413</v>
      </c>
      <c r="I2481" t="s">
        <v>7414</v>
      </c>
      <c r="J2481" s="3">
        <v>-0.92622349999999998</v>
      </c>
      <c r="K2481" s="3">
        <v>-1.1108</v>
      </c>
      <c r="L2481" s="3">
        <v>-0.13146440000000001</v>
      </c>
    </row>
    <row r="2482" spans="1:12" x14ac:dyDescent="0.25">
      <c r="A2482" t="s">
        <v>7409</v>
      </c>
      <c r="B2482" t="s">
        <v>7410</v>
      </c>
      <c r="I2482" t="s">
        <v>7411</v>
      </c>
      <c r="J2482" s="3">
        <v>-0.14931920000000001</v>
      </c>
      <c r="K2482" s="3">
        <v>-0.13448019999999999</v>
      </c>
      <c r="L2482" s="3">
        <v>0.30851410000000001</v>
      </c>
    </row>
    <row r="2483" spans="1:12" x14ac:dyDescent="0.25">
      <c r="A2483" t="s">
        <v>7406</v>
      </c>
      <c r="B2483" t="s">
        <v>7407</v>
      </c>
      <c r="I2483" t="s">
        <v>7408</v>
      </c>
      <c r="J2483" s="3">
        <v>-2.066668E-2</v>
      </c>
      <c r="K2483" s="3">
        <v>-0.47674889999999998</v>
      </c>
      <c r="L2483" s="3">
        <v>-9.5733299999999993E-2</v>
      </c>
    </row>
    <row r="2484" spans="1:12" x14ac:dyDescent="0.25">
      <c r="A2484" t="s">
        <v>7404</v>
      </c>
      <c r="B2484" t="s">
        <v>7405</v>
      </c>
      <c r="I2484" t="s">
        <v>455</v>
      </c>
      <c r="J2484" s="3">
        <v>0.34321390000000002</v>
      </c>
      <c r="K2484" s="3">
        <v>0.16484219999999999</v>
      </c>
      <c r="L2484" s="3">
        <v>5.0622029999999998E-2</v>
      </c>
    </row>
    <row r="2485" spans="1:12" x14ac:dyDescent="0.25">
      <c r="A2485" t="s">
        <v>7401</v>
      </c>
      <c r="B2485" t="s">
        <v>7402</v>
      </c>
      <c r="I2485" t="s">
        <v>7403</v>
      </c>
      <c r="J2485" s="3">
        <v>-0.55267659999999996</v>
      </c>
      <c r="K2485" s="3">
        <v>-0.71278730000000001</v>
      </c>
      <c r="L2485" s="3">
        <v>8.1263489999999994E-2</v>
      </c>
    </row>
    <row r="2486" spans="1:12" x14ac:dyDescent="0.25">
      <c r="A2486" t="s">
        <v>7398</v>
      </c>
      <c r="B2486" t="s">
        <v>7399</v>
      </c>
      <c r="I2486" t="s">
        <v>7400</v>
      </c>
      <c r="J2486" s="3">
        <v>0.33794999999999997</v>
      </c>
      <c r="K2486" s="3">
        <v>0.67861159999999998</v>
      </c>
      <c r="L2486" s="3">
        <v>0.2456159</v>
      </c>
    </row>
    <row r="2487" spans="1:12" x14ac:dyDescent="0.25">
      <c r="A2487" t="s">
        <v>7395</v>
      </c>
      <c r="B2487" t="s">
        <v>7396</v>
      </c>
      <c r="I2487" t="s">
        <v>7397</v>
      </c>
      <c r="J2487" s="3">
        <v>5.04842E-2</v>
      </c>
      <c r="K2487" s="3">
        <v>-0.70603850000000001</v>
      </c>
      <c r="L2487" s="3">
        <v>-0.22053900000000001</v>
      </c>
    </row>
    <row r="2488" spans="1:12" x14ac:dyDescent="0.25">
      <c r="A2488" t="s">
        <v>7393</v>
      </c>
      <c r="B2488" t="s">
        <v>957</v>
      </c>
      <c r="I2488" t="s">
        <v>7394</v>
      </c>
      <c r="J2488" s="3">
        <v>0.2255055</v>
      </c>
      <c r="K2488" s="3">
        <v>-0.28474529999999998</v>
      </c>
      <c r="L2488" s="3">
        <v>0.1245667</v>
      </c>
    </row>
    <row r="2489" spans="1:12" x14ac:dyDescent="0.25">
      <c r="A2489" t="s">
        <v>7390</v>
      </c>
      <c r="B2489" t="s">
        <v>7391</v>
      </c>
      <c r="I2489" t="s">
        <v>7392</v>
      </c>
      <c r="J2489" s="3">
        <v>0.60005339999999996</v>
      </c>
      <c r="K2489" s="3">
        <v>0.3961382</v>
      </c>
      <c r="L2489" s="3">
        <v>0.68478629999999996</v>
      </c>
    </row>
    <row r="2490" spans="1:12" x14ac:dyDescent="0.25">
      <c r="A2490" t="s">
        <v>7387</v>
      </c>
      <c r="B2490" t="s">
        <v>7388</v>
      </c>
      <c r="I2490" t="s">
        <v>7389</v>
      </c>
      <c r="J2490" s="3">
        <v>-0.47416809999999998</v>
      </c>
      <c r="K2490" s="3">
        <v>-0.85496179999999999</v>
      </c>
      <c r="L2490" s="3">
        <v>-0.42298459999999999</v>
      </c>
    </row>
    <row r="2491" spans="1:12" x14ac:dyDescent="0.25">
      <c r="A2491" t="s">
        <v>7386</v>
      </c>
      <c r="B2491" t="s">
        <v>957</v>
      </c>
      <c r="I2491" t="s">
        <v>455</v>
      </c>
      <c r="J2491" s="3">
        <v>-0.73235709999999998</v>
      </c>
      <c r="K2491" s="3">
        <v>-0.8881424</v>
      </c>
      <c r="L2491" s="3">
        <v>-0.75068009999999996</v>
      </c>
    </row>
    <row r="2492" spans="1:12" x14ac:dyDescent="0.25">
      <c r="A2492" t="s">
        <v>7383</v>
      </c>
      <c r="B2492" t="s">
        <v>7384</v>
      </c>
      <c r="I2492" t="s">
        <v>7385</v>
      </c>
      <c r="J2492" s="3">
        <v>8.3292080000000004E-2</v>
      </c>
      <c r="K2492" s="3">
        <v>0.54158510000000004</v>
      </c>
      <c r="L2492" s="3">
        <v>0.79116169999999997</v>
      </c>
    </row>
    <row r="2493" spans="1:12" x14ac:dyDescent="0.25">
      <c r="A2493" t="s">
        <v>7380</v>
      </c>
      <c r="B2493" t="s">
        <v>7381</v>
      </c>
      <c r="I2493" t="s">
        <v>7382</v>
      </c>
      <c r="J2493" s="3">
        <v>0.46743879999999999</v>
      </c>
      <c r="K2493" s="3">
        <v>-0.36399520000000002</v>
      </c>
      <c r="L2493" s="3">
        <v>0.18661510000000001</v>
      </c>
    </row>
    <row r="2494" spans="1:12" x14ac:dyDescent="0.25">
      <c r="A2494" t="s">
        <v>7377</v>
      </c>
      <c r="B2494" t="s">
        <v>7378</v>
      </c>
      <c r="I2494" t="s">
        <v>7379</v>
      </c>
      <c r="J2494" s="3">
        <v>0.70537799999999995</v>
      </c>
      <c r="K2494" s="3">
        <v>0.2777521</v>
      </c>
      <c r="L2494" s="3">
        <v>0.59630329999999998</v>
      </c>
    </row>
    <row r="2495" spans="1:12" x14ac:dyDescent="0.25">
      <c r="A2495" t="s">
        <v>7374</v>
      </c>
      <c r="B2495" t="s">
        <v>7375</v>
      </c>
      <c r="I2495" t="s">
        <v>7376</v>
      </c>
      <c r="J2495" s="3">
        <v>-0.76020220000000005</v>
      </c>
      <c r="K2495" s="3">
        <v>-1.407737</v>
      </c>
      <c r="L2495" s="3">
        <v>-0.91104200000000002</v>
      </c>
    </row>
    <row r="2496" spans="1:12" x14ac:dyDescent="0.25">
      <c r="A2496" t="s">
        <v>7371</v>
      </c>
      <c r="B2496" t="s">
        <v>7372</v>
      </c>
      <c r="I2496" t="s">
        <v>7373</v>
      </c>
      <c r="J2496" s="3">
        <v>-8.8895959999999996E-2</v>
      </c>
      <c r="K2496" s="3">
        <v>-0.27526709999999999</v>
      </c>
      <c r="L2496" s="3">
        <v>-0.19626089999999999</v>
      </c>
    </row>
    <row r="2497" spans="1:12" x14ac:dyDescent="0.25">
      <c r="A2497" t="s">
        <v>8454</v>
      </c>
      <c r="B2497" t="s">
        <v>8455</v>
      </c>
      <c r="I2497" t="s">
        <v>8456</v>
      </c>
      <c r="J2497" s="3">
        <v>-0.45015690000000003</v>
      </c>
      <c r="K2497" s="3">
        <v>-0.49171369999999998</v>
      </c>
      <c r="L2497" s="3">
        <v>-0.52476069999999997</v>
      </c>
    </row>
    <row r="2498" spans="1:12" x14ac:dyDescent="0.25">
      <c r="A2498" t="s">
        <v>8451</v>
      </c>
      <c r="B2498" t="s">
        <v>8452</v>
      </c>
      <c r="I2498" t="s">
        <v>8453</v>
      </c>
      <c r="J2498" s="3">
        <v>0.34520250000000002</v>
      </c>
      <c r="K2498" s="3">
        <v>0.1032541</v>
      </c>
      <c r="L2498" s="3">
        <v>-7.3885629999999994E-2</v>
      </c>
    </row>
    <row r="2499" spans="1:12" x14ac:dyDescent="0.25">
      <c r="A2499" t="s">
        <v>8448</v>
      </c>
      <c r="B2499" t="s">
        <v>8449</v>
      </c>
      <c r="I2499" t="s">
        <v>8450</v>
      </c>
      <c r="J2499" s="3">
        <v>-0.2313347</v>
      </c>
      <c r="K2499" s="3">
        <v>-0.6406134</v>
      </c>
      <c r="L2499" s="3">
        <v>-0.36064230000000003</v>
      </c>
    </row>
    <row r="2500" spans="1:12" x14ac:dyDescent="0.25">
      <c r="A2500" t="s">
        <v>8445</v>
      </c>
      <c r="B2500" t="s">
        <v>8446</v>
      </c>
      <c r="I2500" t="s">
        <v>8447</v>
      </c>
      <c r="J2500" s="3">
        <v>0.13148280000000001</v>
      </c>
      <c r="K2500" s="3">
        <v>0.1909392</v>
      </c>
      <c r="L2500" s="3">
        <v>0.36193950000000003</v>
      </c>
    </row>
    <row r="2501" spans="1:12" x14ac:dyDescent="0.25">
      <c r="A2501" t="s">
        <v>8443</v>
      </c>
      <c r="B2501" t="s">
        <v>8444</v>
      </c>
      <c r="I2501" t="s">
        <v>2572</v>
      </c>
      <c r="J2501" s="3">
        <v>0.49618119999999999</v>
      </c>
      <c r="K2501" s="3">
        <v>1.1637280000000001</v>
      </c>
      <c r="L2501" s="3">
        <v>0.12655250000000001</v>
      </c>
    </row>
    <row r="2502" spans="1:12" x14ac:dyDescent="0.25">
      <c r="A2502" t="s">
        <v>8441</v>
      </c>
      <c r="B2502" t="s">
        <v>14202</v>
      </c>
      <c r="C2502" t="s">
        <v>14203</v>
      </c>
      <c r="I2502" t="s">
        <v>8442</v>
      </c>
      <c r="J2502" s="3">
        <v>-0.45175310000000002</v>
      </c>
      <c r="K2502" s="3">
        <v>0.60140260000000001</v>
      </c>
      <c r="L2502" s="3">
        <v>0.69815459999999996</v>
      </c>
    </row>
    <row r="2503" spans="1:12" x14ac:dyDescent="0.25">
      <c r="A2503" t="s">
        <v>8438</v>
      </c>
      <c r="B2503" t="s">
        <v>8439</v>
      </c>
      <c r="I2503" t="s">
        <v>8440</v>
      </c>
      <c r="J2503" s="3">
        <v>0.3989799</v>
      </c>
      <c r="K2503" s="3">
        <v>0.44591910000000001</v>
      </c>
      <c r="L2503" s="3">
        <v>0.44371529999999998</v>
      </c>
    </row>
    <row r="2504" spans="1:12" x14ac:dyDescent="0.25">
      <c r="A2504" t="s">
        <v>8437</v>
      </c>
      <c r="B2504" t="s">
        <v>957</v>
      </c>
      <c r="I2504" t="s">
        <v>156</v>
      </c>
      <c r="J2504" s="3">
        <v>0.27525680000000002</v>
      </c>
      <c r="K2504" s="3">
        <v>0.35792560000000001</v>
      </c>
      <c r="L2504" s="3">
        <v>0.11055420000000001</v>
      </c>
    </row>
    <row r="2505" spans="1:12" x14ac:dyDescent="0.25">
      <c r="A2505" t="s">
        <v>8434</v>
      </c>
      <c r="B2505" t="s">
        <v>8435</v>
      </c>
      <c r="I2505" t="s">
        <v>8436</v>
      </c>
      <c r="J2505" s="3">
        <v>0.27979559999999998</v>
      </c>
      <c r="K2505" s="3">
        <v>1.5344960000000001</v>
      </c>
      <c r="L2505" s="3">
        <v>0.52006330000000001</v>
      </c>
    </row>
    <row r="2506" spans="1:12" x14ac:dyDescent="0.25">
      <c r="A2506" t="s">
        <v>8433</v>
      </c>
      <c r="B2506" t="s">
        <v>957</v>
      </c>
      <c r="I2506" t="s">
        <v>957</v>
      </c>
      <c r="J2506" s="3">
        <v>0.11543249999999999</v>
      </c>
      <c r="K2506" s="3">
        <v>-3.7375480000000003E-2</v>
      </c>
      <c r="L2506" s="3">
        <v>5.1468079999999999E-2</v>
      </c>
    </row>
    <row r="2507" spans="1:12" x14ac:dyDescent="0.25">
      <c r="A2507" t="s">
        <v>8430</v>
      </c>
      <c r="B2507" t="s">
        <v>8431</v>
      </c>
      <c r="I2507" t="s">
        <v>8432</v>
      </c>
      <c r="J2507" s="3">
        <v>0.15370729999999999</v>
      </c>
      <c r="K2507" s="3">
        <v>0.1322786</v>
      </c>
      <c r="L2507" s="3">
        <v>-4.2827480000000001E-2</v>
      </c>
    </row>
    <row r="2508" spans="1:12" x14ac:dyDescent="0.25">
      <c r="A2508" t="s">
        <v>8427</v>
      </c>
      <c r="B2508" t="s">
        <v>8428</v>
      </c>
      <c r="I2508" t="s">
        <v>8429</v>
      </c>
      <c r="J2508" s="3">
        <v>-0.47234490000000001</v>
      </c>
      <c r="K2508" s="3">
        <v>-0.4393687</v>
      </c>
      <c r="L2508" s="3">
        <v>-0.46260269999999998</v>
      </c>
    </row>
    <row r="2509" spans="1:12" x14ac:dyDescent="0.25">
      <c r="A2509" t="s">
        <v>8425</v>
      </c>
      <c r="B2509" t="s">
        <v>957</v>
      </c>
      <c r="I2509" t="s">
        <v>8426</v>
      </c>
      <c r="J2509" s="3">
        <v>0.26423799999999997</v>
      </c>
      <c r="K2509" s="3">
        <v>0.66196379999999999</v>
      </c>
      <c r="L2509" s="3">
        <v>0.1126876</v>
      </c>
    </row>
    <row r="2510" spans="1:12" x14ac:dyDescent="0.25">
      <c r="A2510" t="s">
        <v>8423</v>
      </c>
      <c r="B2510" t="s">
        <v>957</v>
      </c>
      <c r="I2510" t="s">
        <v>8424</v>
      </c>
      <c r="J2510" s="3">
        <v>0.56859539999999997</v>
      </c>
      <c r="K2510" s="3">
        <v>0.72765630000000003</v>
      </c>
      <c r="L2510" s="3">
        <v>0.35845749999999998</v>
      </c>
    </row>
    <row r="2511" spans="1:12" x14ac:dyDescent="0.25">
      <c r="A2511" t="s">
        <v>8420</v>
      </c>
      <c r="B2511" t="s">
        <v>8421</v>
      </c>
      <c r="I2511" t="s">
        <v>8422</v>
      </c>
      <c r="J2511" s="3">
        <v>-7.1764800000000004E-2</v>
      </c>
      <c r="K2511" s="3">
        <v>0.2321066</v>
      </c>
      <c r="L2511" s="3">
        <v>0.32351479999999999</v>
      </c>
    </row>
    <row r="2512" spans="1:12" x14ac:dyDescent="0.25">
      <c r="A2512" t="s">
        <v>8417</v>
      </c>
      <c r="B2512" t="s">
        <v>8418</v>
      </c>
      <c r="I2512" t="s">
        <v>8419</v>
      </c>
      <c r="J2512" s="3">
        <v>-0.50644849999999997</v>
      </c>
      <c r="K2512" s="3">
        <v>-0.509378</v>
      </c>
      <c r="L2512" s="3">
        <v>0.23504159999999999</v>
      </c>
    </row>
    <row r="2513" spans="1:12" x14ac:dyDescent="0.25">
      <c r="A2513" t="s">
        <v>8414</v>
      </c>
      <c r="B2513" t="s">
        <v>8415</v>
      </c>
      <c r="I2513" t="s">
        <v>8416</v>
      </c>
      <c r="J2513" s="3">
        <v>5.0691840000000002E-2</v>
      </c>
      <c r="K2513" s="3">
        <v>-1.326462E-2</v>
      </c>
      <c r="L2513" s="3">
        <v>0.1114791</v>
      </c>
    </row>
    <row r="2514" spans="1:12" x14ac:dyDescent="0.25">
      <c r="A2514" t="s">
        <v>8411</v>
      </c>
      <c r="B2514" t="s">
        <v>8412</v>
      </c>
      <c r="I2514" t="s">
        <v>8413</v>
      </c>
      <c r="J2514" s="3">
        <v>0.52372320000000006</v>
      </c>
      <c r="K2514" s="3">
        <v>0.84554799999999997</v>
      </c>
      <c r="L2514" s="3">
        <v>0.59497619999999996</v>
      </c>
    </row>
    <row r="2515" spans="1:12" x14ac:dyDescent="0.25">
      <c r="A2515" t="s">
        <v>8408</v>
      </c>
      <c r="B2515" t="s">
        <v>8409</v>
      </c>
      <c r="I2515" t="s">
        <v>8410</v>
      </c>
      <c r="J2515" s="3">
        <v>2.7782500000000002E-2</v>
      </c>
      <c r="K2515" s="3">
        <v>-0.15918689999999999</v>
      </c>
      <c r="L2515" s="3">
        <v>-7.0637310000000002E-3</v>
      </c>
    </row>
    <row r="2516" spans="1:12" x14ac:dyDescent="0.25">
      <c r="A2516" t="s">
        <v>8405</v>
      </c>
      <c r="B2516" t="s">
        <v>8406</v>
      </c>
      <c r="I2516" t="s">
        <v>8407</v>
      </c>
      <c r="J2516" s="3">
        <v>-0.67384390000000005</v>
      </c>
      <c r="K2516" s="3">
        <v>-0.24100289999999999</v>
      </c>
      <c r="L2516" s="3">
        <v>-0.35147109999999998</v>
      </c>
    </row>
    <row r="2517" spans="1:12" x14ac:dyDescent="0.25">
      <c r="A2517" t="s">
        <v>7298</v>
      </c>
      <c r="B2517" t="s">
        <v>7299</v>
      </c>
      <c r="I2517" t="s">
        <v>8404</v>
      </c>
      <c r="J2517" s="3">
        <v>-0.34223809999999999</v>
      </c>
      <c r="K2517" s="3">
        <v>1.3703760000000001E-2</v>
      </c>
      <c r="L2517" s="3">
        <v>-0.30189769999999999</v>
      </c>
    </row>
    <row r="2518" spans="1:12" x14ac:dyDescent="0.25">
      <c r="A2518" t="s">
        <v>7295</v>
      </c>
      <c r="B2518" t="s">
        <v>7296</v>
      </c>
      <c r="I2518" t="s">
        <v>7297</v>
      </c>
      <c r="J2518" s="3">
        <v>-5.835912E-2</v>
      </c>
      <c r="K2518" s="3">
        <v>-9.7487199999999996E-2</v>
      </c>
      <c r="L2518" s="3">
        <v>-4.1043589999999998E-2</v>
      </c>
    </row>
    <row r="2519" spans="1:12" x14ac:dyDescent="0.25">
      <c r="A2519" t="s">
        <v>7292</v>
      </c>
      <c r="B2519" t="s">
        <v>7293</v>
      </c>
      <c r="I2519" t="s">
        <v>7294</v>
      </c>
      <c r="J2519" s="3">
        <v>-0.37725219999999998</v>
      </c>
      <c r="K2519" s="3">
        <v>-0.2443755</v>
      </c>
      <c r="L2519" s="3">
        <v>0.1065183</v>
      </c>
    </row>
    <row r="2520" spans="1:12" x14ac:dyDescent="0.25">
      <c r="A2520" t="s">
        <v>7291</v>
      </c>
      <c r="B2520" t="s">
        <v>957</v>
      </c>
      <c r="I2520" t="s">
        <v>455</v>
      </c>
      <c r="J2520" s="3">
        <v>0.59729120000000002</v>
      </c>
      <c r="K2520" s="3">
        <v>0.1978038</v>
      </c>
      <c r="L2520" s="3">
        <v>0.80881080000000005</v>
      </c>
    </row>
    <row r="2521" spans="1:12" x14ac:dyDescent="0.25">
      <c r="A2521" t="s">
        <v>7288</v>
      </c>
      <c r="B2521" t="s">
        <v>7289</v>
      </c>
      <c r="I2521" t="s">
        <v>7290</v>
      </c>
      <c r="J2521" s="3">
        <v>-2.3407730000000002E-2</v>
      </c>
      <c r="K2521" s="3">
        <v>8.2466429999999997E-3</v>
      </c>
      <c r="L2521" s="3">
        <v>0.53082090000000004</v>
      </c>
    </row>
    <row r="2522" spans="1:12" x14ac:dyDescent="0.25">
      <c r="A2522" t="s">
        <v>7285</v>
      </c>
      <c r="B2522" t="s">
        <v>7286</v>
      </c>
      <c r="I2522" t="s">
        <v>7287</v>
      </c>
      <c r="J2522" s="3">
        <v>7.6270829999999998E-2</v>
      </c>
      <c r="K2522" s="3">
        <v>1.0806009999999999</v>
      </c>
      <c r="L2522" s="3">
        <v>0.35232150000000001</v>
      </c>
    </row>
    <row r="2523" spans="1:12" x14ac:dyDescent="0.25">
      <c r="A2523" t="s">
        <v>7282</v>
      </c>
      <c r="B2523" t="s">
        <v>7283</v>
      </c>
      <c r="I2523" t="s">
        <v>7284</v>
      </c>
      <c r="J2523" s="3">
        <v>-9.0121900000000005E-2</v>
      </c>
      <c r="K2523" s="3">
        <v>-0.4193885</v>
      </c>
      <c r="L2523" s="3">
        <v>7.2131219999999996E-2</v>
      </c>
    </row>
    <row r="2524" spans="1:12" x14ac:dyDescent="0.25">
      <c r="A2524" t="s">
        <v>7280</v>
      </c>
      <c r="B2524" t="s">
        <v>7281</v>
      </c>
      <c r="I2524" t="s">
        <v>4433</v>
      </c>
      <c r="J2524" s="3">
        <v>-0.68282299999999996</v>
      </c>
      <c r="K2524" s="3">
        <v>-0.29152040000000001</v>
      </c>
      <c r="L2524" s="3">
        <v>-0.52360130000000005</v>
      </c>
    </row>
    <row r="2525" spans="1:12" x14ac:dyDescent="0.25">
      <c r="A2525" t="s">
        <v>7277</v>
      </c>
      <c r="B2525" t="s">
        <v>7278</v>
      </c>
      <c r="I2525" t="s">
        <v>7279</v>
      </c>
      <c r="J2525" s="3">
        <v>0.2329821</v>
      </c>
      <c r="K2525" s="3">
        <v>0.76572989999999996</v>
      </c>
      <c r="L2525" s="3">
        <v>0.54480709999999999</v>
      </c>
    </row>
    <row r="2526" spans="1:12" x14ac:dyDescent="0.25">
      <c r="A2526" t="s">
        <v>7276</v>
      </c>
      <c r="B2526" t="s">
        <v>957</v>
      </c>
      <c r="I2526" t="s">
        <v>823</v>
      </c>
      <c r="J2526" s="3">
        <v>-0.22138369999999999</v>
      </c>
      <c r="K2526" s="3">
        <v>-4.3370069999999997E-2</v>
      </c>
      <c r="L2526" s="3">
        <v>-6.6229120000000002E-2</v>
      </c>
    </row>
    <row r="2527" spans="1:12" x14ac:dyDescent="0.25">
      <c r="A2527" t="s">
        <v>7275</v>
      </c>
      <c r="B2527" t="s">
        <v>957</v>
      </c>
      <c r="I2527" t="s">
        <v>823</v>
      </c>
      <c r="J2527" s="3">
        <v>7.7585139999999997E-2</v>
      </c>
      <c r="K2527" s="3">
        <v>0.1325962</v>
      </c>
      <c r="L2527" s="3">
        <v>3.8320899999999998E-2</v>
      </c>
    </row>
    <row r="2528" spans="1:12" x14ac:dyDescent="0.25">
      <c r="A2528" t="s">
        <v>7274</v>
      </c>
      <c r="B2528" t="s">
        <v>957</v>
      </c>
      <c r="I2528" t="s">
        <v>957</v>
      </c>
      <c r="J2528" s="3">
        <v>0.44960729999999999</v>
      </c>
      <c r="K2528" s="3">
        <v>0.71937839999999997</v>
      </c>
      <c r="L2528" s="3">
        <v>0.112083</v>
      </c>
    </row>
    <row r="2529" spans="1:12" x14ac:dyDescent="0.25">
      <c r="A2529" t="s">
        <v>7271</v>
      </c>
      <c r="B2529" t="s">
        <v>7272</v>
      </c>
      <c r="I2529" t="s">
        <v>7273</v>
      </c>
      <c r="J2529" s="3">
        <v>-0.30382779999999998</v>
      </c>
      <c r="K2529" s="3">
        <v>-0.72414029999999996</v>
      </c>
      <c r="L2529" s="3">
        <v>-0.2232692</v>
      </c>
    </row>
    <row r="2530" spans="1:12" x14ac:dyDescent="0.25">
      <c r="A2530" t="s">
        <v>7268</v>
      </c>
      <c r="B2530" t="s">
        <v>7269</v>
      </c>
      <c r="I2530" t="s">
        <v>7270</v>
      </c>
      <c r="J2530" s="3">
        <v>0.20775270000000001</v>
      </c>
      <c r="K2530" s="3">
        <v>0.1710557</v>
      </c>
      <c r="L2530" s="3">
        <v>0.55122939999999998</v>
      </c>
    </row>
    <row r="2531" spans="1:12" x14ac:dyDescent="0.25">
      <c r="A2531" t="s">
        <v>7267</v>
      </c>
      <c r="B2531" t="s">
        <v>957</v>
      </c>
      <c r="I2531" t="s">
        <v>455</v>
      </c>
      <c r="J2531" s="3">
        <v>0.58097889999999996</v>
      </c>
      <c r="K2531" s="3">
        <v>1.0229220000000001</v>
      </c>
      <c r="L2531" s="3">
        <v>0.26159549999999998</v>
      </c>
    </row>
    <row r="2532" spans="1:12" x14ac:dyDescent="0.25">
      <c r="A2532" t="s">
        <v>8368</v>
      </c>
      <c r="B2532" t="s">
        <v>14213</v>
      </c>
      <c r="C2532" t="s">
        <v>14214</v>
      </c>
      <c r="I2532" t="s">
        <v>7266</v>
      </c>
      <c r="J2532" s="3">
        <v>0.51832160000000005</v>
      </c>
      <c r="K2532" s="3">
        <v>0.374172</v>
      </c>
      <c r="L2532" s="3">
        <v>0.47600419999999999</v>
      </c>
    </row>
    <row r="2533" spans="1:12" x14ac:dyDescent="0.25">
      <c r="A2533" t="s">
        <v>8365</v>
      </c>
      <c r="B2533" t="s">
        <v>8366</v>
      </c>
      <c r="I2533" t="s">
        <v>8367</v>
      </c>
      <c r="J2533" s="3">
        <v>0.1382796</v>
      </c>
      <c r="K2533" s="3">
        <v>0.46047640000000001</v>
      </c>
      <c r="L2533" s="3">
        <v>0.11655649999999999</v>
      </c>
    </row>
    <row r="2534" spans="1:12" x14ac:dyDescent="0.25">
      <c r="A2534" t="s">
        <v>8362</v>
      </c>
      <c r="B2534" t="s">
        <v>8363</v>
      </c>
      <c r="I2534" t="s">
        <v>8364</v>
      </c>
      <c r="J2534" s="3">
        <v>-2.2253820000000001E-2</v>
      </c>
      <c r="K2534" s="3">
        <v>0.3818899</v>
      </c>
      <c r="L2534" s="3">
        <v>0.179647</v>
      </c>
    </row>
    <row r="2535" spans="1:12" x14ac:dyDescent="0.25">
      <c r="A2535" t="s">
        <v>8359</v>
      </c>
      <c r="B2535" t="s">
        <v>8360</v>
      </c>
      <c r="I2535" t="s">
        <v>8361</v>
      </c>
      <c r="J2535" s="3">
        <v>0.31430029999999998</v>
      </c>
      <c r="K2535" s="3">
        <v>1.2535350000000001E-2</v>
      </c>
      <c r="L2535" s="3">
        <v>8.4870399999999995E-3</v>
      </c>
    </row>
    <row r="2536" spans="1:12" x14ac:dyDescent="0.25">
      <c r="A2536" t="s">
        <v>8356</v>
      </c>
      <c r="B2536" t="s">
        <v>8357</v>
      </c>
      <c r="I2536" t="s">
        <v>8358</v>
      </c>
      <c r="J2536" s="3">
        <v>-0.3140579</v>
      </c>
      <c r="K2536" s="3">
        <v>-1.192582</v>
      </c>
      <c r="L2536" s="3">
        <v>-0.35127789999999998</v>
      </c>
    </row>
    <row r="2537" spans="1:12" x14ac:dyDescent="0.25">
      <c r="A2537" t="s">
        <v>8353</v>
      </c>
      <c r="B2537" t="s">
        <v>8354</v>
      </c>
      <c r="I2537" t="s">
        <v>8355</v>
      </c>
      <c r="J2537" s="3">
        <v>0.40320689999999998</v>
      </c>
      <c r="K2537" s="3">
        <v>-0.53357330000000003</v>
      </c>
      <c r="L2537" s="3">
        <v>5.7734510000000003E-2</v>
      </c>
    </row>
    <row r="2538" spans="1:12" x14ac:dyDescent="0.25">
      <c r="A2538" t="s">
        <v>8352</v>
      </c>
      <c r="B2538" t="s">
        <v>957</v>
      </c>
      <c r="I2538" t="s">
        <v>1059</v>
      </c>
      <c r="J2538" s="3">
        <v>0.98184269999999996</v>
      </c>
      <c r="K2538" s="3">
        <v>0.63252969999999997</v>
      </c>
      <c r="L2538" s="3">
        <v>0.50099090000000002</v>
      </c>
    </row>
    <row r="2539" spans="1:12" x14ac:dyDescent="0.25">
      <c r="A2539" t="s">
        <v>8351</v>
      </c>
      <c r="B2539" t="s">
        <v>957</v>
      </c>
      <c r="I2539" t="s">
        <v>455</v>
      </c>
      <c r="J2539" s="3">
        <v>-0.63316130000000004</v>
      </c>
      <c r="K2539" s="3">
        <v>-8.6433719999999999E-3</v>
      </c>
      <c r="L2539" s="3">
        <v>-0.1994368</v>
      </c>
    </row>
    <row r="2540" spans="1:12" x14ac:dyDescent="0.25">
      <c r="A2540" t="s">
        <v>8349</v>
      </c>
      <c r="B2540" t="s">
        <v>957</v>
      </c>
      <c r="I2540" t="s">
        <v>8350</v>
      </c>
      <c r="J2540" s="3">
        <v>-3.373666E-3</v>
      </c>
      <c r="K2540" s="3">
        <v>-8.9027880000000004E-2</v>
      </c>
      <c r="L2540" s="3">
        <v>-0.152835</v>
      </c>
    </row>
    <row r="2541" spans="1:12" x14ac:dyDescent="0.25">
      <c r="A2541" t="s">
        <v>8348</v>
      </c>
      <c r="B2541" t="s">
        <v>957</v>
      </c>
      <c r="I2541" t="s">
        <v>205</v>
      </c>
      <c r="J2541" s="3">
        <v>-1.417963E-2</v>
      </c>
      <c r="K2541" s="3">
        <v>-0.2147587</v>
      </c>
      <c r="L2541" s="3">
        <v>-0.15360409999999999</v>
      </c>
    </row>
    <row r="2542" spans="1:12" x14ac:dyDescent="0.25">
      <c r="A2542" t="s">
        <v>8347</v>
      </c>
      <c r="B2542" t="s">
        <v>957</v>
      </c>
      <c r="I2542" t="s">
        <v>453</v>
      </c>
      <c r="J2542" s="3">
        <v>-0.33428350000000001</v>
      </c>
      <c r="K2542" s="3">
        <v>0.3652667</v>
      </c>
      <c r="L2542" s="3">
        <v>-0.15086189999999999</v>
      </c>
    </row>
    <row r="2543" spans="1:12" x14ac:dyDescent="0.25">
      <c r="A2543" t="s">
        <v>8346</v>
      </c>
      <c r="B2543" t="s">
        <v>957</v>
      </c>
      <c r="I2543" t="s">
        <v>453</v>
      </c>
      <c r="J2543" s="3">
        <v>-1.213147</v>
      </c>
      <c r="K2543" s="3">
        <v>-0.89859020000000001</v>
      </c>
      <c r="L2543" s="3">
        <v>-0.77411010000000002</v>
      </c>
    </row>
    <row r="2544" spans="1:12" x14ac:dyDescent="0.25">
      <c r="A2544" t="s">
        <v>8345</v>
      </c>
      <c r="B2544" t="s">
        <v>957</v>
      </c>
      <c r="I2544" t="s">
        <v>453</v>
      </c>
      <c r="J2544" s="3">
        <v>-0.14217460000000001</v>
      </c>
      <c r="K2544" s="3">
        <v>-8.7640989999999992E-3</v>
      </c>
      <c r="L2544" s="3">
        <v>2.5163950000000001E-2</v>
      </c>
    </row>
    <row r="2545" spans="1:12" x14ac:dyDescent="0.25">
      <c r="A2545" t="s">
        <v>8343</v>
      </c>
      <c r="B2545" t="s">
        <v>14095</v>
      </c>
      <c r="C2545" t="s">
        <v>14096</v>
      </c>
      <c r="I2545" t="s">
        <v>8344</v>
      </c>
      <c r="J2545" s="3">
        <v>-0.50774589999999997</v>
      </c>
      <c r="K2545" s="3">
        <v>5.1893080000000001E-3</v>
      </c>
      <c r="L2545" s="3">
        <v>0.38950940000000001</v>
      </c>
    </row>
    <row r="2546" spans="1:12" x14ac:dyDescent="0.25">
      <c r="A2546" t="s">
        <v>8342</v>
      </c>
      <c r="B2546" t="s">
        <v>957</v>
      </c>
      <c r="I2546" t="s">
        <v>455</v>
      </c>
      <c r="J2546" s="3">
        <v>0.69230930000000002</v>
      </c>
      <c r="K2546" s="3">
        <v>0.79283610000000004</v>
      </c>
      <c r="L2546" s="3">
        <v>0.54011989999999999</v>
      </c>
    </row>
    <row r="2547" spans="1:12" x14ac:dyDescent="0.25">
      <c r="A2547" t="s">
        <v>7224</v>
      </c>
      <c r="B2547" t="s">
        <v>7225</v>
      </c>
      <c r="I2547" t="s">
        <v>8341</v>
      </c>
      <c r="J2547" s="3">
        <v>-0.76248959999999999</v>
      </c>
      <c r="K2547" s="3">
        <v>-1.061572</v>
      </c>
      <c r="L2547" s="3">
        <v>-0.76897040000000005</v>
      </c>
    </row>
    <row r="2548" spans="1:12" x14ac:dyDescent="0.25">
      <c r="A2548" t="s">
        <v>7223</v>
      </c>
      <c r="B2548" t="s">
        <v>957</v>
      </c>
      <c r="I2548" t="s">
        <v>1207</v>
      </c>
      <c r="J2548" s="3">
        <v>-0.55058910000000005</v>
      </c>
      <c r="K2548" s="3">
        <v>-0.65198639999999997</v>
      </c>
      <c r="L2548" s="3">
        <v>-0.34955950000000002</v>
      </c>
    </row>
    <row r="2549" spans="1:12" x14ac:dyDescent="0.25">
      <c r="A2549" t="s">
        <v>7220</v>
      </c>
      <c r="B2549" t="s">
        <v>7221</v>
      </c>
      <c r="I2549" t="s">
        <v>7222</v>
      </c>
      <c r="J2549" s="3">
        <v>8.6867840000000002E-2</v>
      </c>
      <c r="K2549" s="3">
        <v>-0.22652539999999999</v>
      </c>
      <c r="L2549" s="3">
        <v>-4.8849950000000003E-2</v>
      </c>
    </row>
    <row r="2550" spans="1:12" x14ac:dyDescent="0.25">
      <c r="A2550" t="s">
        <v>7217</v>
      </c>
      <c r="B2550" t="s">
        <v>7218</v>
      </c>
      <c r="I2550" t="s">
        <v>7219</v>
      </c>
      <c r="J2550" s="3">
        <v>-0.84767130000000002</v>
      </c>
      <c r="K2550" s="3">
        <v>-0.74185900000000005</v>
      </c>
      <c r="L2550" s="3">
        <v>-0.4199273</v>
      </c>
    </row>
    <row r="2551" spans="1:12" x14ac:dyDescent="0.25">
      <c r="A2551" t="s">
        <v>7214</v>
      </c>
      <c r="B2551" t="s">
        <v>7215</v>
      </c>
      <c r="I2551" t="s">
        <v>7216</v>
      </c>
      <c r="J2551" s="3">
        <v>-7.9448790000000005E-2</v>
      </c>
      <c r="K2551" s="3">
        <v>-0.52824090000000001</v>
      </c>
      <c r="L2551" s="3">
        <v>-0.2480898</v>
      </c>
    </row>
    <row r="2552" spans="1:12" x14ac:dyDescent="0.25">
      <c r="A2552" t="s">
        <v>7212</v>
      </c>
      <c r="B2552" t="s">
        <v>957</v>
      </c>
      <c r="I2552" t="s">
        <v>7213</v>
      </c>
      <c r="J2552" s="3">
        <v>0.15126890000000001</v>
      </c>
      <c r="K2552" s="3">
        <v>0.77625</v>
      </c>
      <c r="L2552" s="3">
        <v>0.18719140000000001</v>
      </c>
    </row>
    <row r="2553" spans="1:12" x14ac:dyDescent="0.25">
      <c r="A2553" t="s">
        <v>7209</v>
      </c>
      <c r="B2553" t="s">
        <v>7210</v>
      </c>
      <c r="I2553" t="s">
        <v>7211</v>
      </c>
      <c r="J2553" s="3">
        <v>0.36277769999999998</v>
      </c>
      <c r="K2553" s="3">
        <v>0.20213739999999999</v>
      </c>
      <c r="L2553" s="3">
        <v>0.63056369999999995</v>
      </c>
    </row>
    <row r="2554" spans="1:12" x14ac:dyDescent="0.25">
      <c r="A2554" t="s">
        <v>7206</v>
      </c>
      <c r="B2554" t="s">
        <v>7207</v>
      </c>
      <c r="I2554" t="s">
        <v>7208</v>
      </c>
      <c r="J2554" s="3">
        <v>-0.71862409999999999</v>
      </c>
      <c r="K2554" s="3">
        <v>-0.80618369999999995</v>
      </c>
      <c r="L2554" s="3">
        <v>-0.11501459999999999</v>
      </c>
    </row>
    <row r="2555" spans="1:12" x14ac:dyDescent="0.25">
      <c r="A2555" t="s">
        <v>7203</v>
      </c>
      <c r="B2555" t="s">
        <v>7204</v>
      </c>
      <c r="I2555" t="s">
        <v>7205</v>
      </c>
      <c r="J2555" s="3">
        <v>-0.51997400000000005</v>
      </c>
      <c r="K2555" s="3">
        <v>-0.18417339999999999</v>
      </c>
      <c r="L2555" s="3">
        <v>-4.2052189999999996E-3</v>
      </c>
    </row>
    <row r="2556" spans="1:12" x14ac:dyDescent="0.25">
      <c r="A2556" t="s">
        <v>7200</v>
      </c>
      <c r="B2556" t="s">
        <v>7201</v>
      </c>
      <c r="I2556" t="s">
        <v>7202</v>
      </c>
      <c r="J2556" s="3">
        <v>0.28231460000000003</v>
      </c>
      <c r="K2556" s="3">
        <v>0.55433699999999997</v>
      </c>
      <c r="L2556" s="3">
        <v>0.38477509999999998</v>
      </c>
    </row>
    <row r="2557" spans="1:12" x14ac:dyDescent="0.25">
      <c r="A2557" t="s">
        <v>7197</v>
      </c>
      <c r="B2557" t="s">
        <v>7198</v>
      </c>
      <c r="I2557" t="s">
        <v>7199</v>
      </c>
      <c r="J2557" s="3">
        <v>-0.31205939999999999</v>
      </c>
      <c r="K2557" s="3">
        <v>-0.61550249999999995</v>
      </c>
      <c r="L2557" s="3">
        <v>1.2361779999999999E-2</v>
      </c>
    </row>
    <row r="2558" spans="1:12" x14ac:dyDescent="0.25">
      <c r="A2558" t="s">
        <v>7194</v>
      </c>
      <c r="B2558" t="s">
        <v>7195</v>
      </c>
      <c r="I2558" t="s">
        <v>7196</v>
      </c>
      <c r="J2558" s="3">
        <v>-0.12887609999999999</v>
      </c>
      <c r="K2558" s="3">
        <v>1.5930029999999999</v>
      </c>
      <c r="L2558" s="3">
        <v>1.028084</v>
      </c>
    </row>
    <row r="2559" spans="1:12" x14ac:dyDescent="0.25">
      <c r="A2559" t="s">
        <v>7191</v>
      </c>
      <c r="B2559" t="s">
        <v>7192</v>
      </c>
      <c r="I2559" t="s">
        <v>7193</v>
      </c>
      <c r="J2559" s="3">
        <v>0.54559729999999995</v>
      </c>
      <c r="K2559" s="3">
        <v>1.0231060000000001</v>
      </c>
      <c r="L2559" s="3">
        <v>0.66228290000000001</v>
      </c>
    </row>
    <row r="2560" spans="1:12" x14ac:dyDescent="0.25">
      <c r="A2560" t="s">
        <v>7190</v>
      </c>
      <c r="B2560" t="s">
        <v>957</v>
      </c>
      <c r="I2560" t="s">
        <v>455</v>
      </c>
      <c r="J2560" s="3">
        <v>0.40099829999999997</v>
      </c>
      <c r="K2560" s="3">
        <v>0.91235540000000004</v>
      </c>
      <c r="L2560" s="3">
        <v>0.63236190000000003</v>
      </c>
    </row>
    <row r="2561" spans="1:12" x14ac:dyDescent="0.25">
      <c r="A2561" t="s">
        <v>7187</v>
      </c>
      <c r="B2561" t="s">
        <v>7188</v>
      </c>
      <c r="I2561" t="s">
        <v>7189</v>
      </c>
      <c r="J2561" s="3">
        <v>-0.16719539999999999</v>
      </c>
      <c r="K2561" s="3">
        <v>4.1010600000000001E-2</v>
      </c>
      <c r="L2561" s="3">
        <v>-0.28112589999999998</v>
      </c>
    </row>
    <row r="2562" spans="1:12" x14ac:dyDescent="0.25">
      <c r="A2562" t="s">
        <v>7184</v>
      </c>
      <c r="B2562" t="s">
        <v>7185</v>
      </c>
      <c r="I2562" t="s">
        <v>7186</v>
      </c>
      <c r="J2562" s="3">
        <v>-3.3352479999999997E-2</v>
      </c>
      <c r="K2562" s="3">
        <v>-0.1663568</v>
      </c>
      <c r="L2562" s="3">
        <v>-1.9645409999999999E-2</v>
      </c>
    </row>
    <row r="2563" spans="1:12" x14ac:dyDescent="0.25">
      <c r="A2563" t="s">
        <v>7181</v>
      </c>
      <c r="B2563" t="s">
        <v>7182</v>
      </c>
      <c r="I2563" t="s">
        <v>7183</v>
      </c>
      <c r="J2563" s="3">
        <v>0.51565289999999997</v>
      </c>
      <c r="K2563" s="3">
        <v>0.32803909999999997</v>
      </c>
      <c r="L2563" s="3">
        <v>0.87836289999999995</v>
      </c>
    </row>
    <row r="2564" spans="1:12" x14ac:dyDescent="0.25">
      <c r="A2564" t="s">
        <v>7178</v>
      </c>
      <c r="B2564" t="s">
        <v>7179</v>
      </c>
      <c r="I2564" t="s">
        <v>7180</v>
      </c>
      <c r="J2564" s="3">
        <v>0.32810790000000001</v>
      </c>
      <c r="K2564" s="3">
        <v>1.9752229999999999E-2</v>
      </c>
      <c r="L2564" s="3">
        <v>0.22623960000000001</v>
      </c>
    </row>
    <row r="2565" spans="1:12" x14ac:dyDescent="0.25">
      <c r="A2565" t="s">
        <v>7176</v>
      </c>
      <c r="B2565" t="s">
        <v>14186</v>
      </c>
      <c r="C2565" t="s">
        <v>14187</v>
      </c>
      <c r="I2565" t="s">
        <v>7177</v>
      </c>
      <c r="J2565" s="3">
        <v>0.77996790000000005</v>
      </c>
      <c r="K2565" s="3">
        <v>0.95241730000000002</v>
      </c>
      <c r="L2565" s="3">
        <v>0.9241473</v>
      </c>
    </row>
    <row r="2566" spans="1:12" x14ac:dyDescent="0.25">
      <c r="A2566" t="s">
        <v>7173</v>
      </c>
      <c r="B2566" t="s">
        <v>7174</v>
      </c>
      <c r="I2566" t="s">
        <v>7175</v>
      </c>
      <c r="J2566" s="3">
        <v>-0.46666410000000003</v>
      </c>
      <c r="K2566" s="3">
        <v>-0.82508320000000002</v>
      </c>
      <c r="L2566" s="3">
        <v>-0.24588209999999999</v>
      </c>
    </row>
    <row r="2567" spans="1:12" x14ac:dyDescent="0.25">
      <c r="A2567" t="s">
        <v>7170</v>
      </c>
      <c r="B2567" t="s">
        <v>7171</v>
      </c>
      <c r="I2567" t="s">
        <v>7172</v>
      </c>
      <c r="J2567" s="3">
        <v>-0.29679739999999999</v>
      </c>
      <c r="K2567" s="3">
        <v>-0.30846210000000002</v>
      </c>
      <c r="L2567" s="3">
        <v>-0.15697369999999999</v>
      </c>
    </row>
    <row r="2568" spans="1:12" x14ac:dyDescent="0.25">
      <c r="A2568" t="s">
        <v>7167</v>
      </c>
      <c r="B2568" t="s">
        <v>7168</v>
      </c>
      <c r="I2568" t="s">
        <v>7169</v>
      </c>
      <c r="J2568" s="3">
        <v>-0.20052329999999999</v>
      </c>
      <c r="K2568" s="3">
        <v>-0.43892239999999999</v>
      </c>
      <c r="L2568" s="3">
        <v>-0.1449667</v>
      </c>
    </row>
    <row r="2569" spans="1:12" x14ac:dyDescent="0.25">
      <c r="A2569" t="s">
        <v>7164</v>
      </c>
      <c r="B2569" t="s">
        <v>7165</v>
      </c>
      <c r="I2569" t="s">
        <v>7166</v>
      </c>
      <c r="J2569" s="3">
        <v>-0.3729787</v>
      </c>
      <c r="K2569" s="3">
        <v>-0.972113</v>
      </c>
      <c r="L2569" s="3">
        <v>-0.71901170000000003</v>
      </c>
    </row>
    <row r="2570" spans="1:12" x14ac:dyDescent="0.25">
      <c r="A2570" t="s">
        <v>7163</v>
      </c>
      <c r="B2570" t="s">
        <v>957</v>
      </c>
      <c r="I2570" t="s">
        <v>455</v>
      </c>
      <c r="J2570" s="3">
        <v>0.29049130000000001</v>
      </c>
      <c r="K2570" s="3">
        <v>0.32164399999999999</v>
      </c>
      <c r="L2570" s="3">
        <v>4.8346479999999997E-2</v>
      </c>
    </row>
    <row r="2571" spans="1:12" x14ac:dyDescent="0.25">
      <c r="A2571" t="s">
        <v>7162</v>
      </c>
      <c r="B2571" t="s">
        <v>957</v>
      </c>
      <c r="I2571" t="s">
        <v>455</v>
      </c>
      <c r="J2571" s="3">
        <v>0.3128531</v>
      </c>
      <c r="K2571" s="3">
        <v>-0.22464339999999999</v>
      </c>
      <c r="L2571" s="3">
        <v>0.50164169999999997</v>
      </c>
    </row>
    <row r="2572" spans="1:12" x14ac:dyDescent="0.25">
      <c r="A2572" t="s">
        <v>7159</v>
      </c>
      <c r="B2572" t="s">
        <v>7160</v>
      </c>
      <c r="I2572" t="s">
        <v>7161</v>
      </c>
      <c r="J2572" s="3">
        <v>3.834042E-2</v>
      </c>
      <c r="K2572" s="3">
        <v>-0.64600349999999995</v>
      </c>
      <c r="L2572" s="3">
        <v>0.1161034</v>
      </c>
    </row>
    <row r="2573" spans="1:12" x14ac:dyDescent="0.25">
      <c r="A2573" t="s">
        <v>7156</v>
      </c>
      <c r="B2573" t="s">
        <v>7157</v>
      </c>
      <c r="I2573" t="s">
        <v>7158</v>
      </c>
      <c r="J2573" s="3">
        <v>0.24922330000000001</v>
      </c>
      <c r="K2573" s="3">
        <v>-0.1714495</v>
      </c>
      <c r="L2573" s="3">
        <v>0.34130909999999998</v>
      </c>
    </row>
    <row r="2574" spans="1:12" x14ac:dyDescent="0.25">
      <c r="A2574" t="s">
        <v>7155</v>
      </c>
      <c r="B2574" t="s">
        <v>957</v>
      </c>
      <c r="I2574" t="s">
        <v>455</v>
      </c>
      <c r="J2574" s="3">
        <v>-0.1436808</v>
      </c>
      <c r="K2574" s="3">
        <v>-0.29214509999999999</v>
      </c>
      <c r="L2574" s="3">
        <v>-0.3030716</v>
      </c>
    </row>
    <row r="2575" spans="1:12" x14ac:dyDescent="0.25">
      <c r="A2575" t="s">
        <v>7152</v>
      </c>
      <c r="B2575" t="s">
        <v>7153</v>
      </c>
      <c r="I2575" t="s">
        <v>7154</v>
      </c>
      <c r="J2575" s="3">
        <v>-0.16578950000000001</v>
      </c>
      <c r="K2575" s="3">
        <v>6.8790729999999994E-2</v>
      </c>
      <c r="L2575" s="3">
        <v>-0.1219576</v>
      </c>
    </row>
    <row r="2576" spans="1:12" x14ac:dyDescent="0.25">
      <c r="A2576" t="s">
        <v>7149</v>
      </c>
      <c r="B2576" t="s">
        <v>7150</v>
      </c>
      <c r="I2576" t="s">
        <v>7151</v>
      </c>
      <c r="J2576" s="3">
        <v>-0.27668599999999999</v>
      </c>
      <c r="K2576" s="3">
        <v>-0.73444640000000005</v>
      </c>
      <c r="L2576" s="3">
        <v>-0.3955938</v>
      </c>
    </row>
    <row r="2577" spans="1:12" x14ac:dyDescent="0.25">
      <c r="A2577" t="s">
        <v>7146</v>
      </c>
      <c r="B2577" t="s">
        <v>7147</v>
      </c>
      <c r="I2577" t="s">
        <v>7148</v>
      </c>
      <c r="J2577" s="3">
        <v>0.1208148</v>
      </c>
      <c r="K2577" s="3">
        <v>0.43984450000000003</v>
      </c>
      <c r="L2577" s="3">
        <v>0.41539809999999999</v>
      </c>
    </row>
    <row r="2578" spans="1:12" x14ac:dyDescent="0.25">
      <c r="A2578" t="s">
        <v>7143</v>
      </c>
      <c r="B2578" t="s">
        <v>7144</v>
      </c>
      <c r="I2578" t="s">
        <v>7145</v>
      </c>
      <c r="J2578" s="3">
        <v>0.29070180000000001</v>
      </c>
      <c r="K2578" s="3">
        <v>0.32672109999999999</v>
      </c>
      <c r="L2578" s="3">
        <v>0.37833430000000001</v>
      </c>
    </row>
    <row r="2579" spans="1:12" x14ac:dyDescent="0.25">
      <c r="A2579" t="s">
        <v>8227</v>
      </c>
      <c r="B2579" t="s">
        <v>8228</v>
      </c>
      <c r="I2579" t="s">
        <v>7142</v>
      </c>
      <c r="J2579" s="3">
        <v>-0.55621419999999999</v>
      </c>
      <c r="K2579" s="3">
        <v>-1.004319</v>
      </c>
      <c r="L2579" s="3">
        <v>-0.97697900000000004</v>
      </c>
    </row>
    <row r="2580" spans="1:12" x14ac:dyDescent="0.25">
      <c r="A2580" t="s">
        <v>8224</v>
      </c>
      <c r="B2580" t="s">
        <v>8225</v>
      </c>
      <c r="I2580" t="s">
        <v>8226</v>
      </c>
      <c r="J2580" s="3">
        <v>-4.7344819999999999E-3</v>
      </c>
      <c r="K2580" s="3">
        <v>-0.91283530000000002</v>
      </c>
      <c r="L2580" s="3">
        <v>-0.26265070000000001</v>
      </c>
    </row>
    <row r="2581" spans="1:12" x14ac:dyDescent="0.25">
      <c r="A2581" t="s">
        <v>8221</v>
      </c>
      <c r="B2581" t="s">
        <v>8222</v>
      </c>
      <c r="I2581" t="s">
        <v>8223</v>
      </c>
      <c r="J2581" s="3">
        <v>-0.15657660000000001</v>
      </c>
      <c r="K2581" s="3">
        <v>-6.1984709999999998E-2</v>
      </c>
      <c r="L2581" s="3">
        <v>-0.27462930000000002</v>
      </c>
    </row>
    <row r="2582" spans="1:12" x14ac:dyDescent="0.25">
      <c r="A2582" t="s">
        <v>8219</v>
      </c>
      <c r="B2582" t="s">
        <v>8220</v>
      </c>
      <c r="I2582" t="s">
        <v>28</v>
      </c>
      <c r="J2582" s="3">
        <v>-0.4058235</v>
      </c>
      <c r="K2582" s="3">
        <v>-0.73497089999999998</v>
      </c>
      <c r="L2582" s="3">
        <v>-0.55180609999999997</v>
      </c>
    </row>
    <row r="2583" spans="1:12" x14ac:dyDescent="0.25">
      <c r="A2583" t="s">
        <v>8218</v>
      </c>
      <c r="B2583" t="s">
        <v>957</v>
      </c>
      <c r="I2583" t="s">
        <v>455</v>
      </c>
      <c r="J2583" s="3">
        <v>8.2033720000000004E-2</v>
      </c>
      <c r="K2583" s="3">
        <v>0.34465459999999998</v>
      </c>
      <c r="L2583" s="3">
        <v>0.20470279999999999</v>
      </c>
    </row>
    <row r="2584" spans="1:12" x14ac:dyDescent="0.25">
      <c r="A2584" t="s">
        <v>8215</v>
      </c>
      <c r="B2584" t="s">
        <v>8216</v>
      </c>
      <c r="I2584" t="s">
        <v>8217</v>
      </c>
      <c r="J2584" s="3">
        <v>0.22129860000000001</v>
      </c>
      <c r="K2584" s="3">
        <v>0.78986469999999998</v>
      </c>
      <c r="L2584" s="3">
        <v>0.19647719999999999</v>
      </c>
    </row>
    <row r="2585" spans="1:12" x14ac:dyDescent="0.25">
      <c r="A2585" t="s">
        <v>8213</v>
      </c>
      <c r="B2585" t="s">
        <v>957</v>
      </c>
      <c r="I2585" t="s">
        <v>8214</v>
      </c>
      <c r="J2585" s="3">
        <v>0.2201823</v>
      </c>
      <c r="K2585" s="3">
        <v>0.1092519</v>
      </c>
      <c r="L2585" s="3">
        <v>0.22050339999999999</v>
      </c>
    </row>
    <row r="2586" spans="1:12" x14ac:dyDescent="0.25">
      <c r="A2586" t="s">
        <v>8212</v>
      </c>
      <c r="B2586" t="s">
        <v>957</v>
      </c>
      <c r="I2586" t="s">
        <v>455</v>
      </c>
      <c r="J2586" s="3">
        <v>0.89407570000000003</v>
      </c>
      <c r="K2586" s="3">
        <v>1.1992350000000001</v>
      </c>
      <c r="L2586" s="3">
        <v>0.66496560000000005</v>
      </c>
    </row>
    <row r="2587" spans="1:12" x14ac:dyDescent="0.25">
      <c r="A2587" t="s">
        <v>8209</v>
      </c>
      <c r="B2587" t="s">
        <v>8210</v>
      </c>
      <c r="I2587" t="s">
        <v>8211</v>
      </c>
      <c r="J2587" s="3">
        <v>-5.7088970000000003E-2</v>
      </c>
      <c r="K2587" s="3">
        <v>0.15703120000000001</v>
      </c>
      <c r="L2587" s="3">
        <v>0.1209181</v>
      </c>
    </row>
    <row r="2588" spans="1:12" x14ac:dyDescent="0.25">
      <c r="A2588" t="s">
        <v>8206</v>
      </c>
      <c r="B2588" t="s">
        <v>8207</v>
      </c>
      <c r="I2588" t="s">
        <v>8208</v>
      </c>
      <c r="J2588" s="3">
        <v>-0.10189579999999999</v>
      </c>
      <c r="K2588" s="3">
        <v>-0.50740240000000003</v>
      </c>
      <c r="L2588" s="3">
        <v>-0.36241010000000001</v>
      </c>
    </row>
    <row r="2589" spans="1:12" x14ac:dyDescent="0.25">
      <c r="A2589" t="s">
        <v>8203</v>
      </c>
      <c r="B2589" t="s">
        <v>8204</v>
      </c>
      <c r="I2589" t="s">
        <v>8205</v>
      </c>
      <c r="J2589" s="3">
        <v>1.067183</v>
      </c>
      <c r="K2589" s="3">
        <v>0.71547340000000004</v>
      </c>
      <c r="L2589" s="3">
        <v>1.2176560000000001</v>
      </c>
    </row>
    <row r="2590" spans="1:12" x14ac:dyDescent="0.25">
      <c r="A2590" t="s">
        <v>8200</v>
      </c>
      <c r="B2590" t="s">
        <v>8201</v>
      </c>
      <c r="I2590" t="s">
        <v>8202</v>
      </c>
      <c r="J2590" s="3">
        <v>-0.40349259999999998</v>
      </c>
      <c r="K2590" s="3">
        <v>-0.34324969999999999</v>
      </c>
      <c r="L2590" s="3">
        <v>-0.45150400000000002</v>
      </c>
    </row>
    <row r="2591" spans="1:12" x14ac:dyDescent="0.25">
      <c r="A2591" t="s">
        <v>8199</v>
      </c>
      <c r="B2591" t="s">
        <v>957</v>
      </c>
      <c r="I2591" t="s">
        <v>1207</v>
      </c>
      <c r="J2591" s="3">
        <v>0.25256990000000001</v>
      </c>
      <c r="K2591" s="3">
        <v>-7.8248569999999993E-3</v>
      </c>
      <c r="L2591" s="3">
        <v>0.1250936</v>
      </c>
    </row>
    <row r="2592" spans="1:12" x14ac:dyDescent="0.25">
      <c r="A2592" t="s">
        <v>8196</v>
      </c>
      <c r="B2592" t="s">
        <v>8197</v>
      </c>
      <c r="I2592" t="s">
        <v>8198</v>
      </c>
      <c r="J2592" s="3">
        <v>-0.11930399999999999</v>
      </c>
      <c r="K2592" s="3">
        <v>7.4865959999999995E-2</v>
      </c>
      <c r="L2592" s="3">
        <v>-0.2133603</v>
      </c>
    </row>
    <row r="2593" spans="1:12" x14ac:dyDescent="0.25">
      <c r="A2593" t="s">
        <v>8193</v>
      </c>
      <c r="B2593" t="s">
        <v>8194</v>
      </c>
      <c r="I2593" t="s">
        <v>8195</v>
      </c>
      <c r="J2593" s="3">
        <v>0.1815676</v>
      </c>
      <c r="K2593" s="3">
        <v>0.41072989999999998</v>
      </c>
      <c r="L2593" s="3">
        <v>0.32917239999999998</v>
      </c>
    </row>
    <row r="2594" spans="1:12" x14ac:dyDescent="0.25">
      <c r="A2594" t="s">
        <v>8190</v>
      </c>
      <c r="B2594" t="s">
        <v>8191</v>
      </c>
      <c r="I2594" t="s">
        <v>8192</v>
      </c>
      <c r="J2594" s="3">
        <v>0.38322620000000002</v>
      </c>
      <c r="K2594" s="3">
        <v>0.64779359999999997</v>
      </c>
      <c r="L2594" s="3">
        <v>0.4057733</v>
      </c>
    </row>
    <row r="2595" spans="1:12" x14ac:dyDescent="0.25">
      <c r="A2595" t="s">
        <v>8187</v>
      </c>
      <c r="B2595" t="s">
        <v>8188</v>
      </c>
      <c r="I2595" t="s">
        <v>8189</v>
      </c>
      <c r="J2595" s="3">
        <v>-0.12649469999999999</v>
      </c>
      <c r="K2595" s="3">
        <v>-1.198958</v>
      </c>
      <c r="L2595" s="3">
        <v>-0.34455219999999998</v>
      </c>
    </row>
    <row r="2596" spans="1:12" x14ac:dyDescent="0.25">
      <c r="A2596" t="s">
        <v>7095</v>
      </c>
      <c r="B2596" t="s">
        <v>7096</v>
      </c>
      <c r="I2596" t="s">
        <v>8186</v>
      </c>
      <c r="J2596" s="3">
        <v>7.1051580000000003E-2</v>
      </c>
      <c r="K2596" s="3">
        <v>-0.32726359999999999</v>
      </c>
      <c r="L2596" s="3">
        <v>1.324699E-2</v>
      </c>
    </row>
    <row r="2597" spans="1:12" x14ac:dyDescent="0.25">
      <c r="A2597" t="s">
        <v>7092</v>
      </c>
      <c r="B2597" t="s">
        <v>7093</v>
      </c>
      <c r="I2597" t="s">
        <v>7094</v>
      </c>
      <c r="J2597" s="3">
        <v>0.2006772</v>
      </c>
      <c r="K2597" s="3">
        <v>-0.21124889999999999</v>
      </c>
      <c r="L2597" s="3">
        <v>0.33450000000000002</v>
      </c>
    </row>
    <row r="2598" spans="1:12" x14ac:dyDescent="0.25">
      <c r="A2598" t="s">
        <v>7089</v>
      </c>
      <c r="B2598" t="s">
        <v>7090</v>
      </c>
      <c r="I2598" t="s">
        <v>7091</v>
      </c>
      <c r="J2598" s="3">
        <v>0.74264750000000002</v>
      </c>
      <c r="K2598" s="3">
        <v>0.28840650000000001</v>
      </c>
      <c r="L2598" s="3">
        <v>0.28567480000000001</v>
      </c>
    </row>
    <row r="2599" spans="1:12" x14ac:dyDescent="0.25">
      <c r="A2599" t="s">
        <v>7088</v>
      </c>
      <c r="B2599" t="s">
        <v>957</v>
      </c>
      <c r="I2599" t="s">
        <v>455</v>
      </c>
      <c r="J2599" s="3">
        <v>0.74886569999999997</v>
      </c>
      <c r="K2599" s="3">
        <v>-0.1059541</v>
      </c>
      <c r="L2599" s="3">
        <v>0.33709210000000001</v>
      </c>
    </row>
    <row r="2600" spans="1:12" x14ac:dyDescent="0.25">
      <c r="A2600" t="s">
        <v>7087</v>
      </c>
      <c r="B2600" t="s">
        <v>957</v>
      </c>
      <c r="I2600" t="s">
        <v>455</v>
      </c>
      <c r="J2600" s="3">
        <v>0.37923210000000002</v>
      </c>
      <c r="K2600" s="3">
        <v>0.59484769999999998</v>
      </c>
      <c r="L2600" s="3">
        <v>-1.7483390000000001E-2</v>
      </c>
    </row>
    <row r="2601" spans="1:12" x14ac:dyDescent="0.25">
      <c r="A2601" t="s">
        <v>7086</v>
      </c>
      <c r="B2601" t="s">
        <v>957</v>
      </c>
      <c r="I2601" t="s">
        <v>455</v>
      </c>
      <c r="J2601" s="3">
        <v>5.040128E-2</v>
      </c>
      <c r="K2601" s="3">
        <v>-0.50450329999999999</v>
      </c>
      <c r="L2601" s="3">
        <v>7.5920650000000006E-2</v>
      </c>
    </row>
    <row r="2602" spans="1:12" x14ac:dyDescent="0.25">
      <c r="A2602" t="s">
        <v>7085</v>
      </c>
      <c r="B2602" t="s">
        <v>957</v>
      </c>
      <c r="I2602" t="s">
        <v>455</v>
      </c>
      <c r="J2602" s="3">
        <v>0.15322810000000001</v>
      </c>
      <c r="K2602" s="3">
        <v>0.34660750000000001</v>
      </c>
      <c r="L2602" s="3">
        <v>-3.7722419999999999E-3</v>
      </c>
    </row>
    <row r="2603" spans="1:12" x14ac:dyDescent="0.25">
      <c r="A2603" t="s">
        <v>7082</v>
      </c>
      <c r="B2603" t="s">
        <v>7083</v>
      </c>
      <c r="I2603" t="s">
        <v>7084</v>
      </c>
      <c r="J2603" s="3">
        <v>0.2273772</v>
      </c>
      <c r="K2603" s="3">
        <v>-1.841592E-3</v>
      </c>
      <c r="L2603" s="3">
        <v>0.14955550000000001</v>
      </c>
    </row>
    <row r="2604" spans="1:12" x14ac:dyDescent="0.25">
      <c r="A2604" t="s">
        <v>7080</v>
      </c>
      <c r="B2604" t="s">
        <v>7081</v>
      </c>
      <c r="I2604" t="s">
        <v>5238</v>
      </c>
      <c r="J2604" s="3">
        <v>7.6017520000000005E-2</v>
      </c>
      <c r="K2604" s="3">
        <v>-0.27519460000000001</v>
      </c>
      <c r="L2604" s="3">
        <v>0.30747869999999999</v>
      </c>
    </row>
    <row r="2605" spans="1:12" x14ac:dyDescent="0.25">
      <c r="A2605" t="s">
        <v>7077</v>
      </c>
      <c r="B2605" t="s">
        <v>7078</v>
      </c>
      <c r="I2605" t="s">
        <v>7079</v>
      </c>
      <c r="J2605" s="3">
        <v>-0.4113542</v>
      </c>
      <c r="K2605" s="3">
        <v>-0.75698659999999995</v>
      </c>
      <c r="L2605" s="3">
        <v>-0.17650850000000001</v>
      </c>
    </row>
    <row r="2606" spans="1:12" x14ac:dyDescent="0.25">
      <c r="A2606" t="s">
        <v>7076</v>
      </c>
      <c r="B2606" t="s">
        <v>957</v>
      </c>
      <c r="I2606" t="s">
        <v>1059</v>
      </c>
      <c r="J2606" s="3">
        <v>-1.004947</v>
      </c>
      <c r="K2606" s="3">
        <v>-0.8685872</v>
      </c>
      <c r="L2606" s="3">
        <v>-0.58886130000000003</v>
      </c>
    </row>
    <row r="2607" spans="1:12" x14ac:dyDescent="0.25">
      <c r="A2607" t="s">
        <v>7073</v>
      </c>
      <c r="B2607" t="s">
        <v>7074</v>
      </c>
      <c r="I2607" t="s">
        <v>7075</v>
      </c>
      <c r="J2607" s="3">
        <v>-0.6651511</v>
      </c>
      <c r="K2607" s="3">
        <v>-1.0326839999999999</v>
      </c>
      <c r="L2607" s="3">
        <v>-0.34390029999999999</v>
      </c>
    </row>
    <row r="2608" spans="1:12" x14ac:dyDescent="0.25">
      <c r="A2608" t="s">
        <v>7070</v>
      </c>
      <c r="B2608" t="s">
        <v>7071</v>
      </c>
      <c r="I2608" t="s">
        <v>7072</v>
      </c>
      <c r="J2608" s="3">
        <v>0.66235440000000001</v>
      </c>
      <c r="K2608" s="3">
        <v>1.049884</v>
      </c>
      <c r="L2608" s="3">
        <v>0.79369440000000002</v>
      </c>
    </row>
    <row r="2609" spans="1:12" x14ac:dyDescent="0.25">
      <c r="A2609" t="s">
        <v>7069</v>
      </c>
      <c r="B2609" t="s">
        <v>957</v>
      </c>
      <c r="I2609" t="s">
        <v>455</v>
      </c>
      <c r="J2609" s="3">
        <v>0.2268753</v>
      </c>
      <c r="K2609" s="3">
        <v>0.8572632</v>
      </c>
      <c r="L2609" s="3">
        <v>0.26393990000000001</v>
      </c>
    </row>
    <row r="2610" spans="1:12" x14ac:dyDescent="0.25">
      <c r="A2610" t="s">
        <v>7066</v>
      </c>
      <c r="B2610" t="s">
        <v>7067</v>
      </c>
      <c r="I2610" t="s">
        <v>7068</v>
      </c>
      <c r="J2610" s="3">
        <v>-0.2431249</v>
      </c>
      <c r="K2610" s="3">
        <v>-0.80696939999999995</v>
      </c>
      <c r="L2610" s="3">
        <v>-0.12701609999999999</v>
      </c>
    </row>
    <row r="2611" spans="1:12" x14ac:dyDescent="0.25">
      <c r="A2611" t="s">
        <v>7064</v>
      </c>
      <c r="B2611" t="s">
        <v>14177</v>
      </c>
      <c r="C2611" t="s">
        <v>14178</v>
      </c>
      <c r="I2611" t="s">
        <v>7065</v>
      </c>
      <c r="J2611" s="3">
        <v>0.707372</v>
      </c>
      <c r="K2611" s="3">
        <v>0.64457929999999997</v>
      </c>
      <c r="L2611" s="3">
        <v>0.80491060000000003</v>
      </c>
    </row>
    <row r="2612" spans="1:12" x14ac:dyDescent="0.25">
      <c r="A2612" t="s">
        <v>7061</v>
      </c>
      <c r="B2612" t="s">
        <v>7062</v>
      </c>
      <c r="I2612" t="s">
        <v>7063</v>
      </c>
      <c r="J2612" s="3">
        <v>-0.6807531</v>
      </c>
      <c r="K2612" s="3">
        <v>-0.98595909999999998</v>
      </c>
      <c r="L2612" s="3">
        <v>-0.78217159999999997</v>
      </c>
    </row>
    <row r="2613" spans="1:12" x14ac:dyDescent="0.25">
      <c r="A2613" t="s">
        <v>8158</v>
      </c>
      <c r="B2613" t="s">
        <v>8159</v>
      </c>
      <c r="I2613" t="s">
        <v>7060</v>
      </c>
      <c r="J2613" s="3">
        <v>0.49912960000000001</v>
      </c>
      <c r="K2613" s="3">
        <v>0.51812630000000004</v>
      </c>
      <c r="L2613" s="3">
        <v>0.44355050000000001</v>
      </c>
    </row>
    <row r="2614" spans="1:12" x14ac:dyDescent="0.25">
      <c r="A2614" t="s">
        <v>8155</v>
      </c>
      <c r="B2614" t="s">
        <v>8156</v>
      </c>
      <c r="I2614" t="s">
        <v>8157</v>
      </c>
      <c r="J2614" s="3">
        <v>-0.1368682</v>
      </c>
      <c r="K2614" s="3">
        <v>0.79623120000000003</v>
      </c>
      <c r="L2614" s="3">
        <v>0.38107990000000003</v>
      </c>
    </row>
    <row r="2615" spans="1:12" x14ac:dyDescent="0.25">
      <c r="A2615" t="s">
        <v>8152</v>
      </c>
      <c r="B2615" t="s">
        <v>8153</v>
      </c>
      <c r="I2615" t="s">
        <v>8154</v>
      </c>
      <c r="J2615" s="3">
        <v>2.9739410000000001E-2</v>
      </c>
      <c r="K2615" s="3">
        <v>1.2766609999999999E-2</v>
      </c>
      <c r="L2615" s="3">
        <v>-0.1136875</v>
      </c>
    </row>
    <row r="2616" spans="1:12" x14ac:dyDescent="0.25">
      <c r="A2616" t="s">
        <v>8149</v>
      </c>
      <c r="B2616" t="s">
        <v>8150</v>
      </c>
      <c r="I2616" t="s">
        <v>8151</v>
      </c>
      <c r="J2616" s="3">
        <v>0.53891429999999996</v>
      </c>
      <c r="K2616" s="3">
        <v>1.280737</v>
      </c>
      <c r="L2616" s="3">
        <v>0.42692940000000001</v>
      </c>
    </row>
    <row r="2617" spans="1:12" x14ac:dyDescent="0.25">
      <c r="A2617" t="s">
        <v>8146</v>
      </c>
      <c r="B2617" t="s">
        <v>8147</v>
      </c>
      <c r="I2617" t="s">
        <v>8148</v>
      </c>
      <c r="J2617" s="3">
        <v>-0.39959050000000002</v>
      </c>
      <c r="K2617" s="3">
        <v>-0.93153059999999999</v>
      </c>
      <c r="L2617" s="3">
        <v>-0.40830739999999999</v>
      </c>
    </row>
    <row r="2618" spans="1:12" x14ac:dyDescent="0.25">
      <c r="A2618" t="s">
        <v>8143</v>
      </c>
      <c r="B2618" t="s">
        <v>8144</v>
      </c>
      <c r="I2618" t="s">
        <v>8145</v>
      </c>
      <c r="J2618" s="3">
        <v>-0.21798960000000001</v>
      </c>
      <c r="K2618" s="3">
        <v>-0.49787429999999999</v>
      </c>
      <c r="L2618" s="3">
        <v>4.596811E-2</v>
      </c>
    </row>
    <row r="2619" spans="1:12" x14ac:dyDescent="0.25">
      <c r="A2619" t="s">
        <v>8142</v>
      </c>
      <c r="B2619" t="s">
        <v>957</v>
      </c>
      <c r="I2619" t="s">
        <v>455</v>
      </c>
      <c r="J2619" s="3">
        <v>0.18572739999999999</v>
      </c>
      <c r="K2619" s="3">
        <v>-7.5213630000000004E-2</v>
      </c>
      <c r="L2619" s="3">
        <v>-0.1254382</v>
      </c>
    </row>
    <row r="2620" spans="1:12" x14ac:dyDescent="0.25">
      <c r="A2620" t="s">
        <v>8139</v>
      </c>
      <c r="B2620" t="s">
        <v>8140</v>
      </c>
      <c r="I2620" t="s">
        <v>8141</v>
      </c>
      <c r="J2620" s="3">
        <v>-0.24343429999999999</v>
      </c>
      <c r="K2620" s="3">
        <v>-0.4105374</v>
      </c>
      <c r="L2620" s="3">
        <v>-0.1000214</v>
      </c>
    </row>
    <row r="2621" spans="1:12" x14ac:dyDescent="0.25">
      <c r="A2621" t="s">
        <v>8136</v>
      </c>
      <c r="B2621" t="s">
        <v>8137</v>
      </c>
      <c r="I2621" t="s">
        <v>8138</v>
      </c>
      <c r="J2621" s="3">
        <v>0.21337709999999999</v>
      </c>
      <c r="K2621" s="3">
        <v>-5.1231510000000001E-2</v>
      </c>
      <c r="L2621" s="3">
        <v>-0.1771278</v>
      </c>
    </row>
    <row r="2622" spans="1:12" x14ac:dyDescent="0.25">
      <c r="A2622" t="s">
        <v>8134</v>
      </c>
      <c r="B2622" t="s">
        <v>957</v>
      </c>
      <c r="I2622" t="s">
        <v>8135</v>
      </c>
      <c r="J2622" s="3">
        <v>-0.80827970000000005</v>
      </c>
      <c r="K2622" s="3">
        <v>-1.1997450000000001</v>
      </c>
      <c r="L2622" s="3">
        <v>-1.046084</v>
      </c>
    </row>
    <row r="2623" spans="1:12" x14ac:dyDescent="0.25">
      <c r="A2623" t="s">
        <v>8132</v>
      </c>
      <c r="B2623" t="s">
        <v>957</v>
      </c>
      <c r="I2623" t="s">
        <v>8133</v>
      </c>
      <c r="J2623" s="3">
        <v>-0.47294049999999999</v>
      </c>
      <c r="K2623" s="3">
        <v>-0.6255811</v>
      </c>
      <c r="L2623" s="3">
        <v>-0.4746842</v>
      </c>
    </row>
    <row r="2624" spans="1:12" x14ac:dyDescent="0.25">
      <c r="A2624" t="s">
        <v>8129</v>
      </c>
      <c r="B2624" t="s">
        <v>8130</v>
      </c>
      <c r="I2624" t="s">
        <v>8131</v>
      </c>
      <c r="J2624" s="3">
        <v>-8.9008400000000001E-2</v>
      </c>
      <c r="K2624" s="3">
        <v>-0.17835519999999999</v>
      </c>
      <c r="L2624" s="3">
        <v>1.8568440000000001E-3</v>
      </c>
    </row>
    <row r="2625" spans="1:12" x14ac:dyDescent="0.25">
      <c r="A2625" t="s">
        <v>8127</v>
      </c>
      <c r="B2625" t="s">
        <v>8128</v>
      </c>
      <c r="I2625" t="s">
        <v>2795</v>
      </c>
      <c r="J2625" s="3">
        <v>0.66133120000000001</v>
      </c>
      <c r="K2625" s="3">
        <v>0.47080129999999998</v>
      </c>
      <c r="L2625" s="3">
        <v>0.3732433</v>
      </c>
    </row>
    <row r="2626" spans="1:12" x14ac:dyDescent="0.25">
      <c r="A2626" t="s">
        <v>8126</v>
      </c>
      <c r="B2626" t="s">
        <v>957</v>
      </c>
      <c r="I2626" t="s">
        <v>455</v>
      </c>
      <c r="J2626" s="3">
        <v>0.2426412</v>
      </c>
      <c r="K2626" s="3">
        <v>0.76528940000000001</v>
      </c>
      <c r="L2626" s="3">
        <v>0.65795210000000004</v>
      </c>
    </row>
    <row r="2627" spans="1:12" x14ac:dyDescent="0.25">
      <c r="A2627" t="s">
        <v>8123</v>
      </c>
      <c r="B2627" t="s">
        <v>8124</v>
      </c>
      <c r="I2627" t="s">
        <v>8125</v>
      </c>
      <c r="J2627" s="3">
        <v>-5.7986870000000003E-3</v>
      </c>
      <c r="K2627" s="3">
        <v>0.208981</v>
      </c>
      <c r="L2627" s="3">
        <v>4.5141290000000001E-2</v>
      </c>
    </row>
    <row r="2628" spans="1:12" x14ac:dyDescent="0.25">
      <c r="A2628" t="s">
        <v>8122</v>
      </c>
      <c r="B2628" t="s">
        <v>957</v>
      </c>
      <c r="I2628" t="s">
        <v>455</v>
      </c>
      <c r="J2628" s="3">
        <v>0.23313719999999999</v>
      </c>
      <c r="K2628" s="3">
        <v>0.77770300000000003</v>
      </c>
      <c r="L2628" s="3">
        <v>0.73848650000000005</v>
      </c>
    </row>
    <row r="2629" spans="1:12" x14ac:dyDescent="0.25">
      <c r="A2629" t="s">
        <v>8119</v>
      </c>
      <c r="B2629" t="s">
        <v>8120</v>
      </c>
      <c r="I2629" t="s">
        <v>8121</v>
      </c>
      <c r="J2629" s="3">
        <v>0.2182326</v>
      </c>
      <c r="K2629" s="3">
        <v>0.47282760000000001</v>
      </c>
      <c r="L2629" s="3">
        <v>-2.4751240000000001E-2</v>
      </c>
    </row>
    <row r="2630" spans="1:12" x14ac:dyDescent="0.25">
      <c r="A2630" t="s">
        <v>8118</v>
      </c>
      <c r="B2630" t="s">
        <v>957</v>
      </c>
      <c r="I2630" t="s">
        <v>2</v>
      </c>
      <c r="J2630" s="3">
        <v>6.6607319999999999E-3</v>
      </c>
      <c r="K2630" s="3">
        <v>0.16302069999999999</v>
      </c>
      <c r="L2630" s="3">
        <v>-9.9589800000000006E-2</v>
      </c>
    </row>
    <row r="2631" spans="1:12" x14ac:dyDescent="0.25">
      <c r="A2631" t="s">
        <v>8117</v>
      </c>
      <c r="B2631" t="s">
        <v>957</v>
      </c>
      <c r="I2631" t="s">
        <v>455</v>
      </c>
      <c r="J2631" s="3">
        <v>-0.43387140000000002</v>
      </c>
      <c r="K2631" s="3">
        <v>-0.72129200000000004</v>
      </c>
      <c r="L2631" s="3">
        <v>-0.64434290000000005</v>
      </c>
    </row>
    <row r="2632" spans="1:12" x14ac:dyDescent="0.25">
      <c r="A2632" t="s">
        <v>8115</v>
      </c>
      <c r="B2632" t="s">
        <v>8116</v>
      </c>
      <c r="I2632" t="s">
        <v>430</v>
      </c>
      <c r="J2632" s="3">
        <v>-1.057088</v>
      </c>
      <c r="K2632" s="3">
        <v>-1.348967</v>
      </c>
      <c r="L2632" s="3">
        <v>-0.79845960000000005</v>
      </c>
    </row>
    <row r="2633" spans="1:12" x14ac:dyDescent="0.25">
      <c r="A2633" t="s">
        <v>8112</v>
      </c>
      <c r="B2633" t="s">
        <v>8113</v>
      </c>
      <c r="I2633" t="s">
        <v>8114</v>
      </c>
      <c r="J2633" s="3">
        <v>0.38708340000000002</v>
      </c>
      <c r="K2633" s="3">
        <v>0.1390343</v>
      </c>
      <c r="L2633" s="3">
        <v>0.4600033</v>
      </c>
    </row>
    <row r="2634" spans="1:12" x14ac:dyDescent="0.25">
      <c r="A2634" t="s">
        <v>8109</v>
      </c>
      <c r="B2634" t="s">
        <v>8110</v>
      </c>
      <c r="I2634" t="s">
        <v>8111</v>
      </c>
      <c r="J2634" s="3">
        <v>-0.11214730000000001</v>
      </c>
      <c r="K2634" s="3">
        <v>-0.4011806</v>
      </c>
      <c r="L2634" s="3">
        <v>-0.2550153</v>
      </c>
    </row>
    <row r="2635" spans="1:12" x14ac:dyDescent="0.25">
      <c r="A2635" t="s">
        <v>8108</v>
      </c>
      <c r="B2635" t="s">
        <v>957</v>
      </c>
      <c r="I2635" t="s">
        <v>455</v>
      </c>
      <c r="J2635" s="3">
        <v>-0.58391389999999999</v>
      </c>
      <c r="K2635" s="3">
        <v>-0.92543900000000001</v>
      </c>
      <c r="L2635" s="3">
        <v>-0.63661120000000004</v>
      </c>
    </row>
    <row r="2636" spans="1:12" x14ac:dyDescent="0.25">
      <c r="A2636" t="s">
        <v>8105</v>
      </c>
      <c r="B2636" t="s">
        <v>8106</v>
      </c>
      <c r="I2636" t="s">
        <v>8107</v>
      </c>
      <c r="J2636" s="3">
        <v>0.1254856</v>
      </c>
      <c r="K2636" s="3">
        <v>-0.17005600000000001</v>
      </c>
      <c r="L2636" s="3">
        <v>0.43245169999999999</v>
      </c>
    </row>
    <row r="2637" spans="1:12" x14ac:dyDescent="0.25">
      <c r="A2637" t="s">
        <v>8102</v>
      </c>
      <c r="B2637" t="s">
        <v>8103</v>
      </c>
      <c r="I2637" t="s">
        <v>8104</v>
      </c>
      <c r="J2637" s="3">
        <v>-1.002068</v>
      </c>
      <c r="K2637" s="3">
        <v>-1.067547</v>
      </c>
      <c r="L2637" s="3">
        <v>-0.2172055</v>
      </c>
    </row>
    <row r="2638" spans="1:12" x14ac:dyDescent="0.25">
      <c r="A2638" t="s">
        <v>8099</v>
      </c>
      <c r="B2638" t="s">
        <v>8100</v>
      </c>
      <c r="I2638" t="s">
        <v>8101</v>
      </c>
      <c r="J2638" s="3">
        <v>6.6578700000000005E-2</v>
      </c>
      <c r="K2638" s="3">
        <v>0.70571689999999998</v>
      </c>
      <c r="L2638" s="3">
        <v>0.20614879999999999</v>
      </c>
    </row>
    <row r="2639" spans="1:12" x14ac:dyDescent="0.25">
      <c r="A2639" t="s">
        <v>8096</v>
      </c>
      <c r="B2639" t="s">
        <v>8097</v>
      </c>
      <c r="I2639" t="s">
        <v>8098</v>
      </c>
      <c r="J2639" s="3">
        <v>0.73705259999999995</v>
      </c>
      <c r="K2639" s="3">
        <v>0.80556260000000002</v>
      </c>
      <c r="L2639" s="3">
        <v>0.62584079999999997</v>
      </c>
    </row>
    <row r="2640" spans="1:12" x14ac:dyDescent="0.25">
      <c r="A2640" t="s">
        <v>8095</v>
      </c>
      <c r="B2640" t="s">
        <v>957</v>
      </c>
      <c r="I2640" t="s">
        <v>455</v>
      </c>
      <c r="J2640" s="3">
        <v>5.0810670000000002E-2</v>
      </c>
      <c r="K2640" s="3">
        <v>0.34717779999999998</v>
      </c>
      <c r="L2640" s="3">
        <v>3.7954509999999997E-2</v>
      </c>
    </row>
    <row r="2641" spans="1:12" x14ac:dyDescent="0.25">
      <c r="A2641" t="s">
        <v>8092</v>
      </c>
      <c r="B2641" t="s">
        <v>8093</v>
      </c>
      <c r="I2641" t="s">
        <v>8094</v>
      </c>
      <c r="J2641" s="3">
        <v>-0.50684899999999999</v>
      </c>
      <c r="K2641" s="3">
        <v>-0.1486874</v>
      </c>
      <c r="L2641" s="3">
        <v>-0.37671929999999998</v>
      </c>
    </row>
    <row r="2642" spans="1:12" x14ac:dyDescent="0.25">
      <c r="A2642" t="s">
        <v>8089</v>
      </c>
      <c r="B2642" t="s">
        <v>8090</v>
      </c>
      <c r="I2642" t="s">
        <v>8091</v>
      </c>
      <c r="J2642" s="3">
        <v>-0.40246500000000002</v>
      </c>
      <c r="K2642" s="3">
        <v>-0.28685820000000001</v>
      </c>
      <c r="L2642" s="3">
        <v>-0.43493989999999999</v>
      </c>
    </row>
    <row r="2643" spans="1:12" x14ac:dyDescent="0.25">
      <c r="A2643" t="s">
        <v>8086</v>
      </c>
      <c r="B2643" t="s">
        <v>8087</v>
      </c>
      <c r="I2643" t="s">
        <v>8088</v>
      </c>
      <c r="J2643" s="3">
        <v>0.1015363</v>
      </c>
      <c r="K2643" s="3">
        <v>-0.66924150000000004</v>
      </c>
      <c r="L2643" s="3">
        <v>-0.1497946</v>
      </c>
    </row>
    <row r="2644" spans="1:12" x14ac:dyDescent="0.25">
      <c r="A2644" t="s">
        <v>8083</v>
      </c>
      <c r="B2644" t="s">
        <v>8084</v>
      </c>
      <c r="I2644" t="s">
        <v>8085</v>
      </c>
      <c r="J2644" s="3">
        <v>-7.0788459999999997E-2</v>
      </c>
      <c r="K2644" s="3">
        <v>-7.350661E-2</v>
      </c>
      <c r="L2644" s="3">
        <v>-0.2093497</v>
      </c>
    </row>
    <row r="2645" spans="1:12" x14ac:dyDescent="0.25">
      <c r="A2645" t="s">
        <v>8080</v>
      </c>
      <c r="B2645" t="s">
        <v>8081</v>
      </c>
      <c r="I2645" t="s">
        <v>8082</v>
      </c>
      <c r="J2645" s="3">
        <v>0.81861309999999998</v>
      </c>
      <c r="K2645" s="3">
        <v>0.139825</v>
      </c>
      <c r="L2645" s="3">
        <v>0.46942630000000002</v>
      </c>
    </row>
    <row r="2646" spans="1:12" x14ac:dyDescent="0.25">
      <c r="A2646" t="s">
        <v>8079</v>
      </c>
      <c r="B2646" t="s">
        <v>957</v>
      </c>
      <c r="I2646" t="s">
        <v>2008</v>
      </c>
      <c r="J2646" s="3">
        <v>-0.40277039999999997</v>
      </c>
      <c r="K2646" s="3">
        <v>0.2009406</v>
      </c>
      <c r="L2646" s="3">
        <v>1.6638960000000001E-2</v>
      </c>
    </row>
    <row r="2647" spans="1:12" x14ac:dyDescent="0.25">
      <c r="A2647" t="s">
        <v>8076</v>
      </c>
      <c r="B2647" t="s">
        <v>8077</v>
      </c>
      <c r="I2647" t="s">
        <v>8078</v>
      </c>
      <c r="J2647" s="3">
        <v>-0.25503759999999998</v>
      </c>
      <c r="K2647" s="3">
        <v>4.0145149999999998E-2</v>
      </c>
      <c r="L2647" s="3">
        <v>-0.1608271</v>
      </c>
    </row>
    <row r="2648" spans="1:12" x14ac:dyDescent="0.25">
      <c r="A2648" t="s">
        <v>8075</v>
      </c>
      <c r="B2648" t="s">
        <v>957</v>
      </c>
      <c r="I2648" t="s">
        <v>1059</v>
      </c>
      <c r="J2648" s="3">
        <v>-0.30644329999999997</v>
      </c>
      <c r="K2648" s="3">
        <v>-0.38271260000000001</v>
      </c>
      <c r="L2648" s="3">
        <v>-0.37021979999999999</v>
      </c>
    </row>
    <row r="2649" spans="1:12" x14ac:dyDescent="0.25">
      <c r="A2649" t="s">
        <v>8072</v>
      </c>
      <c r="B2649" t="s">
        <v>8073</v>
      </c>
      <c r="I2649" t="s">
        <v>8074</v>
      </c>
      <c r="J2649" s="3">
        <v>-0.94408389999999998</v>
      </c>
      <c r="K2649" s="3">
        <v>-0.4412508</v>
      </c>
      <c r="L2649" s="3">
        <v>-0.17752950000000001</v>
      </c>
    </row>
    <row r="2650" spans="1:12" x14ac:dyDescent="0.25">
      <c r="A2650" t="s">
        <v>8069</v>
      </c>
      <c r="B2650" t="s">
        <v>8070</v>
      </c>
      <c r="I2650" t="s">
        <v>8071</v>
      </c>
      <c r="J2650" s="3">
        <v>0.16799049999999999</v>
      </c>
      <c r="K2650" s="3">
        <v>-0.23229859999999999</v>
      </c>
      <c r="L2650" s="3">
        <v>9.3303579999999997E-2</v>
      </c>
    </row>
    <row r="2651" spans="1:12" x14ac:dyDescent="0.25">
      <c r="A2651" t="s">
        <v>8066</v>
      </c>
      <c r="B2651" t="s">
        <v>8067</v>
      </c>
      <c r="I2651" t="s">
        <v>8068</v>
      </c>
      <c r="J2651" s="3">
        <v>0.25618449999999998</v>
      </c>
      <c r="K2651" s="3">
        <v>0.62302959999999996</v>
      </c>
      <c r="L2651" s="3">
        <v>0.64941110000000002</v>
      </c>
    </row>
    <row r="2652" spans="1:12" x14ac:dyDescent="0.25">
      <c r="A2652" t="s">
        <v>6957</v>
      </c>
      <c r="B2652" t="s">
        <v>6958</v>
      </c>
      <c r="I2652" t="s">
        <v>8065</v>
      </c>
      <c r="J2652" s="3">
        <v>-5.4204830000000002E-2</v>
      </c>
      <c r="K2652" s="3">
        <v>0.50619570000000003</v>
      </c>
      <c r="L2652" s="3">
        <v>9.420183E-2</v>
      </c>
    </row>
    <row r="2653" spans="1:12" x14ac:dyDescent="0.25">
      <c r="A2653" t="s">
        <v>6954</v>
      </c>
      <c r="B2653" t="s">
        <v>6955</v>
      </c>
      <c r="I2653" t="s">
        <v>6956</v>
      </c>
      <c r="J2653" s="3">
        <v>-0.36316120000000002</v>
      </c>
      <c r="K2653" s="3">
        <v>-1.037447</v>
      </c>
      <c r="L2653" s="3">
        <v>-0.25786419999999999</v>
      </c>
    </row>
    <row r="2654" spans="1:12" x14ac:dyDescent="0.25">
      <c r="A2654" t="s">
        <v>6951</v>
      </c>
      <c r="B2654" t="s">
        <v>6952</v>
      </c>
      <c r="I2654" t="s">
        <v>6953</v>
      </c>
      <c r="J2654" s="3">
        <v>0.19660430000000001</v>
      </c>
      <c r="K2654" s="3">
        <v>0.1527473</v>
      </c>
      <c r="L2654" s="3">
        <v>-8.9523139999999994E-3</v>
      </c>
    </row>
    <row r="2655" spans="1:12" x14ac:dyDescent="0.25">
      <c r="A2655" t="s">
        <v>6948</v>
      </c>
      <c r="B2655" t="s">
        <v>6949</v>
      </c>
      <c r="I2655" t="s">
        <v>6950</v>
      </c>
      <c r="J2655" s="3">
        <v>0.16512299999999999</v>
      </c>
      <c r="K2655" s="3">
        <v>-0.48080919999999999</v>
      </c>
      <c r="L2655" s="3">
        <v>-0.487452</v>
      </c>
    </row>
    <row r="2656" spans="1:12" x14ac:dyDescent="0.25">
      <c r="A2656" t="s">
        <v>6945</v>
      </c>
      <c r="B2656" t="s">
        <v>6946</v>
      </c>
      <c r="I2656" t="s">
        <v>6947</v>
      </c>
      <c r="J2656" s="3">
        <v>7.562054E-2</v>
      </c>
      <c r="K2656" s="3">
        <v>-0.41574709999999998</v>
      </c>
      <c r="L2656" s="3">
        <v>-0.23136689999999999</v>
      </c>
    </row>
    <row r="2657" spans="1:12" x14ac:dyDescent="0.25">
      <c r="A2657" t="s">
        <v>6942</v>
      </c>
      <c r="B2657" t="s">
        <v>6943</v>
      </c>
      <c r="I2657" t="s">
        <v>6944</v>
      </c>
      <c r="J2657" s="3">
        <v>1.6900189999999999</v>
      </c>
      <c r="K2657" s="3">
        <v>2.17117</v>
      </c>
      <c r="L2657" s="3">
        <v>1.3129649999999999</v>
      </c>
    </row>
    <row r="2658" spans="1:12" x14ac:dyDescent="0.25">
      <c r="A2658" t="s">
        <v>6939</v>
      </c>
      <c r="B2658" t="s">
        <v>6940</v>
      </c>
      <c r="I2658" t="s">
        <v>6941</v>
      </c>
      <c r="J2658" s="3">
        <v>0.77794370000000002</v>
      </c>
      <c r="K2658" s="3">
        <v>1.184955</v>
      </c>
      <c r="L2658" s="3">
        <v>0.31345800000000001</v>
      </c>
    </row>
    <row r="2659" spans="1:12" x14ac:dyDescent="0.25">
      <c r="A2659" t="s">
        <v>6936</v>
      </c>
      <c r="B2659" t="s">
        <v>6937</v>
      </c>
      <c r="I2659" t="s">
        <v>6938</v>
      </c>
      <c r="J2659" s="3">
        <v>-0.42015380000000002</v>
      </c>
      <c r="K2659" s="3">
        <v>-0.71926120000000004</v>
      </c>
      <c r="L2659" s="3">
        <v>-0.38724039999999998</v>
      </c>
    </row>
    <row r="2660" spans="1:12" x14ac:dyDescent="0.25">
      <c r="A2660" t="s">
        <v>6933</v>
      </c>
      <c r="B2660" t="s">
        <v>6934</v>
      </c>
      <c r="I2660" t="s">
        <v>6935</v>
      </c>
      <c r="J2660" s="3">
        <v>0.61707979999999996</v>
      </c>
      <c r="K2660" s="3">
        <v>0.19716739999999999</v>
      </c>
      <c r="L2660" s="3">
        <v>0.18658430000000001</v>
      </c>
    </row>
    <row r="2661" spans="1:12" x14ac:dyDescent="0.25">
      <c r="A2661" t="s">
        <v>8028</v>
      </c>
      <c r="B2661" t="s">
        <v>8029</v>
      </c>
      <c r="I2661" t="s">
        <v>6932</v>
      </c>
      <c r="J2661" s="3">
        <v>1.452993E-2</v>
      </c>
      <c r="K2661" s="3">
        <v>0.49988929999999998</v>
      </c>
      <c r="L2661" s="3">
        <v>0.96874000000000005</v>
      </c>
    </row>
    <row r="2662" spans="1:12" x14ac:dyDescent="0.25">
      <c r="A2662" t="s">
        <v>8025</v>
      </c>
      <c r="B2662" t="s">
        <v>8026</v>
      </c>
      <c r="I2662" t="s">
        <v>8027</v>
      </c>
      <c r="J2662" s="3">
        <v>0.93295269999999997</v>
      </c>
      <c r="K2662" s="3">
        <v>1.515004</v>
      </c>
      <c r="L2662" s="3">
        <v>1.1757919999999999</v>
      </c>
    </row>
    <row r="2663" spans="1:12" x14ac:dyDescent="0.25">
      <c r="A2663" t="s">
        <v>8022</v>
      </c>
      <c r="B2663" t="s">
        <v>8023</v>
      </c>
      <c r="I2663" t="s">
        <v>8024</v>
      </c>
      <c r="J2663" s="3">
        <v>-8.9759430000000001E-2</v>
      </c>
      <c r="K2663" s="3">
        <v>-0.30562650000000002</v>
      </c>
      <c r="L2663" s="3">
        <v>-0.20306289999999999</v>
      </c>
    </row>
    <row r="2664" spans="1:12" x14ac:dyDescent="0.25">
      <c r="A2664" t="s">
        <v>8019</v>
      </c>
      <c r="B2664" t="s">
        <v>8020</v>
      </c>
      <c r="I2664" t="s">
        <v>8021</v>
      </c>
      <c r="J2664" s="3">
        <v>-9.9078949999999999E-2</v>
      </c>
      <c r="K2664" s="3">
        <v>-0.51929150000000002</v>
      </c>
      <c r="L2664" s="3">
        <v>-0.10911410000000001</v>
      </c>
    </row>
    <row r="2665" spans="1:12" x14ac:dyDescent="0.25">
      <c r="A2665" t="s">
        <v>8018</v>
      </c>
      <c r="B2665" t="s">
        <v>957</v>
      </c>
      <c r="I2665" t="s">
        <v>455</v>
      </c>
      <c r="J2665" s="3">
        <v>-0.26823970000000003</v>
      </c>
      <c r="K2665" s="3">
        <v>-0.23485739999999999</v>
      </c>
      <c r="L2665" s="3">
        <v>-0.2342234</v>
      </c>
    </row>
    <row r="2666" spans="1:12" x14ac:dyDescent="0.25">
      <c r="A2666" t="s">
        <v>8015</v>
      </c>
      <c r="B2666" t="s">
        <v>8016</v>
      </c>
      <c r="I2666" t="s">
        <v>8017</v>
      </c>
      <c r="J2666" s="3">
        <v>6.5694039999999995E-2</v>
      </c>
      <c r="K2666" s="3">
        <v>0.32052969999999997</v>
      </c>
      <c r="L2666" s="3">
        <v>0.26336599999999999</v>
      </c>
    </row>
    <row r="2667" spans="1:12" x14ac:dyDescent="0.25">
      <c r="A2667" t="s">
        <v>8012</v>
      </c>
      <c r="B2667" t="s">
        <v>8013</v>
      </c>
      <c r="I2667" t="s">
        <v>8014</v>
      </c>
      <c r="J2667" s="3">
        <v>0.26092359999999998</v>
      </c>
      <c r="K2667" s="3">
        <v>3.84556E-2</v>
      </c>
      <c r="L2667" s="3">
        <v>0.18105859999999999</v>
      </c>
    </row>
    <row r="2668" spans="1:12" x14ac:dyDescent="0.25">
      <c r="A2668" t="s">
        <v>8010</v>
      </c>
      <c r="B2668" t="s">
        <v>957</v>
      </c>
      <c r="I2668" t="s">
        <v>8011</v>
      </c>
      <c r="J2668" s="3">
        <v>0.19042870000000001</v>
      </c>
      <c r="K2668" s="3">
        <v>-0.45847539999999998</v>
      </c>
      <c r="L2668" s="3">
        <v>-0.55531850000000005</v>
      </c>
    </row>
    <row r="2669" spans="1:12" x14ac:dyDescent="0.25">
      <c r="A2669" t="s">
        <v>8007</v>
      </c>
      <c r="B2669" t="s">
        <v>8008</v>
      </c>
      <c r="I2669" t="s">
        <v>8009</v>
      </c>
      <c r="J2669" s="3">
        <v>2.7039980000000002E-2</v>
      </c>
      <c r="K2669" s="3">
        <v>1.200441E-2</v>
      </c>
      <c r="L2669" s="3">
        <v>0.29285509999999998</v>
      </c>
    </row>
    <row r="2670" spans="1:12" x14ac:dyDescent="0.25">
      <c r="A2670" t="s">
        <v>8005</v>
      </c>
      <c r="B2670" t="s">
        <v>8006</v>
      </c>
      <c r="I2670" t="s">
        <v>1578</v>
      </c>
      <c r="J2670" s="3">
        <v>0.48048570000000002</v>
      </c>
      <c r="K2670" s="3">
        <v>0.34945520000000002</v>
      </c>
      <c r="L2670" s="3">
        <v>0.60690699999999997</v>
      </c>
    </row>
    <row r="2671" spans="1:12" x14ac:dyDescent="0.25">
      <c r="A2671" t="s">
        <v>8002</v>
      </c>
      <c r="B2671" t="s">
        <v>8003</v>
      </c>
      <c r="I2671" t="s">
        <v>8004</v>
      </c>
      <c r="J2671" s="3">
        <v>0.62584879999999998</v>
      </c>
      <c r="K2671" s="3">
        <v>0.61553469999999999</v>
      </c>
      <c r="L2671" s="3">
        <v>0.73783100000000001</v>
      </c>
    </row>
    <row r="2672" spans="1:12" x14ac:dyDescent="0.25">
      <c r="A2672" t="s">
        <v>8001</v>
      </c>
      <c r="B2672" t="s">
        <v>957</v>
      </c>
      <c r="I2672" t="s">
        <v>156</v>
      </c>
      <c r="J2672" s="3">
        <v>7.9690040000000004E-2</v>
      </c>
      <c r="K2672" s="3">
        <v>9.6104319999999993E-2</v>
      </c>
      <c r="L2672" s="3">
        <v>6.5640669999999998E-2</v>
      </c>
    </row>
    <row r="2673" spans="1:12" x14ac:dyDescent="0.25">
      <c r="A2673" t="s">
        <v>7998</v>
      </c>
      <c r="B2673" t="s">
        <v>7999</v>
      </c>
      <c r="I2673" t="s">
        <v>8000</v>
      </c>
      <c r="J2673" s="3">
        <v>9.8100779999999999E-2</v>
      </c>
      <c r="K2673" s="3">
        <v>0.4611632</v>
      </c>
      <c r="L2673" s="3">
        <v>0.18555070000000001</v>
      </c>
    </row>
    <row r="2674" spans="1:12" x14ac:dyDescent="0.25">
      <c r="A2674" t="s">
        <v>6899</v>
      </c>
      <c r="B2674" t="s">
        <v>6900</v>
      </c>
      <c r="I2674" t="s">
        <v>6901</v>
      </c>
      <c r="J2674" s="3">
        <v>1.2531330000000001</v>
      </c>
      <c r="K2674" s="3">
        <v>0.77289790000000003</v>
      </c>
      <c r="L2674" s="3">
        <v>0.90248329999999999</v>
      </c>
    </row>
    <row r="2675" spans="1:12" x14ac:dyDescent="0.25">
      <c r="A2675" t="s">
        <v>6896</v>
      </c>
      <c r="B2675" t="s">
        <v>6897</v>
      </c>
      <c r="I2675" t="s">
        <v>6898</v>
      </c>
      <c r="J2675" s="3">
        <v>-0.1074749</v>
      </c>
      <c r="K2675" s="3">
        <v>-0.57896610000000004</v>
      </c>
      <c r="L2675" s="3">
        <v>-0.1217237</v>
      </c>
    </row>
    <row r="2676" spans="1:12" x14ac:dyDescent="0.25">
      <c r="A2676" t="s">
        <v>6895</v>
      </c>
      <c r="B2676" t="s">
        <v>957</v>
      </c>
      <c r="I2676" t="s">
        <v>2008</v>
      </c>
      <c r="J2676" s="3">
        <v>-5.4577199999999999E-2</v>
      </c>
      <c r="K2676" s="3">
        <v>6.2440549999999997E-2</v>
      </c>
      <c r="L2676" s="3">
        <v>1.1457169999999999E-2</v>
      </c>
    </row>
    <row r="2677" spans="1:12" x14ac:dyDescent="0.25">
      <c r="A2677" t="s">
        <v>6892</v>
      </c>
      <c r="B2677" t="s">
        <v>6893</v>
      </c>
      <c r="I2677" t="s">
        <v>6894</v>
      </c>
      <c r="J2677" s="3">
        <v>-0.82367769999999996</v>
      </c>
      <c r="K2677" s="3">
        <v>-1.039463</v>
      </c>
      <c r="L2677" s="3">
        <v>-0.29336770000000001</v>
      </c>
    </row>
    <row r="2678" spans="1:12" x14ac:dyDescent="0.25">
      <c r="A2678" t="s">
        <v>6890</v>
      </c>
      <c r="B2678" t="s">
        <v>6891</v>
      </c>
      <c r="I2678" t="s">
        <v>668</v>
      </c>
      <c r="J2678" s="3">
        <v>-0.1874895</v>
      </c>
      <c r="K2678" s="3">
        <v>-0.4347472</v>
      </c>
      <c r="L2678" s="3">
        <v>-0.42345529999999998</v>
      </c>
    </row>
    <row r="2679" spans="1:12" x14ac:dyDescent="0.25">
      <c r="A2679" t="s">
        <v>6887</v>
      </c>
      <c r="B2679" t="s">
        <v>6888</v>
      </c>
      <c r="I2679" t="s">
        <v>6889</v>
      </c>
      <c r="J2679" s="3">
        <v>0.65808840000000002</v>
      </c>
      <c r="K2679" s="3">
        <v>0.73681759999999996</v>
      </c>
      <c r="L2679" s="3">
        <v>0.51478360000000001</v>
      </c>
    </row>
    <row r="2680" spans="1:12" x14ac:dyDescent="0.25">
      <c r="A2680" t="s">
        <v>6884</v>
      </c>
      <c r="B2680" t="s">
        <v>6885</v>
      </c>
      <c r="I2680" t="s">
        <v>6886</v>
      </c>
      <c r="J2680" s="3">
        <v>-0.14684729999999999</v>
      </c>
      <c r="K2680" s="3">
        <v>-0.42836069999999998</v>
      </c>
      <c r="L2680" s="3">
        <v>-0.12124210000000001</v>
      </c>
    </row>
    <row r="2681" spans="1:12" x14ac:dyDescent="0.25">
      <c r="A2681" t="s">
        <v>6881</v>
      </c>
      <c r="B2681" t="s">
        <v>6882</v>
      </c>
      <c r="I2681" t="s">
        <v>6883</v>
      </c>
      <c r="J2681" s="3">
        <v>0.1778129</v>
      </c>
      <c r="K2681" s="3">
        <v>-3.9429039999999999E-2</v>
      </c>
      <c r="L2681" s="3">
        <v>-0.35571009999999997</v>
      </c>
    </row>
    <row r="2682" spans="1:12" x14ac:dyDescent="0.25">
      <c r="A2682" t="s">
        <v>6878</v>
      </c>
      <c r="B2682" t="s">
        <v>6879</v>
      </c>
      <c r="I2682" t="s">
        <v>6880</v>
      </c>
      <c r="J2682" s="3">
        <v>-0.4829638</v>
      </c>
      <c r="K2682" s="3">
        <v>-0.99759149999999996</v>
      </c>
      <c r="L2682" s="3">
        <v>-0.76649769999999995</v>
      </c>
    </row>
    <row r="2683" spans="1:12" x14ac:dyDescent="0.25">
      <c r="A2683" t="s">
        <v>6875</v>
      </c>
      <c r="B2683" t="s">
        <v>6876</v>
      </c>
      <c r="I2683" t="s">
        <v>6877</v>
      </c>
      <c r="J2683" s="3">
        <v>6.9725709999999996E-2</v>
      </c>
      <c r="K2683" s="3">
        <v>0.47094370000000002</v>
      </c>
      <c r="L2683" s="3">
        <v>0.60356480000000001</v>
      </c>
    </row>
    <row r="2684" spans="1:12" x14ac:dyDescent="0.25">
      <c r="A2684" t="s">
        <v>6873</v>
      </c>
      <c r="B2684" t="s">
        <v>6874</v>
      </c>
      <c r="I2684" t="s">
        <v>1768</v>
      </c>
      <c r="J2684" s="3">
        <v>0.20175360000000001</v>
      </c>
      <c r="K2684" s="3">
        <v>0.25000689999999998</v>
      </c>
      <c r="L2684" s="3">
        <v>0.1481026</v>
      </c>
    </row>
    <row r="2685" spans="1:12" x14ac:dyDescent="0.25">
      <c r="A2685" t="s">
        <v>6870</v>
      </c>
      <c r="B2685" t="s">
        <v>6871</v>
      </c>
      <c r="I2685" t="s">
        <v>6872</v>
      </c>
      <c r="J2685" s="3">
        <v>-9.0382980000000002E-2</v>
      </c>
      <c r="K2685" s="3">
        <v>-0.48070810000000003</v>
      </c>
      <c r="L2685" s="3">
        <v>-0.34798129999999999</v>
      </c>
    </row>
    <row r="2686" spans="1:12" x14ac:dyDescent="0.25">
      <c r="A2686" t="s">
        <v>6869</v>
      </c>
      <c r="B2686" t="s">
        <v>14215</v>
      </c>
      <c r="C2686" t="s">
        <v>14216</v>
      </c>
      <c r="I2686" t="s">
        <v>6280</v>
      </c>
      <c r="J2686" s="3">
        <v>0.17147019999999999</v>
      </c>
      <c r="K2686" s="3">
        <v>9.4691150000000002E-2</v>
      </c>
      <c r="L2686" s="3">
        <v>0.20179130000000001</v>
      </c>
    </row>
    <row r="2687" spans="1:12" x14ac:dyDescent="0.25">
      <c r="A2687" t="s">
        <v>6866</v>
      </c>
      <c r="B2687" t="s">
        <v>6867</v>
      </c>
      <c r="I2687" t="s">
        <v>6868</v>
      </c>
      <c r="J2687" s="3">
        <v>0.61857119999999999</v>
      </c>
      <c r="K2687" s="3">
        <v>-1.6924100000000001E-3</v>
      </c>
      <c r="L2687" s="3">
        <v>0.40667039999999999</v>
      </c>
    </row>
    <row r="2688" spans="1:12" x14ac:dyDescent="0.25">
      <c r="A2688" t="s">
        <v>6863</v>
      </c>
      <c r="B2688" t="s">
        <v>6864</v>
      </c>
      <c r="I2688" t="s">
        <v>6865</v>
      </c>
      <c r="J2688" s="3">
        <v>-3.9172270000000002E-2</v>
      </c>
      <c r="K2688" s="3">
        <v>-0.2426886</v>
      </c>
      <c r="L2688" s="3">
        <v>-7.0926199999999995E-2</v>
      </c>
    </row>
    <row r="2689" spans="1:12" x14ac:dyDescent="0.25">
      <c r="A2689" t="s">
        <v>6862</v>
      </c>
      <c r="B2689" t="s">
        <v>957</v>
      </c>
      <c r="I2689" t="s">
        <v>455</v>
      </c>
      <c r="J2689" s="3">
        <v>4.2578610000000003E-2</v>
      </c>
      <c r="K2689" s="3">
        <v>0.11472309999999999</v>
      </c>
      <c r="L2689" s="3">
        <v>-0.16908219999999999</v>
      </c>
    </row>
    <row r="2690" spans="1:12" x14ac:dyDescent="0.25">
      <c r="A2690" t="s">
        <v>6861</v>
      </c>
      <c r="B2690" t="s">
        <v>957</v>
      </c>
      <c r="I2690" t="s">
        <v>455</v>
      </c>
      <c r="J2690" s="3">
        <v>0.20489450000000001</v>
      </c>
      <c r="K2690" s="3">
        <v>-0.22223760000000001</v>
      </c>
      <c r="L2690" s="3">
        <v>7.8131679999999995E-2</v>
      </c>
    </row>
    <row r="2691" spans="1:12" x14ac:dyDescent="0.25">
      <c r="A2691" t="s">
        <v>6858</v>
      </c>
      <c r="B2691" t="s">
        <v>6859</v>
      </c>
      <c r="I2691" t="s">
        <v>6860</v>
      </c>
      <c r="J2691" s="3">
        <v>0.63062059999999998</v>
      </c>
      <c r="K2691" s="3">
        <v>0.8770947</v>
      </c>
      <c r="L2691" s="3">
        <v>0.4354422</v>
      </c>
    </row>
    <row r="2692" spans="1:12" x14ac:dyDescent="0.25">
      <c r="A2692" t="s">
        <v>6856</v>
      </c>
      <c r="B2692" t="s">
        <v>3551</v>
      </c>
      <c r="I2692" t="s">
        <v>6857</v>
      </c>
      <c r="J2692" s="3">
        <v>0.7818195</v>
      </c>
      <c r="K2692" s="3">
        <v>0.98486700000000005</v>
      </c>
      <c r="L2692" s="3">
        <v>0.96264870000000002</v>
      </c>
    </row>
    <row r="2693" spans="1:12" x14ac:dyDescent="0.25">
      <c r="A2693" t="s">
        <v>6853</v>
      </c>
      <c r="B2693" t="s">
        <v>6854</v>
      </c>
      <c r="I2693" t="s">
        <v>6855</v>
      </c>
      <c r="J2693" s="3">
        <v>0.18671989999999999</v>
      </c>
      <c r="K2693" s="3">
        <v>-9.7726649999999998E-2</v>
      </c>
      <c r="L2693" s="3">
        <v>-3.8301630000000003E-2</v>
      </c>
    </row>
    <row r="2694" spans="1:12" x14ac:dyDescent="0.25">
      <c r="A2694" t="s">
        <v>6850</v>
      </c>
      <c r="B2694" t="s">
        <v>6851</v>
      </c>
      <c r="I2694" t="s">
        <v>6852</v>
      </c>
      <c r="J2694" s="3">
        <v>0.51897539999999998</v>
      </c>
      <c r="K2694" s="3">
        <v>0.20158409999999999</v>
      </c>
      <c r="L2694" s="3">
        <v>0.30699470000000001</v>
      </c>
    </row>
    <row r="2695" spans="1:12" x14ac:dyDescent="0.25">
      <c r="A2695" t="s">
        <v>6849</v>
      </c>
      <c r="B2695" t="s">
        <v>957</v>
      </c>
      <c r="I2695" t="s">
        <v>823</v>
      </c>
      <c r="J2695" s="3">
        <v>-0.31621179999999999</v>
      </c>
      <c r="K2695" s="3">
        <v>-0.13820080000000001</v>
      </c>
      <c r="L2695" s="3">
        <v>-1.7821400000000001E-2</v>
      </c>
    </row>
    <row r="2696" spans="1:12" x14ac:dyDescent="0.25">
      <c r="A2696" t="s">
        <v>6848</v>
      </c>
      <c r="B2696" t="s">
        <v>957</v>
      </c>
      <c r="I2696" t="s">
        <v>455</v>
      </c>
      <c r="J2696" s="3">
        <v>-0.1530482</v>
      </c>
      <c r="K2696" s="3">
        <v>9.0374419999999997E-2</v>
      </c>
      <c r="L2696" s="3">
        <v>0.22460140000000001</v>
      </c>
    </row>
    <row r="2697" spans="1:12" x14ac:dyDescent="0.25">
      <c r="A2697" t="s">
        <v>6845</v>
      </c>
      <c r="B2697" t="s">
        <v>6846</v>
      </c>
      <c r="I2697" t="s">
        <v>6847</v>
      </c>
      <c r="J2697" s="3">
        <v>-0.54764699999999999</v>
      </c>
      <c r="K2697" s="3">
        <v>-1.225902</v>
      </c>
      <c r="L2697" s="3">
        <v>-0.30496210000000001</v>
      </c>
    </row>
    <row r="2698" spans="1:12" x14ac:dyDescent="0.25">
      <c r="A2698" t="s">
        <v>6842</v>
      </c>
      <c r="B2698" t="s">
        <v>6843</v>
      </c>
      <c r="I2698" t="s">
        <v>6844</v>
      </c>
      <c r="J2698" s="3">
        <v>1.579453</v>
      </c>
      <c r="K2698" s="3">
        <v>2.4532340000000001</v>
      </c>
      <c r="L2698" s="3">
        <v>1.2039489999999999</v>
      </c>
    </row>
    <row r="2699" spans="1:12" x14ac:dyDescent="0.25">
      <c r="A2699" t="s">
        <v>6841</v>
      </c>
      <c r="B2699" t="s">
        <v>957</v>
      </c>
      <c r="I2699" t="s">
        <v>455</v>
      </c>
      <c r="J2699" s="3">
        <v>-0.69463810000000004</v>
      </c>
      <c r="K2699" s="3">
        <v>-1.009085</v>
      </c>
      <c r="L2699" s="3">
        <v>-0.35643750000000002</v>
      </c>
    </row>
    <row r="2700" spans="1:12" x14ac:dyDescent="0.25">
      <c r="A2700" t="s">
        <v>6838</v>
      </c>
      <c r="B2700" t="s">
        <v>6839</v>
      </c>
      <c r="I2700" t="s">
        <v>6840</v>
      </c>
      <c r="J2700" s="3">
        <v>-0.96966450000000004</v>
      </c>
      <c r="K2700" s="3">
        <v>-0.12025089999999999</v>
      </c>
      <c r="L2700" s="3">
        <v>6.891253E-2</v>
      </c>
    </row>
    <row r="2701" spans="1:12" x14ac:dyDescent="0.25">
      <c r="A2701" t="s">
        <v>6836</v>
      </c>
      <c r="B2701" t="s">
        <v>6834</v>
      </c>
      <c r="I2701" t="s">
        <v>6837</v>
      </c>
      <c r="J2701" s="3">
        <v>0.32245499999999999</v>
      </c>
      <c r="K2701" s="3">
        <v>0.49647059999999998</v>
      </c>
      <c r="L2701" s="3">
        <v>0.16936000000000001</v>
      </c>
    </row>
    <row r="2702" spans="1:12" x14ac:dyDescent="0.25">
      <c r="A2702" t="s">
        <v>6833</v>
      </c>
      <c r="B2702" t="s">
        <v>6834</v>
      </c>
      <c r="I2702" t="s">
        <v>6835</v>
      </c>
      <c r="J2702" s="3">
        <v>-1.959321E-2</v>
      </c>
      <c r="K2702" s="3">
        <v>9.3530169999999996E-2</v>
      </c>
      <c r="L2702" s="3">
        <v>-9.8716040000000005E-2</v>
      </c>
    </row>
    <row r="2703" spans="1:12" x14ac:dyDescent="0.25">
      <c r="A2703" t="s">
        <v>7931</v>
      </c>
      <c r="B2703" t="s">
        <v>957</v>
      </c>
      <c r="I2703" t="s">
        <v>1970</v>
      </c>
      <c r="J2703" s="3">
        <v>0.76613399999999998</v>
      </c>
      <c r="K2703" s="3">
        <v>1.385194</v>
      </c>
      <c r="L2703" s="3">
        <v>0.44062849999999998</v>
      </c>
    </row>
    <row r="2704" spans="1:12" x14ac:dyDescent="0.25">
      <c r="A2704" t="s">
        <v>7929</v>
      </c>
      <c r="B2704" t="s">
        <v>957</v>
      </c>
      <c r="I2704" t="s">
        <v>7930</v>
      </c>
      <c r="J2704" s="3">
        <v>-0.58027649999999997</v>
      </c>
      <c r="K2704" s="3">
        <v>0.22430810000000001</v>
      </c>
      <c r="L2704" s="3">
        <v>0.90362920000000002</v>
      </c>
    </row>
    <row r="2705" spans="1:12" x14ac:dyDescent="0.25">
      <c r="A2705" t="s">
        <v>7926</v>
      </c>
      <c r="B2705" t="s">
        <v>7927</v>
      </c>
      <c r="I2705" t="s">
        <v>7928</v>
      </c>
      <c r="J2705" s="3">
        <v>-0.57150840000000003</v>
      </c>
      <c r="K2705" s="3">
        <v>-0.8778397</v>
      </c>
      <c r="L2705" s="3">
        <v>-0.200767</v>
      </c>
    </row>
    <row r="2706" spans="1:12" x14ac:dyDescent="0.25">
      <c r="A2706" t="s">
        <v>7924</v>
      </c>
      <c r="B2706" t="s">
        <v>14217</v>
      </c>
      <c r="C2706" t="s">
        <v>14218</v>
      </c>
      <c r="I2706" t="s">
        <v>7925</v>
      </c>
      <c r="J2706" s="3">
        <v>0.1133561</v>
      </c>
      <c r="K2706" s="3">
        <v>0.73981830000000004</v>
      </c>
      <c r="L2706" s="3">
        <v>0.61070139999999995</v>
      </c>
    </row>
    <row r="2707" spans="1:12" x14ac:dyDescent="0.25">
      <c r="A2707" t="s">
        <v>7923</v>
      </c>
      <c r="B2707" t="s">
        <v>14086</v>
      </c>
      <c r="C2707" t="s">
        <v>14087</v>
      </c>
      <c r="D2707" t="s">
        <v>14088</v>
      </c>
      <c r="E2707" t="s">
        <v>14089</v>
      </c>
      <c r="F2707" t="s">
        <v>14090</v>
      </c>
      <c r="I2707" t="s">
        <v>5044</v>
      </c>
      <c r="J2707" s="3">
        <v>-0.16605030000000001</v>
      </c>
      <c r="K2707" s="3">
        <v>0.43115019999999998</v>
      </c>
      <c r="L2707" s="3">
        <v>0.45136850000000001</v>
      </c>
    </row>
    <row r="2708" spans="1:12" x14ac:dyDescent="0.25">
      <c r="A2708" t="s">
        <v>7920</v>
      </c>
      <c r="B2708" t="s">
        <v>7921</v>
      </c>
      <c r="I2708" t="s">
        <v>7922</v>
      </c>
      <c r="J2708" s="3">
        <v>-0.68747570000000002</v>
      </c>
      <c r="K2708" s="3">
        <v>-1.021285</v>
      </c>
      <c r="L2708" s="3">
        <v>-0.53144740000000001</v>
      </c>
    </row>
    <row r="2709" spans="1:12" x14ac:dyDescent="0.25">
      <c r="A2709" t="s">
        <v>7917</v>
      </c>
      <c r="B2709" t="s">
        <v>7918</v>
      </c>
      <c r="I2709" t="s">
        <v>7919</v>
      </c>
      <c r="J2709" s="3">
        <v>-0.36431170000000002</v>
      </c>
      <c r="K2709" s="3">
        <v>-0.68481840000000005</v>
      </c>
      <c r="L2709" s="3">
        <v>-0.31062820000000002</v>
      </c>
    </row>
    <row r="2710" spans="1:12" x14ac:dyDescent="0.25">
      <c r="A2710" t="s">
        <v>7916</v>
      </c>
      <c r="B2710" t="s">
        <v>957</v>
      </c>
      <c r="I2710" t="s">
        <v>455</v>
      </c>
      <c r="J2710" s="3">
        <v>-0.25095990000000001</v>
      </c>
      <c r="K2710" s="3">
        <v>-0.79509110000000005</v>
      </c>
      <c r="L2710" s="3">
        <v>-0.12575649999999999</v>
      </c>
    </row>
    <row r="2711" spans="1:12" x14ac:dyDescent="0.25">
      <c r="A2711" t="s">
        <v>7913</v>
      </c>
      <c r="B2711" t="s">
        <v>7914</v>
      </c>
      <c r="I2711" t="s">
        <v>7915</v>
      </c>
      <c r="J2711" s="3">
        <v>-0.6365613</v>
      </c>
      <c r="K2711" s="3">
        <v>-1.011171</v>
      </c>
      <c r="L2711" s="3">
        <v>-0.38466280000000003</v>
      </c>
    </row>
    <row r="2712" spans="1:12" x14ac:dyDescent="0.25">
      <c r="A2712" t="s">
        <v>7910</v>
      </c>
      <c r="B2712" t="s">
        <v>7911</v>
      </c>
      <c r="I2712" t="s">
        <v>7912</v>
      </c>
      <c r="J2712" s="3">
        <v>-0.10935690000000001</v>
      </c>
      <c r="K2712" s="3">
        <v>-0.2830627</v>
      </c>
      <c r="L2712" s="3">
        <v>-1.129952E-2</v>
      </c>
    </row>
    <row r="2713" spans="1:12" x14ac:dyDescent="0.25">
      <c r="A2713" t="s">
        <v>7907</v>
      </c>
      <c r="B2713" t="s">
        <v>7908</v>
      </c>
      <c r="I2713" t="s">
        <v>7909</v>
      </c>
      <c r="J2713" s="3">
        <v>0.52821700000000005</v>
      </c>
      <c r="K2713" s="3">
        <v>0.90874350000000004</v>
      </c>
      <c r="L2713" s="3">
        <v>0.71829600000000005</v>
      </c>
    </row>
    <row r="2714" spans="1:12" x14ac:dyDescent="0.25">
      <c r="A2714" t="s">
        <v>7906</v>
      </c>
      <c r="B2714" t="s">
        <v>957</v>
      </c>
      <c r="I2714" t="s">
        <v>455</v>
      </c>
      <c r="J2714" s="3">
        <v>0.76378579999999996</v>
      </c>
      <c r="K2714" s="3">
        <v>1.4723980000000001</v>
      </c>
      <c r="L2714" s="3">
        <v>0.88288089999999997</v>
      </c>
    </row>
    <row r="2715" spans="1:12" x14ac:dyDescent="0.25">
      <c r="A2715" t="s">
        <v>7904</v>
      </c>
      <c r="B2715" t="s">
        <v>7905</v>
      </c>
      <c r="I2715" t="s">
        <v>5833</v>
      </c>
      <c r="J2715" s="3">
        <v>0.22662889999999999</v>
      </c>
      <c r="K2715" s="3">
        <v>0.4613621</v>
      </c>
      <c r="L2715" s="3">
        <v>0.22145219999999999</v>
      </c>
    </row>
    <row r="2716" spans="1:12" x14ac:dyDescent="0.25">
      <c r="A2716" t="s">
        <v>7901</v>
      </c>
      <c r="B2716" t="s">
        <v>7902</v>
      </c>
      <c r="I2716" t="s">
        <v>7903</v>
      </c>
      <c r="J2716" s="3">
        <v>-0.33786270000000002</v>
      </c>
      <c r="K2716" s="3">
        <v>-0.51645580000000002</v>
      </c>
      <c r="L2716" s="3">
        <v>-0.35390080000000002</v>
      </c>
    </row>
    <row r="2717" spans="1:12" x14ac:dyDescent="0.25">
      <c r="A2717" t="s">
        <v>7898</v>
      </c>
      <c r="B2717" t="s">
        <v>7899</v>
      </c>
      <c r="I2717" t="s">
        <v>7900</v>
      </c>
      <c r="J2717" s="3">
        <v>0.41374670000000002</v>
      </c>
      <c r="K2717" s="3">
        <v>-0.4922395</v>
      </c>
      <c r="L2717" s="3">
        <v>0.17503940000000001</v>
      </c>
    </row>
    <row r="2718" spans="1:12" x14ac:dyDescent="0.25">
      <c r="A2718" t="s">
        <v>7895</v>
      </c>
      <c r="B2718" t="s">
        <v>7896</v>
      </c>
      <c r="I2718" t="s">
        <v>7897</v>
      </c>
      <c r="J2718" s="3">
        <v>-0.2890489</v>
      </c>
      <c r="K2718" s="3">
        <v>-0.64310750000000005</v>
      </c>
      <c r="L2718" s="3">
        <v>-0.22796949999999999</v>
      </c>
    </row>
    <row r="2719" spans="1:12" x14ac:dyDescent="0.25">
      <c r="A2719" t="s">
        <v>7892</v>
      </c>
      <c r="B2719" t="s">
        <v>7893</v>
      </c>
      <c r="I2719" t="s">
        <v>7894</v>
      </c>
      <c r="J2719" s="3">
        <v>0.14264669999999999</v>
      </c>
      <c r="K2719" s="3">
        <v>0.42448970000000003</v>
      </c>
      <c r="L2719" s="3">
        <v>-0.16227559999999999</v>
      </c>
    </row>
    <row r="2720" spans="1:12" x14ac:dyDescent="0.25">
      <c r="A2720" t="s">
        <v>7890</v>
      </c>
      <c r="B2720" t="s">
        <v>7891</v>
      </c>
      <c r="I2720" t="s">
        <v>6073</v>
      </c>
      <c r="J2720" s="3">
        <v>2.3583239999999998E-2</v>
      </c>
      <c r="K2720" s="3">
        <v>-4.3142739999999999E-2</v>
      </c>
      <c r="L2720" s="3">
        <v>0.41154079999999998</v>
      </c>
    </row>
    <row r="2721" spans="1:12" x14ac:dyDescent="0.25">
      <c r="A2721" t="s">
        <v>7889</v>
      </c>
      <c r="B2721" t="s">
        <v>957</v>
      </c>
      <c r="I2721" t="s">
        <v>455</v>
      </c>
      <c r="J2721" s="3">
        <v>0.81838279999999997</v>
      </c>
      <c r="K2721" s="3">
        <v>1.1005149999999999</v>
      </c>
      <c r="L2721" s="3">
        <v>0.64754509999999998</v>
      </c>
    </row>
    <row r="2722" spans="1:12" x14ac:dyDescent="0.25">
      <c r="A2722" t="s">
        <v>7886</v>
      </c>
      <c r="B2722" t="s">
        <v>7887</v>
      </c>
      <c r="I2722" t="s">
        <v>7888</v>
      </c>
      <c r="J2722" s="3">
        <v>0.5024016</v>
      </c>
      <c r="K2722" s="3">
        <v>0.36130449999999997</v>
      </c>
      <c r="L2722" s="3">
        <v>0.406003</v>
      </c>
    </row>
    <row r="2723" spans="1:12" x14ac:dyDescent="0.25">
      <c r="A2723" t="s">
        <v>7885</v>
      </c>
      <c r="B2723" t="s">
        <v>957</v>
      </c>
      <c r="I2723" t="s">
        <v>455</v>
      </c>
      <c r="J2723" s="3">
        <v>0.67934059999999996</v>
      </c>
      <c r="K2723" s="3">
        <v>0.99281129999999995</v>
      </c>
      <c r="L2723" s="3">
        <v>0.6607229</v>
      </c>
    </row>
    <row r="2724" spans="1:12" x14ac:dyDescent="0.25">
      <c r="A2724" t="s">
        <v>7882</v>
      </c>
      <c r="B2724" t="s">
        <v>7883</v>
      </c>
      <c r="I2724" t="s">
        <v>7884</v>
      </c>
      <c r="J2724" s="3">
        <v>0.44085970000000002</v>
      </c>
      <c r="K2724" s="3">
        <v>0.84418340000000003</v>
      </c>
      <c r="L2724" s="3">
        <v>0.19579479999999999</v>
      </c>
    </row>
    <row r="2725" spans="1:12" x14ac:dyDescent="0.25">
      <c r="A2725" t="s">
        <v>7881</v>
      </c>
      <c r="B2725" t="s">
        <v>957</v>
      </c>
      <c r="I2725" t="s">
        <v>1207</v>
      </c>
      <c r="J2725" s="3">
        <v>0.31566850000000002</v>
      </c>
      <c r="K2725" s="3">
        <v>0.52812539999999997</v>
      </c>
      <c r="L2725" s="3">
        <v>-4.966694E-2</v>
      </c>
    </row>
    <row r="2726" spans="1:12" x14ac:dyDescent="0.25">
      <c r="A2726" t="s">
        <v>7878</v>
      </c>
      <c r="B2726" t="s">
        <v>7879</v>
      </c>
      <c r="I2726" t="s">
        <v>7880</v>
      </c>
      <c r="J2726" s="3">
        <v>1.8618770000000001E-3</v>
      </c>
      <c r="K2726" s="3">
        <v>0.1715112</v>
      </c>
      <c r="L2726" s="3">
        <v>0.235926</v>
      </c>
    </row>
    <row r="2727" spans="1:12" x14ac:dyDescent="0.25">
      <c r="A2727" t="s">
        <v>7875</v>
      </c>
      <c r="B2727" t="s">
        <v>7876</v>
      </c>
      <c r="I2727" t="s">
        <v>7877</v>
      </c>
      <c r="J2727" s="3">
        <v>0.34300750000000002</v>
      </c>
      <c r="K2727" s="3">
        <v>0.72870000000000001</v>
      </c>
      <c r="L2727" s="3">
        <v>-7.3932440000000002E-2</v>
      </c>
    </row>
    <row r="2728" spans="1:12" x14ac:dyDescent="0.25">
      <c r="A2728" t="s">
        <v>7872</v>
      </c>
      <c r="B2728" t="s">
        <v>7873</v>
      </c>
      <c r="I2728" t="s">
        <v>7874</v>
      </c>
      <c r="J2728" s="3">
        <v>-0.41123539999999997</v>
      </c>
      <c r="K2728" s="3">
        <v>0.51221870000000003</v>
      </c>
      <c r="L2728" s="3">
        <v>-0.13630709999999999</v>
      </c>
    </row>
    <row r="2729" spans="1:12" x14ac:dyDescent="0.25">
      <c r="A2729" t="s">
        <v>7871</v>
      </c>
      <c r="B2729" t="s">
        <v>957</v>
      </c>
      <c r="I2729" t="s">
        <v>1207</v>
      </c>
      <c r="J2729" s="3">
        <v>7.0900000000000002E-5</v>
      </c>
      <c r="K2729" s="3">
        <v>6.2521409999999999E-2</v>
      </c>
      <c r="L2729" s="3">
        <v>-5.2368539999999998E-2</v>
      </c>
    </row>
    <row r="2730" spans="1:12" x14ac:dyDescent="0.25">
      <c r="A2730" t="s">
        <v>7868</v>
      </c>
      <c r="B2730" t="s">
        <v>7869</v>
      </c>
      <c r="I2730" t="s">
        <v>7870</v>
      </c>
      <c r="J2730" s="3">
        <v>7.2759969999999993E-2</v>
      </c>
      <c r="K2730" s="3">
        <v>0.62416709999999997</v>
      </c>
      <c r="L2730" s="3">
        <v>0.33819850000000001</v>
      </c>
    </row>
    <row r="2731" spans="1:12" x14ac:dyDescent="0.25">
      <c r="A2731" t="s">
        <v>7865</v>
      </c>
      <c r="B2731" t="s">
        <v>7866</v>
      </c>
      <c r="I2731" t="s">
        <v>7867</v>
      </c>
      <c r="J2731" s="3">
        <v>-4.608802E-2</v>
      </c>
      <c r="K2731" s="3">
        <v>-0.55307810000000002</v>
      </c>
      <c r="L2731" s="3">
        <v>-0.24327989999999999</v>
      </c>
    </row>
    <row r="2732" spans="1:12" x14ac:dyDescent="0.25">
      <c r="A2732" t="s">
        <v>7863</v>
      </c>
      <c r="B2732" t="s">
        <v>957</v>
      </c>
      <c r="I2732" t="s">
        <v>7864</v>
      </c>
      <c r="J2732" s="3">
        <v>-0.88798180000000004</v>
      </c>
      <c r="K2732" s="3">
        <v>-1.371831</v>
      </c>
      <c r="L2732" s="3">
        <v>-0.68108020000000002</v>
      </c>
    </row>
    <row r="2733" spans="1:12" x14ac:dyDescent="0.25">
      <c r="A2733" t="s">
        <v>7860</v>
      </c>
      <c r="B2733" t="s">
        <v>7861</v>
      </c>
      <c r="I2733" t="s">
        <v>7862</v>
      </c>
      <c r="J2733" s="3">
        <v>-0.23780229999999999</v>
      </c>
      <c r="K2733" s="3">
        <v>-0.56621540000000004</v>
      </c>
      <c r="L2733" s="3">
        <v>0.28852450000000002</v>
      </c>
    </row>
    <row r="2734" spans="1:12" x14ac:dyDescent="0.25">
      <c r="A2734" t="s">
        <v>6756</v>
      </c>
      <c r="B2734" t="s">
        <v>7858</v>
      </c>
      <c r="I2734" t="s">
        <v>7859</v>
      </c>
      <c r="J2734" s="3">
        <v>0.45401380000000002</v>
      </c>
      <c r="K2734" s="3">
        <v>1.2068779999999999</v>
      </c>
      <c r="L2734" s="3">
        <v>0.54479639999999996</v>
      </c>
    </row>
    <row r="2735" spans="1:12" x14ac:dyDescent="0.25">
      <c r="A2735" t="s">
        <v>6753</v>
      </c>
      <c r="B2735" t="s">
        <v>6754</v>
      </c>
      <c r="I2735" t="s">
        <v>6755</v>
      </c>
      <c r="J2735" s="3">
        <v>-4.3847249999999997E-2</v>
      </c>
      <c r="K2735" s="3">
        <v>0.61863460000000003</v>
      </c>
      <c r="L2735" s="3">
        <v>0.24428730000000001</v>
      </c>
    </row>
    <row r="2736" spans="1:12" x14ac:dyDescent="0.25">
      <c r="A2736" t="s">
        <v>6750</v>
      </c>
      <c r="B2736" t="s">
        <v>6751</v>
      </c>
      <c r="I2736" t="s">
        <v>6752</v>
      </c>
      <c r="J2736" s="3">
        <v>0.27339249999999998</v>
      </c>
      <c r="K2736" s="3">
        <v>2.0353439999999998</v>
      </c>
      <c r="L2736" s="3">
        <v>0.80725519999999995</v>
      </c>
    </row>
    <row r="2737" spans="1:12" x14ac:dyDescent="0.25">
      <c r="A2737" t="s">
        <v>6747</v>
      </c>
      <c r="B2737" t="s">
        <v>6748</v>
      </c>
      <c r="I2737" t="s">
        <v>6749</v>
      </c>
      <c r="J2737" s="3">
        <v>-3.2940500000000002E-3</v>
      </c>
      <c r="K2737" s="3">
        <v>-0.16051019999999999</v>
      </c>
      <c r="L2737" s="3">
        <v>0.1006104</v>
      </c>
    </row>
    <row r="2738" spans="1:12" x14ac:dyDescent="0.25">
      <c r="A2738" t="s">
        <v>6744</v>
      </c>
      <c r="B2738" t="s">
        <v>6745</v>
      </c>
      <c r="I2738" t="s">
        <v>6746</v>
      </c>
      <c r="J2738" s="3">
        <v>0.2223503</v>
      </c>
      <c r="K2738" s="3">
        <v>0.79255770000000003</v>
      </c>
      <c r="L2738" s="3">
        <v>0.38762999999999997</v>
      </c>
    </row>
    <row r="2739" spans="1:12" x14ac:dyDescent="0.25">
      <c r="A2739" t="s">
        <v>6741</v>
      </c>
      <c r="B2739" t="s">
        <v>6742</v>
      </c>
      <c r="I2739" t="s">
        <v>6743</v>
      </c>
      <c r="J2739" s="3">
        <v>0.1088277</v>
      </c>
      <c r="K2739" s="3">
        <v>0.83987789999999996</v>
      </c>
      <c r="L2739" s="3">
        <v>0.31488870000000002</v>
      </c>
    </row>
    <row r="2740" spans="1:12" x14ac:dyDescent="0.25">
      <c r="A2740" t="s">
        <v>6738</v>
      </c>
      <c r="B2740" t="s">
        <v>6739</v>
      </c>
      <c r="I2740" t="s">
        <v>6740</v>
      </c>
      <c r="J2740" s="3">
        <v>-0.15873100000000001</v>
      </c>
      <c r="K2740" s="3">
        <v>0.11458260000000001</v>
      </c>
      <c r="L2740" s="3">
        <v>0.34948360000000001</v>
      </c>
    </row>
    <row r="2741" spans="1:12" x14ac:dyDescent="0.25">
      <c r="A2741" t="s">
        <v>6735</v>
      </c>
      <c r="B2741" t="s">
        <v>6736</v>
      </c>
      <c r="I2741" t="s">
        <v>6737</v>
      </c>
      <c r="J2741" s="3">
        <v>-0.73911329999999997</v>
      </c>
      <c r="K2741" s="3">
        <v>-0.99583759999999999</v>
      </c>
      <c r="L2741" s="3">
        <v>-0.40789520000000001</v>
      </c>
    </row>
    <row r="2742" spans="1:12" x14ac:dyDescent="0.25">
      <c r="A2742" t="s">
        <v>6732</v>
      </c>
      <c r="B2742" t="s">
        <v>6733</v>
      </c>
      <c r="I2742" t="s">
        <v>6734</v>
      </c>
      <c r="J2742" s="3">
        <v>-0.13899839999999999</v>
      </c>
      <c r="K2742" s="3">
        <v>0.18724679999999999</v>
      </c>
      <c r="L2742" s="3">
        <v>-9.9832580000000004E-2</v>
      </c>
    </row>
    <row r="2743" spans="1:12" x14ac:dyDescent="0.25">
      <c r="A2743" t="s">
        <v>6731</v>
      </c>
      <c r="B2743" t="s">
        <v>957</v>
      </c>
      <c r="I2743" t="s">
        <v>455</v>
      </c>
      <c r="J2743" s="3">
        <v>0.2631365</v>
      </c>
      <c r="K2743" s="3">
        <v>0.63903980000000005</v>
      </c>
      <c r="L2743" s="3">
        <v>0.24543960000000001</v>
      </c>
    </row>
    <row r="2744" spans="1:12" x14ac:dyDescent="0.25">
      <c r="A2744" t="s">
        <v>6730</v>
      </c>
      <c r="B2744" t="s">
        <v>957</v>
      </c>
      <c r="I2744" t="s">
        <v>455</v>
      </c>
      <c r="J2744" s="3">
        <v>0.1702718</v>
      </c>
      <c r="K2744" s="3">
        <v>1.1038939999999999</v>
      </c>
      <c r="L2744" s="3">
        <v>0.92439729999999998</v>
      </c>
    </row>
    <row r="2745" spans="1:12" x14ac:dyDescent="0.25">
      <c r="A2745" t="s">
        <v>6727</v>
      </c>
      <c r="B2745" t="s">
        <v>6728</v>
      </c>
      <c r="I2745" t="s">
        <v>6729</v>
      </c>
      <c r="J2745" s="3">
        <v>0.1768236</v>
      </c>
      <c r="K2745" s="3">
        <v>0.43770179999999997</v>
      </c>
      <c r="L2745" s="3">
        <v>0.3271404</v>
      </c>
    </row>
    <row r="2746" spans="1:12" x14ac:dyDescent="0.25">
      <c r="A2746" t="s">
        <v>7819</v>
      </c>
      <c r="B2746" t="s">
        <v>7820</v>
      </c>
      <c r="I2746" t="s">
        <v>6726</v>
      </c>
      <c r="J2746" s="3">
        <v>0.68766119999999997</v>
      </c>
      <c r="K2746" s="3">
        <v>1.150739</v>
      </c>
      <c r="L2746" s="3">
        <v>0.75095979999999996</v>
      </c>
    </row>
    <row r="2747" spans="1:12" x14ac:dyDescent="0.25">
      <c r="A2747" t="s">
        <v>7816</v>
      </c>
      <c r="B2747" t="s">
        <v>7817</v>
      </c>
      <c r="I2747" t="s">
        <v>7818</v>
      </c>
      <c r="J2747" s="3">
        <v>-1.7329079999999999</v>
      </c>
      <c r="K2747" s="3">
        <v>-1.0059450000000001</v>
      </c>
      <c r="L2747" s="3">
        <v>-1.0073220000000001</v>
      </c>
    </row>
    <row r="2748" spans="1:12" x14ac:dyDescent="0.25">
      <c r="A2748" t="s">
        <v>7815</v>
      </c>
      <c r="B2748" t="s">
        <v>957</v>
      </c>
      <c r="I2748" t="s">
        <v>455</v>
      </c>
      <c r="J2748" s="3">
        <v>1.234531E-2</v>
      </c>
      <c r="K2748" s="3">
        <v>-0.1139487</v>
      </c>
      <c r="L2748" s="3">
        <v>2.9916640000000001E-2</v>
      </c>
    </row>
    <row r="2749" spans="1:12" x14ac:dyDescent="0.25">
      <c r="A2749" t="s">
        <v>7812</v>
      </c>
      <c r="B2749" t="s">
        <v>7813</v>
      </c>
      <c r="I2749" t="s">
        <v>7814</v>
      </c>
      <c r="J2749" s="3">
        <v>0.28458230000000001</v>
      </c>
      <c r="K2749" s="3">
        <v>0.32684400000000002</v>
      </c>
      <c r="L2749" s="3">
        <v>0.40364559999999999</v>
      </c>
    </row>
    <row r="2750" spans="1:12" x14ac:dyDescent="0.25">
      <c r="A2750" t="s">
        <v>7809</v>
      </c>
      <c r="B2750" t="s">
        <v>7810</v>
      </c>
      <c r="I2750" t="s">
        <v>7811</v>
      </c>
      <c r="J2750" s="3">
        <v>3.929117E-2</v>
      </c>
      <c r="K2750" s="3">
        <v>0.35355579999999998</v>
      </c>
      <c r="L2750" s="3">
        <v>1.094941E-2</v>
      </c>
    </row>
    <row r="2751" spans="1:12" x14ac:dyDescent="0.25">
      <c r="A2751" t="s">
        <v>7806</v>
      </c>
      <c r="B2751" t="s">
        <v>7807</v>
      </c>
      <c r="I2751" t="s">
        <v>7808</v>
      </c>
      <c r="J2751" s="3">
        <v>-0.117601</v>
      </c>
      <c r="K2751" s="3">
        <v>-0.45089370000000001</v>
      </c>
      <c r="L2751" s="3">
        <v>-0.13888059999999999</v>
      </c>
    </row>
    <row r="2752" spans="1:12" x14ac:dyDescent="0.25">
      <c r="A2752" t="s">
        <v>7803</v>
      </c>
      <c r="B2752" t="s">
        <v>7804</v>
      </c>
      <c r="I2752" t="s">
        <v>7805</v>
      </c>
      <c r="J2752" s="3">
        <v>0.13850789999999999</v>
      </c>
      <c r="K2752" s="3">
        <v>0.18381330000000001</v>
      </c>
      <c r="L2752" s="3">
        <v>-1.2088959999999999E-2</v>
      </c>
    </row>
    <row r="2753" spans="1:12" x14ac:dyDescent="0.25">
      <c r="A2753" t="s">
        <v>7800</v>
      </c>
      <c r="B2753" t="s">
        <v>7801</v>
      </c>
      <c r="I2753" t="s">
        <v>7802</v>
      </c>
      <c r="J2753" s="3">
        <v>2.8659380000000002E-2</v>
      </c>
      <c r="K2753" s="3">
        <v>-9.1932520000000004E-2</v>
      </c>
      <c r="L2753" s="3">
        <v>-9.5574999999999993E-2</v>
      </c>
    </row>
    <row r="2754" spans="1:12" x14ac:dyDescent="0.25">
      <c r="A2754" t="s">
        <v>7797</v>
      </c>
      <c r="B2754" t="s">
        <v>7798</v>
      </c>
      <c r="I2754" t="s">
        <v>7799</v>
      </c>
      <c r="J2754" s="3">
        <v>4.1486370000000002E-2</v>
      </c>
      <c r="K2754" s="3">
        <v>-0.3546993</v>
      </c>
      <c r="L2754" s="3">
        <v>-4.0852289999999999E-2</v>
      </c>
    </row>
    <row r="2755" spans="1:12" x14ac:dyDescent="0.25">
      <c r="A2755" t="s">
        <v>7795</v>
      </c>
      <c r="B2755" t="s">
        <v>7796</v>
      </c>
      <c r="I2755" t="s">
        <v>6168</v>
      </c>
      <c r="J2755" s="3">
        <v>-0.43030220000000002</v>
      </c>
      <c r="K2755" s="3">
        <v>-0.81347400000000003</v>
      </c>
      <c r="L2755" s="3">
        <v>-0.3574774</v>
      </c>
    </row>
    <row r="2756" spans="1:12" x14ac:dyDescent="0.25">
      <c r="A2756" t="s">
        <v>7793</v>
      </c>
      <c r="B2756" t="s">
        <v>957</v>
      </c>
      <c r="I2756" t="s">
        <v>7794</v>
      </c>
      <c r="J2756" s="3">
        <v>-0.18279999999999999</v>
      </c>
      <c r="K2756" s="3">
        <v>-0.18001300000000001</v>
      </c>
      <c r="L2756" s="3">
        <v>-0.26998680000000003</v>
      </c>
    </row>
    <row r="2757" spans="1:12" x14ac:dyDescent="0.25">
      <c r="A2757" t="s">
        <v>7790</v>
      </c>
      <c r="B2757" t="s">
        <v>7791</v>
      </c>
      <c r="I2757" t="s">
        <v>7792</v>
      </c>
      <c r="J2757" s="3">
        <v>-0.31046289999999999</v>
      </c>
      <c r="K2757" s="3">
        <v>-0.24687809999999999</v>
      </c>
      <c r="L2757" s="3">
        <v>-0.21418860000000001</v>
      </c>
    </row>
    <row r="2758" spans="1:12" x14ac:dyDescent="0.25">
      <c r="A2758" t="s">
        <v>7788</v>
      </c>
      <c r="B2758" t="s">
        <v>7789</v>
      </c>
      <c r="I2758" t="s">
        <v>1054</v>
      </c>
      <c r="J2758" s="3">
        <v>-8.8954630000000007E-2</v>
      </c>
      <c r="K2758" s="3">
        <v>0.12724669999999999</v>
      </c>
      <c r="L2758" s="3">
        <v>9.0520829999999997E-2</v>
      </c>
    </row>
    <row r="2759" spans="1:12" x14ac:dyDescent="0.25">
      <c r="A2759" t="s">
        <v>7785</v>
      </c>
      <c r="B2759" t="s">
        <v>7786</v>
      </c>
      <c r="I2759" t="s">
        <v>7787</v>
      </c>
      <c r="J2759" s="3">
        <v>-0.120461</v>
      </c>
      <c r="K2759" s="3">
        <v>-0.42259750000000001</v>
      </c>
      <c r="L2759" s="3">
        <v>-0.26052900000000001</v>
      </c>
    </row>
    <row r="2760" spans="1:12" x14ac:dyDescent="0.25">
      <c r="A2760" t="s">
        <v>7783</v>
      </c>
      <c r="B2760" t="s">
        <v>7784</v>
      </c>
      <c r="I2760" t="s">
        <v>6168</v>
      </c>
      <c r="J2760" s="3">
        <v>-0.32531959999999999</v>
      </c>
      <c r="K2760" s="3">
        <v>-0.56139919999999999</v>
      </c>
      <c r="L2760" s="3">
        <v>-0.35756080000000001</v>
      </c>
    </row>
    <row r="2761" spans="1:12" x14ac:dyDescent="0.25">
      <c r="A2761" t="s">
        <v>7782</v>
      </c>
      <c r="B2761" t="s">
        <v>957</v>
      </c>
      <c r="I2761" t="s">
        <v>455</v>
      </c>
      <c r="J2761" s="3">
        <v>0.70791789999999999</v>
      </c>
      <c r="K2761" s="3">
        <v>0.56456850000000003</v>
      </c>
      <c r="L2761" s="3">
        <v>0.362174</v>
      </c>
    </row>
    <row r="2762" spans="1:12" x14ac:dyDescent="0.25">
      <c r="A2762" t="s">
        <v>6693</v>
      </c>
      <c r="B2762" t="s">
        <v>6694</v>
      </c>
      <c r="I2762" t="s">
        <v>7781</v>
      </c>
      <c r="J2762" s="3">
        <v>3.93791E-2</v>
      </c>
      <c r="K2762" s="3">
        <v>0.2420649</v>
      </c>
      <c r="L2762" s="3">
        <v>-0.36263400000000001</v>
      </c>
    </row>
    <row r="2763" spans="1:12" x14ac:dyDescent="0.25">
      <c r="A2763" t="s">
        <v>6690</v>
      </c>
      <c r="B2763" t="s">
        <v>6691</v>
      </c>
      <c r="I2763" t="s">
        <v>6692</v>
      </c>
      <c r="J2763" s="3">
        <v>-0.1131186</v>
      </c>
      <c r="K2763" s="3">
        <v>-0.24980050000000001</v>
      </c>
      <c r="L2763" s="3">
        <v>-0.14839579999999999</v>
      </c>
    </row>
    <row r="2764" spans="1:12" x14ac:dyDescent="0.25">
      <c r="A2764" t="s">
        <v>6687</v>
      </c>
      <c r="B2764" t="s">
        <v>6688</v>
      </c>
      <c r="I2764" t="s">
        <v>6689</v>
      </c>
      <c r="J2764" s="3">
        <v>-2.1215689999999999E-2</v>
      </c>
      <c r="K2764" s="3">
        <v>-0.48849429999999999</v>
      </c>
      <c r="L2764" s="3">
        <v>5.3167819999999998E-2</v>
      </c>
    </row>
    <row r="2765" spans="1:12" x14ac:dyDescent="0.25">
      <c r="A2765" t="s">
        <v>6684</v>
      </c>
      <c r="B2765" t="s">
        <v>6685</v>
      </c>
      <c r="I2765" t="s">
        <v>6686</v>
      </c>
      <c r="J2765" s="3">
        <v>-0.28718199999999999</v>
      </c>
      <c r="K2765" s="3">
        <v>-0.30188700000000002</v>
      </c>
      <c r="L2765" s="3">
        <v>5.17089E-3</v>
      </c>
    </row>
    <row r="2766" spans="1:12" x14ac:dyDescent="0.25">
      <c r="A2766" t="s">
        <v>6681</v>
      </c>
      <c r="B2766" t="s">
        <v>6682</v>
      </c>
      <c r="I2766" t="s">
        <v>6683</v>
      </c>
      <c r="J2766" s="3">
        <v>-0.1791044</v>
      </c>
      <c r="K2766" s="3">
        <v>0.55598519999999996</v>
      </c>
      <c r="L2766" s="3">
        <v>-0.16423070000000001</v>
      </c>
    </row>
    <row r="2767" spans="1:12" x14ac:dyDescent="0.25">
      <c r="A2767" t="s">
        <v>6678</v>
      </c>
      <c r="B2767" t="s">
        <v>6679</v>
      </c>
      <c r="I2767" t="s">
        <v>6680</v>
      </c>
      <c r="J2767" s="3">
        <v>0.53306529999999996</v>
      </c>
      <c r="K2767" s="3">
        <v>0.5286227</v>
      </c>
      <c r="L2767" s="3">
        <v>0.49185810000000002</v>
      </c>
    </row>
    <row r="2768" spans="1:12" x14ac:dyDescent="0.25">
      <c r="A2768" t="s">
        <v>6677</v>
      </c>
      <c r="B2768" t="s">
        <v>957</v>
      </c>
      <c r="I2768" t="s">
        <v>455</v>
      </c>
      <c r="J2768" s="3">
        <v>0.30032449999999999</v>
      </c>
      <c r="K2768" s="3">
        <v>0.94258050000000004</v>
      </c>
      <c r="L2768" s="3">
        <v>0.38134790000000002</v>
      </c>
    </row>
    <row r="2769" spans="1:12" x14ac:dyDescent="0.25">
      <c r="A2769" t="s">
        <v>6674</v>
      </c>
      <c r="B2769" t="s">
        <v>6675</v>
      </c>
      <c r="I2769" t="s">
        <v>6676</v>
      </c>
      <c r="J2769" s="3">
        <v>0.65853850000000003</v>
      </c>
      <c r="K2769" s="3">
        <v>0.59994499999999995</v>
      </c>
      <c r="L2769" s="3">
        <v>0.56046600000000002</v>
      </c>
    </row>
    <row r="2770" spans="1:12" x14ac:dyDescent="0.25">
      <c r="A2770" t="s">
        <v>6671</v>
      </c>
      <c r="B2770" t="s">
        <v>6672</v>
      </c>
      <c r="I2770" t="s">
        <v>6673</v>
      </c>
      <c r="J2770" s="3">
        <v>-0.27776410000000001</v>
      </c>
      <c r="K2770" s="3">
        <v>-0.93033750000000004</v>
      </c>
      <c r="L2770" s="3">
        <v>-0.1277538</v>
      </c>
    </row>
    <row r="2771" spans="1:12" x14ac:dyDescent="0.25">
      <c r="A2771" t="s">
        <v>6668</v>
      </c>
      <c r="B2771" t="s">
        <v>6669</v>
      </c>
      <c r="I2771" t="s">
        <v>6670</v>
      </c>
      <c r="J2771" s="3">
        <v>-0.84140820000000005</v>
      </c>
      <c r="K2771" s="3">
        <v>-1.121121</v>
      </c>
      <c r="L2771" s="3">
        <v>-0.3197525</v>
      </c>
    </row>
    <row r="2772" spans="1:12" x14ac:dyDescent="0.25">
      <c r="A2772" t="s">
        <v>6665</v>
      </c>
      <c r="B2772" t="s">
        <v>6666</v>
      </c>
      <c r="I2772" t="s">
        <v>6667</v>
      </c>
      <c r="J2772" s="3">
        <v>-0.44830310000000001</v>
      </c>
      <c r="K2772" s="3">
        <v>-0.47156290000000001</v>
      </c>
      <c r="L2772" s="3">
        <v>-0.34386440000000001</v>
      </c>
    </row>
    <row r="2773" spans="1:12" x14ac:dyDescent="0.25">
      <c r="A2773" t="s">
        <v>6662</v>
      </c>
      <c r="B2773" t="s">
        <v>6663</v>
      </c>
      <c r="I2773" t="s">
        <v>6664</v>
      </c>
      <c r="J2773" s="3">
        <v>-4.220467E-2</v>
      </c>
      <c r="K2773" s="3">
        <v>9.3270339999999993E-2</v>
      </c>
      <c r="L2773" s="3">
        <v>0.242339</v>
      </c>
    </row>
    <row r="2774" spans="1:12" x14ac:dyDescent="0.25">
      <c r="A2774" t="s">
        <v>6660</v>
      </c>
      <c r="B2774" t="s">
        <v>6661</v>
      </c>
      <c r="I2774" t="s">
        <v>5366</v>
      </c>
      <c r="J2774" s="3">
        <v>-0.2500869</v>
      </c>
      <c r="K2774" s="3">
        <v>-9.263942E-2</v>
      </c>
      <c r="L2774" s="3">
        <v>-7.2028499999999995E-2</v>
      </c>
    </row>
    <row r="2775" spans="1:12" x14ac:dyDescent="0.25">
      <c r="A2775" t="s">
        <v>6657</v>
      </c>
      <c r="B2775" t="s">
        <v>6658</v>
      </c>
      <c r="I2775" t="s">
        <v>6659</v>
      </c>
      <c r="J2775" s="3">
        <v>0.19691040000000001</v>
      </c>
      <c r="K2775" s="3">
        <v>-0.26588980000000001</v>
      </c>
      <c r="L2775" s="3">
        <v>0.15495719999999999</v>
      </c>
    </row>
    <row r="2776" spans="1:12" x14ac:dyDescent="0.25">
      <c r="A2776" t="s">
        <v>6656</v>
      </c>
      <c r="B2776" t="s">
        <v>957</v>
      </c>
      <c r="I2776" t="s">
        <v>455</v>
      </c>
      <c r="J2776" s="3">
        <v>-0.27549630000000003</v>
      </c>
      <c r="K2776" s="3">
        <v>0.13448260000000001</v>
      </c>
      <c r="L2776" s="3">
        <v>0.40246019999999999</v>
      </c>
    </row>
    <row r="2777" spans="1:12" x14ac:dyDescent="0.25">
      <c r="A2777" t="s">
        <v>6655</v>
      </c>
      <c r="B2777" t="s">
        <v>957</v>
      </c>
      <c r="I2777" t="s">
        <v>455</v>
      </c>
      <c r="J2777" s="3">
        <v>0.42185420000000001</v>
      </c>
      <c r="K2777" s="3">
        <v>0.84797670000000003</v>
      </c>
      <c r="L2777" s="3">
        <v>0.39303339999999998</v>
      </c>
    </row>
    <row r="2778" spans="1:12" x14ac:dyDescent="0.25">
      <c r="A2778" t="s">
        <v>6652</v>
      </c>
      <c r="B2778" t="s">
        <v>6653</v>
      </c>
      <c r="I2778" t="s">
        <v>6654</v>
      </c>
      <c r="J2778" s="3">
        <v>0.26315909999999998</v>
      </c>
      <c r="K2778" s="3">
        <v>0.1035963</v>
      </c>
      <c r="L2778" s="3">
        <v>0.19492090000000001</v>
      </c>
    </row>
    <row r="2779" spans="1:12" x14ac:dyDescent="0.25">
      <c r="A2779" t="s">
        <v>6649</v>
      </c>
      <c r="B2779" t="s">
        <v>6650</v>
      </c>
      <c r="I2779" t="s">
        <v>6651</v>
      </c>
      <c r="J2779" s="3">
        <v>-0.51920489999999997</v>
      </c>
      <c r="K2779" s="3">
        <v>-0.933249</v>
      </c>
      <c r="L2779" s="3">
        <v>-0.43824639999999998</v>
      </c>
    </row>
    <row r="2780" spans="1:12" x14ac:dyDescent="0.25">
      <c r="A2780" t="s">
        <v>6646</v>
      </c>
      <c r="B2780" t="s">
        <v>6647</v>
      </c>
      <c r="I2780" t="s">
        <v>6648</v>
      </c>
      <c r="J2780" s="3">
        <v>5.884942E-2</v>
      </c>
      <c r="K2780" s="3">
        <v>-7.2935E-2</v>
      </c>
      <c r="L2780" s="3">
        <v>3.4014879999999997E-2</v>
      </c>
    </row>
    <row r="2781" spans="1:12" x14ac:dyDescent="0.25">
      <c r="A2781" t="s">
        <v>6645</v>
      </c>
      <c r="B2781" t="s">
        <v>957</v>
      </c>
      <c r="I2781" t="s">
        <v>455</v>
      </c>
      <c r="J2781" s="3">
        <v>0.33817700000000001</v>
      </c>
      <c r="K2781" s="3">
        <v>0.5708723</v>
      </c>
      <c r="L2781" s="3">
        <v>0.1771287</v>
      </c>
    </row>
    <row r="2782" spans="1:12" x14ac:dyDescent="0.25">
      <c r="A2782" t="s">
        <v>6642</v>
      </c>
      <c r="B2782" t="s">
        <v>6643</v>
      </c>
      <c r="I2782" t="s">
        <v>6644</v>
      </c>
      <c r="J2782" s="3">
        <v>0.19386900000000001</v>
      </c>
      <c r="K2782" s="3">
        <v>-0.24017720000000001</v>
      </c>
      <c r="L2782" s="3">
        <v>1.3431739999999999E-2</v>
      </c>
    </row>
    <row r="2783" spans="1:12" x14ac:dyDescent="0.25">
      <c r="A2783" t="s">
        <v>6640</v>
      </c>
      <c r="B2783" t="s">
        <v>957</v>
      </c>
      <c r="I2783" t="s">
        <v>6641</v>
      </c>
      <c r="J2783" s="3">
        <v>-0.77604899999999999</v>
      </c>
      <c r="K2783" s="3">
        <v>-0.55511969999999999</v>
      </c>
      <c r="L2783" s="3">
        <v>-0.88360850000000002</v>
      </c>
    </row>
    <row r="2784" spans="1:12" x14ac:dyDescent="0.25">
      <c r="A2784" t="s">
        <v>6639</v>
      </c>
      <c r="B2784" t="s">
        <v>957</v>
      </c>
      <c r="I2784" t="s">
        <v>455</v>
      </c>
      <c r="J2784" s="3">
        <v>-0.78917630000000005</v>
      </c>
      <c r="K2784" s="3">
        <v>-1.212048</v>
      </c>
      <c r="L2784" s="3">
        <v>-0.88226510000000002</v>
      </c>
    </row>
    <row r="2785" spans="1:12" x14ac:dyDescent="0.25">
      <c r="A2785" t="s">
        <v>6636</v>
      </c>
      <c r="B2785" t="s">
        <v>6637</v>
      </c>
      <c r="I2785" t="s">
        <v>6638</v>
      </c>
      <c r="J2785" s="3">
        <v>-0.13784389999999999</v>
      </c>
      <c r="K2785" s="3">
        <v>-0.67600559999999998</v>
      </c>
      <c r="L2785" s="3">
        <v>-0.31224390000000002</v>
      </c>
    </row>
    <row r="2786" spans="1:12" x14ac:dyDescent="0.25">
      <c r="A2786" t="s">
        <v>6635</v>
      </c>
      <c r="B2786" t="s">
        <v>957</v>
      </c>
      <c r="I2786" t="s">
        <v>957</v>
      </c>
      <c r="J2786" s="3">
        <v>-0.23188610000000001</v>
      </c>
      <c r="K2786" s="3">
        <v>1.023944</v>
      </c>
      <c r="L2786" s="3">
        <v>0.38640590000000002</v>
      </c>
    </row>
    <row r="2787" spans="1:12" x14ac:dyDescent="0.25">
      <c r="A2787" t="s">
        <v>6632</v>
      </c>
      <c r="B2787" t="s">
        <v>6633</v>
      </c>
      <c r="I2787" t="s">
        <v>6634</v>
      </c>
      <c r="J2787" s="3">
        <v>-0.71983410000000003</v>
      </c>
      <c r="K2787" s="3">
        <v>-0.4074642</v>
      </c>
      <c r="L2787" s="3">
        <v>-0.40877210000000003</v>
      </c>
    </row>
    <row r="2788" spans="1:12" x14ac:dyDescent="0.25">
      <c r="A2788" t="s">
        <v>6631</v>
      </c>
      <c r="B2788" t="s">
        <v>957</v>
      </c>
      <c r="I2788" t="s">
        <v>455</v>
      </c>
      <c r="J2788" s="3">
        <v>0.2194903</v>
      </c>
      <c r="K2788" s="3">
        <v>-7.5760320000000006E-2</v>
      </c>
      <c r="L2788" s="3">
        <v>0.37619390000000003</v>
      </c>
    </row>
    <row r="2789" spans="1:12" x14ac:dyDescent="0.25">
      <c r="A2789" t="s">
        <v>6628</v>
      </c>
      <c r="B2789" t="s">
        <v>6629</v>
      </c>
      <c r="I2789" t="s">
        <v>6630</v>
      </c>
      <c r="J2789" s="3">
        <v>-0.737375</v>
      </c>
      <c r="K2789" s="3">
        <v>-0.72052760000000005</v>
      </c>
      <c r="L2789" s="3">
        <v>-0.73065619999999998</v>
      </c>
    </row>
    <row r="2790" spans="1:12" x14ac:dyDescent="0.25">
      <c r="A2790" t="s">
        <v>6626</v>
      </c>
      <c r="B2790" t="s">
        <v>957</v>
      </c>
      <c r="I2790" t="s">
        <v>6627</v>
      </c>
      <c r="J2790" s="3">
        <v>-0.16451160000000001</v>
      </c>
      <c r="K2790" s="3">
        <v>0.19211590000000001</v>
      </c>
      <c r="L2790" s="3">
        <v>-6.881516E-2</v>
      </c>
    </row>
    <row r="2791" spans="1:12" x14ac:dyDescent="0.25">
      <c r="A2791" t="s">
        <v>6625</v>
      </c>
      <c r="B2791" t="s">
        <v>957</v>
      </c>
      <c r="I2791" t="s">
        <v>1973</v>
      </c>
      <c r="J2791" s="3">
        <v>-4.0056889999999998E-2</v>
      </c>
      <c r="K2791" s="3">
        <v>-8.0500220000000004E-3</v>
      </c>
      <c r="L2791" s="3">
        <v>-3.4760109999999997E-2</v>
      </c>
    </row>
    <row r="2792" spans="1:12" x14ac:dyDescent="0.25">
      <c r="A2792" t="s">
        <v>6622</v>
      </c>
      <c r="B2792" t="s">
        <v>6623</v>
      </c>
      <c r="I2792" t="s">
        <v>6624</v>
      </c>
      <c r="J2792" s="3">
        <v>0.44549569999999999</v>
      </c>
      <c r="K2792" s="3">
        <v>0.76476200000000005</v>
      </c>
      <c r="L2792" s="3">
        <v>0.66756450000000001</v>
      </c>
    </row>
    <row r="2793" spans="1:12" x14ac:dyDescent="0.25">
      <c r="A2793" t="s">
        <v>6619</v>
      </c>
      <c r="B2793" t="s">
        <v>6620</v>
      </c>
      <c r="I2793" t="s">
        <v>6621</v>
      </c>
      <c r="J2793" s="3">
        <v>0.2382889</v>
      </c>
      <c r="K2793" s="3">
        <v>0.117675</v>
      </c>
      <c r="L2793" s="3">
        <v>0.38172319999999998</v>
      </c>
    </row>
    <row r="2794" spans="1:12" x14ac:dyDescent="0.25">
      <c r="A2794" t="s">
        <v>6616</v>
      </c>
      <c r="B2794" t="s">
        <v>6617</v>
      </c>
      <c r="I2794" t="s">
        <v>6618</v>
      </c>
      <c r="J2794" s="3">
        <v>-0.52975879999999997</v>
      </c>
      <c r="K2794" s="3">
        <v>-0.89128300000000005</v>
      </c>
      <c r="L2794" s="3">
        <v>-0.74550369999999999</v>
      </c>
    </row>
    <row r="2795" spans="1:12" x14ac:dyDescent="0.25">
      <c r="A2795" t="s">
        <v>6615</v>
      </c>
      <c r="B2795" t="s">
        <v>957</v>
      </c>
      <c r="I2795" t="s">
        <v>455</v>
      </c>
      <c r="J2795" s="3">
        <v>-0.36222369999999998</v>
      </c>
      <c r="K2795" s="3">
        <v>-0.75130649999999999</v>
      </c>
      <c r="L2795" s="3">
        <v>-0.17464850000000001</v>
      </c>
    </row>
    <row r="2796" spans="1:12" x14ac:dyDescent="0.25">
      <c r="A2796" t="s">
        <v>6612</v>
      </c>
      <c r="B2796" t="s">
        <v>6613</v>
      </c>
      <c r="I2796" t="s">
        <v>6614</v>
      </c>
      <c r="J2796" s="3">
        <v>-0.33806839999999999</v>
      </c>
      <c r="K2796" s="3">
        <v>-8.5802959999999998E-2</v>
      </c>
      <c r="L2796" s="3">
        <v>-0.14956</v>
      </c>
    </row>
    <row r="2797" spans="1:12" x14ac:dyDescent="0.25">
      <c r="A2797" t="s">
        <v>6610</v>
      </c>
      <c r="B2797" t="s">
        <v>957</v>
      </c>
      <c r="I2797" t="s">
        <v>6611</v>
      </c>
      <c r="J2797" s="3">
        <v>0.1167591</v>
      </c>
      <c r="K2797" s="3">
        <v>0.1935433</v>
      </c>
      <c r="L2797" s="3">
        <v>0.32682509999999998</v>
      </c>
    </row>
    <row r="2798" spans="1:12" x14ac:dyDescent="0.25">
      <c r="A2798" t="s">
        <v>6607</v>
      </c>
      <c r="B2798" t="s">
        <v>6608</v>
      </c>
      <c r="I2798" t="s">
        <v>6609</v>
      </c>
      <c r="J2798" s="3">
        <v>-5.7090410000000001E-2</v>
      </c>
      <c r="K2798" s="3">
        <v>-0.26107209999999997</v>
      </c>
      <c r="L2798" s="3">
        <v>-0.14897679999999999</v>
      </c>
    </row>
    <row r="2799" spans="1:12" x14ac:dyDescent="0.25">
      <c r="A2799" t="s">
        <v>6604</v>
      </c>
      <c r="B2799" t="s">
        <v>6605</v>
      </c>
      <c r="I2799" t="s">
        <v>6606</v>
      </c>
      <c r="J2799" s="3">
        <v>0.1999881</v>
      </c>
      <c r="K2799" s="3">
        <v>0.71579470000000001</v>
      </c>
      <c r="L2799" s="3">
        <v>0.58971759999999995</v>
      </c>
    </row>
    <row r="2800" spans="1:12" x14ac:dyDescent="0.25">
      <c r="A2800" t="s">
        <v>6601</v>
      </c>
      <c r="B2800" t="s">
        <v>6602</v>
      </c>
      <c r="I2800" t="s">
        <v>6603</v>
      </c>
      <c r="J2800" s="3">
        <v>0.69539479999999998</v>
      </c>
      <c r="K2800" s="3">
        <v>1.422412</v>
      </c>
      <c r="L2800" s="3">
        <v>0.73661350000000003</v>
      </c>
    </row>
    <row r="2801" spans="1:12" x14ac:dyDescent="0.25">
      <c r="A2801" t="s">
        <v>7686</v>
      </c>
      <c r="B2801" t="s">
        <v>7687</v>
      </c>
      <c r="I2801" t="s">
        <v>6600</v>
      </c>
      <c r="J2801" s="3">
        <v>-0.23901259999999999</v>
      </c>
      <c r="K2801" s="3">
        <v>-0.50255620000000001</v>
      </c>
      <c r="L2801" s="3">
        <v>-0.27981889999999998</v>
      </c>
    </row>
    <row r="2802" spans="1:12" x14ac:dyDescent="0.25">
      <c r="A2802" t="s">
        <v>7683</v>
      </c>
      <c r="B2802" t="s">
        <v>7684</v>
      </c>
      <c r="I2802" t="s">
        <v>7685</v>
      </c>
      <c r="J2802" s="3">
        <v>0.14466409999999999</v>
      </c>
      <c r="K2802" s="3">
        <v>0.72897460000000003</v>
      </c>
      <c r="L2802" s="3">
        <v>0.24104709999999999</v>
      </c>
    </row>
    <row r="2803" spans="1:12" x14ac:dyDescent="0.25">
      <c r="A2803" t="s">
        <v>7682</v>
      </c>
      <c r="B2803" t="s">
        <v>957</v>
      </c>
      <c r="I2803" t="s">
        <v>1973</v>
      </c>
      <c r="J2803" s="3">
        <v>-0.33090350000000002</v>
      </c>
      <c r="K2803" s="3">
        <v>-0.16842940000000001</v>
      </c>
      <c r="L2803" s="3">
        <v>-0.22955039999999999</v>
      </c>
    </row>
    <row r="2804" spans="1:12" x14ac:dyDescent="0.25">
      <c r="A2804" t="s">
        <v>7680</v>
      </c>
      <c r="B2804" t="s">
        <v>7681</v>
      </c>
      <c r="I2804" t="s">
        <v>593</v>
      </c>
      <c r="J2804" s="3">
        <v>-0.73492550000000001</v>
      </c>
      <c r="K2804" s="3">
        <v>-0.90961029999999998</v>
      </c>
      <c r="L2804" s="3">
        <v>-0.59471370000000001</v>
      </c>
    </row>
    <row r="2805" spans="1:12" x14ac:dyDescent="0.25">
      <c r="A2805" t="s">
        <v>7677</v>
      </c>
      <c r="B2805" t="s">
        <v>7678</v>
      </c>
      <c r="I2805" t="s">
        <v>7679</v>
      </c>
      <c r="J2805" s="3">
        <v>0.40615509999999999</v>
      </c>
      <c r="K2805" s="3">
        <v>0.23769670000000001</v>
      </c>
      <c r="L2805" s="3">
        <v>0.28798059999999998</v>
      </c>
    </row>
    <row r="2806" spans="1:12" x14ac:dyDescent="0.25">
      <c r="A2806" t="s">
        <v>7674</v>
      </c>
      <c r="B2806" t="s">
        <v>7675</v>
      </c>
      <c r="I2806" t="s">
        <v>7676</v>
      </c>
      <c r="J2806" s="3">
        <v>5.2113670000000001E-2</v>
      </c>
      <c r="K2806" s="3">
        <v>-0.1584641</v>
      </c>
      <c r="L2806" s="3">
        <v>6.5109070000000005E-2</v>
      </c>
    </row>
    <row r="2807" spans="1:12" x14ac:dyDescent="0.25">
      <c r="A2807" t="s">
        <v>7673</v>
      </c>
      <c r="B2807" t="s">
        <v>957</v>
      </c>
      <c r="I2807" t="s">
        <v>455</v>
      </c>
      <c r="J2807" s="3">
        <v>9.2783130000000005E-2</v>
      </c>
      <c r="K2807" s="3">
        <v>0.39767970000000002</v>
      </c>
      <c r="L2807" s="3">
        <v>0.28789199999999998</v>
      </c>
    </row>
    <row r="2808" spans="1:12" x14ac:dyDescent="0.25">
      <c r="A2808" t="s">
        <v>7671</v>
      </c>
      <c r="B2808" t="s">
        <v>7672</v>
      </c>
      <c r="I2808" t="s">
        <v>4112</v>
      </c>
      <c r="J2808" s="3">
        <v>0.17654249999999999</v>
      </c>
      <c r="K2808" s="3">
        <v>0.79720650000000004</v>
      </c>
      <c r="L2808" s="3">
        <v>-8.5566160000000002E-2</v>
      </c>
    </row>
    <row r="2809" spans="1:12" x14ac:dyDescent="0.25">
      <c r="A2809" t="s">
        <v>7670</v>
      </c>
      <c r="B2809" t="s">
        <v>957</v>
      </c>
      <c r="I2809" t="s">
        <v>455</v>
      </c>
      <c r="J2809" s="3">
        <v>0.42639890000000003</v>
      </c>
      <c r="K2809" s="3">
        <v>0.5132312</v>
      </c>
      <c r="L2809" s="3">
        <v>0.16774530000000001</v>
      </c>
    </row>
    <row r="2810" spans="1:12" x14ac:dyDescent="0.25">
      <c r="A2810" t="s">
        <v>7667</v>
      </c>
      <c r="B2810" t="s">
        <v>7668</v>
      </c>
      <c r="I2810" t="s">
        <v>7669</v>
      </c>
      <c r="J2810" s="3">
        <v>-0.20722589999999999</v>
      </c>
      <c r="K2810" s="3">
        <v>-0.46181810000000001</v>
      </c>
      <c r="L2810" s="3">
        <v>-0.6633732</v>
      </c>
    </row>
    <row r="2811" spans="1:12" x14ac:dyDescent="0.25">
      <c r="A2811" t="s">
        <v>7665</v>
      </c>
      <c r="B2811" t="s">
        <v>7666</v>
      </c>
      <c r="I2811" t="s">
        <v>2003</v>
      </c>
      <c r="J2811" s="3">
        <v>8.9466000000000004E-2</v>
      </c>
      <c r="K2811" s="3">
        <v>5.0266709999999999E-3</v>
      </c>
      <c r="L2811" s="3">
        <v>-0.24485709999999999</v>
      </c>
    </row>
    <row r="2812" spans="1:12" x14ac:dyDescent="0.25">
      <c r="A2812" t="s">
        <v>7662</v>
      </c>
      <c r="B2812" t="s">
        <v>7663</v>
      </c>
      <c r="I2812" t="s">
        <v>7664</v>
      </c>
      <c r="J2812" s="3">
        <v>-0.2734896</v>
      </c>
      <c r="K2812" s="3">
        <v>-0.47435310000000003</v>
      </c>
      <c r="L2812" s="3">
        <v>-0.51356950000000001</v>
      </c>
    </row>
    <row r="2813" spans="1:12" x14ac:dyDescent="0.25">
      <c r="A2813" t="s">
        <v>7659</v>
      </c>
      <c r="B2813" t="s">
        <v>7660</v>
      </c>
      <c r="I2813" t="s">
        <v>7661</v>
      </c>
      <c r="J2813" s="3">
        <v>-0.30951440000000002</v>
      </c>
      <c r="K2813" s="3">
        <v>-0.70124750000000002</v>
      </c>
      <c r="L2813" s="3">
        <v>-0.18658540000000001</v>
      </c>
    </row>
    <row r="2814" spans="1:12" x14ac:dyDescent="0.25">
      <c r="A2814" t="s">
        <v>7656</v>
      </c>
      <c r="B2814" t="s">
        <v>7657</v>
      </c>
      <c r="I2814" t="s">
        <v>7658</v>
      </c>
      <c r="J2814" s="3">
        <v>-0.10449020000000001</v>
      </c>
      <c r="K2814" s="3">
        <v>-0.55887779999999998</v>
      </c>
      <c r="L2814" s="3">
        <v>-0.55332789999999998</v>
      </c>
    </row>
    <row r="2815" spans="1:12" x14ac:dyDescent="0.25">
      <c r="A2815" t="s">
        <v>7654</v>
      </c>
      <c r="B2815" t="s">
        <v>7655</v>
      </c>
      <c r="I2815" t="s">
        <v>4888</v>
      </c>
      <c r="J2815" s="3">
        <v>-0.1776499</v>
      </c>
      <c r="K2815" s="3">
        <v>0.17100480000000001</v>
      </c>
      <c r="L2815" s="3">
        <v>-0.1106811</v>
      </c>
    </row>
    <row r="2816" spans="1:12" x14ac:dyDescent="0.25">
      <c r="A2816" t="s">
        <v>7653</v>
      </c>
      <c r="B2816" t="s">
        <v>957</v>
      </c>
      <c r="I2816" t="s">
        <v>453</v>
      </c>
      <c r="J2816" s="3">
        <v>-0.37690380000000001</v>
      </c>
      <c r="K2816" s="3">
        <v>0.2522316</v>
      </c>
      <c r="L2816" s="3">
        <v>-0.21966240000000001</v>
      </c>
    </row>
    <row r="2817" spans="1:12" x14ac:dyDescent="0.25">
      <c r="A2817" t="s">
        <v>7650</v>
      </c>
      <c r="B2817" t="s">
        <v>7651</v>
      </c>
      <c r="I2817" t="s">
        <v>7652</v>
      </c>
      <c r="J2817" s="3">
        <v>-0.73871900000000001</v>
      </c>
      <c r="K2817" s="3">
        <v>8.5290870000000005E-2</v>
      </c>
      <c r="L2817" s="3">
        <v>4.6350870000000002E-2</v>
      </c>
    </row>
    <row r="2818" spans="1:12" x14ac:dyDescent="0.25">
      <c r="A2818" t="s">
        <v>7647</v>
      </c>
      <c r="B2818" t="s">
        <v>7648</v>
      </c>
      <c r="I2818" t="s">
        <v>7649</v>
      </c>
      <c r="J2818" s="3">
        <v>1.097224</v>
      </c>
      <c r="K2818" s="3">
        <v>1.0234479999999999</v>
      </c>
      <c r="L2818" s="3">
        <v>0.97142720000000005</v>
      </c>
    </row>
    <row r="2819" spans="1:12" x14ac:dyDescent="0.25">
      <c r="A2819" t="s">
        <v>6571</v>
      </c>
      <c r="B2819" t="s">
        <v>6572</v>
      </c>
      <c r="I2819" t="s">
        <v>7646</v>
      </c>
      <c r="J2819" s="3">
        <v>0.20359679999999999</v>
      </c>
      <c r="K2819" s="3">
        <v>-2.8457710000000001E-2</v>
      </c>
      <c r="L2819" s="3">
        <v>0.2848849</v>
      </c>
    </row>
    <row r="2820" spans="1:12" x14ac:dyDescent="0.25">
      <c r="A2820" t="s">
        <v>6569</v>
      </c>
      <c r="B2820" t="s">
        <v>6570</v>
      </c>
      <c r="I2820" t="s">
        <v>1657</v>
      </c>
      <c r="J2820" s="3">
        <v>-0.52441519999999997</v>
      </c>
      <c r="K2820" s="3">
        <v>-1.1720889999999999</v>
      </c>
      <c r="L2820" s="3">
        <v>-0.32388440000000002</v>
      </c>
    </row>
    <row r="2821" spans="1:12" x14ac:dyDescent="0.25">
      <c r="A2821" t="s">
        <v>6566</v>
      </c>
      <c r="B2821" t="s">
        <v>6567</v>
      </c>
      <c r="I2821" t="s">
        <v>6568</v>
      </c>
      <c r="J2821" s="3">
        <v>0.13574710000000001</v>
      </c>
      <c r="K2821" s="3">
        <v>0.46527099999999999</v>
      </c>
      <c r="L2821" s="3">
        <v>8.0925250000000004E-2</v>
      </c>
    </row>
    <row r="2822" spans="1:12" x14ac:dyDescent="0.25">
      <c r="A2822" t="s">
        <v>6563</v>
      </c>
      <c r="B2822" t="s">
        <v>6564</v>
      </c>
      <c r="I2822" t="s">
        <v>6565</v>
      </c>
      <c r="J2822" s="3">
        <v>0.79545160000000004</v>
      </c>
      <c r="K2822" s="3">
        <v>0.95514030000000005</v>
      </c>
      <c r="L2822" s="3">
        <v>0.31125259999999999</v>
      </c>
    </row>
    <row r="2823" spans="1:12" x14ac:dyDescent="0.25">
      <c r="A2823" t="s">
        <v>6561</v>
      </c>
      <c r="B2823" t="s">
        <v>957</v>
      </c>
      <c r="I2823" t="s">
        <v>6562</v>
      </c>
      <c r="J2823" s="3">
        <v>0.14193449999999999</v>
      </c>
      <c r="K2823" s="3">
        <v>-3.225372E-2</v>
      </c>
      <c r="L2823" s="3">
        <v>-1.9416019999999999E-2</v>
      </c>
    </row>
    <row r="2824" spans="1:12" x14ac:dyDescent="0.25">
      <c r="A2824" t="s">
        <v>6558</v>
      </c>
      <c r="B2824" t="s">
        <v>6559</v>
      </c>
      <c r="I2824" t="s">
        <v>6560</v>
      </c>
      <c r="J2824" s="3">
        <v>2.3022109999999998E-2</v>
      </c>
      <c r="K2824" s="3">
        <v>-0.35550019999999999</v>
      </c>
      <c r="L2824" s="3">
        <v>-7.3085419999999998E-2</v>
      </c>
    </row>
    <row r="2825" spans="1:12" x14ac:dyDescent="0.25">
      <c r="A2825" t="s">
        <v>6555</v>
      </c>
      <c r="B2825" t="s">
        <v>6556</v>
      </c>
      <c r="I2825" t="s">
        <v>6557</v>
      </c>
      <c r="J2825" s="3">
        <v>-4.7649030000000002E-2</v>
      </c>
      <c r="K2825" s="3">
        <v>-0.33778859999999999</v>
      </c>
      <c r="L2825" s="3">
        <v>-0.39809919999999999</v>
      </c>
    </row>
    <row r="2826" spans="1:12" x14ac:dyDescent="0.25">
      <c r="A2826" t="s">
        <v>6552</v>
      </c>
      <c r="B2826" t="s">
        <v>6553</v>
      </c>
      <c r="I2826" t="s">
        <v>6554</v>
      </c>
      <c r="J2826" s="3">
        <v>-0.90395179999999997</v>
      </c>
      <c r="K2826" s="3">
        <v>-0.78719700000000004</v>
      </c>
      <c r="L2826" s="3">
        <v>-1.391321</v>
      </c>
    </row>
    <row r="2827" spans="1:12" x14ac:dyDescent="0.25">
      <c r="A2827" t="s">
        <v>6549</v>
      </c>
      <c r="B2827" t="s">
        <v>6550</v>
      </c>
      <c r="I2827" t="s">
        <v>6551</v>
      </c>
      <c r="J2827" s="3">
        <v>-0.65541720000000003</v>
      </c>
      <c r="K2827" s="3">
        <v>-1.514027</v>
      </c>
      <c r="L2827" s="3">
        <v>-1.2076370000000001</v>
      </c>
    </row>
    <row r="2828" spans="1:12" x14ac:dyDescent="0.25">
      <c r="A2828" t="s">
        <v>6546</v>
      </c>
      <c r="B2828" t="s">
        <v>6547</v>
      </c>
      <c r="I2828" t="s">
        <v>6548</v>
      </c>
      <c r="J2828" s="3">
        <v>-0.50300129999999998</v>
      </c>
      <c r="K2828" s="3">
        <v>-1.0443849999999999</v>
      </c>
      <c r="L2828" s="3">
        <v>-0.65795919999999997</v>
      </c>
    </row>
    <row r="2829" spans="1:12" x14ac:dyDescent="0.25">
      <c r="A2829" t="s">
        <v>7614</v>
      </c>
      <c r="B2829" t="s">
        <v>7615</v>
      </c>
      <c r="I2829" t="s">
        <v>6545</v>
      </c>
      <c r="J2829" s="3">
        <v>-0.123862</v>
      </c>
      <c r="K2829" s="3">
        <v>0.42763509999999999</v>
      </c>
      <c r="L2829" s="3">
        <v>0.39052720000000002</v>
      </c>
    </row>
    <row r="2830" spans="1:12" x14ac:dyDescent="0.25">
      <c r="A2830" t="s">
        <v>7611</v>
      </c>
      <c r="B2830" t="s">
        <v>7612</v>
      </c>
      <c r="I2830" t="s">
        <v>7613</v>
      </c>
      <c r="J2830" s="3">
        <v>-0.37639319999999998</v>
      </c>
      <c r="K2830" s="3">
        <v>-0.62730200000000003</v>
      </c>
      <c r="L2830" s="3">
        <v>-0.30207060000000002</v>
      </c>
    </row>
    <row r="2831" spans="1:12" x14ac:dyDescent="0.25">
      <c r="A2831" t="s">
        <v>7608</v>
      </c>
      <c r="B2831" t="s">
        <v>7609</v>
      </c>
      <c r="I2831" t="s">
        <v>7610</v>
      </c>
      <c r="J2831" s="3">
        <v>-0.83518599999999998</v>
      </c>
      <c r="K2831" s="3">
        <v>-0.2980024</v>
      </c>
      <c r="L2831" s="3">
        <v>-0.68170419999999998</v>
      </c>
    </row>
    <row r="2832" spans="1:12" x14ac:dyDescent="0.25">
      <c r="A2832" t="s">
        <v>7605</v>
      </c>
      <c r="B2832" t="s">
        <v>7606</v>
      </c>
      <c r="I2832" t="s">
        <v>7607</v>
      </c>
      <c r="J2832" s="3">
        <v>0.40786610000000001</v>
      </c>
      <c r="K2832" s="3">
        <v>0.3026528</v>
      </c>
      <c r="L2832" s="3">
        <v>0.31013750000000001</v>
      </c>
    </row>
    <row r="2833" spans="1:12" x14ac:dyDescent="0.25">
      <c r="A2833" t="s">
        <v>7602</v>
      </c>
      <c r="B2833" t="s">
        <v>7603</v>
      </c>
      <c r="I2833" t="s">
        <v>7604</v>
      </c>
      <c r="J2833" s="3">
        <v>0.1844758</v>
      </c>
      <c r="K2833" s="3">
        <v>-0.18014079999999999</v>
      </c>
      <c r="L2833" s="3">
        <v>0.20542669999999999</v>
      </c>
    </row>
    <row r="2834" spans="1:12" x14ac:dyDescent="0.25">
      <c r="A2834" t="s">
        <v>7600</v>
      </c>
      <c r="B2834" t="s">
        <v>7601</v>
      </c>
      <c r="I2834" t="s">
        <v>593</v>
      </c>
      <c r="J2834" s="3">
        <v>-0.99599260000000001</v>
      </c>
      <c r="K2834" s="3">
        <v>-1.6116269999999999</v>
      </c>
      <c r="L2834" s="3">
        <v>-0.80367350000000004</v>
      </c>
    </row>
    <row r="2835" spans="1:12" x14ac:dyDescent="0.25">
      <c r="A2835" t="s">
        <v>7599</v>
      </c>
      <c r="B2835" t="s">
        <v>957</v>
      </c>
      <c r="I2835" t="s">
        <v>2</v>
      </c>
      <c r="J2835" s="3">
        <v>0.59028210000000003</v>
      </c>
      <c r="K2835" s="3">
        <v>1.2773699999999999</v>
      </c>
      <c r="L2835" s="3">
        <v>0.94588899999999998</v>
      </c>
    </row>
    <row r="2836" spans="1:12" x14ac:dyDescent="0.25">
      <c r="A2836" t="s">
        <v>7596</v>
      </c>
      <c r="B2836" t="s">
        <v>7597</v>
      </c>
      <c r="I2836" t="s">
        <v>7598</v>
      </c>
      <c r="J2836" s="3">
        <v>-0.30028120000000003</v>
      </c>
      <c r="K2836" s="3">
        <v>-0.90073179999999997</v>
      </c>
      <c r="L2836" s="3">
        <v>-0.47141319999999998</v>
      </c>
    </row>
    <row r="2837" spans="1:12" x14ac:dyDescent="0.25">
      <c r="A2837" t="s">
        <v>7593</v>
      </c>
      <c r="B2837" t="s">
        <v>7594</v>
      </c>
      <c r="I2837" t="s">
        <v>7595</v>
      </c>
      <c r="J2837" s="3">
        <v>0.83000019999999997</v>
      </c>
      <c r="K2837" s="3">
        <v>1.5976410000000001</v>
      </c>
      <c r="L2837" s="3">
        <v>0.90658859999999997</v>
      </c>
    </row>
    <row r="2838" spans="1:12" x14ac:dyDescent="0.25">
      <c r="A2838" t="s">
        <v>7590</v>
      </c>
      <c r="B2838" t="s">
        <v>7591</v>
      </c>
      <c r="I2838" t="s">
        <v>7592</v>
      </c>
      <c r="J2838" s="3">
        <v>0.2830859</v>
      </c>
      <c r="K2838" s="3">
        <v>0.12760060000000001</v>
      </c>
      <c r="L2838" s="3">
        <v>-2.7825260000000001E-2</v>
      </c>
    </row>
    <row r="2839" spans="1:12" x14ac:dyDescent="0.25">
      <c r="A2839" t="s">
        <v>7587</v>
      </c>
      <c r="B2839" t="s">
        <v>7588</v>
      </c>
      <c r="I2839" t="s">
        <v>7589</v>
      </c>
      <c r="J2839" s="3">
        <v>0.159999</v>
      </c>
      <c r="K2839" s="3">
        <v>0.29044300000000001</v>
      </c>
      <c r="L2839" s="3">
        <v>0.16239790000000001</v>
      </c>
    </row>
    <row r="2840" spans="1:12" x14ac:dyDescent="0.25">
      <c r="A2840" t="s">
        <v>7585</v>
      </c>
      <c r="B2840" t="s">
        <v>7586</v>
      </c>
      <c r="I2840" t="s">
        <v>5943</v>
      </c>
      <c r="J2840" s="3">
        <v>-1.2771669999999999</v>
      </c>
      <c r="K2840" s="3">
        <v>-1.4406509999999999</v>
      </c>
      <c r="L2840" s="3">
        <v>-0.86577749999999998</v>
      </c>
    </row>
    <row r="2841" spans="1:12" x14ac:dyDescent="0.25">
      <c r="A2841" t="s">
        <v>7584</v>
      </c>
      <c r="B2841" t="s">
        <v>957</v>
      </c>
      <c r="I2841" t="s">
        <v>455</v>
      </c>
      <c r="J2841" s="3">
        <v>-0.38581549999999998</v>
      </c>
      <c r="K2841" s="3">
        <v>-0.45797399999999999</v>
      </c>
      <c r="L2841" s="3">
        <v>-0.38798850000000001</v>
      </c>
    </row>
    <row r="2842" spans="1:12" x14ac:dyDescent="0.25">
      <c r="A2842" t="s">
        <v>7581</v>
      </c>
      <c r="B2842" t="s">
        <v>7582</v>
      </c>
      <c r="I2842" t="s">
        <v>7583</v>
      </c>
      <c r="J2842" s="3">
        <v>-1.134323</v>
      </c>
      <c r="K2842" s="3">
        <v>-1.6861429999999999</v>
      </c>
      <c r="L2842" s="3">
        <v>-0.70047630000000005</v>
      </c>
    </row>
    <row r="2843" spans="1:12" x14ac:dyDescent="0.25">
      <c r="A2843" t="s">
        <v>7578</v>
      </c>
      <c r="B2843" t="s">
        <v>7579</v>
      </c>
      <c r="I2843" t="s">
        <v>7580</v>
      </c>
      <c r="J2843" s="3">
        <v>9.6515840000000006E-2</v>
      </c>
      <c r="K2843" s="3">
        <v>1.5760329999999999E-3</v>
      </c>
      <c r="L2843" s="3">
        <v>-1.55449E-2</v>
      </c>
    </row>
    <row r="2844" spans="1:12" x14ac:dyDescent="0.25">
      <c r="A2844" t="s">
        <v>7575</v>
      </c>
      <c r="B2844" t="s">
        <v>7576</v>
      </c>
      <c r="I2844" t="s">
        <v>7577</v>
      </c>
      <c r="J2844" s="3">
        <v>-0.434054</v>
      </c>
      <c r="K2844" s="3">
        <v>-0.27423589999999998</v>
      </c>
      <c r="L2844" s="3">
        <v>-0.77525359999999999</v>
      </c>
    </row>
    <row r="2845" spans="1:12" x14ac:dyDescent="0.25">
      <c r="A2845" t="s">
        <v>7574</v>
      </c>
      <c r="B2845" t="s">
        <v>7572</v>
      </c>
      <c r="I2845" t="s">
        <v>7573</v>
      </c>
      <c r="J2845" s="3">
        <v>0.64747770000000004</v>
      </c>
      <c r="K2845" s="3">
        <v>-6.0040820000000002E-2</v>
      </c>
      <c r="L2845" s="3">
        <v>-0.33353539999999998</v>
      </c>
    </row>
    <row r="2846" spans="1:12" x14ac:dyDescent="0.25">
      <c r="A2846" t="s">
        <v>7571</v>
      </c>
      <c r="B2846" t="s">
        <v>7572</v>
      </c>
      <c r="I2846" t="s">
        <v>7573</v>
      </c>
      <c r="J2846" s="3">
        <v>0.57995609999999997</v>
      </c>
      <c r="K2846" s="3">
        <v>0.37005490000000002</v>
      </c>
      <c r="L2846" s="3">
        <v>-0.31810319999999997</v>
      </c>
    </row>
    <row r="2847" spans="1:12" x14ac:dyDescent="0.25">
      <c r="A2847" t="s">
        <v>7569</v>
      </c>
      <c r="B2847" t="s">
        <v>7570</v>
      </c>
      <c r="I2847" t="s">
        <v>4433</v>
      </c>
      <c r="J2847" s="3">
        <v>0.18092430000000001</v>
      </c>
      <c r="K2847" s="3">
        <v>0.67325170000000001</v>
      </c>
      <c r="L2847" s="3">
        <v>0.45591660000000001</v>
      </c>
    </row>
    <row r="2848" spans="1:12" x14ac:dyDescent="0.25">
      <c r="A2848" t="s">
        <v>7566</v>
      </c>
      <c r="B2848" t="s">
        <v>7567</v>
      </c>
      <c r="I2848" t="s">
        <v>7568</v>
      </c>
      <c r="J2848" s="3">
        <v>0.28847250000000002</v>
      </c>
      <c r="K2848" s="3">
        <v>0.2014822</v>
      </c>
      <c r="L2848" s="3">
        <v>-0.23972299999999999</v>
      </c>
    </row>
    <row r="2849" spans="1:12" x14ac:dyDescent="0.25">
      <c r="A2849" t="s">
        <v>7564</v>
      </c>
      <c r="B2849" t="s">
        <v>7565</v>
      </c>
      <c r="I2849" t="s">
        <v>6168</v>
      </c>
      <c r="J2849" s="3">
        <v>0.1905355</v>
      </c>
      <c r="K2849" s="3">
        <v>-0.16772119999999999</v>
      </c>
      <c r="L2849" s="3">
        <v>0.14026659999999999</v>
      </c>
    </row>
    <row r="2850" spans="1:12" x14ac:dyDescent="0.25">
      <c r="A2850" t="s">
        <v>7561</v>
      </c>
      <c r="B2850" t="s">
        <v>7562</v>
      </c>
      <c r="I2850" t="s">
        <v>7563</v>
      </c>
      <c r="J2850" s="3">
        <v>0.17097180000000001</v>
      </c>
      <c r="K2850" s="3">
        <v>-0.4452895</v>
      </c>
      <c r="L2850" s="3">
        <v>-0.14549319999999999</v>
      </c>
    </row>
    <row r="2851" spans="1:12" x14ac:dyDescent="0.25">
      <c r="A2851" t="s">
        <v>7558</v>
      </c>
      <c r="B2851" t="s">
        <v>7559</v>
      </c>
      <c r="I2851" t="s">
        <v>7560</v>
      </c>
      <c r="J2851" s="3">
        <v>0.2571541</v>
      </c>
      <c r="K2851" s="3">
        <v>-0.37106640000000002</v>
      </c>
      <c r="L2851" s="3">
        <v>0.54857920000000004</v>
      </c>
    </row>
    <row r="2852" spans="1:12" x14ac:dyDescent="0.25">
      <c r="A2852" t="s">
        <v>7555</v>
      </c>
      <c r="B2852" t="s">
        <v>7556</v>
      </c>
      <c r="I2852" t="s">
        <v>7557</v>
      </c>
      <c r="J2852" s="3">
        <v>1.407381</v>
      </c>
      <c r="K2852" s="3">
        <v>1.0846849999999999</v>
      </c>
      <c r="L2852" s="3">
        <v>1.1992100000000001</v>
      </c>
    </row>
    <row r="2853" spans="1:12" x14ac:dyDescent="0.25">
      <c r="A2853" t="s">
        <v>7552</v>
      </c>
      <c r="B2853" t="s">
        <v>7553</v>
      </c>
      <c r="I2853" t="s">
        <v>7554</v>
      </c>
      <c r="J2853" s="3">
        <v>0.3502709</v>
      </c>
      <c r="K2853" s="3">
        <v>0.48638540000000002</v>
      </c>
      <c r="L2853" s="3">
        <v>6.5016809999999994E-2</v>
      </c>
    </row>
    <row r="2854" spans="1:12" x14ac:dyDescent="0.25">
      <c r="A2854" t="s">
        <v>7551</v>
      </c>
      <c r="B2854" t="s">
        <v>957</v>
      </c>
      <c r="I2854" t="s">
        <v>455</v>
      </c>
      <c r="J2854" s="3">
        <v>0.23900360000000001</v>
      </c>
      <c r="K2854" s="3">
        <v>0.5969238</v>
      </c>
      <c r="L2854" s="3">
        <v>-9.0483720000000007E-3</v>
      </c>
    </row>
    <row r="2855" spans="1:12" x14ac:dyDescent="0.25">
      <c r="A2855" t="s">
        <v>7548</v>
      </c>
      <c r="B2855" t="s">
        <v>7549</v>
      </c>
      <c r="I2855" t="s">
        <v>7550</v>
      </c>
      <c r="J2855" s="3">
        <v>-0.24198939999999999</v>
      </c>
      <c r="K2855" s="3">
        <v>0.1669939</v>
      </c>
      <c r="L2855" s="3">
        <v>-0.122658</v>
      </c>
    </row>
    <row r="2856" spans="1:12" x14ac:dyDescent="0.25">
      <c r="A2856" t="s">
        <v>7547</v>
      </c>
      <c r="B2856" t="s">
        <v>957</v>
      </c>
      <c r="I2856" t="s">
        <v>455</v>
      </c>
      <c r="J2856" s="3">
        <v>0.14906449999999999</v>
      </c>
      <c r="K2856" s="3">
        <v>-3.3771229999999999E-2</v>
      </c>
      <c r="L2856" s="3">
        <v>-0.1250964</v>
      </c>
    </row>
    <row r="2857" spans="1:12" x14ac:dyDescent="0.25">
      <c r="A2857" t="s">
        <v>7546</v>
      </c>
      <c r="B2857" t="s">
        <v>957</v>
      </c>
      <c r="I2857" t="s">
        <v>455</v>
      </c>
      <c r="J2857" s="3">
        <v>-3.6216999999999999E-2</v>
      </c>
      <c r="K2857" s="3">
        <v>-1.0889869999999999</v>
      </c>
      <c r="L2857" s="3">
        <v>5.0718869999999999E-2</v>
      </c>
    </row>
    <row r="2858" spans="1:12" x14ac:dyDescent="0.25">
      <c r="A2858" t="s">
        <v>7543</v>
      </c>
      <c r="B2858" t="s">
        <v>7544</v>
      </c>
      <c r="I2858" t="s">
        <v>7545</v>
      </c>
      <c r="J2858" s="3">
        <v>-0.64521090000000003</v>
      </c>
      <c r="K2858" s="3">
        <v>-0.89818399999999998</v>
      </c>
      <c r="L2858" s="3">
        <v>-0.40412670000000001</v>
      </c>
    </row>
    <row r="2859" spans="1:12" x14ac:dyDescent="0.25">
      <c r="A2859" t="s">
        <v>7540</v>
      </c>
      <c r="B2859" t="s">
        <v>7541</v>
      </c>
      <c r="I2859" t="s">
        <v>7542</v>
      </c>
      <c r="J2859" s="3">
        <v>-0.35505019999999998</v>
      </c>
      <c r="K2859" s="3">
        <v>-0.48153380000000001</v>
      </c>
      <c r="L2859" s="3">
        <v>-0.30095690000000003</v>
      </c>
    </row>
    <row r="2860" spans="1:12" x14ac:dyDescent="0.25">
      <c r="A2860" t="s">
        <v>7538</v>
      </c>
      <c r="B2860" t="s">
        <v>7539</v>
      </c>
      <c r="I2860" t="s">
        <v>4273</v>
      </c>
      <c r="J2860" s="3">
        <v>6.3985849999999997E-2</v>
      </c>
      <c r="K2860" s="3">
        <v>7.6912770000000005E-2</v>
      </c>
      <c r="L2860" s="3">
        <v>0.21127860000000001</v>
      </c>
    </row>
    <row r="2861" spans="1:12" x14ac:dyDescent="0.25">
      <c r="A2861" t="s">
        <v>7535</v>
      </c>
      <c r="B2861" t="s">
        <v>7536</v>
      </c>
      <c r="I2861" t="s">
        <v>7537</v>
      </c>
      <c r="J2861" s="3">
        <v>-0.1858158</v>
      </c>
      <c r="K2861" s="3">
        <v>-0.59890290000000002</v>
      </c>
      <c r="L2861" s="3">
        <v>-0.36955670000000002</v>
      </c>
    </row>
    <row r="2862" spans="1:12" x14ac:dyDescent="0.25">
      <c r="A2862" t="s">
        <v>7534</v>
      </c>
      <c r="B2862" t="s">
        <v>957</v>
      </c>
      <c r="I2862" t="s">
        <v>614</v>
      </c>
      <c r="J2862" s="3">
        <v>-0.12944040000000001</v>
      </c>
      <c r="K2862" s="3">
        <v>-0.39041169999999997</v>
      </c>
      <c r="L2862" s="3">
        <v>-8.8286779999999995E-2</v>
      </c>
    </row>
    <row r="2863" spans="1:12" x14ac:dyDescent="0.25">
      <c r="A2863" t="s">
        <v>7531</v>
      </c>
      <c r="B2863" t="s">
        <v>7532</v>
      </c>
      <c r="I2863" t="s">
        <v>7533</v>
      </c>
      <c r="J2863" s="3">
        <v>0.23222999999999999</v>
      </c>
      <c r="K2863" s="3">
        <v>-0.4895196</v>
      </c>
      <c r="L2863" s="3">
        <v>-0.1258341</v>
      </c>
    </row>
    <row r="2864" spans="1:12" x14ac:dyDescent="0.25">
      <c r="A2864" t="s">
        <v>7528</v>
      </c>
      <c r="B2864" t="s">
        <v>7529</v>
      </c>
      <c r="I2864" t="s">
        <v>7530</v>
      </c>
      <c r="J2864" s="3">
        <v>0.13331009999999999</v>
      </c>
      <c r="K2864" s="3">
        <v>3.0577940000000001E-2</v>
      </c>
      <c r="L2864" s="3">
        <v>0.24116850000000001</v>
      </c>
    </row>
    <row r="2865" spans="1:12" x14ac:dyDescent="0.25">
      <c r="A2865" t="s">
        <v>7525</v>
      </c>
      <c r="B2865" t="s">
        <v>7526</v>
      </c>
      <c r="I2865" t="s">
        <v>7527</v>
      </c>
      <c r="J2865" s="3">
        <v>-4.6229699999999999E-2</v>
      </c>
      <c r="K2865" s="3">
        <v>3.7877439999999998E-2</v>
      </c>
      <c r="L2865" s="3">
        <v>0.19313720000000001</v>
      </c>
    </row>
    <row r="2866" spans="1:12" x14ac:dyDescent="0.25">
      <c r="A2866" t="s">
        <v>7524</v>
      </c>
      <c r="B2866" t="s">
        <v>957</v>
      </c>
      <c r="I2866" t="s">
        <v>455</v>
      </c>
      <c r="J2866" s="3">
        <v>-0.73972230000000005</v>
      </c>
      <c r="K2866" s="3">
        <v>-1.0325230000000001</v>
      </c>
      <c r="L2866" s="3">
        <v>-0.50695590000000001</v>
      </c>
    </row>
    <row r="2867" spans="1:12" x14ac:dyDescent="0.25">
      <c r="A2867" t="s">
        <v>7523</v>
      </c>
      <c r="B2867" t="s">
        <v>957</v>
      </c>
      <c r="I2867" t="s">
        <v>455</v>
      </c>
      <c r="J2867" s="3">
        <v>0.57868900000000001</v>
      </c>
      <c r="K2867" s="3">
        <v>1.5549850000000001</v>
      </c>
      <c r="L2867" s="3">
        <v>0.61458930000000001</v>
      </c>
    </row>
    <row r="2868" spans="1:12" x14ac:dyDescent="0.25">
      <c r="A2868" t="s">
        <v>7522</v>
      </c>
      <c r="B2868" t="s">
        <v>957</v>
      </c>
      <c r="I2868" t="s">
        <v>957</v>
      </c>
      <c r="J2868" s="3">
        <v>-0.61387409999999998</v>
      </c>
      <c r="K2868" s="3">
        <v>-0.1733923</v>
      </c>
      <c r="L2868" s="3">
        <v>-0.40966560000000002</v>
      </c>
    </row>
    <row r="2869" spans="1:12" x14ac:dyDescent="0.25">
      <c r="A2869" t="s">
        <v>7519</v>
      </c>
      <c r="B2869" t="s">
        <v>7520</v>
      </c>
      <c r="I2869" t="s">
        <v>7521</v>
      </c>
      <c r="J2869" s="3">
        <v>-0.37664429999999999</v>
      </c>
      <c r="K2869" s="3">
        <v>-0.25498680000000001</v>
      </c>
      <c r="L2869" s="3">
        <v>-0.18670039999999999</v>
      </c>
    </row>
    <row r="2870" spans="1:12" x14ac:dyDescent="0.25">
      <c r="A2870" t="s">
        <v>7516</v>
      </c>
      <c r="B2870" t="s">
        <v>7517</v>
      </c>
      <c r="I2870" t="s">
        <v>7518</v>
      </c>
      <c r="J2870" s="3">
        <v>1.305389E-2</v>
      </c>
      <c r="K2870" s="3">
        <v>0.30482799999999999</v>
      </c>
      <c r="L2870" s="3">
        <v>1.5818860000000001E-2</v>
      </c>
    </row>
    <row r="2871" spans="1:12" x14ac:dyDescent="0.25">
      <c r="A2871" t="s">
        <v>7514</v>
      </c>
      <c r="B2871" t="s">
        <v>7515</v>
      </c>
      <c r="I2871" t="s">
        <v>5348</v>
      </c>
      <c r="J2871" s="3">
        <v>0.2603026</v>
      </c>
      <c r="K2871" s="3">
        <v>-0.1050225</v>
      </c>
      <c r="L2871" s="3">
        <v>0.38434069999999998</v>
      </c>
    </row>
    <row r="2872" spans="1:12" x14ac:dyDescent="0.25">
      <c r="A2872" t="s">
        <v>7513</v>
      </c>
      <c r="B2872" t="s">
        <v>957</v>
      </c>
      <c r="I2872" t="s">
        <v>2852</v>
      </c>
      <c r="J2872" s="3">
        <v>3.5808689999999997E-2</v>
      </c>
      <c r="K2872" s="3">
        <v>9.7946989999999998E-2</v>
      </c>
      <c r="L2872" s="3">
        <v>-0.60336909999999999</v>
      </c>
    </row>
    <row r="2873" spans="1:12" x14ac:dyDescent="0.25">
      <c r="A2873" t="s">
        <v>7511</v>
      </c>
      <c r="B2873" t="s">
        <v>7512</v>
      </c>
      <c r="I2873" t="s">
        <v>5345</v>
      </c>
      <c r="J2873" s="3">
        <v>0.15090029999999999</v>
      </c>
      <c r="K2873" s="3">
        <v>0.2253793</v>
      </c>
      <c r="L2873" s="3">
        <v>0.37901309999999999</v>
      </c>
    </row>
    <row r="2874" spans="1:12" x14ac:dyDescent="0.25">
      <c r="A2874" t="s">
        <v>7509</v>
      </c>
      <c r="B2874" t="s">
        <v>14219</v>
      </c>
      <c r="C2874" t="s">
        <v>14220</v>
      </c>
      <c r="I2874" t="s">
        <v>7510</v>
      </c>
      <c r="J2874" s="3">
        <v>-4.9221809999999998E-2</v>
      </c>
      <c r="K2874" s="3">
        <v>6.2865480000000001E-2</v>
      </c>
      <c r="L2874" s="3">
        <v>-6.6639130000000005E-2</v>
      </c>
    </row>
    <row r="2875" spans="1:12" x14ac:dyDescent="0.25">
      <c r="A2875" t="s">
        <v>7506</v>
      </c>
      <c r="B2875" t="s">
        <v>7507</v>
      </c>
      <c r="I2875" t="s">
        <v>7508</v>
      </c>
      <c r="J2875" s="3">
        <v>0.1690651</v>
      </c>
      <c r="K2875" s="3">
        <v>0.50349560000000004</v>
      </c>
      <c r="L2875" s="3">
        <v>0.2074347</v>
      </c>
    </row>
    <row r="2876" spans="1:12" x14ac:dyDescent="0.25">
      <c r="A2876" t="s">
        <v>6435</v>
      </c>
      <c r="B2876" t="s">
        <v>6436</v>
      </c>
      <c r="I2876" t="s">
        <v>7505</v>
      </c>
      <c r="J2876" s="3">
        <v>-0.67489279999999996</v>
      </c>
      <c r="K2876" s="3">
        <v>-0.98359920000000001</v>
      </c>
      <c r="L2876" s="3">
        <v>-0.38677159999999999</v>
      </c>
    </row>
    <row r="2877" spans="1:12" x14ac:dyDescent="0.25">
      <c r="A2877" t="s">
        <v>6432</v>
      </c>
      <c r="B2877" t="s">
        <v>6433</v>
      </c>
      <c r="I2877" t="s">
        <v>6434</v>
      </c>
      <c r="J2877" s="3">
        <v>0.4821028</v>
      </c>
      <c r="K2877" s="3">
        <v>0.14057339999999999</v>
      </c>
      <c r="L2877" s="3">
        <v>0.43352210000000002</v>
      </c>
    </row>
    <row r="2878" spans="1:12" x14ac:dyDescent="0.25">
      <c r="A2878" t="s">
        <v>6429</v>
      </c>
      <c r="B2878" t="s">
        <v>6430</v>
      </c>
      <c r="I2878" t="s">
        <v>6431</v>
      </c>
      <c r="J2878" s="3">
        <v>-0.44375759999999997</v>
      </c>
      <c r="K2878" s="3">
        <v>-0.20594680000000001</v>
      </c>
      <c r="L2878" s="3">
        <v>-0.35844419999999999</v>
      </c>
    </row>
    <row r="2879" spans="1:12" x14ac:dyDescent="0.25">
      <c r="A2879" t="s">
        <v>6428</v>
      </c>
      <c r="B2879" t="s">
        <v>957</v>
      </c>
      <c r="I2879" t="s">
        <v>455</v>
      </c>
      <c r="J2879" s="3">
        <v>0.26822770000000001</v>
      </c>
      <c r="K2879" s="3">
        <v>0.1054523</v>
      </c>
      <c r="L2879" s="3">
        <v>0.62974359999999996</v>
      </c>
    </row>
    <row r="2880" spans="1:12" x14ac:dyDescent="0.25">
      <c r="A2880" t="s">
        <v>6425</v>
      </c>
      <c r="B2880" t="s">
        <v>6426</v>
      </c>
      <c r="I2880" t="s">
        <v>6427</v>
      </c>
      <c r="J2880" s="3">
        <v>0.56632450000000001</v>
      </c>
      <c r="K2880" s="3">
        <v>0.59313389999999999</v>
      </c>
      <c r="L2880" s="3">
        <v>1.1291819999999999</v>
      </c>
    </row>
    <row r="2881" spans="1:12" x14ac:dyDescent="0.25">
      <c r="A2881" t="s">
        <v>6422</v>
      </c>
      <c r="B2881" t="s">
        <v>6423</v>
      </c>
      <c r="I2881" t="s">
        <v>6424</v>
      </c>
      <c r="J2881" s="3">
        <v>0.28649839999999999</v>
      </c>
      <c r="K2881" s="3">
        <v>0.42272759999999998</v>
      </c>
      <c r="L2881" s="3">
        <v>0.3984164</v>
      </c>
    </row>
    <row r="2882" spans="1:12" x14ac:dyDescent="0.25">
      <c r="A2882" t="s">
        <v>6421</v>
      </c>
      <c r="B2882" t="s">
        <v>957</v>
      </c>
      <c r="I2882" t="s">
        <v>455</v>
      </c>
      <c r="J2882" s="3">
        <v>4.0370530000000002E-2</v>
      </c>
      <c r="K2882" s="3">
        <v>-0.57212189999999996</v>
      </c>
      <c r="L2882" s="3">
        <v>-0.19552259999999999</v>
      </c>
    </row>
    <row r="2883" spans="1:12" x14ac:dyDescent="0.25">
      <c r="A2883" t="s">
        <v>6418</v>
      </c>
      <c r="B2883" t="s">
        <v>6419</v>
      </c>
      <c r="I2883" t="s">
        <v>6420</v>
      </c>
      <c r="J2883" s="3">
        <v>-3.3587649999999997E-2</v>
      </c>
      <c r="K2883" s="3">
        <v>5.1390810000000002E-2</v>
      </c>
      <c r="L2883" s="3">
        <v>-0.122114</v>
      </c>
    </row>
    <row r="2884" spans="1:12" x14ac:dyDescent="0.25">
      <c r="A2884" t="s">
        <v>6416</v>
      </c>
      <c r="B2884" t="s">
        <v>957</v>
      </c>
      <c r="I2884" t="s">
        <v>6417</v>
      </c>
      <c r="J2884" s="3">
        <v>0.31626880000000002</v>
      </c>
      <c r="K2884" s="3">
        <v>0.4085318</v>
      </c>
      <c r="L2884" s="3">
        <v>0.25134770000000001</v>
      </c>
    </row>
    <row r="2885" spans="1:12" x14ac:dyDescent="0.25">
      <c r="A2885" t="s">
        <v>6413</v>
      </c>
      <c r="B2885" t="s">
        <v>6414</v>
      </c>
      <c r="I2885" t="s">
        <v>6415</v>
      </c>
      <c r="J2885" s="3">
        <v>1.24504E-2</v>
      </c>
      <c r="K2885" s="3">
        <v>-6.5609399999999997E-4</v>
      </c>
      <c r="L2885" s="3">
        <v>1.9120450000000001E-2</v>
      </c>
    </row>
    <row r="2886" spans="1:12" x14ac:dyDescent="0.25">
      <c r="A2886" t="s">
        <v>6410</v>
      </c>
      <c r="B2886" t="s">
        <v>6411</v>
      </c>
      <c r="I2886" t="s">
        <v>6412</v>
      </c>
      <c r="J2886" s="3">
        <v>-1.663467</v>
      </c>
      <c r="K2886" s="3">
        <v>-0.65996060000000001</v>
      </c>
      <c r="L2886" s="3">
        <v>-0.32362600000000002</v>
      </c>
    </row>
    <row r="2887" spans="1:12" x14ac:dyDescent="0.25">
      <c r="A2887" t="s">
        <v>7472</v>
      </c>
      <c r="B2887" t="s">
        <v>7473</v>
      </c>
      <c r="I2887" t="s">
        <v>6409</v>
      </c>
      <c r="J2887" s="3">
        <v>0.46853800000000001</v>
      </c>
      <c r="K2887" s="3">
        <v>3.8490469999999999E-2</v>
      </c>
      <c r="L2887" s="3">
        <v>0.43958760000000002</v>
      </c>
    </row>
    <row r="2888" spans="1:12" x14ac:dyDescent="0.25">
      <c r="A2888" t="s">
        <v>7469</v>
      </c>
      <c r="B2888" t="s">
        <v>7470</v>
      </c>
      <c r="I2888" t="s">
        <v>7471</v>
      </c>
      <c r="J2888" s="3">
        <v>1.183325E-2</v>
      </c>
      <c r="K2888" s="3">
        <v>-0.48998629999999999</v>
      </c>
      <c r="L2888" s="3">
        <v>-5.2713100000000004E-3</v>
      </c>
    </row>
    <row r="2889" spans="1:12" x14ac:dyDescent="0.25">
      <c r="A2889" t="s">
        <v>7466</v>
      </c>
      <c r="B2889" t="s">
        <v>7467</v>
      </c>
      <c r="I2889" t="s">
        <v>7468</v>
      </c>
      <c r="J2889" s="3">
        <v>-0.2356297</v>
      </c>
      <c r="K2889" s="3">
        <v>-0.21209439999999999</v>
      </c>
      <c r="L2889" s="3">
        <v>-0.28544180000000002</v>
      </c>
    </row>
    <row r="2890" spans="1:12" x14ac:dyDescent="0.25">
      <c r="A2890" t="s">
        <v>7463</v>
      </c>
      <c r="B2890" t="s">
        <v>7464</v>
      </c>
      <c r="I2890" t="s">
        <v>7465</v>
      </c>
      <c r="J2890" s="3">
        <v>-0.15968750000000001</v>
      </c>
      <c r="K2890" s="3">
        <v>0.38218859999999999</v>
      </c>
      <c r="L2890" s="3">
        <v>-0.15911790000000001</v>
      </c>
    </row>
    <row r="2891" spans="1:12" x14ac:dyDescent="0.25">
      <c r="A2891" t="s">
        <v>7460</v>
      </c>
      <c r="B2891" t="s">
        <v>7461</v>
      </c>
      <c r="I2891" t="s">
        <v>7462</v>
      </c>
      <c r="J2891" s="3">
        <v>-1.3773219999999999E-2</v>
      </c>
      <c r="K2891" s="3">
        <v>0.55635849999999998</v>
      </c>
      <c r="L2891" s="3">
        <v>0.99328629999999996</v>
      </c>
    </row>
    <row r="2892" spans="1:12" x14ac:dyDescent="0.25">
      <c r="A2892" t="s">
        <v>7457</v>
      </c>
      <c r="B2892" t="s">
        <v>7458</v>
      </c>
      <c r="I2892" t="s">
        <v>7459</v>
      </c>
      <c r="J2892" s="3">
        <v>0.2493233</v>
      </c>
      <c r="K2892" s="3">
        <v>2.3900060000000001E-2</v>
      </c>
      <c r="L2892" s="3">
        <v>2.4533079999999999E-2</v>
      </c>
    </row>
    <row r="2893" spans="1:12" x14ac:dyDescent="0.25">
      <c r="A2893" t="s">
        <v>7456</v>
      </c>
      <c r="B2893" t="s">
        <v>957</v>
      </c>
      <c r="I2893" t="s">
        <v>455</v>
      </c>
      <c r="J2893" s="3">
        <v>0.68806690000000004</v>
      </c>
      <c r="K2893" s="3">
        <v>0.77663420000000005</v>
      </c>
      <c r="L2893" s="3">
        <v>0.30994159999999998</v>
      </c>
    </row>
    <row r="2894" spans="1:12" x14ac:dyDescent="0.25">
      <c r="A2894" t="s">
        <v>7455</v>
      </c>
      <c r="B2894" t="s">
        <v>957</v>
      </c>
      <c r="I2894" t="s">
        <v>823</v>
      </c>
      <c r="J2894" s="3">
        <v>0.9897359</v>
      </c>
      <c r="K2894" s="3">
        <v>1.0406850000000001</v>
      </c>
      <c r="L2894" s="3">
        <v>0.78637630000000003</v>
      </c>
    </row>
    <row r="2895" spans="1:12" x14ac:dyDescent="0.25">
      <c r="A2895" t="s">
        <v>7453</v>
      </c>
      <c r="B2895" t="s">
        <v>7454</v>
      </c>
      <c r="I2895" t="s">
        <v>7137</v>
      </c>
      <c r="J2895" s="3">
        <v>-0.1590744</v>
      </c>
      <c r="K2895" s="3">
        <v>-0.44628600000000002</v>
      </c>
      <c r="L2895" s="3">
        <v>-0.358242</v>
      </c>
    </row>
    <row r="2896" spans="1:12" x14ac:dyDescent="0.25">
      <c r="A2896" t="s">
        <v>7452</v>
      </c>
      <c r="B2896" t="s">
        <v>957</v>
      </c>
      <c r="I2896" t="s">
        <v>455</v>
      </c>
      <c r="J2896" s="3">
        <v>0.61162000000000005</v>
      </c>
      <c r="K2896" s="3">
        <v>0.80072010000000005</v>
      </c>
      <c r="L2896" s="3">
        <v>0.58009469999999996</v>
      </c>
    </row>
    <row r="2897" spans="1:12" x14ac:dyDescent="0.25">
      <c r="A2897" t="s">
        <v>7450</v>
      </c>
      <c r="B2897" t="s">
        <v>7451</v>
      </c>
      <c r="I2897" t="s">
        <v>5583</v>
      </c>
      <c r="J2897" s="3">
        <v>1.309482</v>
      </c>
      <c r="K2897" s="3">
        <v>1.335539</v>
      </c>
      <c r="L2897" s="3">
        <v>1.243231</v>
      </c>
    </row>
    <row r="2898" spans="1:12" x14ac:dyDescent="0.25">
      <c r="A2898" t="s">
        <v>7447</v>
      </c>
      <c r="B2898" t="s">
        <v>7448</v>
      </c>
      <c r="I2898" t="s">
        <v>7449</v>
      </c>
      <c r="J2898" s="3">
        <v>0.83660760000000001</v>
      </c>
      <c r="K2898" s="3">
        <v>0.2110051</v>
      </c>
      <c r="L2898" s="3">
        <v>0.56376280000000001</v>
      </c>
    </row>
    <row r="2899" spans="1:12" x14ac:dyDescent="0.25">
      <c r="A2899" t="s">
        <v>7444</v>
      </c>
      <c r="B2899" t="s">
        <v>7445</v>
      </c>
      <c r="I2899" t="s">
        <v>7446</v>
      </c>
      <c r="J2899" s="3">
        <v>-0.20940249999999999</v>
      </c>
      <c r="K2899" s="3">
        <v>-0.34443639999999998</v>
      </c>
      <c r="L2899" s="3">
        <v>-0.2192741</v>
      </c>
    </row>
    <row r="2900" spans="1:12" x14ac:dyDescent="0.25">
      <c r="A2900" t="s">
        <v>6370</v>
      </c>
      <c r="B2900" t="s">
        <v>6371</v>
      </c>
      <c r="I2900" t="s">
        <v>7443</v>
      </c>
      <c r="J2900" s="3">
        <v>8.1947070000000007E-3</v>
      </c>
      <c r="K2900" s="3">
        <v>-0.31552370000000002</v>
      </c>
      <c r="L2900" s="3">
        <v>0.25387419999999999</v>
      </c>
    </row>
    <row r="2901" spans="1:12" x14ac:dyDescent="0.25">
      <c r="A2901" t="s">
        <v>6367</v>
      </c>
      <c r="B2901" t="s">
        <v>6368</v>
      </c>
      <c r="I2901" t="s">
        <v>6369</v>
      </c>
      <c r="J2901" s="3">
        <v>-0.62858000000000003</v>
      </c>
      <c r="K2901" s="3">
        <v>-0.71209889999999998</v>
      </c>
      <c r="L2901" s="3">
        <v>-0.38825290000000001</v>
      </c>
    </row>
    <row r="2902" spans="1:12" x14ac:dyDescent="0.25">
      <c r="A2902" t="s">
        <v>6364</v>
      </c>
      <c r="B2902" t="s">
        <v>6365</v>
      </c>
      <c r="I2902" t="s">
        <v>6366</v>
      </c>
      <c r="J2902" s="3">
        <v>0.18188499999999999</v>
      </c>
      <c r="K2902" s="3">
        <v>4.0617540000000001E-2</v>
      </c>
      <c r="L2902" s="3">
        <v>3.887169E-2</v>
      </c>
    </row>
    <row r="2903" spans="1:12" x14ac:dyDescent="0.25">
      <c r="A2903" t="s">
        <v>6363</v>
      </c>
      <c r="B2903" t="s">
        <v>957</v>
      </c>
      <c r="I2903" t="s">
        <v>455</v>
      </c>
      <c r="J2903" s="3">
        <v>9.6574699999999999E-2</v>
      </c>
      <c r="K2903" s="3">
        <v>-8.1878800000000002E-2</v>
      </c>
      <c r="L2903" s="3">
        <v>1.407396E-2</v>
      </c>
    </row>
    <row r="2904" spans="1:12" x14ac:dyDescent="0.25">
      <c r="A2904" t="s">
        <v>6360</v>
      </c>
      <c r="B2904" t="s">
        <v>6361</v>
      </c>
      <c r="I2904" t="s">
        <v>6362</v>
      </c>
      <c r="J2904" s="3">
        <v>0.51554330000000004</v>
      </c>
      <c r="K2904" s="3">
        <v>0.42317070000000001</v>
      </c>
      <c r="L2904" s="3">
        <v>0.5017855</v>
      </c>
    </row>
    <row r="2905" spans="1:12" x14ac:dyDescent="0.25">
      <c r="A2905" t="s">
        <v>6358</v>
      </c>
      <c r="B2905" t="s">
        <v>6359</v>
      </c>
      <c r="I2905" t="s">
        <v>3200</v>
      </c>
      <c r="J2905" s="3">
        <v>0.51036210000000004</v>
      </c>
      <c r="K2905" s="3">
        <v>0.3850634</v>
      </c>
      <c r="L2905" s="3">
        <v>0.79926390000000003</v>
      </c>
    </row>
    <row r="2906" spans="1:12" x14ac:dyDescent="0.25">
      <c r="A2906" t="s">
        <v>6355</v>
      </c>
      <c r="B2906" t="s">
        <v>6356</v>
      </c>
      <c r="I2906" t="s">
        <v>6357</v>
      </c>
      <c r="J2906" s="3">
        <v>0.27591690000000002</v>
      </c>
      <c r="K2906" s="3">
        <v>0.2577429</v>
      </c>
      <c r="L2906" s="3">
        <v>1.5071360000000001E-2</v>
      </c>
    </row>
    <row r="2907" spans="1:12" x14ac:dyDescent="0.25">
      <c r="A2907" t="s">
        <v>6353</v>
      </c>
      <c r="B2907" t="s">
        <v>6354</v>
      </c>
      <c r="I2907" t="s">
        <v>1062</v>
      </c>
      <c r="J2907" s="3">
        <v>-0.21872140000000001</v>
      </c>
      <c r="K2907" s="3">
        <v>-0.82915289999999997</v>
      </c>
      <c r="L2907" s="3">
        <v>-0.44822509999999999</v>
      </c>
    </row>
    <row r="2908" spans="1:12" x14ac:dyDescent="0.25">
      <c r="A2908" t="s">
        <v>6352</v>
      </c>
      <c r="B2908" t="s">
        <v>14221</v>
      </c>
      <c r="C2908" t="s">
        <v>14222</v>
      </c>
      <c r="I2908" t="s">
        <v>6585</v>
      </c>
      <c r="J2908" s="3">
        <v>1.3123419999999999</v>
      </c>
      <c r="K2908" s="3">
        <v>0.95670350000000004</v>
      </c>
      <c r="L2908" s="3">
        <v>1.412642</v>
      </c>
    </row>
    <row r="2909" spans="1:12" x14ac:dyDescent="0.25">
      <c r="A2909" t="s">
        <v>6349</v>
      </c>
      <c r="B2909" t="s">
        <v>6350</v>
      </c>
      <c r="I2909" t="s">
        <v>6351</v>
      </c>
      <c r="J2909" s="3">
        <v>0.86306260000000001</v>
      </c>
      <c r="K2909" s="3">
        <v>0.75038210000000005</v>
      </c>
      <c r="L2909" s="3">
        <v>0.68958520000000001</v>
      </c>
    </row>
    <row r="2910" spans="1:12" x14ac:dyDescent="0.25">
      <c r="A2910" t="s">
        <v>6346</v>
      </c>
      <c r="B2910" t="s">
        <v>6347</v>
      </c>
      <c r="I2910" t="s">
        <v>6348</v>
      </c>
      <c r="J2910" s="3">
        <v>-0.1439221</v>
      </c>
      <c r="K2910" s="3">
        <v>-0.501448</v>
      </c>
      <c r="L2910" s="3">
        <v>2.573199E-2</v>
      </c>
    </row>
    <row r="2911" spans="1:12" x14ac:dyDescent="0.25">
      <c r="A2911" t="s">
        <v>6344</v>
      </c>
      <c r="B2911" t="s">
        <v>6345</v>
      </c>
      <c r="I2911" t="s">
        <v>3193</v>
      </c>
      <c r="J2911" s="3">
        <v>-0.45956950000000002</v>
      </c>
      <c r="K2911" s="3">
        <v>-0.62914389999999998</v>
      </c>
      <c r="L2911" s="3">
        <v>-0.1947478</v>
      </c>
    </row>
    <row r="2912" spans="1:12" x14ac:dyDescent="0.25">
      <c r="A2912" t="s">
        <v>6343</v>
      </c>
      <c r="B2912" t="s">
        <v>957</v>
      </c>
      <c r="I2912" t="s">
        <v>455</v>
      </c>
      <c r="J2912" s="3">
        <v>-0.19885530000000001</v>
      </c>
      <c r="K2912" s="3">
        <v>1.7891649999999999E-2</v>
      </c>
      <c r="L2912" s="3">
        <v>-0.3428872</v>
      </c>
    </row>
    <row r="2913" spans="1:12" x14ac:dyDescent="0.25">
      <c r="A2913" t="s">
        <v>6340</v>
      </c>
      <c r="B2913" t="s">
        <v>6341</v>
      </c>
      <c r="I2913" t="s">
        <v>6342</v>
      </c>
      <c r="J2913" s="3">
        <v>0.33726699999999998</v>
      </c>
      <c r="K2913" s="3">
        <v>0.59770599999999996</v>
      </c>
      <c r="L2913" s="3">
        <v>1.1764410000000001E-3</v>
      </c>
    </row>
    <row r="2914" spans="1:12" x14ac:dyDescent="0.25">
      <c r="A2914" t="s">
        <v>6337</v>
      </c>
      <c r="B2914" t="s">
        <v>6338</v>
      </c>
      <c r="I2914" t="s">
        <v>6339</v>
      </c>
      <c r="J2914" s="3">
        <v>9.4349550000000004E-2</v>
      </c>
      <c r="K2914" s="3">
        <v>-0.39840920000000002</v>
      </c>
      <c r="L2914" s="3">
        <v>0.21964719999999999</v>
      </c>
    </row>
    <row r="2915" spans="1:12" x14ac:dyDescent="0.25">
      <c r="A2915" t="s">
        <v>6336</v>
      </c>
      <c r="B2915" t="s">
        <v>957</v>
      </c>
      <c r="I2915" t="s">
        <v>455</v>
      </c>
      <c r="J2915" s="3">
        <v>0.45536130000000002</v>
      </c>
      <c r="K2915" s="3">
        <v>0.62144140000000003</v>
      </c>
      <c r="L2915" s="3">
        <v>0.34097939999999999</v>
      </c>
    </row>
    <row r="2916" spans="1:12" x14ac:dyDescent="0.25">
      <c r="A2916" t="s">
        <v>6333</v>
      </c>
      <c r="B2916" t="s">
        <v>6334</v>
      </c>
      <c r="I2916" t="s">
        <v>6335</v>
      </c>
      <c r="J2916" s="3">
        <v>-0.1750765</v>
      </c>
      <c r="K2916" s="3">
        <v>0.3509487</v>
      </c>
      <c r="L2916" s="3">
        <v>-0.2940256</v>
      </c>
    </row>
    <row r="2917" spans="1:12" x14ac:dyDescent="0.25">
      <c r="A2917" t="s">
        <v>6330</v>
      </c>
      <c r="B2917" t="s">
        <v>6331</v>
      </c>
      <c r="I2917" t="s">
        <v>6332</v>
      </c>
      <c r="J2917" s="3">
        <v>-0.4415115</v>
      </c>
      <c r="K2917" s="3">
        <v>-0.145205</v>
      </c>
      <c r="L2917" s="3">
        <v>-7.2318380000000002E-2</v>
      </c>
    </row>
    <row r="2918" spans="1:12" x14ac:dyDescent="0.25">
      <c r="A2918" t="s">
        <v>6327</v>
      </c>
      <c r="B2918" t="s">
        <v>6328</v>
      </c>
      <c r="I2918" t="s">
        <v>6329</v>
      </c>
      <c r="J2918" s="3">
        <v>0.44629849999999999</v>
      </c>
      <c r="K2918" s="3">
        <v>0.18767300000000001</v>
      </c>
      <c r="L2918" s="3">
        <v>0.53972739999999997</v>
      </c>
    </row>
    <row r="2919" spans="1:12" x14ac:dyDescent="0.25">
      <c r="A2919" t="s">
        <v>6324</v>
      </c>
      <c r="B2919" t="s">
        <v>6325</v>
      </c>
      <c r="I2919" t="s">
        <v>6326</v>
      </c>
      <c r="J2919" s="3">
        <v>0.71945099999999995</v>
      </c>
      <c r="K2919" s="3">
        <v>1.343259</v>
      </c>
      <c r="L2919" s="3">
        <v>1.297715</v>
      </c>
    </row>
    <row r="2920" spans="1:12" x14ac:dyDescent="0.25">
      <c r="A2920" t="s">
        <v>6322</v>
      </c>
      <c r="B2920" t="s">
        <v>14128</v>
      </c>
      <c r="C2920" t="s">
        <v>14129</v>
      </c>
      <c r="I2920" t="s">
        <v>6323</v>
      </c>
      <c r="J2920" s="3">
        <v>4.876747E-2</v>
      </c>
      <c r="K2920" s="3">
        <v>8.2485320000000001E-2</v>
      </c>
      <c r="L2920" s="3">
        <v>0.17618619999999999</v>
      </c>
    </row>
    <row r="2921" spans="1:12" x14ac:dyDescent="0.25">
      <c r="A2921" t="s">
        <v>6319</v>
      </c>
      <c r="B2921" t="s">
        <v>6320</v>
      </c>
      <c r="I2921" t="s">
        <v>6321</v>
      </c>
      <c r="J2921" s="3">
        <v>0.65142149999999999</v>
      </c>
      <c r="K2921" s="3">
        <v>0.68507399999999996</v>
      </c>
      <c r="L2921" s="3">
        <v>0.73507909999999999</v>
      </c>
    </row>
    <row r="2922" spans="1:12" x14ac:dyDescent="0.25">
      <c r="A2922" t="s">
        <v>6318</v>
      </c>
      <c r="B2922" t="s">
        <v>957</v>
      </c>
      <c r="I2922" t="s">
        <v>455</v>
      </c>
      <c r="J2922" s="3">
        <v>0.1799337</v>
      </c>
      <c r="K2922" s="3">
        <v>1.046478</v>
      </c>
      <c r="L2922" s="3">
        <v>-1.5743010000000002E-2</v>
      </c>
    </row>
    <row r="2923" spans="1:12" x14ac:dyDescent="0.25">
      <c r="A2923" t="s">
        <v>6315</v>
      </c>
      <c r="B2923" t="s">
        <v>6316</v>
      </c>
      <c r="I2923" t="s">
        <v>6317</v>
      </c>
      <c r="J2923" s="3">
        <v>0.33063350000000002</v>
      </c>
      <c r="K2923" s="3">
        <v>0.77739069999999999</v>
      </c>
      <c r="L2923" s="3">
        <v>0.1529452</v>
      </c>
    </row>
    <row r="2924" spans="1:12" x14ac:dyDescent="0.25">
      <c r="A2924" t="s">
        <v>6312</v>
      </c>
      <c r="B2924" t="s">
        <v>6313</v>
      </c>
      <c r="I2924" t="s">
        <v>6314</v>
      </c>
      <c r="J2924" s="3">
        <v>0.66790260000000001</v>
      </c>
      <c r="K2924" s="3">
        <v>1.0756859999999999</v>
      </c>
      <c r="L2924" s="3">
        <v>0.52582980000000001</v>
      </c>
    </row>
    <row r="2925" spans="1:12" x14ac:dyDescent="0.25">
      <c r="A2925" t="s">
        <v>6309</v>
      </c>
      <c r="B2925" t="s">
        <v>6310</v>
      </c>
      <c r="I2925" t="s">
        <v>6311</v>
      </c>
      <c r="J2925" s="3">
        <v>8.7745800000000006E-3</v>
      </c>
      <c r="K2925" s="3">
        <v>-0.4587984</v>
      </c>
      <c r="L2925" s="3">
        <v>-0.27293869999999998</v>
      </c>
    </row>
    <row r="2926" spans="1:12" x14ac:dyDescent="0.25">
      <c r="A2926" t="s">
        <v>6307</v>
      </c>
      <c r="B2926" t="s">
        <v>6308</v>
      </c>
      <c r="I2926" t="s">
        <v>3113</v>
      </c>
      <c r="J2926" s="3">
        <v>-2.975274E-2</v>
      </c>
      <c r="K2926" s="3">
        <v>0.73514000000000002</v>
      </c>
      <c r="L2926" s="3">
        <v>0.15918740000000001</v>
      </c>
    </row>
    <row r="2927" spans="1:12" x14ac:dyDescent="0.25">
      <c r="A2927" t="s">
        <v>6306</v>
      </c>
      <c r="B2927" t="s">
        <v>957</v>
      </c>
      <c r="I2927" t="s">
        <v>455</v>
      </c>
      <c r="J2927" s="3">
        <v>0.11834260000000001</v>
      </c>
      <c r="K2927" s="3">
        <v>-0.1242938</v>
      </c>
      <c r="L2927" s="3">
        <v>-0.37299569999999999</v>
      </c>
    </row>
    <row r="2928" spans="1:12" x14ac:dyDescent="0.25">
      <c r="A2928" t="s">
        <v>6303</v>
      </c>
      <c r="B2928" t="s">
        <v>6304</v>
      </c>
      <c r="I2928" t="s">
        <v>6305</v>
      </c>
      <c r="J2928" s="3">
        <v>0.38392910000000002</v>
      </c>
      <c r="K2928" s="3">
        <v>0.26016050000000002</v>
      </c>
      <c r="L2928" s="3">
        <v>0.2234467</v>
      </c>
    </row>
    <row r="2929" spans="1:12" x14ac:dyDescent="0.25">
      <c r="A2929" t="s">
        <v>7369</v>
      </c>
      <c r="B2929" t="s">
        <v>7370</v>
      </c>
      <c r="I2929" t="s">
        <v>6302</v>
      </c>
      <c r="J2929" s="3">
        <v>-0.39412950000000002</v>
      </c>
      <c r="K2929" s="3">
        <v>-0.8382385</v>
      </c>
      <c r="L2929" s="3">
        <v>9.2786279999999999E-2</v>
      </c>
    </row>
    <row r="2930" spans="1:12" x14ac:dyDescent="0.25">
      <c r="A2930" t="s">
        <v>7366</v>
      </c>
      <c r="B2930" t="s">
        <v>7367</v>
      </c>
      <c r="I2930" t="s">
        <v>7368</v>
      </c>
      <c r="J2930" s="3">
        <v>2.713981E-2</v>
      </c>
      <c r="K2930" s="3">
        <v>-8.4133139999999995E-2</v>
      </c>
      <c r="L2930" s="3">
        <v>-3.0337099999999999E-2</v>
      </c>
    </row>
    <row r="2931" spans="1:12" x14ac:dyDescent="0.25">
      <c r="A2931" t="s">
        <v>7363</v>
      </c>
      <c r="B2931" t="s">
        <v>7364</v>
      </c>
      <c r="I2931" t="s">
        <v>7365</v>
      </c>
      <c r="J2931" s="3">
        <v>-0.19408020000000001</v>
      </c>
      <c r="K2931" s="3">
        <v>4.482299E-2</v>
      </c>
      <c r="L2931" s="3">
        <v>3.3728609999999999E-2</v>
      </c>
    </row>
    <row r="2932" spans="1:12" x14ac:dyDescent="0.25">
      <c r="A2932" t="s">
        <v>7362</v>
      </c>
      <c r="B2932" t="s">
        <v>957</v>
      </c>
      <c r="I2932" t="s">
        <v>455</v>
      </c>
      <c r="J2932" s="3">
        <v>0.16936709999999999</v>
      </c>
      <c r="K2932" s="3">
        <v>0.72447550000000005</v>
      </c>
      <c r="L2932" s="3">
        <v>0.4708928</v>
      </c>
    </row>
    <row r="2933" spans="1:12" x14ac:dyDescent="0.25">
      <c r="A2933" t="s">
        <v>7361</v>
      </c>
      <c r="B2933" t="s">
        <v>957</v>
      </c>
      <c r="I2933" t="s">
        <v>455</v>
      </c>
      <c r="J2933" s="3">
        <v>0.53286160000000005</v>
      </c>
      <c r="K2933" s="3">
        <v>-0.21712090000000001</v>
      </c>
      <c r="L2933" s="3">
        <v>0.29855769999999998</v>
      </c>
    </row>
    <row r="2934" spans="1:12" x14ac:dyDescent="0.25">
      <c r="A2934" t="s">
        <v>7358</v>
      </c>
      <c r="B2934" t="s">
        <v>7359</v>
      </c>
      <c r="I2934" t="s">
        <v>7360</v>
      </c>
      <c r="J2934" s="3">
        <v>-1.034087</v>
      </c>
      <c r="K2934" s="3">
        <v>-1.2078690000000001</v>
      </c>
      <c r="L2934" s="3">
        <v>-1.0181500000000001</v>
      </c>
    </row>
    <row r="2935" spans="1:12" x14ac:dyDescent="0.25">
      <c r="A2935" t="s">
        <v>7355</v>
      </c>
      <c r="B2935" t="s">
        <v>7356</v>
      </c>
      <c r="I2935" t="s">
        <v>7357</v>
      </c>
      <c r="J2935" s="3">
        <v>-0.48486649999999998</v>
      </c>
      <c r="K2935" s="3">
        <v>-0.84489230000000004</v>
      </c>
      <c r="L2935" s="3">
        <v>-0.78939219999999999</v>
      </c>
    </row>
    <row r="2936" spans="1:12" x14ac:dyDescent="0.25">
      <c r="A2936" t="s">
        <v>7352</v>
      </c>
      <c r="B2936" t="s">
        <v>7353</v>
      </c>
      <c r="I2936" t="s">
        <v>7354</v>
      </c>
      <c r="J2936" s="3">
        <v>-1.916875E-3</v>
      </c>
      <c r="K2936" s="3">
        <v>0.3127952</v>
      </c>
      <c r="L2936" s="3">
        <v>-7.4008879999999999E-2</v>
      </c>
    </row>
    <row r="2937" spans="1:12" x14ac:dyDescent="0.25">
      <c r="A2937" t="s">
        <v>7349</v>
      </c>
      <c r="B2937" t="s">
        <v>7350</v>
      </c>
      <c r="I2937" t="s">
        <v>7351</v>
      </c>
      <c r="J2937" s="3">
        <v>-1.0022800000000001</v>
      </c>
      <c r="K2937" s="3">
        <v>0.1223154</v>
      </c>
      <c r="L2937" s="3">
        <v>-0.61913560000000001</v>
      </c>
    </row>
    <row r="2938" spans="1:12" x14ac:dyDescent="0.25">
      <c r="A2938" t="s">
        <v>7348</v>
      </c>
      <c r="B2938" t="s">
        <v>957</v>
      </c>
      <c r="I2938" t="s">
        <v>455</v>
      </c>
      <c r="J2938" s="3">
        <v>-0.58145950000000002</v>
      </c>
      <c r="K2938" s="3">
        <v>-0.3043399</v>
      </c>
      <c r="L2938" s="3">
        <v>-0.1063038</v>
      </c>
    </row>
    <row r="2939" spans="1:12" x14ac:dyDescent="0.25">
      <c r="A2939" t="s">
        <v>7346</v>
      </c>
      <c r="B2939" t="s">
        <v>7347</v>
      </c>
      <c r="I2939" t="s">
        <v>3184</v>
      </c>
      <c r="J2939" s="3">
        <v>0.33161590000000002</v>
      </c>
      <c r="K2939" s="3">
        <v>1.499071</v>
      </c>
      <c r="L2939" s="3">
        <v>0.23245440000000001</v>
      </c>
    </row>
    <row r="2940" spans="1:12" x14ac:dyDescent="0.25">
      <c r="A2940" t="s">
        <v>7345</v>
      </c>
      <c r="B2940" t="s">
        <v>957</v>
      </c>
      <c r="I2940" t="s">
        <v>416</v>
      </c>
      <c r="J2940" s="3">
        <v>0.2394598</v>
      </c>
      <c r="K2940" s="3">
        <v>2.0316809999999998</v>
      </c>
      <c r="L2940" s="3">
        <v>0.33881670000000003</v>
      </c>
    </row>
    <row r="2941" spans="1:12" x14ac:dyDescent="0.25">
      <c r="A2941" t="s">
        <v>7344</v>
      </c>
      <c r="B2941" t="s">
        <v>957</v>
      </c>
      <c r="I2941" t="s">
        <v>455</v>
      </c>
      <c r="J2941" s="3">
        <v>-1.6406689999999999</v>
      </c>
      <c r="K2941" s="3">
        <v>-0.66317429999999999</v>
      </c>
      <c r="L2941" s="3">
        <v>-1.0998669999999999</v>
      </c>
    </row>
    <row r="2942" spans="1:12" x14ac:dyDescent="0.25">
      <c r="A2942" t="s">
        <v>7343</v>
      </c>
      <c r="B2942" t="s">
        <v>957</v>
      </c>
      <c r="I2942" t="s">
        <v>455</v>
      </c>
      <c r="J2942" s="3">
        <v>-1.270716</v>
      </c>
      <c r="K2942" s="3">
        <v>-1.427886</v>
      </c>
      <c r="L2942" s="3">
        <v>-0.28062860000000001</v>
      </c>
    </row>
    <row r="2943" spans="1:12" x14ac:dyDescent="0.25">
      <c r="A2943" t="s">
        <v>7342</v>
      </c>
      <c r="B2943" t="s">
        <v>14223</v>
      </c>
      <c r="C2943" t="s">
        <v>14224</v>
      </c>
      <c r="D2943" t="s">
        <v>14225</v>
      </c>
      <c r="I2943" t="s">
        <v>1979</v>
      </c>
      <c r="J2943" s="3">
        <v>-0.19790530000000001</v>
      </c>
      <c r="K2943" s="3">
        <v>0.32671410000000001</v>
      </c>
      <c r="L2943" s="3">
        <v>0.37826470000000001</v>
      </c>
    </row>
    <row r="2944" spans="1:12" x14ac:dyDescent="0.25">
      <c r="A2944" t="s">
        <v>7339</v>
      </c>
      <c r="B2944" t="s">
        <v>7340</v>
      </c>
      <c r="I2944" t="s">
        <v>7341</v>
      </c>
      <c r="J2944" s="3">
        <v>-0.12544330000000001</v>
      </c>
      <c r="K2944" s="3">
        <v>0.20702490000000001</v>
      </c>
      <c r="L2944" s="3">
        <v>6.2012539999999998E-3</v>
      </c>
    </row>
    <row r="2945" spans="1:12" x14ac:dyDescent="0.25">
      <c r="A2945" t="s">
        <v>7336</v>
      </c>
      <c r="B2945" t="s">
        <v>7337</v>
      </c>
      <c r="I2945" t="s">
        <v>7338</v>
      </c>
      <c r="J2945" s="3">
        <v>-0.32093959999999999</v>
      </c>
      <c r="K2945" s="3">
        <v>-0.58957749999999998</v>
      </c>
      <c r="L2945" s="3">
        <v>-0.21674650000000001</v>
      </c>
    </row>
    <row r="2946" spans="1:12" x14ac:dyDescent="0.25">
      <c r="A2946" t="s">
        <v>7335</v>
      </c>
      <c r="B2946" t="s">
        <v>957</v>
      </c>
      <c r="I2946" t="s">
        <v>455</v>
      </c>
      <c r="J2946" s="3">
        <v>0.43989109999999998</v>
      </c>
      <c r="K2946" s="3">
        <v>1.229534E-2</v>
      </c>
      <c r="L2946" s="3">
        <v>0.51639349999999995</v>
      </c>
    </row>
    <row r="2947" spans="1:12" x14ac:dyDescent="0.25">
      <c r="A2947" t="s">
        <v>7332</v>
      </c>
      <c r="B2947" t="s">
        <v>7333</v>
      </c>
      <c r="I2947" t="s">
        <v>7334</v>
      </c>
      <c r="J2947" s="3">
        <v>-0.47761769999999998</v>
      </c>
      <c r="K2947" s="3">
        <v>7.7921680000000004E-3</v>
      </c>
      <c r="L2947" s="3">
        <v>0.25802380000000003</v>
      </c>
    </row>
    <row r="2948" spans="1:12" x14ac:dyDescent="0.25">
      <c r="A2948" t="s">
        <v>7331</v>
      </c>
      <c r="B2948" t="s">
        <v>957</v>
      </c>
      <c r="I2948" t="s">
        <v>614</v>
      </c>
      <c r="J2948" s="3">
        <v>0.39127139999999999</v>
      </c>
      <c r="K2948" s="3">
        <v>1.338382</v>
      </c>
      <c r="L2948" s="3">
        <v>1.0799430000000001</v>
      </c>
    </row>
    <row r="2949" spans="1:12" x14ac:dyDescent="0.25">
      <c r="A2949" t="s">
        <v>7328</v>
      </c>
      <c r="B2949" t="s">
        <v>7329</v>
      </c>
      <c r="I2949" t="s">
        <v>7330</v>
      </c>
      <c r="J2949" s="3">
        <v>-0.29289229999999999</v>
      </c>
      <c r="K2949" s="3">
        <v>-0.78513239999999995</v>
      </c>
      <c r="L2949" s="3">
        <v>-0.43462240000000002</v>
      </c>
    </row>
    <row r="2950" spans="1:12" x14ac:dyDescent="0.25">
      <c r="A2950" t="s">
        <v>7325</v>
      </c>
      <c r="B2950" t="s">
        <v>7326</v>
      </c>
      <c r="I2950" t="s">
        <v>7327</v>
      </c>
      <c r="J2950" s="3">
        <v>-0.37127250000000001</v>
      </c>
      <c r="K2950" s="3">
        <v>-0.78499200000000002</v>
      </c>
      <c r="L2950" s="3">
        <v>-0.19242239999999999</v>
      </c>
    </row>
    <row r="2951" spans="1:12" x14ac:dyDescent="0.25">
      <c r="A2951" t="s">
        <v>7322</v>
      </c>
      <c r="B2951" t="s">
        <v>7323</v>
      </c>
      <c r="I2951" t="s">
        <v>7324</v>
      </c>
      <c r="J2951" s="3">
        <v>-3.1862769999999999E-2</v>
      </c>
      <c r="K2951" s="3">
        <v>-0.24385799999999999</v>
      </c>
      <c r="L2951" s="3">
        <v>-0.24729590000000001</v>
      </c>
    </row>
    <row r="2952" spans="1:12" x14ac:dyDescent="0.25">
      <c r="A2952" t="s">
        <v>7321</v>
      </c>
      <c r="B2952" t="s">
        <v>957</v>
      </c>
      <c r="I2952" t="s">
        <v>455</v>
      </c>
      <c r="J2952" s="3">
        <v>-0.29582700000000001</v>
      </c>
      <c r="K2952" s="3">
        <v>-0.44739220000000002</v>
      </c>
      <c r="L2952" s="3">
        <v>-9.0975470000000003E-2</v>
      </c>
    </row>
    <row r="2953" spans="1:12" x14ac:dyDescent="0.25">
      <c r="A2953" t="s">
        <v>7318</v>
      </c>
      <c r="B2953" t="s">
        <v>7319</v>
      </c>
      <c r="I2953" t="s">
        <v>7320</v>
      </c>
      <c r="J2953" s="3">
        <v>0.30434660000000002</v>
      </c>
      <c r="K2953" s="3">
        <v>0.42540860000000003</v>
      </c>
      <c r="L2953" s="3">
        <v>0.23189029999999999</v>
      </c>
    </row>
    <row r="2954" spans="1:12" x14ac:dyDescent="0.25">
      <c r="A2954" t="s">
        <v>7315</v>
      </c>
      <c r="B2954" t="s">
        <v>7316</v>
      </c>
      <c r="I2954" t="s">
        <v>7317</v>
      </c>
      <c r="J2954" s="3">
        <v>0.35411520000000002</v>
      </c>
      <c r="K2954" s="3">
        <v>2.4222450000000002</v>
      </c>
      <c r="L2954" s="3">
        <v>1.2795110000000001</v>
      </c>
    </row>
    <row r="2955" spans="1:12" x14ac:dyDescent="0.25">
      <c r="A2955" t="s">
        <v>7314</v>
      </c>
      <c r="B2955" t="s">
        <v>957</v>
      </c>
      <c r="I2955" t="s">
        <v>455</v>
      </c>
      <c r="J2955" s="3">
        <v>-0.4350115</v>
      </c>
      <c r="K2955" s="3">
        <v>-0.41793580000000002</v>
      </c>
      <c r="L2955" s="3">
        <v>1.234822E-2</v>
      </c>
    </row>
    <row r="2956" spans="1:12" x14ac:dyDescent="0.25">
      <c r="A2956" t="s">
        <v>7311</v>
      </c>
      <c r="B2956" t="s">
        <v>7312</v>
      </c>
      <c r="I2956" t="s">
        <v>7313</v>
      </c>
      <c r="J2956" s="3">
        <v>-0.16415840000000001</v>
      </c>
      <c r="K2956" s="3">
        <v>0.2139075</v>
      </c>
      <c r="L2956" s="3">
        <v>-4.4933729999999998E-2</v>
      </c>
    </row>
    <row r="2957" spans="1:12" x14ac:dyDescent="0.25">
      <c r="A2957" t="s">
        <v>7310</v>
      </c>
      <c r="B2957" t="s">
        <v>957</v>
      </c>
      <c r="I2957" t="s">
        <v>455</v>
      </c>
      <c r="J2957" s="3">
        <v>-0.48993769999999998</v>
      </c>
      <c r="K2957" s="3">
        <v>-0.85701159999999998</v>
      </c>
      <c r="L2957" s="3">
        <v>-8.192547E-2</v>
      </c>
    </row>
    <row r="2958" spans="1:12" x14ac:dyDescent="0.25">
      <c r="A2958" t="s">
        <v>7309</v>
      </c>
      <c r="B2958" t="s">
        <v>957</v>
      </c>
      <c r="I2958" t="s">
        <v>455</v>
      </c>
      <c r="J2958" s="3">
        <v>2.362183E-2</v>
      </c>
      <c r="K2958" s="3">
        <v>0.62994000000000006</v>
      </c>
      <c r="L2958" s="3">
        <v>0.29696020000000001</v>
      </c>
    </row>
    <row r="2959" spans="1:12" x14ac:dyDescent="0.25">
      <c r="A2959" t="s">
        <v>7306</v>
      </c>
      <c r="B2959" t="s">
        <v>7307</v>
      </c>
      <c r="I2959" t="s">
        <v>7308</v>
      </c>
      <c r="J2959" s="3">
        <v>0.233987</v>
      </c>
      <c r="K2959" s="3">
        <v>-6.7277079999999998E-3</v>
      </c>
      <c r="L2959" s="3">
        <v>-0.49471860000000001</v>
      </c>
    </row>
    <row r="2960" spans="1:12" x14ac:dyDescent="0.25">
      <c r="A2960" t="s">
        <v>7303</v>
      </c>
      <c r="B2960" t="s">
        <v>7304</v>
      </c>
      <c r="I2960" t="s">
        <v>7305</v>
      </c>
      <c r="J2960" s="3">
        <v>-8.6290359999999997E-2</v>
      </c>
      <c r="K2960" s="3">
        <v>7.6929490000000001E-3</v>
      </c>
      <c r="L2960" s="3">
        <v>0.1005064</v>
      </c>
    </row>
    <row r="2961" spans="1:12" x14ac:dyDescent="0.25">
      <c r="A2961" t="s">
        <v>7300</v>
      </c>
      <c r="B2961" t="s">
        <v>7301</v>
      </c>
      <c r="I2961" t="s">
        <v>7302</v>
      </c>
      <c r="J2961" s="3">
        <v>0.54982850000000005</v>
      </c>
      <c r="K2961" s="3">
        <v>0.95501309999999995</v>
      </c>
      <c r="L2961" s="3">
        <v>0.68641680000000005</v>
      </c>
    </row>
    <row r="2962" spans="1:12" x14ac:dyDescent="0.25">
      <c r="A2962" t="s">
        <v>6244</v>
      </c>
      <c r="B2962" t="s">
        <v>6245</v>
      </c>
      <c r="I2962" t="s">
        <v>6246</v>
      </c>
      <c r="J2962" s="3">
        <v>0.28381319999999999</v>
      </c>
      <c r="K2962" s="3">
        <v>-5.1288149999999998E-2</v>
      </c>
      <c r="L2962" s="3">
        <v>0.35353329999999999</v>
      </c>
    </row>
    <row r="2963" spans="1:12" x14ac:dyDescent="0.25">
      <c r="A2963" t="s">
        <v>6241</v>
      </c>
      <c r="B2963" t="s">
        <v>6242</v>
      </c>
      <c r="I2963" t="s">
        <v>6243</v>
      </c>
      <c r="J2963" s="3">
        <v>9.9595400000000001E-2</v>
      </c>
      <c r="K2963" s="3">
        <v>-0.37569950000000002</v>
      </c>
      <c r="L2963" s="3">
        <v>0.45253890000000002</v>
      </c>
    </row>
    <row r="2964" spans="1:12" x14ac:dyDescent="0.25">
      <c r="A2964" t="s">
        <v>6240</v>
      </c>
      <c r="B2964" t="s">
        <v>957</v>
      </c>
      <c r="I2964" t="s">
        <v>455</v>
      </c>
      <c r="J2964" s="3">
        <v>1.047601</v>
      </c>
      <c r="K2964" s="3">
        <v>1.198807</v>
      </c>
      <c r="L2964" s="3">
        <v>1.0379750000000001</v>
      </c>
    </row>
    <row r="2965" spans="1:12" x14ac:dyDescent="0.25">
      <c r="A2965" t="s">
        <v>6237</v>
      </c>
      <c r="B2965" t="s">
        <v>6238</v>
      </c>
      <c r="I2965" t="s">
        <v>6239</v>
      </c>
      <c r="J2965" s="3">
        <v>0.79206900000000002</v>
      </c>
      <c r="K2965" s="3">
        <v>0.82562590000000002</v>
      </c>
      <c r="L2965" s="3">
        <v>0.39412049999999998</v>
      </c>
    </row>
    <row r="2966" spans="1:12" x14ac:dyDescent="0.25">
      <c r="A2966" t="s">
        <v>6236</v>
      </c>
      <c r="B2966" t="s">
        <v>957</v>
      </c>
      <c r="I2966" t="s">
        <v>455</v>
      </c>
      <c r="J2966" s="3">
        <v>-0.55671870000000001</v>
      </c>
      <c r="K2966" s="3">
        <v>0.18032390000000001</v>
      </c>
      <c r="L2966" s="3">
        <v>-0.35428939999999998</v>
      </c>
    </row>
    <row r="2967" spans="1:12" x14ac:dyDescent="0.25">
      <c r="A2967" t="s">
        <v>6233</v>
      </c>
      <c r="B2967" t="s">
        <v>6234</v>
      </c>
      <c r="I2967" t="s">
        <v>6235</v>
      </c>
      <c r="J2967" s="3">
        <v>0.49797720000000001</v>
      </c>
      <c r="K2967" s="3">
        <v>4.8801440000000001E-2</v>
      </c>
      <c r="L2967" s="3">
        <v>0.26201940000000001</v>
      </c>
    </row>
    <row r="2968" spans="1:12" x14ac:dyDescent="0.25">
      <c r="A2968" t="s">
        <v>6231</v>
      </c>
      <c r="B2968" t="s">
        <v>6232</v>
      </c>
      <c r="I2968" t="s">
        <v>4595</v>
      </c>
      <c r="J2968" s="3">
        <v>3.9432670000000003E-2</v>
      </c>
      <c r="K2968" s="3">
        <v>-0.12194140000000001</v>
      </c>
      <c r="L2968" s="3">
        <v>-0.25952429999999999</v>
      </c>
    </row>
    <row r="2969" spans="1:12" x14ac:dyDescent="0.25">
      <c r="A2969" t="s">
        <v>6228</v>
      </c>
      <c r="B2969" t="s">
        <v>6229</v>
      </c>
      <c r="I2969" t="s">
        <v>6230</v>
      </c>
      <c r="J2969" s="3">
        <v>0.83563690000000002</v>
      </c>
      <c r="K2969" s="3">
        <v>0.87873849999999998</v>
      </c>
      <c r="L2969" s="3">
        <v>0.60829120000000003</v>
      </c>
    </row>
    <row r="2970" spans="1:12" x14ac:dyDescent="0.25">
      <c r="A2970" t="s">
        <v>6225</v>
      </c>
      <c r="B2970" t="s">
        <v>6226</v>
      </c>
      <c r="I2970" t="s">
        <v>6227</v>
      </c>
      <c r="J2970" s="3">
        <v>-0.6573696</v>
      </c>
      <c r="K2970" s="3">
        <v>-0.94653640000000006</v>
      </c>
      <c r="L2970" s="3">
        <v>-0.30576789999999998</v>
      </c>
    </row>
    <row r="2971" spans="1:12" x14ac:dyDescent="0.25">
      <c r="A2971" t="s">
        <v>6222</v>
      </c>
      <c r="B2971" t="s">
        <v>6223</v>
      </c>
      <c r="I2971" t="s">
        <v>6224</v>
      </c>
      <c r="J2971" s="3">
        <v>0.40232309999999999</v>
      </c>
      <c r="K2971" s="3">
        <v>-0.38160290000000002</v>
      </c>
      <c r="L2971" s="3">
        <v>0.1285106</v>
      </c>
    </row>
    <row r="2972" spans="1:12" x14ac:dyDescent="0.25">
      <c r="A2972" t="s">
        <v>6219</v>
      </c>
      <c r="B2972" t="s">
        <v>6220</v>
      </c>
      <c r="I2972" t="s">
        <v>6221</v>
      </c>
      <c r="J2972" s="3">
        <v>-5.2029370000000004E-3</v>
      </c>
      <c r="K2972" s="3">
        <v>5.485164E-2</v>
      </c>
      <c r="L2972" s="3">
        <v>-2.6935319999999999E-2</v>
      </c>
    </row>
    <row r="2973" spans="1:12" x14ac:dyDescent="0.25">
      <c r="A2973" t="s">
        <v>6218</v>
      </c>
      <c r="B2973" t="s">
        <v>957</v>
      </c>
      <c r="I2973" t="s">
        <v>455</v>
      </c>
      <c r="J2973" s="3">
        <v>0.15803030000000001</v>
      </c>
      <c r="K2973" s="3">
        <v>-3.3158890000000003E-2</v>
      </c>
      <c r="L2973" s="3">
        <v>8.4907070000000001E-2</v>
      </c>
    </row>
    <row r="2974" spans="1:12" x14ac:dyDescent="0.25">
      <c r="A2974" t="s">
        <v>6215</v>
      </c>
      <c r="B2974" t="s">
        <v>6216</v>
      </c>
      <c r="I2974" t="s">
        <v>6217</v>
      </c>
      <c r="J2974" s="3">
        <v>-1.9162789999999999E-2</v>
      </c>
      <c r="K2974" s="3">
        <v>0.33116909999999999</v>
      </c>
      <c r="L2974" s="3">
        <v>0.18124000000000001</v>
      </c>
    </row>
    <row r="2975" spans="1:12" x14ac:dyDescent="0.25">
      <c r="A2975" t="s">
        <v>6212</v>
      </c>
      <c r="B2975" t="s">
        <v>6213</v>
      </c>
      <c r="I2975" t="s">
        <v>6214</v>
      </c>
      <c r="J2975" s="3">
        <v>-8.3379700000000001E-2</v>
      </c>
      <c r="K2975" s="3">
        <v>0.1050306</v>
      </c>
      <c r="L2975" s="3">
        <v>-0.26583649999999998</v>
      </c>
    </row>
    <row r="2976" spans="1:12" x14ac:dyDescent="0.25">
      <c r="A2976" t="s">
        <v>7264</v>
      </c>
      <c r="B2976" t="s">
        <v>7265</v>
      </c>
      <c r="I2976" t="s">
        <v>6211</v>
      </c>
      <c r="J2976" s="3">
        <v>0.14541219999999999</v>
      </c>
      <c r="K2976" s="3">
        <v>-0.23234299999999999</v>
      </c>
      <c r="L2976" s="3">
        <v>0.1180273</v>
      </c>
    </row>
    <row r="2977" spans="1:12" x14ac:dyDescent="0.25">
      <c r="A2977" t="s">
        <v>7261</v>
      </c>
      <c r="B2977" t="s">
        <v>7262</v>
      </c>
      <c r="I2977" t="s">
        <v>7263</v>
      </c>
      <c r="J2977" s="3">
        <v>-0.10967499999999999</v>
      </c>
      <c r="K2977" s="3">
        <v>-0.45271270000000002</v>
      </c>
      <c r="L2977" s="3">
        <v>-0.2424936</v>
      </c>
    </row>
    <row r="2978" spans="1:12" x14ac:dyDescent="0.25">
      <c r="A2978" t="s">
        <v>7258</v>
      </c>
      <c r="B2978" t="s">
        <v>7259</v>
      </c>
      <c r="I2978" t="s">
        <v>7260</v>
      </c>
      <c r="J2978" s="3">
        <v>0.72484820000000005</v>
      </c>
      <c r="K2978" s="3">
        <v>0.94119509999999995</v>
      </c>
      <c r="L2978" s="3">
        <v>0.76715719999999998</v>
      </c>
    </row>
    <row r="2979" spans="1:12" x14ac:dyDescent="0.25">
      <c r="A2979" t="s">
        <v>7255</v>
      </c>
      <c r="B2979" t="s">
        <v>7256</v>
      </c>
      <c r="I2979" t="s">
        <v>7257</v>
      </c>
      <c r="J2979" s="3">
        <v>-0.34397319999999998</v>
      </c>
      <c r="K2979" s="3">
        <v>-0.40735280000000001</v>
      </c>
      <c r="L2979" s="3">
        <v>-0.50530470000000005</v>
      </c>
    </row>
    <row r="2980" spans="1:12" x14ac:dyDescent="0.25">
      <c r="A2980" t="s">
        <v>7252</v>
      </c>
      <c r="B2980" t="s">
        <v>7253</v>
      </c>
      <c r="I2980" t="s">
        <v>7254</v>
      </c>
      <c r="J2980" s="3">
        <v>0.2052484</v>
      </c>
      <c r="K2980" s="3">
        <v>8.2845020000000005E-2</v>
      </c>
      <c r="L2980" s="3">
        <v>0.1983028</v>
      </c>
    </row>
    <row r="2981" spans="1:12" x14ac:dyDescent="0.25">
      <c r="A2981" t="s">
        <v>7249</v>
      </c>
      <c r="B2981" t="s">
        <v>7250</v>
      </c>
      <c r="I2981" t="s">
        <v>7251</v>
      </c>
      <c r="J2981" s="3">
        <v>-0.9121184</v>
      </c>
      <c r="K2981" s="3">
        <v>0.84907060000000001</v>
      </c>
      <c r="L2981" s="3">
        <v>0.85262000000000004</v>
      </c>
    </row>
    <row r="2982" spans="1:12" x14ac:dyDescent="0.25">
      <c r="A2982" t="s">
        <v>7246</v>
      </c>
      <c r="B2982" t="s">
        <v>7247</v>
      </c>
      <c r="I2982" t="s">
        <v>7248</v>
      </c>
      <c r="J2982" s="3">
        <v>-1.0319449999999999</v>
      </c>
      <c r="K2982" s="3">
        <v>-1.429295</v>
      </c>
      <c r="L2982" s="3">
        <v>-1.0152049999999999</v>
      </c>
    </row>
    <row r="2983" spans="1:12" x14ac:dyDescent="0.25">
      <c r="A2983" t="s">
        <v>7243</v>
      </c>
      <c r="B2983" t="s">
        <v>7244</v>
      </c>
      <c r="I2983" t="s">
        <v>7245</v>
      </c>
      <c r="J2983" s="3">
        <v>-3.6112459999999999E-2</v>
      </c>
      <c r="K2983" s="3">
        <v>-0.62486169999999996</v>
      </c>
      <c r="L2983" s="3">
        <v>-0.1118294</v>
      </c>
    </row>
    <row r="2984" spans="1:12" x14ac:dyDescent="0.25">
      <c r="A2984" t="s">
        <v>7240</v>
      </c>
      <c r="B2984" t="s">
        <v>7241</v>
      </c>
      <c r="I2984" t="s">
        <v>7242</v>
      </c>
      <c r="J2984" s="3">
        <v>-0.69443909999999998</v>
      </c>
      <c r="K2984" s="3">
        <v>-1.401308</v>
      </c>
      <c r="L2984" s="3">
        <v>-0.54079949999999999</v>
      </c>
    </row>
    <row r="2985" spans="1:12" x14ac:dyDescent="0.25">
      <c r="A2985" t="s">
        <v>7237</v>
      </c>
      <c r="B2985" t="s">
        <v>7238</v>
      </c>
      <c r="I2985" t="s">
        <v>7239</v>
      </c>
      <c r="J2985" s="3">
        <v>-0.35845310000000002</v>
      </c>
      <c r="K2985" s="3">
        <v>-0.35757309999999998</v>
      </c>
      <c r="L2985" s="3">
        <v>-0.18921959999999999</v>
      </c>
    </row>
    <row r="2986" spans="1:12" x14ac:dyDescent="0.25">
      <c r="A2986" t="s">
        <v>7234</v>
      </c>
      <c r="B2986" t="s">
        <v>7235</v>
      </c>
      <c r="I2986" t="s">
        <v>7236</v>
      </c>
      <c r="J2986" s="3">
        <v>-0.10562589999999999</v>
      </c>
      <c r="K2986" s="3">
        <v>-0.3943121</v>
      </c>
      <c r="L2986" s="3">
        <v>-0.27194269999999998</v>
      </c>
    </row>
    <row r="2987" spans="1:12" x14ac:dyDescent="0.25">
      <c r="A2987" t="s">
        <v>7231</v>
      </c>
      <c r="B2987" t="s">
        <v>7232</v>
      </c>
      <c r="I2987" t="s">
        <v>7233</v>
      </c>
      <c r="J2987" s="3">
        <v>0.15499260000000001</v>
      </c>
      <c r="K2987" s="3">
        <v>-2.5968689999999999E-3</v>
      </c>
      <c r="L2987" s="3">
        <v>6.8724709999999998E-3</v>
      </c>
    </row>
    <row r="2988" spans="1:12" x14ac:dyDescent="0.25">
      <c r="A2988" t="s">
        <v>7229</v>
      </c>
      <c r="B2988" t="s">
        <v>957</v>
      </c>
      <c r="I2988" t="s">
        <v>7230</v>
      </c>
      <c r="J2988" s="3">
        <v>-0.154275</v>
      </c>
      <c r="K2988" s="3">
        <v>-2.2637879999999999E-2</v>
      </c>
      <c r="L2988" s="3">
        <v>-0.23206779999999999</v>
      </c>
    </row>
    <row r="2989" spans="1:12" x14ac:dyDescent="0.25">
      <c r="A2989" t="s">
        <v>7226</v>
      </c>
      <c r="B2989" t="s">
        <v>7227</v>
      </c>
      <c r="I2989" t="s">
        <v>7228</v>
      </c>
      <c r="J2989" s="3">
        <v>-0.28590680000000002</v>
      </c>
      <c r="K2989" s="3">
        <v>-0.56532780000000005</v>
      </c>
      <c r="L2989" s="3">
        <v>-0.39690530000000002</v>
      </c>
    </row>
    <row r="2990" spans="1:12" x14ac:dyDescent="0.25">
      <c r="A2990" t="s">
        <v>6188</v>
      </c>
      <c r="B2990" t="s">
        <v>957</v>
      </c>
      <c r="I2990" t="s">
        <v>455</v>
      </c>
      <c r="J2990" s="3">
        <v>7.8257469999999996E-2</v>
      </c>
      <c r="K2990" s="3">
        <v>-0.34779060000000001</v>
      </c>
      <c r="L2990" s="3">
        <v>-0.1872345</v>
      </c>
    </row>
    <row r="2991" spans="1:12" x14ac:dyDescent="0.25">
      <c r="A2991" t="s">
        <v>6185</v>
      </c>
      <c r="B2991" t="s">
        <v>6186</v>
      </c>
      <c r="I2991" t="s">
        <v>6187</v>
      </c>
      <c r="J2991" s="3">
        <v>-0.38577289999999997</v>
      </c>
      <c r="K2991" s="3">
        <v>-0.33185550000000003</v>
      </c>
      <c r="L2991" s="3">
        <v>-0.11299919999999999</v>
      </c>
    </row>
    <row r="2992" spans="1:12" x14ac:dyDescent="0.25">
      <c r="A2992" t="s">
        <v>6182</v>
      </c>
      <c r="B2992" t="s">
        <v>6183</v>
      </c>
      <c r="I2992" t="s">
        <v>6184</v>
      </c>
      <c r="J2992" s="3">
        <v>-0.16207779999999999</v>
      </c>
      <c r="K2992" s="3">
        <v>0.13227059999999999</v>
      </c>
      <c r="L2992" s="3">
        <v>5.3637490000000003E-2</v>
      </c>
    </row>
    <row r="2993" spans="1:12" x14ac:dyDescent="0.25">
      <c r="A2993" t="s">
        <v>6179</v>
      </c>
      <c r="B2993" t="s">
        <v>6180</v>
      </c>
      <c r="I2993" t="s">
        <v>6181</v>
      </c>
      <c r="J2993" s="3">
        <v>0.54573000000000005</v>
      </c>
      <c r="K2993" s="3">
        <v>0.14221259999999999</v>
      </c>
      <c r="L2993" s="3">
        <v>0.32394689999999998</v>
      </c>
    </row>
    <row r="2994" spans="1:12" x14ac:dyDescent="0.25">
      <c r="A2994" t="s">
        <v>6176</v>
      </c>
      <c r="B2994" t="s">
        <v>6177</v>
      </c>
      <c r="I2994" t="s">
        <v>6178</v>
      </c>
      <c r="J2994" s="3">
        <v>0.16674449999999999</v>
      </c>
      <c r="K2994" s="3">
        <v>-0.28910409999999997</v>
      </c>
      <c r="L2994" s="3">
        <v>0.12787390000000001</v>
      </c>
    </row>
    <row r="2995" spans="1:12" x14ac:dyDescent="0.25">
      <c r="A2995" t="s">
        <v>6175</v>
      </c>
      <c r="B2995" t="s">
        <v>957</v>
      </c>
      <c r="I2995" t="s">
        <v>455</v>
      </c>
      <c r="J2995" s="3">
        <v>0.77752180000000004</v>
      </c>
      <c r="K2995" s="3">
        <v>0.49955749999999999</v>
      </c>
      <c r="L2995" s="3">
        <v>0.3791523</v>
      </c>
    </row>
    <row r="2996" spans="1:12" x14ac:dyDescent="0.25">
      <c r="A2996" t="s">
        <v>6172</v>
      </c>
      <c r="B2996" t="s">
        <v>6173</v>
      </c>
      <c r="I2996" t="s">
        <v>6174</v>
      </c>
      <c r="J2996" s="3">
        <v>0.35614990000000002</v>
      </c>
      <c r="K2996" s="3">
        <v>0.4562985</v>
      </c>
      <c r="L2996" s="3">
        <v>0.15662880000000001</v>
      </c>
    </row>
    <row r="2997" spans="1:12" x14ac:dyDescent="0.25">
      <c r="A2997" t="s">
        <v>6169</v>
      </c>
      <c r="B2997" t="s">
        <v>6170</v>
      </c>
      <c r="I2997" t="s">
        <v>6171</v>
      </c>
      <c r="J2997" s="3">
        <v>0.11279500000000001</v>
      </c>
      <c r="K2997" s="3">
        <v>1.030141</v>
      </c>
      <c r="L2997" s="3">
        <v>6.9669910000000002E-2</v>
      </c>
    </row>
    <row r="2998" spans="1:12" x14ac:dyDescent="0.25">
      <c r="A2998" t="s">
        <v>6166</v>
      </c>
      <c r="B2998" t="s">
        <v>6167</v>
      </c>
      <c r="I2998" t="s">
        <v>6168</v>
      </c>
      <c r="J2998" s="3">
        <v>-0.16261890000000001</v>
      </c>
      <c r="K2998" s="3">
        <v>-0.30166599999999999</v>
      </c>
      <c r="L2998" s="3">
        <v>-0.26722859999999998</v>
      </c>
    </row>
    <row r="2999" spans="1:12" x14ac:dyDescent="0.25">
      <c r="A2999" t="s">
        <v>6163</v>
      </c>
      <c r="B2999" t="s">
        <v>6164</v>
      </c>
      <c r="I2999" t="s">
        <v>6165</v>
      </c>
      <c r="J2999" s="3">
        <v>0.11424479999999999</v>
      </c>
      <c r="K2999" s="3">
        <v>0.23007130000000001</v>
      </c>
      <c r="L2999" s="3">
        <v>0.20913709999999999</v>
      </c>
    </row>
    <row r="3000" spans="1:12" x14ac:dyDescent="0.25">
      <c r="A3000" t="s">
        <v>6160</v>
      </c>
      <c r="B3000" t="s">
        <v>6161</v>
      </c>
      <c r="I3000" t="s">
        <v>6162</v>
      </c>
      <c r="J3000" s="3">
        <v>0.79750480000000001</v>
      </c>
      <c r="K3000" s="3">
        <v>0.5559963</v>
      </c>
      <c r="L3000" s="3">
        <v>-4.108568</v>
      </c>
    </row>
    <row r="3001" spans="1:12" x14ac:dyDescent="0.25">
      <c r="A3001" t="s">
        <v>6157</v>
      </c>
      <c r="B3001" t="s">
        <v>6158</v>
      </c>
      <c r="I3001" t="s">
        <v>6159</v>
      </c>
      <c r="J3001" s="3">
        <v>-0.36686600000000003</v>
      </c>
      <c r="K3001" s="3">
        <v>-0.42839440000000001</v>
      </c>
      <c r="L3001" s="3">
        <v>-1.7137789999999999</v>
      </c>
    </row>
    <row r="3002" spans="1:12" x14ac:dyDescent="0.25">
      <c r="A3002" t="s">
        <v>6155</v>
      </c>
      <c r="B3002" t="s">
        <v>6156</v>
      </c>
      <c r="I3002" t="s">
        <v>1317</v>
      </c>
      <c r="J3002" s="3">
        <v>-0.46923959999999998</v>
      </c>
      <c r="K3002" s="3">
        <v>-0.85990100000000003</v>
      </c>
      <c r="L3002" s="3">
        <v>-0.81467259999999997</v>
      </c>
    </row>
    <row r="3003" spans="1:12" x14ac:dyDescent="0.25">
      <c r="A3003" t="s">
        <v>6152</v>
      </c>
      <c r="B3003" t="s">
        <v>6153</v>
      </c>
      <c r="I3003" t="s">
        <v>6154</v>
      </c>
      <c r="J3003" s="3">
        <v>2.902712E-2</v>
      </c>
      <c r="K3003" s="3">
        <v>0.43589260000000002</v>
      </c>
      <c r="L3003" s="3">
        <v>-6.4603900000000005E-4</v>
      </c>
    </row>
    <row r="3004" spans="1:12" x14ac:dyDescent="0.25">
      <c r="A3004" t="s">
        <v>6149</v>
      </c>
      <c r="B3004" t="s">
        <v>6150</v>
      </c>
      <c r="I3004" t="s">
        <v>6151</v>
      </c>
      <c r="J3004" s="3">
        <v>0.3743958</v>
      </c>
      <c r="K3004" s="3">
        <v>0.2930567</v>
      </c>
      <c r="L3004" s="3">
        <v>5.2777570000000003E-2</v>
      </c>
    </row>
    <row r="3005" spans="1:12" x14ac:dyDescent="0.25">
      <c r="A3005" t="s">
        <v>6146</v>
      </c>
      <c r="B3005" t="s">
        <v>6147</v>
      </c>
      <c r="I3005" t="s">
        <v>6148</v>
      </c>
      <c r="J3005" s="3">
        <v>-0.63917740000000001</v>
      </c>
      <c r="K3005" s="3">
        <v>-0.95953270000000002</v>
      </c>
      <c r="L3005" s="3">
        <v>-0.33292040000000001</v>
      </c>
    </row>
    <row r="3006" spans="1:12" x14ac:dyDescent="0.25">
      <c r="A3006" t="s">
        <v>6143</v>
      </c>
      <c r="B3006" t="s">
        <v>6144</v>
      </c>
      <c r="I3006" t="s">
        <v>6145</v>
      </c>
      <c r="J3006" s="3">
        <v>-0.77259330000000004</v>
      </c>
      <c r="K3006" s="3">
        <v>-0.36797829999999998</v>
      </c>
      <c r="L3006" s="3">
        <v>-0.24725079999999999</v>
      </c>
    </row>
    <row r="3007" spans="1:12" x14ac:dyDescent="0.25">
      <c r="A3007" t="s">
        <v>6140</v>
      </c>
      <c r="B3007" t="s">
        <v>6141</v>
      </c>
      <c r="I3007" t="s">
        <v>6142</v>
      </c>
      <c r="J3007" s="3">
        <v>-1.344595</v>
      </c>
      <c r="K3007" s="3">
        <v>-1.0565629999999999</v>
      </c>
      <c r="L3007" s="3">
        <v>-0.37731930000000002</v>
      </c>
    </row>
    <row r="3008" spans="1:12" x14ac:dyDescent="0.25">
      <c r="A3008" t="s">
        <v>6137</v>
      </c>
      <c r="B3008" t="s">
        <v>6138</v>
      </c>
      <c r="I3008" t="s">
        <v>6139</v>
      </c>
      <c r="J3008" s="3">
        <v>0.39740769999999997</v>
      </c>
      <c r="K3008" s="3">
        <v>0.4571038</v>
      </c>
      <c r="L3008" s="3">
        <v>0.23146149999999999</v>
      </c>
    </row>
    <row r="3009" spans="1:12" x14ac:dyDescent="0.25">
      <c r="A3009" t="s">
        <v>6135</v>
      </c>
      <c r="B3009" t="s">
        <v>6136</v>
      </c>
      <c r="I3009" t="s">
        <v>5372</v>
      </c>
      <c r="J3009" s="3">
        <v>-0.37672719999999998</v>
      </c>
      <c r="K3009" s="3">
        <v>-0.9274985</v>
      </c>
      <c r="L3009" s="3">
        <v>-0.46077439999999997</v>
      </c>
    </row>
    <row r="3010" spans="1:12" x14ac:dyDescent="0.25">
      <c r="A3010" t="s">
        <v>6132</v>
      </c>
      <c r="B3010" t="s">
        <v>6133</v>
      </c>
      <c r="I3010" t="s">
        <v>6134</v>
      </c>
      <c r="J3010" s="3">
        <v>-0.2725901</v>
      </c>
      <c r="K3010" s="3">
        <v>-0.2263704</v>
      </c>
      <c r="L3010" s="3">
        <v>-0.3183436</v>
      </c>
    </row>
    <row r="3011" spans="1:12" x14ac:dyDescent="0.25">
      <c r="A3011" t="s">
        <v>6131</v>
      </c>
      <c r="B3011" t="s">
        <v>6129</v>
      </c>
      <c r="I3011" t="s">
        <v>6130</v>
      </c>
      <c r="J3011" s="3">
        <v>-4.0788110000000002E-2</v>
      </c>
      <c r="K3011" s="3">
        <v>-6.5660990000000002E-2</v>
      </c>
      <c r="L3011" s="3">
        <v>0.14140359999999999</v>
      </c>
    </row>
    <row r="3012" spans="1:12" x14ac:dyDescent="0.25">
      <c r="A3012" t="s">
        <v>6128</v>
      </c>
      <c r="B3012" t="s">
        <v>6129</v>
      </c>
      <c r="I3012" t="s">
        <v>6130</v>
      </c>
      <c r="J3012" s="3">
        <v>-9.1561870000000004E-2</v>
      </c>
      <c r="K3012" s="3">
        <v>0.20471629999999999</v>
      </c>
      <c r="L3012" s="3">
        <v>-2.764701E-2</v>
      </c>
    </row>
    <row r="3013" spans="1:12" x14ac:dyDescent="0.25">
      <c r="A3013" t="s">
        <v>6127</v>
      </c>
      <c r="B3013" t="s">
        <v>957</v>
      </c>
      <c r="I3013" t="s">
        <v>823</v>
      </c>
      <c r="J3013" s="3">
        <v>-0.31772899999999998</v>
      </c>
      <c r="K3013" s="3">
        <v>-0.75632699999999997</v>
      </c>
      <c r="L3013" s="3">
        <v>-0.19782279999999999</v>
      </c>
    </row>
    <row r="3014" spans="1:12" x14ac:dyDescent="0.25">
      <c r="A3014" t="s">
        <v>6124</v>
      </c>
      <c r="B3014" t="s">
        <v>6125</v>
      </c>
      <c r="I3014" t="s">
        <v>6126</v>
      </c>
      <c r="J3014" s="3">
        <v>-0.2250394</v>
      </c>
      <c r="K3014" s="3">
        <v>-0.48689919999999998</v>
      </c>
      <c r="L3014" s="3">
        <v>2.1698240000000001E-2</v>
      </c>
    </row>
    <row r="3015" spans="1:12" x14ac:dyDescent="0.25">
      <c r="A3015" t="s">
        <v>6121</v>
      </c>
      <c r="B3015" t="s">
        <v>6122</v>
      </c>
      <c r="I3015" t="s">
        <v>6123</v>
      </c>
      <c r="J3015" s="3">
        <v>0.13638049999999999</v>
      </c>
      <c r="K3015" s="3">
        <v>-0.22796140000000001</v>
      </c>
      <c r="L3015" s="3">
        <v>0.21917919999999999</v>
      </c>
    </row>
    <row r="3016" spans="1:12" x14ac:dyDescent="0.25">
      <c r="A3016" t="s">
        <v>6119</v>
      </c>
      <c r="B3016" t="s">
        <v>6120</v>
      </c>
      <c r="I3016" t="s">
        <v>3576</v>
      </c>
      <c r="J3016" s="3">
        <v>3.4952289999999997E-2</v>
      </c>
      <c r="K3016" s="3">
        <v>0.17106689999999999</v>
      </c>
      <c r="L3016" s="3">
        <v>0.20613480000000001</v>
      </c>
    </row>
    <row r="3017" spans="1:12" x14ac:dyDescent="0.25">
      <c r="A3017" t="s">
        <v>6118</v>
      </c>
      <c r="B3017" t="s">
        <v>957</v>
      </c>
      <c r="I3017" t="s">
        <v>455</v>
      </c>
      <c r="J3017" s="3">
        <v>9.3556330000000004E-3</v>
      </c>
      <c r="K3017" s="3">
        <v>9.0001880000000006E-2</v>
      </c>
      <c r="L3017" s="3">
        <v>-1.453829E-3</v>
      </c>
    </row>
    <row r="3018" spans="1:12" x14ac:dyDescent="0.25">
      <c r="A3018" t="s">
        <v>6115</v>
      </c>
      <c r="B3018" t="s">
        <v>6116</v>
      </c>
      <c r="I3018" t="s">
        <v>6117</v>
      </c>
      <c r="J3018" s="3">
        <v>0.14323230000000001</v>
      </c>
      <c r="K3018" s="3">
        <v>-0.27579789999999998</v>
      </c>
      <c r="L3018" s="3">
        <v>0.30998750000000003</v>
      </c>
    </row>
    <row r="3019" spans="1:12" x14ac:dyDescent="0.25">
      <c r="A3019" t="s">
        <v>6114</v>
      </c>
      <c r="B3019" t="s">
        <v>957</v>
      </c>
      <c r="I3019" t="s">
        <v>455</v>
      </c>
      <c r="J3019" s="3">
        <v>-4.4981970000000003E-2</v>
      </c>
      <c r="K3019" s="3">
        <v>-0.41478169999999998</v>
      </c>
      <c r="L3019" s="3">
        <v>-3.7180039999999998E-2</v>
      </c>
    </row>
    <row r="3020" spans="1:12" x14ac:dyDescent="0.25">
      <c r="A3020" t="s">
        <v>6111</v>
      </c>
      <c r="B3020" t="s">
        <v>6112</v>
      </c>
      <c r="I3020" t="s">
        <v>6113</v>
      </c>
      <c r="J3020" s="3">
        <v>0.18184149999999999</v>
      </c>
      <c r="K3020" s="3">
        <v>-0.2828755</v>
      </c>
      <c r="L3020" s="3">
        <v>2.0614E-2</v>
      </c>
    </row>
    <row r="3021" spans="1:12" x14ac:dyDescent="0.25">
      <c r="A3021" t="s">
        <v>6108</v>
      </c>
      <c r="B3021" t="s">
        <v>6109</v>
      </c>
      <c r="I3021" t="s">
        <v>6110</v>
      </c>
      <c r="J3021" s="3">
        <v>-3.8453340000000003E-2</v>
      </c>
      <c r="K3021" s="3">
        <v>-0.70912900000000001</v>
      </c>
      <c r="L3021" s="3">
        <v>-0.12305199999999999</v>
      </c>
    </row>
    <row r="3022" spans="1:12" x14ac:dyDescent="0.25">
      <c r="A3022" t="s">
        <v>6105</v>
      </c>
      <c r="B3022" t="s">
        <v>6106</v>
      </c>
      <c r="I3022" t="s">
        <v>6107</v>
      </c>
      <c r="J3022" s="3">
        <v>0.19866429999999999</v>
      </c>
      <c r="K3022" s="3">
        <v>0.1172059</v>
      </c>
      <c r="L3022" s="3">
        <v>0.11683549999999999</v>
      </c>
    </row>
    <row r="3023" spans="1:12" x14ac:dyDescent="0.25">
      <c r="A3023" t="s">
        <v>6102</v>
      </c>
      <c r="B3023" t="s">
        <v>6103</v>
      </c>
      <c r="I3023" t="s">
        <v>6104</v>
      </c>
      <c r="J3023" s="3">
        <v>2.879893E-2</v>
      </c>
      <c r="K3023" s="3">
        <v>-0.37044909999999998</v>
      </c>
      <c r="L3023" s="3">
        <v>-0.1247289</v>
      </c>
    </row>
    <row r="3024" spans="1:12" x14ac:dyDescent="0.25">
      <c r="A3024" t="s">
        <v>6099</v>
      </c>
      <c r="B3024" t="s">
        <v>6100</v>
      </c>
      <c r="I3024" t="s">
        <v>6101</v>
      </c>
      <c r="J3024" s="3">
        <v>0.1783653</v>
      </c>
      <c r="K3024" s="3">
        <v>-0.25513229999999998</v>
      </c>
      <c r="L3024" s="3">
        <v>0.1135705</v>
      </c>
    </row>
    <row r="3025" spans="1:12" x14ac:dyDescent="0.25">
      <c r="A3025" t="s">
        <v>6096</v>
      </c>
      <c r="B3025" t="s">
        <v>6097</v>
      </c>
      <c r="I3025" t="s">
        <v>6098</v>
      </c>
      <c r="J3025" s="3">
        <v>2.0977229999999998</v>
      </c>
      <c r="K3025" s="3">
        <v>0.52405800000000002</v>
      </c>
      <c r="L3025" s="3">
        <v>1.6096729999999999</v>
      </c>
    </row>
    <row r="3026" spans="1:12" x14ac:dyDescent="0.25">
      <c r="A3026" t="s">
        <v>6093</v>
      </c>
      <c r="B3026" t="s">
        <v>6094</v>
      </c>
      <c r="I3026" t="s">
        <v>6095</v>
      </c>
      <c r="J3026" s="3">
        <v>0.15033279999999999</v>
      </c>
      <c r="K3026" s="3">
        <v>0.28362700000000002</v>
      </c>
      <c r="L3026" s="3">
        <v>0.36027940000000003</v>
      </c>
    </row>
    <row r="3027" spans="1:12" x14ac:dyDescent="0.25">
      <c r="A3027" t="s">
        <v>7140</v>
      </c>
      <c r="B3027" t="s">
        <v>7141</v>
      </c>
      <c r="I3027" t="s">
        <v>6092</v>
      </c>
      <c r="J3027" s="3">
        <v>-0.62767139999999999</v>
      </c>
      <c r="K3027" s="3">
        <v>-1.7966549999999999</v>
      </c>
      <c r="L3027" s="3">
        <v>-0.96422200000000002</v>
      </c>
    </row>
    <row r="3028" spans="1:12" x14ac:dyDescent="0.25">
      <c r="A3028" t="s">
        <v>7138</v>
      </c>
      <c r="B3028" t="s">
        <v>957</v>
      </c>
      <c r="I3028" t="s">
        <v>7139</v>
      </c>
      <c r="J3028" s="3">
        <v>0.50565939999999998</v>
      </c>
      <c r="K3028" s="3">
        <v>0.56939150000000005</v>
      </c>
      <c r="L3028" s="3">
        <v>0.3595119</v>
      </c>
    </row>
    <row r="3029" spans="1:12" x14ac:dyDescent="0.25">
      <c r="A3029" t="s">
        <v>7135</v>
      </c>
      <c r="B3029" t="s">
        <v>7136</v>
      </c>
      <c r="I3029" t="s">
        <v>7137</v>
      </c>
      <c r="J3029" s="3">
        <v>-0.2437858</v>
      </c>
      <c r="K3029" s="3">
        <v>-5.6058419999999998E-3</v>
      </c>
      <c r="L3029" s="3">
        <v>-0.41026590000000002</v>
      </c>
    </row>
    <row r="3030" spans="1:12" x14ac:dyDescent="0.25">
      <c r="A3030" t="s">
        <v>7134</v>
      </c>
      <c r="B3030" t="s">
        <v>957</v>
      </c>
      <c r="I3030" t="s">
        <v>455</v>
      </c>
      <c r="J3030" s="3">
        <v>-0.45421820000000002</v>
      </c>
      <c r="K3030" s="3">
        <v>-0.31765510000000002</v>
      </c>
      <c r="L3030" s="3">
        <v>-0.21411340000000001</v>
      </c>
    </row>
    <row r="3031" spans="1:12" x14ac:dyDescent="0.25">
      <c r="A3031" t="s">
        <v>7131</v>
      </c>
      <c r="B3031" t="s">
        <v>7132</v>
      </c>
      <c r="I3031" t="s">
        <v>7133</v>
      </c>
      <c r="J3031" s="3">
        <v>1.9839530000000001E-2</v>
      </c>
      <c r="K3031" s="3">
        <v>-6.2079849999999999E-2</v>
      </c>
      <c r="L3031" s="3">
        <v>0.56242829999999999</v>
      </c>
    </row>
    <row r="3032" spans="1:12" x14ac:dyDescent="0.25">
      <c r="A3032" t="s">
        <v>7130</v>
      </c>
      <c r="B3032" t="s">
        <v>957</v>
      </c>
      <c r="I3032" t="s">
        <v>455</v>
      </c>
      <c r="J3032" s="3">
        <v>1.028282E-2</v>
      </c>
      <c r="K3032" s="3">
        <v>3.9848469999999997E-2</v>
      </c>
      <c r="L3032" s="3">
        <v>0.1862084</v>
      </c>
    </row>
    <row r="3033" spans="1:12" x14ac:dyDescent="0.25">
      <c r="A3033" t="s">
        <v>7128</v>
      </c>
      <c r="B3033" t="s">
        <v>7129</v>
      </c>
      <c r="I3033" t="s">
        <v>430</v>
      </c>
      <c r="J3033" s="3">
        <v>-0.60568100000000002</v>
      </c>
      <c r="K3033" s="3">
        <v>-0.6052073</v>
      </c>
      <c r="L3033" s="3">
        <v>-0.70012439999999998</v>
      </c>
    </row>
    <row r="3034" spans="1:12" x14ac:dyDescent="0.25">
      <c r="A3034" t="s">
        <v>7126</v>
      </c>
      <c r="B3034" t="s">
        <v>7127</v>
      </c>
      <c r="I3034" t="s">
        <v>4097</v>
      </c>
      <c r="J3034" s="3">
        <v>0.19156400000000001</v>
      </c>
      <c r="K3034" s="3">
        <v>9.5781370000000005E-2</v>
      </c>
      <c r="L3034" s="3">
        <v>0.49449569999999998</v>
      </c>
    </row>
    <row r="3035" spans="1:12" x14ac:dyDescent="0.25">
      <c r="A3035" t="s">
        <v>7123</v>
      </c>
      <c r="B3035" t="s">
        <v>7124</v>
      </c>
      <c r="I3035" t="s">
        <v>7125</v>
      </c>
      <c r="J3035" s="3">
        <v>-2.7912490000000002E-2</v>
      </c>
      <c r="K3035" s="3">
        <v>-2.4138240000000002E-3</v>
      </c>
      <c r="L3035" s="3">
        <v>0.41059519999999999</v>
      </c>
    </row>
    <row r="3036" spans="1:12" x14ac:dyDescent="0.25">
      <c r="A3036" t="s">
        <v>7120</v>
      </c>
      <c r="B3036" t="s">
        <v>7121</v>
      </c>
      <c r="I3036" t="s">
        <v>7122</v>
      </c>
      <c r="J3036" s="3">
        <v>-8.1505439999999998E-2</v>
      </c>
      <c r="K3036" s="3">
        <v>-0.1063892</v>
      </c>
      <c r="L3036" s="3">
        <v>-7.300015E-2</v>
      </c>
    </row>
    <row r="3037" spans="1:12" x14ac:dyDescent="0.25">
      <c r="A3037" t="s">
        <v>7117</v>
      </c>
      <c r="B3037" t="s">
        <v>7118</v>
      </c>
      <c r="I3037" t="s">
        <v>7119</v>
      </c>
      <c r="J3037" s="3">
        <v>-0.91404879999999999</v>
      </c>
      <c r="K3037" s="3">
        <v>-0.3879706</v>
      </c>
      <c r="L3037" s="3">
        <v>-9.722066E-2</v>
      </c>
    </row>
    <row r="3038" spans="1:12" x14ac:dyDescent="0.25">
      <c r="A3038" t="s">
        <v>7115</v>
      </c>
      <c r="B3038" t="s">
        <v>7116</v>
      </c>
      <c r="I3038" t="s">
        <v>1768</v>
      </c>
      <c r="J3038" s="3">
        <v>0.1718237</v>
      </c>
      <c r="K3038" s="3">
        <v>0.76701600000000003</v>
      </c>
      <c r="L3038" s="3">
        <v>0.38701069999999999</v>
      </c>
    </row>
    <row r="3039" spans="1:12" x14ac:dyDescent="0.25">
      <c r="A3039" t="s">
        <v>7114</v>
      </c>
      <c r="B3039" t="s">
        <v>957</v>
      </c>
      <c r="I3039" t="s">
        <v>455</v>
      </c>
      <c r="J3039" s="3">
        <v>-0.19822219999999999</v>
      </c>
      <c r="K3039" s="3">
        <v>-0.22740099999999999</v>
      </c>
      <c r="L3039" s="3">
        <v>-1.6764830000000001E-2</v>
      </c>
    </row>
    <row r="3040" spans="1:12" x14ac:dyDescent="0.25">
      <c r="A3040" t="s">
        <v>7111</v>
      </c>
      <c r="B3040" t="s">
        <v>7112</v>
      </c>
      <c r="I3040" t="s">
        <v>7113</v>
      </c>
      <c r="J3040" s="3">
        <v>0.40271960000000001</v>
      </c>
      <c r="K3040" s="3">
        <v>0.97658999999999996</v>
      </c>
      <c r="L3040" s="3">
        <v>0.69140210000000002</v>
      </c>
    </row>
    <row r="3041" spans="1:12" x14ac:dyDescent="0.25">
      <c r="A3041" t="s">
        <v>7108</v>
      </c>
      <c r="B3041" t="s">
        <v>7109</v>
      </c>
      <c r="I3041" t="s">
        <v>7110</v>
      </c>
      <c r="J3041" s="3">
        <v>-0.3906406</v>
      </c>
      <c r="K3041" s="3">
        <v>-0.8887524</v>
      </c>
      <c r="L3041" s="3">
        <v>-0.88025620000000004</v>
      </c>
    </row>
    <row r="3042" spans="1:12" x14ac:dyDescent="0.25">
      <c r="A3042" t="s">
        <v>7105</v>
      </c>
      <c r="B3042" t="s">
        <v>7106</v>
      </c>
      <c r="I3042" t="s">
        <v>7107</v>
      </c>
      <c r="J3042" s="3">
        <v>0.28132659999999998</v>
      </c>
      <c r="K3042" s="3">
        <v>0.1855096</v>
      </c>
      <c r="L3042" s="3">
        <v>0.19142580000000001</v>
      </c>
    </row>
    <row r="3043" spans="1:12" x14ac:dyDescent="0.25">
      <c r="A3043" t="s">
        <v>7104</v>
      </c>
      <c r="B3043" t="s">
        <v>957</v>
      </c>
      <c r="I3043" t="s">
        <v>455</v>
      </c>
      <c r="J3043" s="3">
        <v>0.2820106</v>
      </c>
      <c r="K3043" s="3">
        <v>0.1051554</v>
      </c>
      <c r="L3043" s="3">
        <v>-0.22067880000000001</v>
      </c>
    </row>
    <row r="3044" spans="1:12" x14ac:dyDescent="0.25">
      <c r="A3044" t="s">
        <v>7102</v>
      </c>
      <c r="B3044" t="s">
        <v>7103</v>
      </c>
      <c r="I3044" t="s">
        <v>509</v>
      </c>
      <c r="J3044" s="3">
        <v>-1.9089060000000001E-2</v>
      </c>
      <c r="K3044" s="3">
        <v>-0.68198060000000005</v>
      </c>
      <c r="L3044" s="3">
        <v>0.15204709999999999</v>
      </c>
    </row>
    <row r="3045" spans="1:12" x14ac:dyDescent="0.25">
      <c r="A3045" t="s">
        <v>7101</v>
      </c>
      <c r="B3045" t="s">
        <v>957</v>
      </c>
      <c r="I3045" t="s">
        <v>4218</v>
      </c>
      <c r="J3045" s="3">
        <v>0.19384370000000001</v>
      </c>
      <c r="K3045" s="3">
        <v>0.3777972</v>
      </c>
      <c r="L3045" s="3">
        <v>0.53786679999999998</v>
      </c>
    </row>
    <row r="3046" spans="1:12" x14ac:dyDescent="0.25">
      <c r="A3046" t="s">
        <v>7098</v>
      </c>
      <c r="B3046" t="s">
        <v>7099</v>
      </c>
      <c r="I3046" t="s">
        <v>7100</v>
      </c>
      <c r="J3046" s="3">
        <v>0.45809030000000001</v>
      </c>
      <c r="K3046" s="3">
        <v>0.3054267</v>
      </c>
      <c r="L3046" s="3">
        <v>0.30541089999999999</v>
      </c>
    </row>
    <row r="3047" spans="1:12" x14ac:dyDescent="0.25">
      <c r="A3047" t="s">
        <v>6056</v>
      </c>
      <c r="B3047" t="s">
        <v>957</v>
      </c>
      <c r="I3047" t="s">
        <v>7097</v>
      </c>
      <c r="J3047" s="3">
        <v>-3.2849690000000001E-2</v>
      </c>
      <c r="K3047" s="3">
        <v>5.304027E-2</v>
      </c>
      <c r="L3047" s="3">
        <v>2.4948390000000001E-2</v>
      </c>
    </row>
    <row r="3048" spans="1:12" x14ac:dyDescent="0.25">
      <c r="A3048" t="s">
        <v>6055</v>
      </c>
      <c r="B3048" t="s">
        <v>957</v>
      </c>
      <c r="I3048" t="s">
        <v>455</v>
      </c>
      <c r="J3048" s="3">
        <v>0.66039910000000002</v>
      </c>
      <c r="K3048" s="3">
        <v>1.7267699999999999</v>
      </c>
      <c r="L3048" s="3">
        <v>1.019388</v>
      </c>
    </row>
    <row r="3049" spans="1:12" x14ac:dyDescent="0.25">
      <c r="A3049" t="s">
        <v>6054</v>
      </c>
      <c r="B3049" t="s">
        <v>957</v>
      </c>
      <c r="I3049" t="s">
        <v>455</v>
      </c>
      <c r="J3049" s="3">
        <v>0.52873599999999998</v>
      </c>
      <c r="K3049" s="3">
        <v>1.2056709999999999</v>
      </c>
      <c r="L3049" s="3">
        <v>1.0403230000000001</v>
      </c>
    </row>
    <row r="3050" spans="1:12" x14ac:dyDescent="0.25">
      <c r="A3050" t="s">
        <v>6051</v>
      </c>
      <c r="B3050" t="s">
        <v>6052</v>
      </c>
      <c r="I3050" t="s">
        <v>6053</v>
      </c>
      <c r="J3050" s="3">
        <v>-6.7707539999999997E-2</v>
      </c>
      <c r="K3050" s="3">
        <v>0.14885409999999999</v>
      </c>
      <c r="L3050" s="3">
        <v>7.3939879999999999E-2</v>
      </c>
    </row>
    <row r="3051" spans="1:12" x14ac:dyDescent="0.25">
      <c r="A3051" t="s">
        <v>6048</v>
      </c>
      <c r="B3051" t="s">
        <v>6049</v>
      </c>
      <c r="I3051" t="s">
        <v>6050</v>
      </c>
      <c r="J3051" s="3">
        <v>0.61425600000000002</v>
      </c>
      <c r="K3051" s="3">
        <v>1.0993729999999999</v>
      </c>
      <c r="L3051" s="3">
        <v>0.7430793</v>
      </c>
    </row>
    <row r="3052" spans="1:12" x14ac:dyDescent="0.25">
      <c r="A3052" t="s">
        <v>6047</v>
      </c>
      <c r="B3052" t="s">
        <v>957</v>
      </c>
      <c r="I3052" t="s">
        <v>455</v>
      </c>
      <c r="J3052" s="3">
        <v>0.21085509999999999</v>
      </c>
      <c r="K3052" s="3">
        <v>0.48086240000000002</v>
      </c>
      <c r="L3052" s="3">
        <v>0.10797900000000001</v>
      </c>
    </row>
    <row r="3053" spans="1:12" x14ac:dyDescent="0.25">
      <c r="A3053" t="s">
        <v>6046</v>
      </c>
      <c r="B3053" t="s">
        <v>957</v>
      </c>
      <c r="I3053" t="s">
        <v>455</v>
      </c>
      <c r="J3053" s="3">
        <v>-3.107786E-3</v>
      </c>
      <c r="K3053" s="3">
        <v>-4.9449970000000003E-2</v>
      </c>
      <c r="L3053" s="3">
        <v>2.8535610000000001E-3</v>
      </c>
    </row>
    <row r="3054" spans="1:12" x14ac:dyDescent="0.25">
      <c r="A3054" t="s">
        <v>6043</v>
      </c>
      <c r="B3054" t="s">
        <v>6044</v>
      </c>
      <c r="I3054" t="s">
        <v>6045</v>
      </c>
      <c r="J3054" s="3">
        <v>-0.29415360000000002</v>
      </c>
      <c r="K3054" s="3">
        <v>-0.26030180000000003</v>
      </c>
      <c r="L3054" s="3">
        <v>-0.31810820000000001</v>
      </c>
    </row>
    <row r="3055" spans="1:12" x14ac:dyDescent="0.25">
      <c r="A3055" t="s">
        <v>6040</v>
      </c>
      <c r="B3055" t="s">
        <v>6041</v>
      </c>
      <c r="I3055" t="s">
        <v>6042</v>
      </c>
      <c r="J3055" s="3">
        <v>-0.73439100000000002</v>
      </c>
      <c r="K3055" s="3">
        <v>-1.147702</v>
      </c>
      <c r="L3055" s="3">
        <v>-0.8937775</v>
      </c>
    </row>
    <row r="3056" spans="1:12" x14ac:dyDescent="0.25">
      <c r="A3056" t="s">
        <v>6037</v>
      </c>
      <c r="B3056" t="s">
        <v>6038</v>
      </c>
      <c r="I3056" t="s">
        <v>6039</v>
      </c>
      <c r="J3056" s="3">
        <v>0.65266500000000005</v>
      </c>
      <c r="K3056" s="3">
        <v>0.51934950000000002</v>
      </c>
      <c r="L3056" s="3">
        <v>0.6234113</v>
      </c>
    </row>
    <row r="3057" spans="1:12" x14ac:dyDescent="0.25">
      <c r="A3057" t="s">
        <v>6036</v>
      </c>
      <c r="B3057" t="s">
        <v>957</v>
      </c>
      <c r="I3057" t="s">
        <v>455</v>
      </c>
      <c r="J3057" s="3">
        <v>0.29736380000000001</v>
      </c>
      <c r="K3057" s="3">
        <v>1.0582910000000001</v>
      </c>
      <c r="L3057" s="3">
        <v>5.9298660000000003E-2</v>
      </c>
    </row>
    <row r="3058" spans="1:12" x14ac:dyDescent="0.25">
      <c r="A3058" t="s">
        <v>6033</v>
      </c>
      <c r="B3058" t="s">
        <v>6034</v>
      </c>
      <c r="I3058" t="s">
        <v>6035</v>
      </c>
      <c r="J3058" s="3">
        <v>-8.98954E-2</v>
      </c>
      <c r="K3058" s="3">
        <v>-0.3795367</v>
      </c>
      <c r="L3058" s="3">
        <v>0.22930829999999999</v>
      </c>
    </row>
    <row r="3059" spans="1:12" x14ac:dyDescent="0.25">
      <c r="A3059" t="s">
        <v>6030</v>
      </c>
      <c r="B3059" t="s">
        <v>6031</v>
      </c>
      <c r="I3059" t="s">
        <v>6032</v>
      </c>
      <c r="J3059" s="3">
        <v>0.1969603</v>
      </c>
      <c r="K3059" s="3">
        <v>0.13182859999999999</v>
      </c>
      <c r="L3059" s="3">
        <v>0.13105549999999999</v>
      </c>
    </row>
    <row r="3060" spans="1:12" x14ac:dyDescent="0.25">
      <c r="A3060" t="s">
        <v>6027</v>
      </c>
      <c r="B3060" t="s">
        <v>6028</v>
      </c>
      <c r="I3060" t="s">
        <v>6029</v>
      </c>
      <c r="J3060" s="3">
        <v>-0.28464250000000002</v>
      </c>
      <c r="K3060" s="3">
        <v>-0.35176020000000002</v>
      </c>
      <c r="L3060" s="3">
        <v>-0.51014890000000002</v>
      </c>
    </row>
    <row r="3061" spans="1:12" x14ac:dyDescent="0.25">
      <c r="A3061" t="s">
        <v>6026</v>
      </c>
      <c r="B3061" t="s">
        <v>957</v>
      </c>
      <c r="I3061" t="s">
        <v>1059</v>
      </c>
      <c r="J3061" s="3">
        <v>0.36058649999999998</v>
      </c>
      <c r="K3061" s="3">
        <v>0.30316710000000002</v>
      </c>
      <c r="L3061" s="3">
        <v>0.66388919999999996</v>
      </c>
    </row>
    <row r="3062" spans="1:12" x14ac:dyDescent="0.25">
      <c r="A3062" t="s">
        <v>6023</v>
      </c>
      <c r="B3062" t="s">
        <v>6024</v>
      </c>
      <c r="I3062" t="s">
        <v>6025</v>
      </c>
      <c r="J3062" s="3">
        <v>-8.3317130000000003E-2</v>
      </c>
      <c r="K3062" s="3">
        <v>-0.88768970000000003</v>
      </c>
      <c r="L3062" s="3">
        <v>-0.43129289999999998</v>
      </c>
    </row>
    <row r="3063" spans="1:12" x14ac:dyDescent="0.25">
      <c r="A3063" t="s">
        <v>6020</v>
      </c>
      <c r="B3063" t="s">
        <v>6021</v>
      </c>
      <c r="I3063" t="s">
        <v>6022</v>
      </c>
      <c r="J3063" s="3">
        <v>6.4101199999999997E-2</v>
      </c>
      <c r="K3063" s="3">
        <v>0.89245399999999997</v>
      </c>
      <c r="L3063" s="3">
        <v>0.30160429999999999</v>
      </c>
    </row>
    <row r="3064" spans="1:12" x14ac:dyDescent="0.25">
      <c r="A3064" t="s">
        <v>7058</v>
      </c>
      <c r="B3064" t="s">
        <v>7059</v>
      </c>
      <c r="I3064" t="s">
        <v>6019</v>
      </c>
      <c r="J3064" s="3">
        <v>0.17689659999999999</v>
      </c>
      <c r="K3064" s="3">
        <v>0.2072937</v>
      </c>
      <c r="L3064" s="3">
        <v>2.0680520000000001E-2</v>
      </c>
    </row>
    <row r="3065" spans="1:12" x14ac:dyDescent="0.25">
      <c r="A3065" t="s">
        <v>7055</v>
      </c>
      <c r="B3065" t="s">
        <v>7056</v>
      </c>
      <c r="I3065" t="s">
        <v>7057</v>
      </c>
      <c r="J3065" s="3">
        <v>-0.84514429999999996</v>
      </c>
      <c r="K3065" s="3">
        <v>-0.79590700000000003</v>
      </c>
      <c r="L3065" s="3">
        <v>-0.42294389999999998</v>
      </c>
    </row>
    <row r="3066" spans="1:12" x14ac:dyDescent="0.25">
      <c r="A3066" t="s">
        <v>7052</v>
      </c>
      <c r="B3066" t="s">
        <v>7053</v>
      </c>
      <c r="I3066" t="s">
        <v>7054</v>
      </c>
      <c r="J3066" s="3">
        <v>-0.12628400000000001</v>
      </c>
      <c r="K3066" s="3">
        <v>-0.77208679999999996</v>
      </c>
      <c r="L3066" s="3">
        <v>-0.147786</v>
      </c>
    </row>
    <row r="3067" spans="1:12" x14ac:dyDescent="0.25">
      <c r="A3067" t="s">
        <v>7049</v>
      </c>
      <c r="B3067" t="s">
        <v>7050</v>
      </c>
      <c r="I3067" t="s">
        <v>7051</v>
      </c>
      <c r="J3067" s="3">
        <v>-0.48226599999999997</v>
      </c>
      <c r="K3067" s="3">
        <v>-0.81500399999999995</v>
      </c>
      <c r="L3067" s="3">
        <v>0.16714619999999999</v>
      </c>
    </row>
    <row r="3068" spans="1:12" x14ac:dyDescent="0.25">
      <c r="A3068" t="s">
        <v>7046</v>
      </c>
      <c r="B3068" t="s">
        <v>7047</v>
      </c>
      <c r="I3068" t="s">
        <v>7048</v>
      </c>
      <c r="J3068" s="3">
        <v>-0.46245399999999998</v>
      </c>
      <c r="K3068" s="3">
        <v>-0.19746610000000001</v>
      </c>
      <c r="L3068" s="3">
        <v>-0.27956530000000002</v>
      </c>
    </row>
    <row r="3069" spans="1:12" x14ac:dyDescent="0.25">
      <c r="A3069" t="s">
        <v>7045</v>
      </c>
      <c r="B3069" t="s">
        <v>957</v>
      </c>
      <c r="I3069" t="s">
        <v>455</v>
      </c>
      <c r="J3069" s="3">
        <v>0.25725609999999999</v>
      </c>
      <c r="K3069" s="3">
        <v>-0.3548154</v>
      </c>
      <c r="L3069" s="3">
        <v>8.1927790000000007E-3</v>
      </c>
    </row>
    <row r="3070" spans="1:12" x14ac:dyDescent="0.25">
      <c r="A3070" t="s">
        <v>7042</v>
      </c>
      <c r="B3070" t="s">
        <v>7043</v>
      </c>
      <c r="I3070" t="s">
        <v>7044</v>
      </c>
      <c r="J3070" s="3">
        <v>0.62323839999999997</v>
      </c>
      <c r="K3070" s="3">
        <v>1.5536970000000001</v>
      </c>
      <c r="L3070" s="3">
        <v>0.90009589999999995</v>
      </c>
    </row>
    <row r="3071" spans="1:12" x14ac:dyDescent="0.25">
      <c r="A3071" t="s">
        <v>7039</v>
      </c>
      <c r="B3071" t="s">
        <v>7040</v>
      </c>
      <c r="I3071" t="s">
        <v>7041</v>
      </c>
      <c r="J3071" s="3">
        <v>1.1075759999999999</v>
      </c>
      <c r="K3071" s="3">
        <v>1.0935189999999999</v>
      </c>
      <c r="L3071" s="3">
        <v>1.1222589999999999</v>
      </c>
    </row>
    <row r="3072" spans="1:12" x14ac:dyDescent="0.25">
      <c r="A3072" t="s">
        <v>7036</v>
      </c>
      <c r="B3072" t="s">
        <v>7037</v>
      </c>
      <c r="I3072" t="s">
        <v>7038</v>
      </c>
      <c r="J3072" s="3">
        <v>-0.30450670000000002</v>
      </c>
      <c r="K3072" s="3">
        <v>9.7604300000000005E-2</v>
      </c>
      <c r="L3072" s="3">
        <v>-0.10119499999999999</v>
      </c>
    </row>
    <row r="3073" spans="1:12" x14ac:dyDescent="0.25">
      <c r="A3073" t="s">
        <v>7033</v>
      </c>
      <c r="B3073" t="s">
        <v>7034</v>
      </c>
      <c r="I3073" t="s">
        <v>7035</v>
      </c>
      <c r="J3073" s="3">
        <v>0.57425890000000002</v>
      </c>
      <c r="K3073" s="3">
        <v>0.217947</v>
      </c>
      <c r="L3073" s="3">
        <v>0.61076079999999999</v>
      </c>
    </row>
    <row r="3074" spans="1:12" x14ac:dyDescent="0.25">
      <c r="A3074" t="s">
        <v>7032</v>
      </c>
      <c r="B3074" t="s">
        <v>957</v>
      </c>
      <c r="I3074" t="s">
        <v>2</v>
      </c>
      <c r="J3074" s="3">
        <v>-0.35207159999999998</v>
      </c>
      <c r="K3074" s="3">
        <v>-0.59610320000000006</v>
      </c>
      <c r="L3074" s="3">
        <v>-0.24912519999999999</v>
      </c>
    </row>
    <row r="3075" spans="1:12" x14ac:dyDescent="0.25">
      <c r="A3075" t="s">
        <v>7031</v>
      </c>
      <c r="B3075" t="s">
        <v>957</v>
      </c>
      <c r="I3075" t="s">
        <v>455</v>
      </c>
      <c r="J3075" s="3">
        <v>-0.119837</v>
      </c>
      <c r="K3075" s="3">
        <v>-0.28117259999999999</v>
      </c>
      <c r="L3075" s="3">
        <v>0.36680750000000001</v>
      </c>
    </row>
    <row r="3076" spans="1:12" x14ac:dyDescent="0.25">
      <c r="A3076" t="s">
        <v>7028</v>
      </c>
      <c r="B3076" t="s">
        <v>7029</v>
      </c>
      <c r="I3076" t="s">
        <v>7030</v>
      </c>
      <c r="J3076" s="3">
        <v>-0.53803160000000005</v>
      </c>
      <c r="K3076" s="3">
        <v>9.7937679999999999E-2</v>
      </c>
      <c r="L3076" s="3">
        <v>-0.2380757</v>
      </c>
    </row>
    <row r="3077" spans="1:12" x14ac:dyDescent="0.25">
      <c r="A3077" t="s">
        <v>7025</v>
      </c>
      <c r="B3077" t="s">
        <v>7026</v>
      </c>
      <c r="I3077" t="s">
        <v>7027</v>
      </c>
      <c r="J3077" s="3">
        <v>-8.5219840000000005E-2</v>
      </c>
      <c r="K3077" s="3">
        <v>-1.0579529999999999</v>
      </c>
      <c r="L3077" s="3">
        <v>-0.24518999999999999</v>
      </c>
    </row>
    <row r="3078" spans="1:12" x14ac:dyDescent="0.25">
      <c r="A3078" t="s">
        <v>7022</v>
      </c>
      <c r="B3078" t="s">
        <v>7023</v>
      </c>
      <c r="I3078" t="s">
        <v>7024</v>
      </c>
      <c r="J3078" s="3">
        <v>-0.37607099999999999</v>
      </c>
      <c r="K3078" s="3">
        <v>0.44909529999999998</v>
      </c>
      <c r="L3078" s="3">
        <v>-0.2415033</v>
      </c>
    </row>
    <row r="3079" spans="1:12" x14ac:dyDescent="0.25">
      <c r="A3079" t="s">
        <v>7019</v>
      </c>
      <c r="B3079" t="s">
        <v>7020</v>
      </c>
      <c r="I3079" t="s">
        <v>7021</v>
      </c>
      <c r="J3079" s="3">
        <v>-0.31939269999999997</v>
      </c>
      <c r="K3079" s="3">
        <v>-0.35221799999999998</v>
      </c>
      <c r="L3079" s="3">
        <v>-0.2234081</v>
      </c>
    </row>
    <row r="3080" spans="1:12" x14ac:dyDescent="0.25">
      <c r="A3080" t="s">
        <v>7018</v>
      </c>
      <c r="B3080" t="s">
        <v>957</v>
      </c>
      <c r="I3080" t="s">
        <v>455</v>
      </c>
      <c r="J3080" s="3">
        <v>-0.21775449999999999</v>
      </c>
      <c r="K3080" s="3">
        <v>-0.49709750000000003</v>
      </c>
      <c r="L3080" s="3">
        <v>-0.1191343</v>
      </c>
    </row>
    <row r="3081" spans="1:12" x14ac:dyDescent="0.25">
      <c r="A3081" t="s">
        <v>7016</v>
      </c>
      <c r="B3081" t="s">
        <v>7017</v>
      </c>
      <c r="I3081" t="s">
        <v>7015</v>
      </c>
      <c r="J3081" s="3">
        <v>-0.61467380000000005</v>
      </c>
      <c r="K3081" s="3">
        <v>0.42725200000000002</v>
      </c>
      <c r="L3081" s="3">
        <v>0.3954992</v>
      </c>
    </row>
    <row r="3082" spans="1:12" x14ac:dyDescent="0.25">
      <c r="A3082" t="s">
        <v>7013</v>
      </c>
      <c r="B3082" t="s">
        <v>7014</v>
      </c>
      <c r="I3082" t="s">
        <v>7015</v>
      </c>
      <c r="J3082" s="3">
        <v>0.77900910000000001</v>
      </c>
      <c r="K3082" s="3">
        <v>1.5185090000000001</v>
      </c>
      <c r="L3082" s="3">
        <v>1.0287980000000001</v>
      </c>
    </row>
    <row r="3083" spans="1:12" x14ac:dyDescent="0.25">
      <c r="A3083" t="s">
        <v>7012</v>
      </c>
      <c r="B3083" t="s">
        <v>957</v>
      </c>
      <c r="I3083" t="s">
        <v>156</v>
      </c>
      <c r="J3083" s="3">
        <v>-4.6788139999999999E-2</v>
      </c>
      <c r="K3083" s="3">
        <v>7.6861499999999999E-2</v>
      </c>
      <c r="L3083" s="3">
        <v>6.4741489999999999E-2</v>
      </c>
    </row>
    <row r="3084" spans="1:12" x14ac:dyDescent="0.25">
      <c r="A3084" t="s">
        <v>7009</v>
      </c>
      <c r="B3084" t="s">
        <v>7010</v>
      </c>
      <c r="I3084" t="s">
        <v>7011</v>
      </c>
      <c r="J3084" s="3">
        <v>-0.231798</v>
      </c>
      <c r="K3084" s="3">
        <v>-0.25070799999999999</v>
      </c>
      <c r="L3084" s="3">
        <v>-0.19827310000000001</v>
      </c>
    </row>
    <row r="3085" spans="1:12" x14ac:dyDescent="0.25">
      <c r="A3085" t="s">
        <v>7006</v>
      </c>
      <c r="B3085" t="s">
        <v>7007</v>
      </c>
      <c r="I3085" t="s">
        <v>7008</v>
      </c>
      <c r="J3085" s="3">
        <v>-0.24217079999999999</v>
      </c>
      <c r="K3085" s="3">
        <v>0.42835040000000002</v>
      </c>
      <c r="L3085" s="3">
        <v>-5.1442969999999998E-2</v>
      </c>
    </row>
    <row r="3086" spans="1:12" x14ac:dyDescent="0.25">
      <c r="A3086" t="s">
        <v>7005</v>
      </c>
      <c r="B3086" t="s">
        <v>957</v>
      </c>
      <c r="I3086" t="s">
        <v>455</v>
      </c>
      <c r="J3086" s="3">
        <v>0.33128079999999999</v>
      </c>
      <c r="K3086" s="3">
        <v>0.44309110000000002</v>
      </c>
      <c r="L3086" s="3">
        <v>-0.3739114</v>
      </c>
    </row>
    <row r="3087" spans="1:12" x14ac:dyDescent="0.25">
      <c r="A3087" t="s">
        <v>7003</v>
      </c>
      <c r="B3087" t="s">
        <v>7004</v>
      </c>
      <c r="I3087" t="s">
        <v>3145</v>
      </c>
      <c r="J3087" s="3">
        <v>0.21671509999999999</v>
      </c>
      <c r="K3087" s="3">
        <v>0.6091432</v>
      </c>
      <c r="L3087" s="3">
        <v>-9.2294630000000003E-2</v>
      </c>
    </row>
    <row r="3088" spans="1:12" x14ac:dyDescent="0.25">
      <c r="A3088" t="s">
        <v>7000</v>
      </c>
      <c r="B3088" t="s">
        <v>7001</v>
      </c>
      <c r="I3088" t="s">
        <v>7002</v>
      </c>
      <c r="J3088" s="3">
        <v>0.59946319999999997</v>
      </c>
      <c r="K3088" s="3">
        <v>1.701093</v>
      </c>
      <c r="L3088" s="3">
        <v>0.58800660000000005</v>
      </c>
    </row>
    <row r="3089" spans="1:12" x14ac:dyDescent="0.25">
      <c r="A3089" t="s">
        <v>6997</v>
      </c>
      <c r="B3089" t="s">
        <v>6998</v>
      </c>
      <c r="I3089" t="s">
        <v>6999</v>
      </c>
      <c r="J3089" s="3">
        <v>-0.1516546</v>
      </c>
      <c r="K3089" s="3">
        <v>-0.63191310000000001</v>
      </c>
      <c r="L3089" s="3">
        <v>9.3105750000000001E-2</v>
      </c>
    </row>
    <row r="3090" spans="1:12" x14ac:dyDescent="0.25">
      <c r="A3090" t="s">
        <v>6994</v>
      </c>
      <c r="B3090" t="s">
        <v>6995</v>
      </c>
      <c r="I3090" t="s">
        <v>6996</v>
      </c>
      <c r="J3090" s="3">
        <v>-0.81494670000000002</v>
      </c>
      <c r="K3090" s="3">
        <v>-1.1198650000000001</v>
      </c>
      <c r="L3090" s="3">
        <v>-0.74514130000000001</v>
      </c>
    </row>
    <row r="3091" spans="1:12" x14ac:dyDescent="0.25">
      <c r="A3091" t="s">
        <v>6991</v>
      </c>
      <c r="B3091" t="s">
        <v>6992</v>
      </c>
      <c r="I3091" t="s">
        <v>6993</v>
      </c>
      <c r="J3091" s="3">
        <v>-0.55410230000000005</v>
      </c>
      <c r="K3091" s="3">
        <v>-0.30754340000000002</v>
      </c>
      <c r="L3091" s="3">
        <v>-0.45075019999999999</v>
      </c>
    </row>
    <row r="3092" spans="1:12" x14ac:dyDescent="0.25">
      <c r="A3092" t="s">
        <v>6988</v>
      </c>
      <c r="B3092" t="s">
        <v>6989</v>
      </c>
      <c r="I3092" t="s">
        <v>6990</v>
      </c>
      <c r="J3092" s="3">
        <v>9.5462630000000007E-2</v>
      </c>
      <c r="K3092" s="3">
        <v>-0.23710249999999999</v>
      </c>
      <c r="L3092" s="3">
        <v>8.0719399999999997E-2</v>
      </c>
    </row>
    <row r="3093" spans="1:12" x14ac:dyDescent="0.25">
      <c r="A3093" t="s">
        <v>6985</v>
      </c>
      <c r="B3093" t="s">
        <v>6986</v>
      </c>
      <c r="I3093" t="s">
        <v>6987</v>
      </c>
      <c r="J3093" s="3">
        <v>-0.63091439999999999</v>
      </c>
      <c r="K3093" s="3">
        <v>-0.87565910000000002</v>
      </c>
      <c r="L3093" s="3">
        <v>-9.7047300000000003E-2</v>
      </c>
    </row>
    <row r="3094" spans="1:12" x14ac:dyDescent="0.25">
      <c r="A3094" t="s">
        <v>6983</v>
      </c>
      <c r="B3094" t="s">
        <v>14204</v>
      </c>
      <c r="C3094" t="s">
        <v>14205</v>
      </c>
      <c r="I3094" t="s">
        <v>6984</v>
      </c>
      <c r="J3094" s="3">
        <v>0.67456760000000004</v>
      </c>
      <c r="K3094" s="3">
        <v>0.80477299999999996</v>
      </c>
      <c r="L3094" s="3">
        <v>0.72201689999999996</v>
      </c>
    </row>
    <row r="3095" spans="1:12" x14ac:dyDescent="0.25">
      <c r="A3095" t="s">
        <v>6980</v>
      </c>
      <c r="B3095" t="s">
        <v>6981</v>
      </c>
      <c r="I3095" t="s">
        <v>6982</v>
      </c>
      <c r="J3095" s="3">
        <v>0.72020499999999998</v>
      </c>
      <c r="K3095" s="3">
        <v>9.2931719999999995E-2</v>
      </c>
      <c r="L3095" s="3">
        <v>0.85391660000000003</v>
      </c>
    </row>
    <row r="3096" spans="1:12" x14ac:dyDescent="0.25">
      <c r="A3096" t="s">
        <v>6977</v>
      </c>
      <c r="B3096" t="s">
        <v>6978</v>
      </c>
      <c r="I3096" t="s">
        <v>6979</v>
      </c>
      <c r="J3096" s="3">
        <v>-0.35565980000000003</v>
      </c>
      <c r="K3096" s="3">
        <v>-0.28088679999999999</v>
      </c>
      <c r="L3096" s="3">
        <v>-0.2952497</v>
      </c>
    </row>
    <row r="3097" spans="1:12" x14ac:dyDescent="0.25">
      <c r="A3097" t="s">
        <v>6974</v>
      </c>
      <c r="B3097" t="s">
        <v>6975</v>
      </c>
      <c r="I3097" t="s">
        <v>6976</v>
      </c>
      <c r="J3097" s="3">
        <v>-0.2034117</v>
      </c>
      <c r="K3097" s="3">
        <v>-0.20967340000000001</v>
      </c>
      <c r="L3097" s="3">
        <v>0.44300339999999999</v>
      </c>
    </row>
    <row r="3098" spans="1:12" x14ac:dyDescent="0.25">
      <c r="A3098" t="s">
        <v>6971</v>
      </c>
      <c r="B3098" t="s">
        <v>6972</v>
      </c>
      <c r="I3098" t="s">
        <v>6973</v>
      </c>
      <c r="J3098" s="3">
        <v>1.6660189999999998E-2</v>
      </c>
      <c r="K3098" s="3">
        <v>0.1543804</v>
      </c>
      <c r="L3098" s="3">
        <v>0.10771219999999999</v>
      </c>
    </row>
    <row r="3099" spans="1:12" x14ac:dyDescent="0.25">
      <c r="A3099" t="s">
        <v>6968</v>
      </c>
      <c r="B3099" t="s">
        <v>6969</v>
      </c>
      <c r="I3099" t="s">
        <v>6970</v>
      </c>
      <c r="J3099" s="3">
        <v>-0.2125098</v>
      </c>
      <c r="K3099" s="3">
        <v>-0.51219420000000004</v>
      </c>
      <c r="L3099" s="3">
        <v>-0.21642140000000001</v>
      </c>
    </row>
    <row r="3100" spans="1:12" x14ac:dyDescent="0.25">
      <c r="A3100" t="s">
        <v>6965</v>
      </c>
      <c r="B3100" t="s">
        <v>6966</v>
      </c>
      <c r="I3100" t="s">
        <v>6967</v>
      </c>
      <c r="J3100" s="3">
        <v>-0.24432039999999999</v>
      </c>
      <c r="K3100" s="3">
        <v>-0.49640820000000002</v>
      </c>
      <c r="L3100" s="3">
        <v>-0.32390750000000001</v>
      </c>
    </row>
    <row r="3101" spans="1:12" x14ac:dyDescent="0.25">
      <c r="A3101" t="s">
        <v>6963</v>
      </c>
      <c r="B3101" t="s">
        <v>6964</v>
      </c>
      <c r="I3101" t="s">
        <v>5238</v>
      </c>
      <c r="J3101" s="3">
        <v>0.28145019999999998</v>
      </c>
      <c r="K3101" s="3">
        <v>0.32247389999999998</v>
      </c>
      <c r="L3101" s="3">
        <v>0.36642059999999999</v>
      </c>
    </row>
    <row r="3102" spans="1:12" x14ac:dyDescent="0.25">
      <c r="A3102" t="s">
        <v>6960</v>
      </c>
      <c r="B3102" t="s">
        <v>6961</v>
      </c>
      <c r="I3102" t="s">
        <v>6962</v>
      </c>
      <c r="J3102" s="3">
        <v>-0.21596460000000001</v>
      </c>
      <c r="K3102" s="3">
        <v>-0.53593579999999996</v>
      </c>
      <c r="L3102" s="3">
        <v>4.7798830000000004E-3</v>
      </c>
    </row>
    <row r="3103" spans="1:12" x14ac:dyDescent="0.25">
      <c r="A3103" t="s">
        <v>5906</v>
      </c>
      <c r="B3103" t="s">
        <v>5907</v>
      </c>
      <c r="I3103" t="s">
        <v>6959</v>
      </c>
      <c r="J3103" s="3">
        <v>1.7343299999999999E-2</v>
      </c>
      <c r="K3103" s="3">
        <v>-0.67548680000000005</v>
      </c>
      <c r="L3103" s="3">
        <v>-0.72108570000000005</v>
      </c>
    </row>
    <row r="3104" spans="1:12" x14ac:dyDescent="0.25">
      <c r="A3104" t="s">
        <v>5903</v>
      </c>
      <c r="B3104" t="s">
        <v>5904</v>
      </c>
      <c r="I3104" t="s">
        <v>5905</v>
      </c>
      <c r="J3104" s="3">
        <v>-0.14271039999999999</v>
      </c>
      <c r="K3104" s="3">
        <v>-0.45974749999999998</v>
      </c>
      <c r="L3104" s="3">
        <v>-8.5727579999999998E-2</v>
      </c>
    </row>
    <row r="3105" spans="1:12" x14ac:dyDescent="0.25">
      <c r="A3105" t="s">
        <v>5900</v>
      </c>
      <c r="B3105" t="s">
        <v>5901</v>
      </c>
      <c r="I3105" t="s">
        <v>5902</v>
      </c>
      <c r="J3105" s="3">
        <v>0.18666959999999999</v>
      </c>
      <c r="K3105" s="3">
        <v>-0.34032230000000002</v>
      </c>
      <c r="L3105" s="3">
        <v>5.202552E-3</v>
      </c>
    </row>
    <row r="3106" spans="1:12" x14ac:dyDescent="0.25">
      <c r="A3106" t="s">
        <v>5899</v>
      </c>
      <c r="B3106" t="s">
        <v>957</v>
      </c>
      <c r="I3106" t="s">
        <v>1973</v>
      </c>
      <c r="J3106" s="3">
        <v>-0.28031709999999999</v>
      </c>
      <c r="K3106" s="3">
        <v>-0.36986269999999999</v>
      </c>
      <c r="L3106" s="3">
        <v>5.522846E-2</v>
      </c>
    </row>
    <row r="3107" spans="1:12" x14ac:dyDescent="0.25">
      <c r="A3107" t="s">
        <v>5896</v>
      </c>
      <c r="B3107" t="s">
        <v>5897</v>
      </c>
      <c r="I3107" t="s">
        <v>5898</v>
      </c>
      <c r="J3107" s="3">
        <v>-0.23754449999999999</v>
      </c>
      <c r="K3107" s="3">
        <v>0.23781669999999999</v>
      </c>
      <c r="L3107" s="3">
        <v>-0.3686815</v>
      </c>
    </row>
    <row r="3108" spans="1:12" x14ac:dyDescent="0.25">
      <c r="A3108" t="s">
        <v>5893</v>
      </c>
      <c r="B3108" t="s">
        <v>5894</v>
      </c>
      <c r="I3108" t="s">
        <v>5895</v>
      </c>
      <c r="J3108" s="3">
        <v>0.29722349999999997</v>
      </c>
      <c r="K3108" s="3">
        <v>0.49349510000000002</v>
      </c>
      <c r="L3108" s="3">
        <v>0.50460289999999997</v>
      </c>
    </row>
    <row r="3109" spans="1:12" x14ac:dyDescent="0.25">
      <c r="A3109" t="s">
        <v>5890</v>
      </c>
      <c r="B3109" t="s">
        <v>5891</v>
      </c>
      <c r="I3109" t="s">
        <v>5892</v>
      </c>
      <c r="J3109" s="3">
        <v>-5.7168239999999997E-3</v>
      </c>
      <c r="K3109" s="3">
        <v>-0.22397020000000001</v>
      </c>
      <c r="L3109" s="3">
        <v>-0.17233560000000001</v>
      </c>
    </row>
    <row r="3110" spans="1:12" x14ac:dyDescent="0.25">
      <c r="A3110" t="s">
        <v>5887</v>
      </c>
      <c r="B3110" t="s">
        <v>5888</v>
      </c>
      <c r="I3110" t="s">
        <v>5889</v>
      </c>
      <c r="J3110" s="3">
        <v>-0.68423630000000002</v>
      </c>
      <c r="K3110" s="3">
        <v>-0.92136249999999997</v>
      </c>
      <c r="L3110" s="3">
        <v>-0.59913070000000002</v>
      </c>
    </row>
    <row r="3111" spans="1:12" x14ac:dyDescent="0.25">
      <c r="A3111" t="s">
        <v>6930</v>
      </c>
      <c r="B3111" t="s">
        <v>6931</v>
      </c>
      <c r="I3111" t="s">
        <v>5886</v>
      </c>
      <c r="J3111" s="3">
        <v>-0.40285209999999999</v>
      </c>
      <c r="K3111" s="3">
        <v>-1.052152</v>
      </c>
      <c r="L3111" s="3">
        <v>-0.56830510000000001</v>
      </c>
    </row>
    <row r="3112" spans="1:12" x14ac:dyDescent="0.25">
      <c r="A3112" t="s">
        <v>6929</v>
      </c>
      <c r="B3112" t="s">
        <v>957</v>
      </c>
      <c r="I3112" t="s">
        <v>455</v>
      </c>
      <c r="J3112" s="3">
        <v>-7.7417459999999994E-2</v>
      </c>
      <c r="K3112" s="3">
        <v>-1.256991</v>
      </c>
      <c r="L3112" s="3">
        <v>-0.1440583</v>
      </c>
    </row>
    <row r="3113" spans="1:12" x14ac:dyDescent="0.25">
      <c r="A3113" t="s">
        <v>6926</v>
      </c>
      <c r="B3113" t="s">
        <v>6927</v>
      </c>
      <c r="I3113" t="s">
        <v>6928</v>
      </c>
      <c r="J3113" s="3">
        <v>0.1659931</v>
      </c>
      <c r="K3113" s="3">
        <v>0.11374339999999999</v>
      </c>
      <c r="L3113" s="3">
        <v>0.1666569</v>
      </c>
    </row>
    <row r="3114" spans="1:12" x14ac:dyDescent="0.25">
      <c r="A3114" t="s">
        <v>6923</v>
      </c>
      <c r="B3114" t="s">
        <v>6924</v>
      </c>
      <c r="I3114" t="s">
        <v>6925</v>
      </c>
      <c r="J3114" s="3">
        <v>0.45982849999999997</v>
      </c>
      <c r="K3114" s="3">
        <v>0.257442</v>
      </c>
      <c r="L3114" s="3">
        <v>8.0514080000000002E-2</v>
      </c>
    </row>
    <row r="3115" spans="1:12" x14ac:dyDescent="0.25">
      <c r="A3115" t="s">
        <v>6920</v>
      </c>
      <c r="B3115" t="s">
        <v>6921</v>
      </c>
      <c r="I3115" t="s">
        <v>6922</v>
      </c>
      <c r="J3115" s="3">
        <v>0.15274650000000001</v>
      </c>
      <c r="K3115" s="3">
        <v>-3.7842140000000003E-2</v>
      </c>
      <c r="L3115" s="3">
        <v>0.35581190000000001</v>
      </c>
    </row>
    <row r="3116" spans="1:12" x14ac:dyDescent="0.25">
      <c r="A3116" t="s">
        <v>6919</v>
      </c>
      <c r="B3116" t="s">
        <v>957</v>
      </c>
      <c r="I3116" t="s">
        <v>455</v>
      </c>
      <c r="J3116" s="3">
        <v>0.35037069999999998</v>
      </c>
      <c r="K3116" s="3">
        <v>0.76715659999999997</v>
      </c>
      <c r="L3116" s="3">
        <v>0.63741930000000002</v>
      </c>
    </row>
    <row r="3117" spans="1:12" x14ac:dyDescent="0.25">
      <c r="A3117" t="s">
        <v>6916</v>
      </c>
      <c r="B3117" t="s">
        <v>6917</v>
      </c>
      <c r="I3117" t="s">
        <v>6918</v>
      </c>
      <c r="J3117" s="3">
        <v>-0.36343379999999997</v>
      </c>
      <c r="K3117" s="3">
        <v>-0.93944899999999998</v>
      </c>
      <c r="L3117" s="3">
        <v>-0.41486709999999999</v>
      </c>
    </row>
    <row r="3118" spans="1:12" x14ac:dyDescent="0.25">
      <c r="A3118" t="s">
        <v>6913</v>
      </c>
      <c r="B3118" t="s">
        <v>6914</v>
      </c>
      <c r="I3118" t="s">
        <v>6915</v>
      </c>
      <c r="J3118" s="3">
        <v>1.1075600000000001</v>
      </c>
      <c r="K3118" s="3">
        <v>0.95062860000000005</v>
      </c>
      <c r="L3118" s="3">
        <v>0.2191091</v>
      </c>
    </row>
    <row r="3119" spans="1:12" x14ac:dyDescent="0.25">
      <c r="A3119" t="s">
        <v>6910</v>
      </c>
      <c r="B3119" t="s">
        <v>6911</v>
      </c>
      <c r="I3119" t="s">
        <v>6912</v>
      </c>
      <c r="J3119" s="3">
        <v>-0.98096899999999998</v>
      </c>
      <c r="K3119" s="3">
        <v>-1.583</v>
      </c>
      <c r="L3119" s="3">
        <v>-1.0912630000000001</v>
      </c>
    </row>
    <row r="3120" spans="1:12" x14ac:dyDescent="0.25">
      <c r="A3120" t="s">
        <v>6908</v>
      </c>
      <c r="B3120" t="s">
        <v>957</v>
      </c>
      <c r="I3120" t="s">
        <v>6909</v>
      </c>
      <c r="J3120" s="3">
        <v>-6.5165710000000002E-2</v>
      </c>
      <c r="K3120" s="3">
        <v>-0.56678779999999995</v>
      </c>
      <c r="L3120" s="3">
        <v>-0.36465330000000001</v>
      </c>
    </row>
    <row r="3121" spans="1:12" x14ac:dyDescent="0.25">
      <c r="A3121" t="s">
        <v>6906</v>
      </c>
      <c r="B3121" t="s">
        <v>957</v>
      </c>
      <c r="I3121" t="s">
        <v>6907</v>
      </c>
      <c r="J3121" s="3">
        <v>-0.27082279999999997</v>
      </c>
      <c r="K3121" s="3">
        <v>-0.3205134</v>
      </c>
      <c r="L3121" s="3">
        <v>-0.4644624</v>
      </c>
    </row>
    <row r="3122" spans="1:12" x14ac:dyDescent="0.25">
      <c r="A3122" t="s">
        <v>6903</v>
      </c>
      <c r="B3122" t="s">
        <v>6904</v>
      </c>
      <c r="I3122" t="s">
        <v>6905</v>
      </c>
      <c r="J3122" s="3">
        <v>-2.0316959999999998E-2</v>
      </c>
      <c r="K3122" s="3">
        <v>0.41092079999999997</v>
      </c>
      <c r="L3122" s="3">
        <v>0.16745699999999999</v>
      </c>
    </row>
    <row r="3123" spans="1:12" x14ac:dyDescent="0.25">
      <c r="A3123" t="s">
        <v>5852</v>
      </c>
      <c r="B3123" t="s">
        <v>5853</v>
      </c>
      <c r="I3123" t="s">
        <v>6902</v>
      </c>
      <c r="J3123" s="3">
        <v>-0.42063060000000002</v>
      </c>
      <c r="K3123" s="3">
        <v>-0.18145059999999999</v>
      </c>
      <c r="L3123" s="3">
        <v>-0.12853500000000001</v>
      </c>
    </row>
    <row r="3124" spans="1:12" x14ac:dyDescent="0.25">
      <c r="A3124" t="s">
        <v>5851</v>
      </c>
      <c r="B3124" t="s">
        <v>957</v>
      </c>
      <c r="I3124" t="s">
        <v>455</v>
      </c>
      <c r="J3124" s="3">
        <v>-0.15464530000000001</v>
      </c>
      <c r="K3124" s="3">
        <v>0.14675550000000001</v>
      </c>
      <c r="L3124" s="3">
        <v>-5.2677990000000001E-2</v>
      </c>
    </row>
    <row r="3125" spans="1:12" x14ac:dyDescent="0.25">
      <c r="A3125" t="s">
        <v>5848</v>
      </c>
      <c r="B3125" t="s">
        <v>5849</v>
      </c>
      <c r="I3125" t="s">
        <v>5850</v>
      </c>
      <c r="J3125" s="3">
        <v>-0.1838283</v>
      </c>
      <c r="K3125" s="3">
        <v>-3.7293949999999999E-2</v>
      </c>
      <c r="L3125" s="3">
        <v>-7.8303750000000005E-2</v>
      </c>
    </row>
    <row r="3126" spans="1:12" x14ac:dyDescent="0.25">
      <c r="A3126" t="s">
        <v>5846</v>
      </c>
      <c r="B3126" t="s">
        <v>5847</v>
      </c>
      <c r="I3126" t="s">
        <v>4888</v>
      </c>
      <c r="J3126" s="3">
        <v>2.424861E-2</v>
      </c>
      <c r="K3126" s="3">
        <v>0.21868570000000001</v>
      </c>
      <c r="L3126" s="3">
        <v>-8.5398009999999996E-2</v>
      </c>
    </row>
    <row r="3127" spans="1:12" x14ac:dyDescent="0.25">
      <c r="A3127" t="s">
        <v>5843</v>
      </c>
      <c r="B3127" t="s">
        <v>5844</v>
      </c>
      <c r="I3127" t="s">
        <v>5845</v>
      </c>
      <c r="J3127" s="3">
        <v>-0.76864060000000001</v>
      </c>
      <c r="K3127" s="3">
        <v>-1.0770390000000001</v>
      </c>
      <c r="L3127" s="3">
        <v>-0.73418669999999997</v>
      </c>
    </row>
    <row r="3128" spans="1:12" x14ac:dyDescent="0.25">
      <c r="A3128" t="s">
        <v>5840</v>
      </c>
      <c r="B3128" t="s">
        <v>5841</v>
      </c>
      <c r="I3128" t="s">
        <v>5842</v>
      </c>
      <c r="J3128" s="3">
        <v>-0.62700869999999997</v>
      </c>
      <c r="K3128" s="3">
        <v>-0.92054999999999998</v>
      </c>
      <c r="L3128" s="3">
        <v>3.7713919999999998E-2</v>
      </c>
    </row>
    <row r="3129" spans="1:12" x14ac:dyDescent="0.25">
      <c r="A3129" t="s">
        <v>5837</v>
      </c>
      <c r="B3129" t="s">
        <v>5838</v>
      </c>
      <c r="I3129" t="s">
        <v>5839</v>
      </c>
      <c r="J3129" s="3">
        <v>-0.23195399999999999</v>
      </c>
      <c r="K3129" s="3">
        <v>-0.67247679999999999</v>
      </c>
      <c r="L3129" s="3">
        <v>-0.1519411</v>
      </c>
    </row>
    <row r="3130" spans="1:12" x14ac:dyDescent="0.25">
      <c r="A3130" t="s">
        <v>5834</v>
      </c>
      <c r="B3130" t="s">
        <v>5835</v>
      </c>
      <c r="I3130" t="s">
        <v>5836</v>
      </c>
      <c r="J3130" s="3">
        <v>-0.1481672</v>
      </c>
      <c r="K3130" s="3">
        <v>-7.5322210000000001E-2</v>
      </c>
      <c r="L3130" s="3">
        <v>-0.38783529999999999</v>
      </c>
    </row>
    <row r="3131" spans="1:12" x14ac:dyDescent="0.25">
      <c r="A3131" t="s">
        <v>5831</v>
      </c>
      <c r="B3131" t="s">
        <v>5832</v>
      </c>
      <c r="I3131" t="s">
        <v>5833</v>
      </c>
      <c r="J3131" s="3">
        <v>0.1544557</v>
      </c>
      <c r="K3131" s="3">
        <v>1.9087860000000002E-2</v>
      </c>
      <c r="L3131" s="3">
        <v>0.4655398</v>
      </c>
    </row>
    <row r="3132" spans="1:12" x14ac:dyDescent="0.25">
      <c r="A3132" t="s">
        <v>5828</v>
      </c>
      <c r="B3132" t="s">
        <v>5829</v>
      </c>
      <c r="I3132" t="s">
        <v>5830</v>
      </c>
      <c r="J3132" s="3">
        <v>-0.15502589999999999</v>
      </c>
      <c r="K3132" s="3">
        <v>-0.1125357</v>
      </c>
      <c r="L3132" s="3">
        <v>-0.3374991</v>
      </c>
    </row>
    <row r="3133" spans="1:12" x14ac:dyDescent="0.25">
      <c r="A3133" t="s">
        <v>5827</v>
      </c>
      <c r="B3133" t="s">
        <v>957</v>
      </c>
      <c r="I3133" t="s">
        <v>455</v>
      </c>
      <c r="J3133" s="3">
        <v>-0.42234959999999999</v>
      </c>
      <c r="K3133" s="3">
        <v>-0.70092290000000002</v>
      </c>
      <c r="L3133" s="3">
        <v>-0.50051559999999995</v>
      </c>
    </row>
    <row r="3134" spans="1:12" x14ac:dyDescent="0.25">
      <c r="A3134" t="s">
        <v>5824</v>
      </c>
      <c r="B3134" t="s">
        <v>5825</v>
      </c>
      <c r="I3134" t="s">
        <v>5826</v>
      </c>
      <c r="J3134" s="3">
        <v>-3.4495789999999998E-2</v>
      </c>
      <c r="K3134" s="3">
        <v>-0.33033580000000001</v>
      </c>
      <c r="L3134" s="3">
        <v>-0.1103145</v>
      </c>
    </row>
    <row r="3135" spans="1:12" x14ac:dyDescent="0.25">
      <c r="A3135" t="s">
        <v>5821</v>
      </c>
      <c r="B3135" t="s">
        <v>5822</v>
      </c>
      <c r="I3135" t="s">
        <v>5823</v>
      </c>
      <c r="J3135" s="3">
        <v>-0.75196070000000004</v>
      </c>
      <c r="K3135" s="3">
        <v>-1.117561</v>
      </c>
      <c r="L3135" s="3">
        <v>-0.22517300000000001</v>
      </c>
    </row>
    <row r="3136" spans="1:12" x14ac:dyDescent="0.25">
      <c r="A3136" t="s">
        <v>5820</v>
      </c>
      <c r="B3136" t="s">
        <v>957</v>
      </c>
      <c r="I3136" t="s">
        <v>455</v>
      </c>
      <c r="J3136" s="3">
        <v>1.621988</v>
      </c>
      <c r="K3136" s="3">
        <v>2.0763820000000002</v>
      </c>
      <c r="L3136" s="3">
        <v>1.1915979999999999</v>
      </c>
    </row>
    <row r="3137" spans="1:12" x14ac:dyDescent="0.25">
      <c r="A3137" t="s">
        <v>5817</v>
      </c>
      <c r="B3137" t="s">
        <v>5818</v>
      </c>
      <c r="I3137" t="s">
        <v>5819</v>
      </c>
      <c r="J3137" s="3">
        <v>0.56030029999999997</v>
      </c>
      <c r="K3137" s="3">
        <v>1.0442560000000001</v>
      </c>
      <c r="L3137" s="3">
        <v>9.5001579999999999E-3</v>
      </c>
    </row>
    <row r="3138" spans="1:12" x14ac:dyDescent="0.25">
      <c r="A3138" t="s">
        <v>5814</v>
      </c>
      <c r="B3138" t="s">
        <v>5815</v>
      </c>
      <c r="I3138" t="s">
        <v>5816</v>
      </c>
      <c r="J3138" s="3">
        <v>0.24891769999999999</v>
      </c>
      <c r="K3138" s="3">
        <v>7.3709520000000001E-2</v>
      </c>
      <c r="L3138" s="3">
        <v>-0.26291930000000002</v>
      </c>
    </row>
    <row r="3139" spans="1:12" x14ac:dyDescent="0.25">
      <c r="A3139" t="s">
        <v>5811</v>
      </c>
      <c r="B3139" t="s">
        <v>5812</v>
      </c>
      <c r="I3139" t="s">
        <v>5813</v>
      </c>
      <c r="J3139" s="3">
        <v>-0.99666149999999998</v>
      </c>
      <c r="K3139" s="3">
        <v>-1.044052</v>
      </c>
      <c r="L3139" s="3">
        <v>-0.64797979999999999</v>
      </c>
    </row>
    <row r="3140" spans="1:12" x14ac:dyDescent="0.25">
      <c r="A3140" t="s">
        <v>5808</v>
      </c>
      <c r="B3140" t="s">
        <v>5809</v>
      </c>
      <c r="I3140" t="s">
        <v>5810</v>
      </c>
      <c r="J3140" s="3">
        <v>-0.32564769999999998</v>
      </c>
      <c r="K3140" s="3">
        <v>-0.88573219999999997</v>
      </c>
      <c r="L3140" s="3">
        <v>-0.57703130000000002</v>
      </c>
    </row>
    <row r="3141" spans="1:12" x14ac:dyDescent="0.25">
      <c r="A3141" t="s">
        <v>5805</v>
      </c>
      <c r="B3141" t="s">
        <v>5806</v>
      </c>
      <c r="I3141" t="s">
        <v>5807</v>
      </c>
      <c r="J3141" s="3">
        <v>0.44956160000000001</v>
      </c>
      <c r="K3141" s="3">
        <v>1.187692</v>
      </c>
      <c r="L3141" s="3">
        <v>-4.4162760000000002E-2</v>
      </c>
    </row>
    <row r="3142" spans="1:12" x14ac:dyDescent="0.25">
      <c r="A3142" t="s">
        <v>5804</v>
      </c>
      <c r="B3142" t="s">
        <v>957</v>
      </c>
      <c r="I3142" t="s">
        <v>455</v>
      </c>
      <c r="J3142" s="3">
        <v>0.1841013</v>
      </c>
      <c r="K3142" s="3">
        <v>0.45969690000000002</v>
      </c>
      <c r="L3142" s="3">
        <v>0.37667460000000003</v>
      </c>
    </row>
    <row r="3143" spans="1:12" x14ac:dyDescent="0.25">
      <c r="A3143" t="s">
        <v>5801</v>
      </c>
      <c r="B3143" t="s">
        <v>5802</v>
      </c>
      <c r="I3143" t="s">
        <v>5803</v>
      </c>
      <c r="J3143" s="3">
        <v>-0.2601617</v>
      </c>
      <c r="K3143" s="3">
        <v>3.014004E-2</v>
      </c>
      <c r="L3143" s="3">
        <v>-0.1151795</v>
      </c>
    </row>
    <row r="3144" spans="1:12" x14ac:dyDescent="0.25">
      <c r="A3144" t="s">
        <v>5798</v>
      </c>
      <c r="B3144" t="s">
        <v>5799</v>
      </c>
      <c r="I3144" t="s">
        <v>5800</v>
      </c>
      <c r="J3144" s="3">
        <v>-0.1564934</v>
      </c>
      <c r="K3144" s="3">
        <v>0.10741439999999999</v>
      </c>
      <c r="L3144" s="3">
        <v>-0.13626089999999999</v>
      </c>
    </row>
    <row r="3145" spans="1:12" x14ac:dyDescent="0.25">
      <c r="A3145" t="s">
        <v>5795</v>
      </c>
      <c r="B3145" t="s">
        <v>5796</v>
      </c>
      <c r="I3145" t="s">
        <v>5797</v>
      </c>
      <c r="J3145" s="3">
        <v>0.2270905</v>
      </c>
      <c r="K3145" s="3">
        <v>-0.27889740000000002</v>
      </c>
      <c r="L3145" s="3">
        <v>0.1505156</v>
      </c>
    </row>
    <row r="3146" spans="1:12" x14ac:dyDescent="0.25">
      <c r="A3146" t="s">
        <v>5792</v>
      </c>
      <c r="B3146" t="s">
        <v>5793</v>
      </c>
      <c r="I3146" t="s">
        <v>5794</v>
      </c>
      <c r="J3146" s="3">
        <v>0.40685900000000003</v>
      </c>
      <c r="K3146" s="3">
        <v>0.44637559999999998</v>
      </c>
      <c r="L3146" s="3">
        <v>0.40542600000000001</v>
      </c>
    </row>
    <row r="3147" spans="1:12" x14ac:dyDescent="0.25">
      <c r="A3147" t="s">
        <v>5791</v>
      </c>
      <c r="B3147" t="s">
        <v>957</v>
      </c>
      <c r="I3147" t="s">
        <v>455</v>
      </c>
      <c r="J3147" s="3">
        <v>-0.8212043</v>
      </c>
      <c r="K3147" s="3">
        <v>-1.305849</v>
      </c>
      <c r="L3147" s="3">
        <v>-0.33333940000000001</v>
      </c>
    </row>
    <row r="3148" spans="1:12" x14ac:dyDescent="0.25">
      <c r="A3148" t="s">
        <v>5788</v>
      </c>
      <c r="B3148" t="s">
        <v>5789</v>
      </c>
      <c r="I3148" t="s">
        <v>5790</v>
      </c>
      <c r="J3148" s="3">
        <v>0.69141980000000003</v>
      </c>
      <c r="K3148" s="3">
        <v>0.60685109999999998</v>
      </c>
      <c r="L3148" s="3">
        <v>0.37604860000000001</v>
      </c>
    </row>
    <row r="3149" spans="1:12" x14ac:dyDescent="0.25">
      <c r="A3149" t="s">
        <v>5787</v>
      </c>
      <c r="B3149" t="s">
        <v>957</v>
      </c>
      <c r="I3149" t="s">
        <v>455</v>
      </c>
      <c r="J3149" s="3">
        <v>6.5543850000000001E-2</v>
      </c>
      <c r="K3149" s="3">
        <v>-0.27580890000000002</v>
      </c>
      <c r="L3149" s="3">
        <v>-6.7344139999999997E-2</v>
      </c>
    </row>
    <row r="3150" spans="1:12" x14ac:dyDescent="0.25">
      <c r="A3150" t="s">
        <v>5784</v>
      </c>
      <c r="B3150" t="s">
        <v>5785</v>
      </c>
      <c r="I3150" t="s">
        <v>5786</v>
      </c>
      <c r="J3150" s="3">
        <v>-5.2636469999999998E-2</v>
      </c>
      <c r="K3150" s="3">
        <v>-0.12776090000000001</v>
      </c>
      <c r="L3150" s="3">
        <v>-1.537986E-2</v>
      </c>
    </row>
    <row r="3151" spans="1:12" x14ac:dyDescent="0.25">
      <c r="A3151" t="s">
        <v>5783</v>
      </c>
      <c r="B3151" t="s">
        <v>957</v>
      </c>
      <c r="I3151" t="s">
        <v>3537</v>
      </c>
      <c r="J3151" s="3">
        <v>0.1037114</v>
      </c>
      <c r="K3151" s="3">
        <v>-0.13371079999999999</v>
      </c>
      <c r="L3151" s="3">
        <v>0.14460819999999999</v>
      </c>
    </row>
    <row r="3152" spans="1:12" x14ac:dyDescent="0.25">
      <c r="A3152" t="s">
        <v>5780</v>
      </c>
      <c r="B3152" t="s">
        <v>5781</v>
      </c>
      <c r="I3152" t="s">
        <v>5782</v>
      </c>
      <c r="J3152" s="3">
        <v>-7.1228239999999998E-2</v>
      </c>
      <c r="K3152" s="3">
        <v>-0.1113857</v>
      </c>
      <c r="L3152" s="3">
        <v>-0.1229774</v>
      </c>
    </row>
    <row r="3153" spans="1:12" x14ac:dyDescent="0.25">
      <c r="A3153" t="s">
        <v>6831</v>
      </c>
      <c r="B3153" t="s">
        <v>6832</v>
      </c>
      <c r="I3153" t="s">
        <v>5779</v>
      </c>
      <c r="J3153" s="3">
        <v>-0.89430449999999995</v>
      </c>
      <c r="K3153" s="3">
        <v>-1.026313</v>
      </c>
      <c r="L3153" s="3">
        <v>-0.65307789999999999</v>
      </c>
    </row>
    <row r="3154" spans="1:12" x14ac:dyDescent="0.25">
      <c r="A3154" t="s">
        <v>6830</v>
      </c>
      <c r="B3154" t="s">
        <v>957</v>
      </c>
      <c r="I3154" t="s">
        <v>614</v>
      </c>
      <c r="J3154" s="3">
        <v>-0.38635989999999998</v>
      </c>
      <c r="K3154" s="3">
        <v>1.0553380000000001</v>
      </c>
      <c r="L3154" s="3">
        <v>-0.32194060000000002</v>
      </c>
    </row>
    <row r="3155" spans="1:12" x14ac:dyDescent="0.25">
      <c r="A3155" t="s">
        <v>6829</v>
      </c>
      <c r="B3155" t="s">
        <v>957</v>
      </c>
      <c r="I3155" t="s">
        <v>455</v>
      </c>
      <c r="J3155" s="3">
        <v>4.605033E-2</v>
      </c>
      <c r="K3155" s="3">
        <v>0.1074947</v>
      </c>
      <c r="L3155" s="3">
        <v>0.57302470000000005</v>
      </c>
    </row>
    <row r="3156" spans="1:12" x14ac:dyDescent="0.25">
      <c r="A3156" t="s">
        <v>6828</v>
      </c>
      <c r="B3156" t="s">
        <v>957</v>
      </c>
      <c r="I3156" t="s">
        <v>455</v>
      </c>
      <c r="J3156" s="3">
        <v>0.76051329999999995</v>
      </c>
      <c r="K3156" s="3">
        <v>1.344384</v>
      </c>
      <c r="L3156" s="3">
        <v>0.46662169999999997</v>
      </c>
    </row>
    <row r="3157" spans="1:12" x14ac:dyDescent="0.25">
      <c r="A3157" t="s">
        <v>6827</v>
      </c>
      <c r="B3157" t="s">
        <v>957</v>
      </c>
      <c r="I3157" t="s">
        <v>455</v>
      </c>
      <c r="J3157" s="3">
        <v>0.76863539999999997</v>
      </c>
      <c r="K3157" s="3">
        <v>1.2309369999999999</v>
      </c>
      <c r="L3157" s="3">
        <v>0.59230380000000005</v>
      </c>
    </row>
    <row r="3158" spans="1:12" x14ac:dyDescent="0.25">
      <c r="A3158" t="s">
        <v>6824</v>
      </c>
      <c r="B3158" t="s">
        <v>6825</v>
      </c>
      <c r="I3158" t="s">
        <v>6826</v>
      </c>
      <c r="J3158" s="3">
        <v>-0.27852310000000002</v>
      </c>
      <c r="K3158" s="3">
        <v>-0.32382080000000002</v>
      </c>
      <c r="L3158" s="3">
        <v>-0.36932229999999999</v>
      </c>
    </row>
    <row r="3159" spans="1:12" x14ac:dyDescent="0.25">
      <c r="A3159" t="s">
        <v>6821</v>
      </c>
      <c r="B3159" t="s">
        <v>6822</v>
      </c>
      <c r="I3159" t="s">
        <v>6823</v>
      </c>
      <c r="J3159" s="3">
        <v>0.1536923</v>
      </c>
      <c r="K3159" s="3">
        <v>-9.1424130000000006E-2</v>
      </c>
      <c r="L3159" s="3">
        <v>9.6927100000000002E-2</v>
      </c>
    </row>
    <row r="3160" spans="1:12" x14ac:dyDescent="0.25">
      <c r="A3160" t="s">
        <v>6818</v>
      </c>
      <c r="B3160" t="s">
        <v>6819</v>
      </c>
      <c r="I3160" t="s">
        <v>6820</v>
      </c>
      <c r="J3160" s="3">
        <v>9.0683949999999999E-2</v>
      </c>
      <c r="K3160" s="3">
        <v>0.1963954</v>
      </c>
      <c r="L3160" s="3">
        <v>0.12844539999999999</v>
      </c>
    </row>
    <row r="3161" spans="1:12" x14ac:dyDescent="0.25">
      <c r="A3161" t="s">
        <v>6817</v>
      </c>
      <c r="B3161" t="s">
        <v>957</v>
      </c>
      <c r="I3161" t="s">
        <v>455</v>
      </c>
      <c r="J3161" s="3">
        <v>-0.16836219999999999</v>
      </c>
      <c r="K3161" s="3">
        <v>-0.4149195</v>
      </c>
      <c r="L3161" s="3">
        <v>-1.9328999999999999E-2</v>
      </c>
    </row>
    <row r="3162" spans="1:12" x14ac:dyDescent="0.25">
      <c r="A3162" t="s">
        <v>6816</v>
      </c>
      <c r="B3162" t="s">
        <v>957</v>
      </c>
      <c r="I3162" t="s">
        <v>455</v>
      </c>
      <c r="J3162" s="3">
        <v>0.14015610000000001</v>
      </c>
      <c r="K3162" s="3">
        <v>0.18144440000000001</v>
      </c>
      <c r="L3162" s="3">
        <v>3.2440259999999999E-2</v>
      </c>
    </row>
    <row r="3163" spans="1:12" x14ac:dyDescent="0.25">
      <c r="A3163" t="s">
        <v>6813</v>
      </c>
      <c r="B3163" t="s">
        <v>6814</v>
      </c>
      <c r="I3163" t="s">
        <v>6815</v>
      </c>
      <c r="J3163" s="3">
        <v>-0.18847259999999999</v>
      </c>
      <c r="K3163" s="3">
        <v>0.55133160000000003</v>
      </c>
      <c r="L3163" s="3">
        <v>8.0582119999999993E-2</v>
      </c>
    </row>
    <row r="3164" spans="1:12" x14ac:dyDescent="0.25">
      <c r="A3164" t="s">
        <v>6810</v>
      </c>
      <c r="B3164" t="s">
        <v>6811</v>
      </c>
      <c r="I3164" t="s">
        <v>6812</v>
      </c>
      <c r="J3164" s="3">
        <v>-0.40626950000000001</v>
      </c>
      <c r="K3164" s="3">
        <v>-0.91193349999999995</v>
      </c>
      <c r="L3164" s="3">
        <v>-0.45139580000000001</v>
      </c>
    </row>
    <row r="3165" spans="1:12" x14ac:dyDescent="0.25">
      <c r="A3165" t="s">
        <v>6807</v>
      </c>
      <c r="B3165" t="s">
        <v>6808</v>
      </c>
      <c r="I3165" t="s">
        <v>6809</v>
      </c>
      <c r="J3165" s="3">
        <v>0.27018379999999997</v>
      </c>
      <c r="K3165" s="3">
        <v>0.60998870000000005</v>
      </c>
      <c r="L3165" s="3">
        <v>0.52135540000000002</v>
      </c>
    </row>
    <row r="3166" spans="1:12" x14ac:dyDescent="0.25">
      <c r="A3166" t="s">
        <v>6804</v>
      </c>
      <c r="B3166" t="s">
        <v>6805</v>
      </c>
      <c r="I3166" t="s">
        <v>6806</v>
      </c>
      <c r="J3166" s="3">
        <v>-9.1918799999999995E-2</v>
      </c>
      <c r="K3166" s="3">
        <v>0.63918189999999997</v>
      </c>
      <c r="L3166" s="3">
        <v>0.28102759999999999</v>
      </c>
    </row>
    <row r="3167" spans="1:12" x14ac:dyDescent="0.25">
      <c r="A3167" t="s">
        <v>6801</v>
      </c>
      <c r="B3167" t="s">
        <v>6802</v>
      </c>
      <c r="I3167" t="s">
        <v>6803</v>
      </c>
      <c r="J3167" s="3">
        <v>-0.65048099999999998</v>
      </c>
      <c r="K3167" s="3">
        <v>-1.142606</v>
      </c>
      <c r="L3167" s="3">
        <v>-0.63219619999999999</v>
      </c>
    </row>
    <row r="3168" spans="1:12" x14ac:dyDescent="0.25">
      <c r="A3168" t="s">
        <v>6798</v>
      </c>
      <c r="B3168" t="s">
        <v>6799</v>
      </c>
      <c r="I3168" t="s">
        <v>6800</v>
      </c>
      <c r="J3168" s="3">
        <v>0.443826</v>
      </c>
      <c r="K3168" s="3">
        <v>0.85557229999999995</v>
      </c>
      <c r="L3168" s="3">
        <v>0.4255642</v>
      </c>
    </row>
    <row r="3169" spans="1:12" x14ac:dyDescent="0.25">
      <c r="A3169" t="s">
        <v>6795</v>
      </c>
      <c r="B3169" t="s">
        <v>6796</v>
      </c>
      <c r="I3169" t="s">
        <v>6797</v>
      </c>
      <c r="J3169" s="3">
        <v>-0.13937340000000001</v>
      </c>
      <c r="K3169" s="3">
        <v>-0.29609269999999999</v>
      </c>
      <c r="L3169" s="3">
        <v>-0.21536569999999999</v>
      </c>
    </row>
    <row r="3170" spans="1:12" x14ac:dyDescent="0.25">
      <c r="A3170" t="s">
        <v>6792</v>
      </c>
      <c r="B3170" t="s">
        <v>6793</v>
      </c>
      <c r="I3170" t="s">
        <v>6794</v>
      </c>
      <c r="J3170" s="3">
        <v>1.588932</v>
      </c>
      <c r="K3170" s="3">
        <v>1.4495340000000001</v>
      </c>
      <c r="L3170" s="3">
        <v>0.47993200000000003</v>
      </c>
    </row>
    <row r="3171" spans="1:12" x14ac:dyDescent="0.25">
      <c r="A3171" t="s">
        <v>6789</v>
      </c>
      <c r="B3171" t="s">
        <v>6790</v>
      </c>
      <c r="I3171" t="s">
        <v>6791</v>
      </c>
      <c r="J3171" s="3">
        <v>-0.1691878</v>
      </c>
      <c r="K3171" s="3">
        <v>-0.71743179999999995</v>
      </c>
      <c r="L3171" s="3">
        <v>-0.47938459999999999</v>
      </c>
    </row>
    <row r="3172" spans="1:12" x14ac:dyDescent="0.25">
      <c r="A3172" t="s">
        <v>6788</v>
      </c>
      <c r="B3172" t="s">
        <v>957</v>
      </c>
      <c r="I3172" t="s">
        <v>2</v>
      </c>
      <c r="J3172" s="3">
        <v>-0.50861979999999996</v>
      </c>
      <c r="K3172" s="3">
        <v>-1.089485</v>
      </c>
      <c r="L3172" s="3">
        <v>-0.66581670000000004</v>
      </c>
    </row>
    <row r="3173" spans="1:12" x14ac:dyDescent="0.25">
      <c r="A3173" t="s">
        <v>6785</v>
      </c>
      <c r="B3173" t="s">
        <v>6786</v>
      </c>
      <c r="I3173" t="s">
        <v>6787</v>
      </c>
      <c r="J3173" s="3">
        <v>-0.28013009999999999</v>
      </c>
      <c r="K3173" s="3">
        <v>-0.31335649999999998</v>
      </c>
      <c r="L3173" s="3">
        <v>-0.4111128</v>
      </c>
    </row>
    <row r="3174" spans="1:12" x14ac:dyDescent="0.25">
      <c r="A3174" t="s">
        <v>6782</v>
      </c>
      <c r="B3174" t="s">
        <v>6783</v>
      </c>
      <c r="I3174" t="s">
        <v>6784</v>
      </c>
      <c r="J3174" s="3">
        <v>0.29969570000000001</v>
      </c>
      <c r="K3174" s="3">
        <v>1.988641E-2</v>
      </c>
      <c r="L3174" s="3">
        <v>-7.0250699999999999E-2</v>
      </c>
    </row>
    <row r="3175" spans="1:12" x14ac:dyDescent="0.25">
      <c r="A3175" t="s">
        <v>6780</v>
      </c>
      <c r="B3175" t="s">
        <v>957</v>
      </c>
      <c r="I3175" t="s">
        <v>6781</v>
      </c>
      <c r="J3175" s="3">
        <v>0.34946969999999999</v>
      </c>
      <c r="K3175" s="3">
        <v>0.52196690000000001</v>
      </c>
      <c r="L3175" s="3">
        <v>0.54957100000000003</v>
      </c>
    </row>
    <row r="3176" spans="1:12" x14ac:dyDescent="0.25">
      <c r="A3176" t="s">
        <v>6777</v>
      </c>
      <c r="B3176" t="s">
        <v>6778</v>
      </c>
      <c r="I3176" t="s">
        <v>6779</v>
      </c>
      <c r="J3176" s="3">
        <v>-0.29144779999999998</v>
      </c>
      <c r="K3176" s="3">
        <v>-0.85611190000000004</v>
      </c>
      <c r="L3176" s="3">
        <v>-0.35581560000000001</v>
      </c>
    </row>
    <row r="3177" spans="1:12" x14ac:dyDescent="0.25">
      <c r="A3177" t="s">
        <v>6774</v>
      </c>
      <c r="B3177" t="s">
        <v>6775</v>
      </c>
      <c r="I3177" t="s">
        <v>6776</v>
      </c>
      <c r="J3177" s="3">
        <v>0.1414888</v>
      </c>
      <c r="K3177" s="3">
        <v>0.2078864</v>
      </c>
      <c r="L3177" s="3">
        <v>0.2282035</v>
      </c>
    </row>
    <row r="3178" spans="1:12" x14ac:dyDescent="0.25">
      <c r="A3178" t="s">
        <v>6771</v>
      </c>
      <c r="B3178" t="s">
        <v>6772</v>
      </c>
      <c r="I3178" t="s">
        <v>6773</v>
      </c>
      <c r="J3178" s="3">
        <v>-0.12632060000000001</v>
      </c>
      <c r="K3178" s="3">
        <v>-0.67664230000000003</v>
      </c>
      <c r="L3178" s="3">
        <v>-8.4083740000000004E-2</v>
      </c>
    </row>
    <row r="3179" spans="1:12" x14ac:dyDescent="0.25">
      <c r="A3179" t="s">
        <v>6768</v>
      </c>
      <c r="B3179" t="s">
        <v>6769</v>
      </c>
      <c r="I3179" t="s">
        <v>6770</v>
      </c>
      <c r="J3179" s="3">
        <v>-0.55491009999999996</v>
      </c>
      <c r="K3179" s="3">
        <v>-0.88901350000000001</v>
      </c>
      <c r="L3179" s="3">
        <v>-0.73418099999999997</v>
      </c>
    </row>
    <row r="3180" spans="1:12" x14ac:dyDescent="0.25">
      <c r="A3180" t="s">
        <v>6767</v>
      </c>
      <c r="B3180" t="s">
        <v>957</v>
      </c>
      <c r="I3180" t="s">
        <v>453</v>
      </c>
      <c r="J3180" s="3">
        <v>-0.62306320000000004</v>
      </c>
      <c r="K3180" s="3">
        <v>-0.74934279999999998</v>
      </c>
      <c r="L3180" s="3">
        <v>-0.57361059999999997</v>
      </c>
    </row>
    <row r="3181" spans="1:12" x14ac:dyDescent="0.25">
      <c r="A3181" t="s">
        <v>6764</v>
      </c>
      <c r="B3181" t="s">
        <v>6765</v>
      </c>
      <c r="I3181" t="s">
        <v>6766</v>
      </c>
      <c r="J3181" s="3">
        <v>-1.782213</v>
      </c>
      <c r="K3181" s="3">
        <v>-1.3270169999999999</v>
      </c>
      <c r="L3181" s="3">
        <v>-1.526823</v>
      </c>
    </row>
    <row r="3182" spans="1:12" x14ac:dyDescent="0.25">
      <c r="A3182" t="s">
        <v>6761</v>
      </c>
      <c r="B3182" t="s">
        <v>6762</v>
      </c>
      <c r="I3182" t="s">
        <v>6763</v>
      </c>
      <c r="J3182" s="3">
        <v>0.39675060000000001</v>
      </c>
      <c r="K3182" s="3">
        <v>0.24887600000000001</v>
      </c>
      <c r="L3182" s="3">
        <v>0.37907999999999997</v>
      </c>
    </row>
    <row r="3183" spans="1:12" x14ac:dyDescent="0.25">
      <c r="A3183" t="s">
        <v>6760</v>
      </c>
      <c r="B3183" t="s">
        <v>957</v>
      </c>
      <c r="I3183" t="s">
        <v>455</v>
      </c>
      <c r="J3183" s="3">
        <v>0.1009978</v>
      </c>
      <c r="K3183" s="3">
        <v>0.590198</v>
      </c>
      <c r="L3183" s="3">
        <v>0.28582370000000001</v>
      </c>
    </row>
    <row r="3184" spans="1:12" x14ac:dyDescent="0.25">
      <c r="A3184" t="s">
        <v>6758</v>
      </c>
      <c r="B3184" t="s">
        <v>6759</v>
      </c>
      <c r="I3184" t="s">
        <v>4433</v>
      </c>
      <c r="J3184" s="3">
        <v>-0.40343689999999999</v>
      </c>
      <c r="K3184" s="3">
        <v>-0.49074509999999999</v>
      </c>
      <c r="L3184" s="3">
        <v>-0.2252014</v>
      </c>
    </row>
    <row r="3185" spans="1:12" x14ac:dyDescent="0.25">
      <c r="A3185" t="s">
        <v>6757</v>
      </c>
      <c r="B3185" t="s">
        <v>957</v>
      </c>
      <c r="I3185" t="s">
        <v>455</v>
      </c>
      <c r="J3185" s="3">
        <v>0.119904</v>
      </c>
      <c r="K3185" s="3">
        <v>0.33094420000000002</v>
      </c>
      <c r="L3185" s="3">
        <v>0.1803457</v>
      </c>
    </row>
    <row r="3186" spans="1:12" x14ac:dyDescent="0.25">
      <c r="A3186" t="s">
        <v>5732</v>
      </c>
      <c r="B3186" t="s">
        <v>5733</v>
      </c>
      <c r="I3186" t="s">
        <v>5734</v>
      </c>
      <c r="J3186" s="3">
        <v>-4.0563309999999998E-3</v>
      </c>
      <c r="K3186" s="3">
        <v>-0.28781329999999999</v>
      </c>
      <c r="L3186" s="3">
        <v>0.19701189999999999</v>
      </c>
    </row>
    <row r="3187" spans="1:12" x14ac:dyDescent="0.25">
      <c r="A3187" t="s">
        <v>5729</v>
      </c>
      <c r="B3187" t="s">
        <v>5730</v>
      </c>
      <c r="I3187" t="s">
        <v>5731</v>
      </c>
      <c r="J3187" s="3">
        <v>0.27288760000000001</v>
      </c>
      <c r="K3187" s="3">
        <v>0.58476090000000003</v>
      </c>
      <c r="L3187" s="3">
        <v>0.58980779999999999</v>
      </c>
    </row>
    <row r="3188" spans="1:12" x14ac:dyDescent="0.25">
      <c r="A3188" t="s">
        <v>5726</v>
      </c>
      <c r="B3188" t="s">
        <v>5727</v>
      </c>
      <c r="I3188" t="s">
        <v>5728</v>
      </c>
      <c r="J3188" s="3">
        <v>-0.26016289999999997</v>
      </c>
      <c r="K3188" s="3">
        <v>-0.20879809999999999</v>
      </c>
      <c r="L3188" s="3">
        <v>-0.41207549999999998</v>
      </c>
    </row>
    <row r="3189" spans="1:12" x14ac:dyDescent="0.25">
      <c r="A3189" t="s">
        <v>5725</v>
      </c>
      <c r="B3189" t="s">
        <v>957</v>
      </c>
      <c r="I3189" t="s">
        <v>455</v>
      </c>
      <c r="J3189" s="3">
        <v>-1.189087</v>
      </c>
      <c r="K3189" s="3">
        <v>-1.649551</v>
      </c>
      <c r="L3189" s="3">
        <v>-1.4324049999999999</v>
      </c>
    </row>
    <row r="3190" spans="1:12" x14ac:dyDescent="0.25">
      <c r="A3190" t="s">
        <v>5724</v>
      </c>
      <c r="B3190" t="s">
        <v>957</v>
      </c>
      <c r="I3190" t="s">
        <v>1973</v>
      </c>
      <c r="J3190" s="3">
        <v>0.60404409999999997</v>
      </c>
      <c r="K3190" s="3">
        <v>1.09137</v>
      </c>
      <c r="L3190" s="3">
        <v>0.38622780000000001</v>
      </c>
    </row>
    <row r="3191" spans="1:12" x14ac:dyDescent="0.25">
      <c r="A3191" t="s">
        <v>5721</v>
      </c>
      <c r="B3191" t="s">
        <v>5722</v>
      </c>
      <c r="I3191" t="s">
        <v>5723</v>
      </c>
      <c r="J3191" s="3">
        <v>0.1948667</v>
      </c>
      <c r="K3191" s="3">
        <v>0.2796864</v>
      </c>
      <c r="L3191" s="3">
        <v>-0.41607329999999998</v>
      </c>
    </row>
    <row r="3192" spans="1:12" x14ac:dyDescent="0.25">
      <c r="A3192" t="s">
        <v>5720</v>
      </c>
      <c r="B3192" t="s">
        <v>957</v>
      </c>
      <c r="I3192" t="s">
        <v>455</v>
      </c>
      <c r="J3192" s="3">
        <v>1.682663</v>
      </c>
      <c r="K3192" s="3">
        <v>1.8110250000000001</v>
      </c>
      <c r="L3192" s="3">
        <v>1.4631769999999999</v>
      </c>
    </row>
    <row r="3193" spans="1:12" x14ac:dyDescent="0.25">
      <c r="A3193" t="s">
        <v>5717</v>
      </c>
      <c r="B3193" t="s">
        <v>5718</v>
      </c>
      <c r="I3193" t="s">
        <v>5719</v>
      </c>
      <c r="J3193" s="3">
        <v>-2.7774119999999999E-2</v>
      </c>
      <c r="K3193" s="3">
        <v>-0.51416269999999997</v>
      </c>
      <c r="L3193" s="3">
        <v>-0.22462409999999999</v>
      </c>
    </row>
    <row r="3194" spans="1:12" x14ac:dyDescent="0.25">
      <c r="A3194" t="s">
        <v>5714</v>
      </c>
      <c r="B3194" t="s">
        <v>5715</v>
      </c>
      <c r="I3194" t="s">
        <v>5716</v>
      </c>
      <c r="J3194" s="3">
        <v>-0.63488069999999996</v>
      </c>
      <c r="K3194" s="3">
        <v>-0.83549090000000004</v>
      </c>
      <c r="L3194" s="3">
        <v>-0.91775589999999996</v>
      </c>
    </row>
    <row r="3195" spans="1:12" x14ac:dyDescent="0.25">
      <c r="A3195" t="s">
        <v>5711</v>
      </c>
      <c r="B3195" t="s">
        <v>5712</v>
      </c>
      <c r="I3195" t="s">
        <v>5713</v>
      </c>
      <c r="J3195" s="3">
        <v>-0.49194460000000001</v>
      </c>
      <c r="K3195" s="3">
        <v>-0.91545240000000005</v>
      </c>
      <c r="L3195" s="3">
        <v>-0.5810303</v>
      </c>
    </row>
    <row r="3196" spans="1:12" x14ac:dyDescent="0.25">
      <c r="A3196" t="s">
        <v>5708</v>
      </c>
      <c r="B3196" t="s">
        <v>5709</v>
      </c>
      <c r="I3196" t="s">
        <v>5710</v>
      </c>
      <c r="J3196" s="3">
        <v>0.64669080000000001</v>
      </c>
      <c r="K3196" s="3">
        <v>-0.2322562</v>
      </c>
      <c r="L3196" s="3">
        <v>0.24745200000000001</v>
      </c>
    </row>
    <row r="3197" spans="1:12" x14ac:dyDescent="0.25">
      <c r="A3197" t="s">
        <v>5705</v>
      </c>
      <c r="B3197" t="s">
        <v>5706</v>
      </c>
      <c r="I3197" t="s">
        <v>5707</v>
      </c>
      <c r="J3197" s="3">
        <v>-2.319508E-2</v>
      </c>
      <c r="K3197" s="3">
        <v>-0.4375115</v>
      </c>
      <c r="L3197" s="3">
        <v>0.17757980000000001</v>
      </c>
    </row>
    <row r="3198" spans="1:12" x14ac:dyDescent="0.25">
      <c r="A3198" t="s">
        <v>6724</v>
      </c>
      <c r="B3198" t="s">
        <v>6725</v>
      </c>
      <c r="I3198" t="s">
        <v>5704</v>
      </c>
      <c r="J3198" s="3">
        <v>-0.51329139999999995</v>
      </c>
      <c r="K3198" s="3">
        <v>-1.0699399999999999</v>
      </c>
      <c r="L3198" s="3">
        <v>-0.53477439999999998</v>
      </c>
    </row>
    <row r="3199" spans="1:12" x14ac:dyDescent="0.25">
      <c r="A3199" t="s">
        <v>6721</v>
      </c>
      <c r="B3199" t="s">
        <v>6722</v>
      </c>
      <c r="I3199" t="s">
        <v>6723</v>
      </c>
      <c r="J3199" s="3">
        <v>-5.6875299999999997E-2</v>
      </c>
      <c r="K3199" s="3">
        <v>0.34666649999999999</v>
      </c>
      <c r="L3199" s="3">
        <v>-0.13779359999999999</v>
      </c>
    </row>
    <row r="3200" spans="1:12" x14ac:dyDescent="0.25">
      <c r="A3200" t="s">
        <v>6718</v>
      </c>
      <c r="B3200" t="s">
        <v>6719</v>
      </c>
      <c r="I3200" t="s">
        <v>6720</v>
      </c>
      <c r="J3200" s="3">
        <v>-5.7833429999999998E-2</v>
      </c>
      <c r="K3200" s="3">
        <v>-0.44617099999999998</v>
      </c>
      <c r="L3200" s="3">
        <v>0.18518270000000001</v>
      </c>
    </row>
    <row r="3201" spans="1:12" x14ac:dyDescent="0.25">
      <c r="A3201" t="s">
        <v>6715</v>
      </c>
      <c r="B3201" t="s">
        <v>6716</v>
      </c>
      <c r="I3201" t="s">
        <v>6717</v>
      </c>
      <c r="J3201" s="3">
        <v>-0.45668740000000002</v>
      </c>
      <c r="K3201" s="3">
        <v>-0.41638849999999999</v>
      </c>
      <c r="L3201" s="3">
        <v>-0.22476309999999999</v>
      </c>
    </row>
    <row r="3202" spans="1:12" x14ac:dyDescent="0.25">
      <c r="A3202" t="s">
        <v>6712</v>
      </c>
      <c r="B3202" t="s">
        <v>6713</v>
      </c>
      <c r="I3202" t="s">
        <v>6714</v>
      </c>
      <c r="J3202" s="3">
        <v>1.47522</v>
      </c>
      <c r="K3202" s="3">
        <v>0.69255370000000005</v>
      </c>
      <c r="L3202" s="3">
        <v>0.8945883</v>
      </c>
    </row>
    <row r="3203" spans="1:12" x14ac:dyDescent="0.25">
      <c r="A3203" t="s">
        <v>6711</v>
      </c>
      <c r="B3203" t="s">
        <v>957</v>
      </c>
      <c r="I3203" t="s">
        <v>455</v>
      </c>
      <c r="J3203" s="3">
        <v>0.4984712</v>
      </c>
      <c r="K3203" s="3">
        <v>0.39714909999999998</v>
      </c>
      <c r="L3203" s="3">
        <v>0.39519589999999999</v>
      </c>
    </row>
    <row r="3204" spans="1:12" x14ac:dyDescent="0.25">
      <c r="A3204" t="s">
        <v>6708</v>
      </c>
      <c r="B3204" t="s">
        <v>6709</v>
      </c>
      <c r="I3204" t="s">
        <v>6710</v>
      </c>
      <c r="J3204" s="3">
        <v>0.18636649999999999</v>
      </c>
      <c r="K3204" s="3">
        <v>-0.32693450000000002</v>
      </c>
      <c r="L3204" s="3">
        <v>0.1788603</v>
      </c>
    </row>
    <row r="3205" spans="1:12" x14ac:dyDescent="0.25">
      <c r="A3205" t="s">
        <v>6705</v>
      </c>
      <c r="B3205" t="s">
        <v>6706</v>
      </c>
      <c r="I3205" t="s">
        <v>6707</v>
      </c>
      <c r="J3205" s="3">
        <v>0.79803380000000002</v>
      </c>
      <c r="K3205" s="3">
        <v>0.29799809999999999</v>
      </c>
      <c r="L3205" s="3">
        <v>0.36875400000000003</v>
      </c>
    </row>
    <row r="3206" spans="1:12" x14ac:dyDescent="0.25">
      <c r="A3206" t="s">
        <v>6702</v>
      </c>
      <c r="B3206" t="s">
        <v>6703</v>
      </c>
      <c r="I3206" t="s">
        <v>6704</v>
      </c>
      <c r="J3206" s="3">
        <v>0.55602079999999998</v>
      </c>
      <c r="K3206" s="3">
        <v>0.2431045</v>
      </c>
      <c r="L3206" s="3">
        <v>0.2973576</v>
      </c>
    </row>
    <row r="3207" spans="1:12" x14ac:dyDescent="0.25">
      <c r="A3207" t="s">
        <v>6699</v>
      </c>
      <c r="B3207" t="s">
        <v>6700</v>
      </c>
      <c r="I3207" t="s">
        <v>6701</v>
      </c>
      <c r="J3207" s="3">
        <v>0.15936810000000001</v>
      </c>
      <c r="K3207" s="3">
        <v>-0.21540670000000001</v>
      </c>
      <c r="L3207" s="3">
        <v>0.12634919999999999</v>
      </c>
    </row>
    <row r="3208" spans="1:12" x14ac:dyDescent="0.25">
      <c r="A3208" t="s">
        <v>6696</v>
      </c>
      <c r="B3208" t="s">
        <v>6697</v>
      </c>
      <c r="I3208" t="s">
        <v>6698</v>
      </c>
      <c r="J3208" s="3">
        <v>0.49870639999999999</v>
      </c>
      <c r="K3208" s="3">
        <v>0.71749759999999996</v>
      </c>
      <c r="L3208" s="3">
        <v>0.92577699999999996</v>
      </c>
    </row>
    <row r="3209" spans="1:12" x14ac:dyDescent="0.25">
      <c r="A3209" t="s">
        <v>5669</v>
      </c>
      <c r="B3209" t="s">
        <v>5670</v>
      </c>
      <c r="I3209" t="s">
        <v>6695</v>
      </c>
      <c r="J3209" s="3">
        <v>-0.53045350000000002</v>
      </c>
      <c r="K3209" s="3">
        <v>-9.4387929999999995E-2</v>
      </c>
      <c r="L3209" s="3">
        <v>-0.32516519999999999</v>
      </c>
    </row>
    <row r="3210" spans="1:12" x14ac:dyDescent="0.25">
      <c r="A3210" t="s">
        <v>5666</v>
      </c>
      <c r="B3210" t="s">
        <v>5667</v>
      </c>
      <c r="I3210" t="s">
        <v>5668</v>
      </c>
      <c r="J3210" s="3">
        <v>0.3272139</v>
      </c>
      <c r="K3210" s="3">
        <v>-0.1396058</v>
      </c>
      <c r="L3210" s="3">
        <v>7.9268430000000001E-2</v>
      </c>
    </row>
    <row r="3211" spans="1:12" x14ac:dyDescent="0.25">
      <c r="A3211" t="s">
        <v>5663</v>
      </c>
      <c r="B3211" t="s">
        <v>5664</v>
      </c>
      <c r="I3211" t="s">
        <v>5665</v>
      </c>
      <c r="J3211" s="3">
        <v>0.1226853</v>
      </c>
      <c r="K3211" s="3">
        <v>0.65038680000000004</v>
      </c>
      <c r="L3211" s="3">
        <v>0.30759809999999999</v>
      </c>
    </row>
    <row r="3212" spans="1:12" x14ac:dyDescent="0.25">
      <c r="A3212" t="s">
        <v>5660</v>
      </c>
      <c r="B3212" t="s">
        <v>5661</v>
      </c>
      <c r="I3212" t="s">
        <v>5662</v>
      </c>
      <c r="J3212" s="3">
        <v>1.1386780000000001</v>
      </c>
      <c r="K3212" s="3">
        <v>2.0435159999999999</v>
      </c>
      <c r="L3212" s="3">
        <v>0.74426079999999994</v>
      </c>
    </row>
    <row r="3213" spans="1:12" x14ac:dyDescent="0.25">
      <c r="A3213" t="s">
        <v>5659</v>
      </c>
      <c r="B3213" t="s">
        <v>957</v>
      </c>
      <c r="I3213" t="s">
        <v>455</v>
      </c>
      <c r="J3213" s="3">
        <v>-0.1910319</v>
      </c>
      <c r="K3213" s="3">
        <v>-1.054279</v>
      </c>
      <c r="L3213" s="3">
        <v>-0.2565307</v>
      </c>
    </row>
    <row r="3214" spans="1:12" x14ac:dyDescent="0.25">
      <c r="A3214" t="s">
        <v>5657</v>
      </c>
      <c r="B3214" s="1">
        <v>38991</v>
      </c>
      <c r="C3214" s="1"/>
      <c r="D3214" s="1"/>
      <c r="E3214" s="1"/>
      <c r="F3214" s="1"/>
      <c r="G3214" s="1"/>
      <c r="H3214" s="1"/>
      <c r="I3214" t="s">
        <v>5658</v>
      </c>
      <c r="J3214" s="3">
        <v>-0.30006359999999999</v>
      </c>
      <c r="K3214" s="3">
        <v>-0.40681349999999999</v>
      </c>
      <c r="L3214" s="3">
        <v>-0.51501589999999997</v>
      </c>
    </row>
    <row r="3215" spans="1:12" x14ac:dyDescent="0.25">
      <c r="A3215" t="s">
        <v>5654</v>
      </c>
      <c r="B3215" t="s">
        <v>5655</v>
      </c>
      <c r="I3215" t="s">
        <v>5656</v>
      </c>
      <c r="J3215" s="3">
        <v>-7.1811650000000005E-2</v>
      </c>
      <c r="K3215" s="3">
        <v>-0.60987579999999997</v>
      </c>
      <c r="L3215" s="3">
        <v>-1.6767359999999999E-2</v>
      </c>
    </row>
    <row r="3216" spans="1:12" x14ac:dyDescent="0.25">
      <c r="A3216" t="s">
        <v>5653</v>
      </c>
      <c r="B3216" t="s">
        <v>957</v>
      </c>
      <c r="I3216" t="s">
        <v>455</v>
      </c>
      <c r="J3216" s="3">
        <v>-0.66174270000000002</v>
      </c>
      <c r="K3216" s="3">
        <v>-1.0668230000000001</v>
      </c>
      <c r="L3216" s="3">
        <v>-0.4125257</v>
      </c>
    </row>
    <row r="3217" spans="1:12" x14ac:dyDescent="0.25">
      <c r="A3217" t="s">
        <v>5651</v>
      </c>
      <c r="B3217" t="s">
        <v>5652</v>
      </c>
      <c r="I3217" t="s">
        <v>593</v>
      </c>
      <c r="J3217" s="3">
        <v>-0.47661199999999998</v>
      </c>
      <c r="K3217" s="3">
        <v>-0.74274819999999997</v>
      </c>
      <c r="L3217" s="3">
        <v>-0.308228</v>
      </c>
    </row>
    <row r="3218" spans="1:12" x14ac:dyDescent="0.25">
      <c r="A3218" t="s">
        <v>5648</v>
      </c>
      <c r="B3218" t="s">
        <v>5649</v>
      </c>
      <c r="I3218" t="s">
        <v>5650</v>
      </c>
      <c r="J3218" s="3">
        <v>-0.81269150000000001</v>
      </c>
      <c r="K3218" s="3">
        <v>-1.3674219999999999</v>
      </c>
      <c r="L3218" s="3">
        <v>7.4317430000000004E-2</v>
      </c>
    </row>
    <row r="3219" spans="1:12" x14ac:dyDescent="0.25">
      <c r="A3219" t="s">
        <v>5645</v>
      </c>
      <c r="B3219" t="s">
        <v>5646</v>
      </c>
      <c r="I3219" t="s">
        <v>5647</v>
      </c>
      <c r="J3219" s="3">
        <v>-0.27919240000000001</v>
      </c>
      <c r="K3219" s="3">
        <v>-0.54217890000000002</v>
      </c>
      <c r="L3219" s="3">
        <v>-0.49056290000000002</v>
      </c>
    </row>
    <row r="3220" spans="1:12" x14ac:dyDescent="0.25">
      <c r="A3220" t="s">
        <v>5643</v>
      </c>
      <c r="B3220" t="s">
        <v>5644</v>
      </c>
      <c r="I3220" t="s">
        <v>5190</v>
      </c>
      <c r="J3220" s="3">
        <v>0.27147870000000002</v>
      </c>
      <c r="K3220" s="3">
        <v>0.35165489999999999</v>
      </c>
      <c r="L3220" s="3">
        <v>0.45928219999999997</v>
      </c>
    </row>
    <row r="3221" spans="1:12" x14ac:dyDescent="0.25">
      <c r="A3221" t="s">
        <v>5640</v>
      </c>
      <c r="B3221" t="s">
        <v>5641</v>
      </c>
      <c r="I3221" t="s">
        <v>5642</v>
      </c>
      <c r="J3221" s="3">
        <v>-0.50764989999999999</v>
      </c>
      <c r="K3221" s="3">
        <v>-0.40433859999999999</v>
      </c>
      <c r="L3221" s="3">
        <v>-0.47231699999999999</v>
      </c>
    </row>
    <row r="3222" spans="1:12" x14ac:dyDescent="0.25">
      <c r="A3222" t="s">
        <v>5637</v>
      </c>
      <c r="B3222" t="s">
        <v>5638</v>
      </c>
      <c r="I3222" t="s">
        <v>5639</v>
      </c>
      <c r="J3222" s="3">
        <v>-6.4304050000000001E-2</v>
      </c>
      <c r="K3222" s="3">
        <v>-0.66626859999999999</v>
      </c>
      <c r="L3222" s="3">
        <v>9.2500889999999995E-3</v>
      </c>
    </row>
    <row r="3223" spans="1:12" x14ac:dyDescent="0.25">
      <c r="A3223" t="s">
        <v>5634</v>
      </c>
      <c r="B3223" t="s">
        <v>5635</v>
      </c>
      <c r="I3223" t="s">
        <v>5636</v>
      </c>
      <c r="J3223" s="3">
        <v>-0.51932849999999997</v>
      </c>
      <c r="K3223" s="3">
        <v>-0.56324490000000005</v>
      </c>
      <c r="L3223" s="3">
        <v>1.0440390000000001E-2</v>
      </c>
    </row>
    <row r="3224" spans="1:12" x14ac:dyDescent="0.25">
      <c r="A3224" t="s">
        <v>5631</v>
      </c>
      <c r="B3224" t="s">
        <v>5632</v>
      </c>
      <c r="I3224" t="s">
        <v>5633</v>
      </c>
      <c r="J3224" s="3">
        <v>-0.33743329999999999</v>
      </c>
      <c r="K3224" s="3">
        <v>-0.30954480000000001</v>
      </c>
      <c r="L3224" s="3">
        <v>9.8159560000000007E-2</v>
      </c>
    </row>
    <row r="3225" spans="1:12" x14ac:dyDescent="0.25">
      <c r="A3225" t="s">
        <v>5628</v>
      </c>
      <c r="B3225" t="s">
        <v>5629</v>
      </c>
      <c r="I3225" t="s">
        <v>5630</v>
      </c>
      <c r="J3225" s="3">
        <v>-3.9520600000000003E-2</v>
      </c>
      <c r="K3225" s="3">
        <v>-0.3586626</v>
      </c>
      <c r="L3225" s="3">
        <v>3.106803E-2</v>
      </c>
    </row>
    <row r="3226" spans="1:12" x14ac:dyDescent="0.25">
      <c r="A3226" t="s">
        <v>5626</v>
      </c>
      <c r="B3226" t="s">
        <v>5627</v>
      </c>
      <c r="I3226" t="s">
        <v>3671</v>
      </c>
      <c r="J3226" s="3">
        <v>-0.23706769999999999</v>
      </c>
      <c r="K3226" s="3">
        <v>-0.12919900000000001</v>
      </c>
      <c r="L3226" s="3">
        <v>-0.25191079999999999</v>
      </c>
    </row>
    <row r="3227" spans="1:12" x14ac:dyDescent="0.25">
      <c r="A3227" t="s">
        <v>5623</v>
      </c>
      <c r="B3227" t="s">
        <v>5624</v>
      </c>
      <c r="I3227" t="s">
        <v>5625</v>
      </c>
      <c r="J3227" s="3">
        <v>-0.57716889999999998</v>
      </c>
      <c r="K3227" s="3">
        <v>-0.56725340000000002</v>
      </c>
      <c r="L3227" s="3">
        <v>-0.66162960000000004</v>
      </c>
    </row>
    <row r="3228" spans="1:12" x14ac:dyDescent="0.25">
      <c r="A3228" t="s">
        <v>5620</v>
      </c>
      <c r="B3228" t="s">
        <v>5621</v>
      </c>
      <c r="I3228" t="s">
        <v>5622</v>
      </c>
      <c r="J3228" s="3">
        <v>0.71603079999999997</v>
      </c>
      <c r="K3228" s="3">
        <v>0.13936019999999999</v>
      </c>
      <c r="L3228" s="3">
        <v>0.51662649999999999</v>
      </c>
    </row>
    <row r="3229" spans="1:12" x14ac:dyDescent="0.25">
      <c r="A3229" t="s">
        <v>5617</v>
      </c>
      <c r="B3229" t="s">
        <v>5618</v>
      </c>
      <c r="I3229" t="s">
        <v>5619</v>
      </c>
      <c r="J3229" s="3">
        <v>0.1559469</v>
      </c>
      <c r="K3229" s="3">
        <v>0.15576970000000001</v>
      </c>
      <c r="L3229" s="3">
        <v>2.7865520000000001E-2</v>
      </c>
    </row>
    <row r="3230" spans="1:12" x14ac:dyDescent="0.25">
      <c r="A3230" t="s">
        <v>5616</v>
      </c>
      <c r="B3230" t="s">
        <v>957</v>
      </c>
      <c r="I3230" t="s">
        <v>455</v>
      </c>
      <c r="J3230" s="3">
        <v>-5.6235380000000001E-2</v>
      </c>
      <c r="K3230" s="3">
        <v>4.4065790000000001E-2</v>
      </c>
      <c r="L3230" s="3">
        <v>5.3376699999999999E-2</v>
      </c>
    </row>
    <row r="3231" spans="1:12" x14ac:dyDescent="0.25">
      <c r="A3231" t="s">
        <v>5613</v>
      </c>
      <c r="B3231" t="s">
        <v>5614</v>
      </c>
      <c r="I3231" t="s">
        <v>5615</v>
      </c>
      <c r="J3231" s="3">
        <v>0.6760832</v>
      </c>
      <c r="K3231" s="3">
        <v>0.98417829999999995</v>
      </c>
      <c r="L3231" s="3">
        <v>1.03573</v>
      </c>
    </row>
    <row r="3232" spans="1:12" x14ac:dyDescent="0.25">
      <c r="A3232" t="s">
        <v>5610</v>
      </c>
      <c r="B3232" t="s">
        <v>5611</v>
      </c>
      <c r="I3232" t="s">
        <v>5612</v>
      </c>
      <c r="J3232" s="3">
        <v>0.1037985</v>
      </c>
      <c r="K3232" s="3">
        <v>8.5732820000000001E-2</v>
      </c>
      <c r="L3232" s="3">
        <v>7.3050080000000003E-2</v>
      </c>
    </row>
    <row r="3233" spans="1:12" x14ac:dyDescent="0.25">
      <c r="A3233" t="s">
        <v>5608</v>
      </c>
      <c r="B3233" t="s">
        <v>5609</v>
      </c>
      <c r="I3233" t="s">
        <v>430</v>
      </c>
      <c r="J3233" s="3">
        <v>-0.51115820000000001</v>
      </c>
      <c r="K3233" s="3">
        <v>-0.86467930000000004</v>
      </c>
      <c r="L3233" s="3">
        <v>-0.64505760000000001</v>
      </c>
    </row>
    <row r="3234" spans="1:12" x14ac:dyDescent="0.25">
      <c r="A3234" t="s">
        <v>5605</v>
      </c>
      <c r="B3234" t="s">
        <v>5606</v>
      </c>
      <c r="I3234" t="s">
        <v>5607</v>
      </c>
      <c r="J3234" s="3">
        <v>-6.3770720000000003E-2</v>
      </c>
      <c r="K3234" s="3">
        <v>-0.36777979999999999</v>
      </c>
      <c r="L3234" s="3">
        <v>-0.1170682</v>
      </c>
    </row>
    <row r="3235" spans="1:12" x14ac:dyDescent="0.25">
      <c r="A3235" t="s">
        <v>5602</v>
      </c>
      <c r="B3235" t="s">
        <v>5603</v>
      </c>
      <c r="I3235" t="s">
        <v>5604</v>
      </c>
      <c r="J3235" s="3">
        <v>-0.17163619999999999</v>
      </c>
      <c r="K3235" s="3">
        <v>-0.1940568</v>
      </c>
      <c r="L3235" s="3">
        <v>-7.4720690000000006E-2</v>
      </c>
    </row>
    <row r="3236" spans="1:12" x14ac:dyDescent="0.25">
      <c r="A3236" t="s">
        <v>5599</v>
      </c>
      <c r="B3236" t="s">
        <v>5600</v>
      </c>
      <c r="I3236" t="s">
        <v>5601</v>
      </c>
      <c r="J3236" s="3">
        <v>0.40276040000000002</v>
      </c>
      <c r="K3236" s="3">
        <v>0.146734</v>
      </c>
      <c r="L3236" s="3">
        <v>0.43929370000000001</v>
      </c>
    </row>
    <row r="3237" spans="1:12" x14ac:dyDescent="0.25">
      <c r="A3237" t="s">
        <v>5596</v>
      </c>
      <c r="B3237" t="s">
        <v>5597</v>
      </c>
      <c r="I3237" t="s">
        <v>5598</v>
      </c>
      <c r="J3237" s="3">
        <v>-0.60074309999999997</v>
      </c>
      <c r="K3237" s="3">
        <v>-0.84990220000000005</v>
      </c>
      <c r="L3237" s="3">
        <v>-0.33036179999999998</v>
      </c>
    </row>
    <row r="3238" spans="1:12" x14ac:dyDescent="0.25">
      <c r="A3238" t="s">
        <v>5594</v>
      </c>
      <c r="B3238" t="s">
        <v>957</v>
      </c>
      <c r="I3238" t="s">
        <v>5595</v>
      </c>
      <c r="J3238" s="3">
        <v>0.81363609999999997</v>
      </c>
      <c r="K3238" s="3">
        <v>0.16904050000000001</v>
      </c>
      <c r="L3238" s="3">
        <v>0.19949210000000001</v>
      </c>
    </row>
    <row r="3239" spans="1:12" x14ac:dyDescent="0.25">
      <c r="A3239" t="s">
        <v>5593</v>
      </c>
      <c r="B3239" t="s">
        <v>957</v>
      </c>
      <c r="I3239" t="s">
        <v>455</v>
      </c>
      <c r="J3239" s="3">
        <v>-0.1163667</v>
      </c>
      <c r="K3239" s="3">
        <v>0.23334489999999999</v>
      </c>
      <c r="L3239" s="3">
        <v>6.2907690000000002E-2</v>
      </c>
    </row>
    <row r="3240" spans="1:12" x14ac:dyDescent="0.25">
      <c r="A3240" t="s">
        <v>5590</v>
      </c>
      <c r="B3240" t="s">
        <v>5591</v>
      </c>
      <c r="I3240" t="s">
        <v>5592</v>
      </c>
      <c r="J3240" s="3">
        <v>0.33455489999999999</v>
      </c>
      <c r="K3240" s="3">
        <v>0.17473949999999999</v>
      </c>
      <c r="L3240" s="3">
        <v>8.6674370000000001E-2</v>
      </c>
    </row>
    <row r="3241" spans="1:12" x14ac:dyDescent="0.25">
      <c r="A3241" t="s">
        <v>5587</v>
      </c>
      <c r="B3241" t="s">
        <v>5588</v>
      </c>
      <c r="I3241" t="s">
        <v>5589</v>
      </c>
      <c r="J3241" s="3">
        <v>1.6172789999999999</v>
      </c>
      <c r="K3241" s="3">
        <v>1.306716</v>
      </c>
      <c r="L3241" s="3">
        <v>1.232772</v>
      </c>
    </row>
    <row r="3242" spans="1:12" x14ac:dyDescent="0.25">
      <c r="A3242" t="s">
        <v>5584</v>
      </c>
      <c r="B3242" t="s">
        <v>5585</v>
      </c>
      <c r="I3242" t="s">
        <v>5586</v>
      </c>
      <c r="J3242" s="3">
        <v>-0.94077900000000003</v>
      </c>
      <c r="K3242" s="3">
        <v>0.19604469999999999</v>
      </c>
      <c r="L3242" s="3">
        <v>-0.2454731</v>
      </c>
    </row>
    <row r="3243" spans="1:12" x14ac:dyDescent="0.25">
      <c r="A3243" t="s">
        <v>5581</v>
      </c>
      <c r="B3243" t="s">
        <v>5582</v>
      </c>
      <c r="I3243" t="s">
        <v>5583</v>
      </c>
      <c r="J3243" s="3">
        <v>2.1214650000000002E-2</v>
      </c>
      <c r="K3243" s="3">
        <v>-0.49247190000000002</v>
      </c>
      <c r="L3243" s="3">
        <v>-0.29264960000000001</v>
      </c>
    </row>
    <row r="3244" spans="1:12" x14ac:dyDescent="0.25">
      <c r="A3244" t="s">
        <v>5579</v>
      </c>
      <c r="B3244" t="s">
        <v>5580</v>
      </c>
      <c r="I3244" t="s">
        <v>3094</v>
      </c>
      <c r="J3244" s="3">
        <v>-0.36876439999999999</v>
      </c>
      <c r="K3244" s="3">
        <v>-0.76635909999999996</v>
      </c>
      <c r="L3244" s="3">
        <v>-0.1757378</v>
      </c>
    </row>
    <row r="3245" spans="1:12" x14ac:dyDescent="0.25">
      <c r="A3245" t="s">
        <v>5576</v>
      </c>
      <c r="B3245" t="s">
        <v>5577</v>
      </c>
      <c r="I3245" t="s">
        <v>5578</v>
      </c>
      <c r="J3245" s="3">
        <v>0.15788969999999999</v>
      </c>
      <c r="K3245" s="3">
        <v>-0.2833618</v>
      </c>
      <c r="L3245" s="3">
        <v>2.96032E-2</v>
      </c>
    </row>
    <row r="3246" spans="1:12" x14ac:dyDescent="0.25">
      <c r="A3246" t="s">
        <v>5573</v>
      </c>
      <c r="B3246" t="s">
        <v>5574</v>
      </c>
      <c r="I3246" t="s">
        <v>5575</v>
      </c>
      <c r="J3246" s="3">
        <v>-0.4568198</v>
      </c>
      <c r="K3246" s="3">
        <v>-1.0357890000000001</v>
      </c>
      <c r="L3246" s="3">
        <v>-0.40636119999999998</v>
      </c>
    </row>
    <row r="3247" spans="1:12" x14ac:dyDescent="0.25">
      <c r="A3247" t="s">
        <v>5572</v>
      </c>
      <c r="B3247" t="s">
        <v>957</v>
      </c>
      <c r="I3247" t="s">
        <v>455</v>
      </c>
      <c r="J3247" s="3">
        <v>-0.64390890000000001</v>
      </c>
      <c r="K3247" s="3">
        <v>-0.84566680000000005</v>
      </c>
      <c r="L3247" s="3">
        <v>-0.60819369999999995</v>
      </c>
    </row>
    <row r="3248" spans="1:12" x14ac:dyDescent="0.25">
      <c r="A3248" t="s">
        <v>5569</v>
      </c>
      <c r="B3248" t="s">
        <v>5570</v>
      </c>
      <c r="I3248" t="s">
        <v>5571</v>
      </c>
      <c r="J3248" s="3">
        <v>-0.41751359999999998</v>
      </c>
      <c r="K3248" s="3">
        <v>-1.095844</v>
      </c>
      <c r="L3248" s="3">
        <v>-0.63636309999999996</v>
      </c>
    </row>
    <row r="3249" spans="1:12" x14ac:dyDescent="0.25">
      <c r="A3249" t="s">
        <v>5566</v>
      </c>
      <c r="B3249" t="s">
        <v>5567</v>
      </c>
      <c r="I3249" t="s">
        <v>5568</v>
      </c>
      <c r="J3249" s="3">
        <v>0.16144220000000001</v>
      </c>
      <c r="K3249" s="3">
        <v>-0.17122039999999999</v>
      </c>
      <c r="L3249" s="3">
        <v>-2.01291E-2</v>
      </c>
    </row>
    <row r="3250" spans="1:12" x14ac:dyDescent="0.25">
      <c r="A3250" t="s">
        <v>6598</v>
      </c>
      <c r="B3250" t="s">
        <v>6599</v>
      </c>
      <c r="I3250" t="s">
        <v>5565</v>
      </c>
      <c r="J3250" s="3">
        <v>0.38487929999999998</v>
      </c>
      <c r="K3250" s="3">
        <v>0.38806859999999999</v>
      </c>
      <c r="L3250" s="3">
        <v>0.23541019999999999</v>
      </c>
    </row>
    <row r="3251" spans="1:12" x14ac:dyDescent="0.25">
      <c r="A3251" t="s">
        <v>6595</v>
      </c>
      <c r="B3251" t="s">
        <v>6596</v>
      </c>
      <c r="I3251" t="s">
        <v>6597</v>
      </c>
      <c r="J3251" s="3">
        <v>3.9072610000000001E-2</v>
      </c>
      <c r="K3251" s="3">
        <v>0.37468269999999998</v>
      </c>
      <c r="L3251" s="3">
        <v>0.1097245</v>
      </c>
    </row>
    <row r="3252" spans="1:12" x14ac:dyDescent="0.25">
      <c r="A3252" t="s">
        <v>6592</v>
      </c>
      <c r="B3252" t="s">
        <v>6593</v>
      </c>
      <c r="I3252" t="s">
        <v>6594</v>
      </c>
      <c r="J3252" s="3">
        <v>-0.2449093</v>
      </c>
      <c r="K3252" s="3">
        <v>-5.3074749999999997E-2</v>
      </c>
      <c r="L3252" s="3">
        <v>-0.24583289999999999</v>
      </c>
    </row>
    <row r="3253" spans="1:12" x14ac:dyDescent="0.25">
      <c r="A3253" t="s">
        <v>6589</v>
      </c>
      <c r="B3253" t="s">
        <v>6590</v>
      </c>
      <c r="I3253" t="s">
        <v>6591</v>
      </c>
      <c r="J3253" s="3">
        <v>0.25601000000000002</v>
      </c>
      <c r="K3253" s="3">
        <v>0.55133270000000001</v>
      </c>
      <c r="L3253" s="3">
        <v>0.1004012</v>
      </c>
    </row>
    <row r="3254" spans="1:12" x14ac:dyDescent="0.25">
      <c r="A3254" t="s">
        <v>6586</v>
      </c>
      <c r="B3254" t="s">
        <v>6587</v>
      </c>
      <c r="I3254" t="s">
        <v>6588</v>
      </c>
      <c r="J3254" s="3">
        <v>-1.12627E-3</v>
      </c>
      <c r="K3254" s="3">
        <v>-0.66971099999999995</v>
      </c>
      <c r="L3254" s="3">
        <v>-0.13339390000000001</v>
      </c>
    </row>
    <row r="3255" spans="1:12" x14ac:dyDescent="0.25">
      <c r="A3255" t="s">
        <v>6584</v>
      </c>
      <c r="B3255" t="s">
        <v>14221</v>
      </c>
      <c r="C3255" t="s">
        <v>14222</v>
      </c>
      <c r="I3255" t="s">
        <v>6585</v>
      </c>
      <c r="J3255" s="3">
        <v>0.73778319999999997</v>
      </c>
      <c r="K3255" s="3">
        <v>0.52341159999999998</v>
      </c>
      <c r="L3255" s="3">
        <v>0.72665800000000003</v>
      </c>
    </row>
    <row r="3256" spans="1:12" x14ac:dyDescent="0.25">
      <c r="A3256" t="s">
        <v>6581</v>
      </c>
      <c r="B3256" t="s">
        <v>6582</v>
      </c>
      <c r="I3256" t="s">
        <v>6583</v>
      </c>
      <c r="J3256" s="3">
        <v>-0.1661561</v>
      </c>
      <c r="K3256" s="3">
        <v>-3.8122099999999999E-2</v>
      </c>
      <c r="L3256" s="3">
        <v>-0.24843799999999999</v>
      </c>
    </row>
    <row r="3257" spans="1:12" x14ac:dyDescent="0.25">
      <c r="A3257" t="s">
        <v>6578</v>
      </c>
      <c r="B3257" t="s">
        <v>6579</v>
      </c>
      <c r="I3257" t="s">
        <v>6580</v>
      </c>
      <c r="J3257" s="3">
        <v>-0.38857130000000001</v>
      </c>
      <c r="K3257" s="3">
        <v>-0.32822440000000003</v>
      </c>
      <c r="L3257" s="3">
        <v>0.1120046</v>
      </c>
    </row>
    <row r="3258" spans="1:12" x14ac:dyDescent="0.25">
      <c r="A3258" t="s">
        <v>6577</v>
      </c>
      <c r="B3258" t="s">
        <v>957</v>
      </c>
      <c r="I3258" t="s">
        <v>156</v>
      </c>
      <c r="J3258" s="3">
        <v>-1.1904130000000001E-2</v>
      </c>
      <c r="K3258" s="3">
        <v>-0.1119074</v>
      </c>
      <c r="L3258" s="3">
        <v>-8.2031549999999995E-2</v>
      </c>
    </row>
    <row r="3259" spans="1:12" x14ac:dyDescent="0.25">
      <c r="A3259" t="s">
        <v>6574</v>
      </c>
      <c r="B3259" t="s">
        <v>6575</v>
      </c>
      <c r="I3259" t="s">
        <v>6576</v>
      </c>
      <c r="J3259" s="3">
        <v>6.7521620000000004E-2</v>
      </c>
      <c r="K3259" s="3">
        <v>-9.1791620000000004E-2</v>
      </c>
      <c r="L3259" s="3">
        <v>8.7186680000000003E-2</v>
      </c>
    </row>
    <row r="3260" spans="1:12" x14ac:dyDescent="0.25">
      <c r="A3260" t="s">
        <v>5534</v>
      </c>
      <c r="B3260" t="s">
        <v>5535</v>
      </c>
      <c r="I3260" t="s">
        <v>6573</v>
      </c>
      <c r="J3260" s="3">
        <v>-0.57053339999999997</v>
      </c>
      <c r="K3260" s="3">
        <v>-0.47293540000000001</v>
      </c>
      <c r="L3260" s="3">
        <v>-0.61207979999999995</v>
      </c>
    </row>
    <row r="3261" spans="1:12" x14ac:dyDescent="0.25">
      <c r="A3261" t="s">
        <v>5531</v>
      </c>
      <c r="B3261" t="s">
        <v>5532</v>
      </c>
      <c r="I3261" t="s">
        <v>5533</v>
      </c>
      <c r="J3261" s="3">
        <v>1.095936</v>
      </c>
      <c r="K3261" s="3">
        <v>0.36620849999999999</v>
      </c>
      <c r="L3261" s="3">
        <v>0.9126436</v>
      </c>
    </row>
    <row r="3262" spans="1:12" x14ac:dyDescent="0.25">
      <c r="A3262" t="s">
        <v>5528</v>
      </c>
      <c r="B3262" t="s">
        <v>5529</v>
      </c>
      <c r="I3262" t="s">
        <v>5530</v>
      </c>
      <c r="J3262" s="3">
        <v>-0.62552560000000001</v>
      </c>
      <c r="K3262" s="3">
        <v>-1.106328</v>
      </c>
      <c r="L3262" s="3">
        <v>-0.44655810000000001</v>
      </c>
    </row>
    <row r="3263" spans="1:12" x14ac:dyDescent="0.25">
      <c r="A3263" t="s">
        <v>5527</v>
      </c>
      <c r="B3263" t="s">
        <v>957</v>
      </c>
      <c r="I3263" t="s">
        <v>455</v>
      </c>
      <c r="J3263" s="3">
        <v>-1.5799300000000001</v>
      </c>
      <c r="K3263" s="3">
        <v>-0.52009430000000001</v>
      </c>
      <c r="L3263" s="3">
        <v>-0.75012319999999999</v>
      </c>
    </row>
    <row r="3264" spans="1:12" x14ac:dyDescent="0.25">
      <c r="A3264" t="s">
        <v>5525</v>
      </c>
      <c r="B3264" t="s">
        <v>5526</v>
      </c>
      <c r="I3264" t="s">
        <v>706</v>
      </c>
      <c r="J3264" s="3">
        <v>0.34572530000000001</v>
      </c>
      <c r="K3264" s="3">
        <v>6.0072479999999998E-2</v>
      </c>
      <c r="L3264" s="3">
        <v>0.27939360000000002</v>
      </c>
    </row>
    <row r="3265" spans="1:12" x14ac:dyDescent="0.25">
      <c r="A3265" t="s">
        <v>5522</v>
      </c>
      <c r="B3265" t="s">
        <v>5523</v>
      </c>
      <c r="I3265" t="s">
        <v>5524</v>
      </c>
      <c r="J3265" s="3">
        <v>0.13193750000000001</v>
      </c>
      <c r="K3265" s="3">
        <v>-9.853481E-2</v>
      </c>
      <c r="L3265" s="3">
        <v>7.9685699999999998E-2</v>
      </c>
    </row>
    <row r="3266" spans="1:12" x14ac:dyDescent="0.25">
      <c r="A3266" t="s">
        <v>5519</v>
      </c>
      <c r="B3266" t="s">
        <v>5520</v>
      </c>
      <c r="I3266" t="s">
        <v>5521</v>
      </c>
      <c r="J3266" s="3">
        <v>0.25062649999999997</v>
      </c>
      <c r="K3266" s="3">
        <v>-0.1165303</v>
      </c>
      <c r="L3266" s="3">
        <v>0.2120793</v>
      </c>
    </row>
    <row r="3267" spans="1:12" x14ac:dyDescent="0.25">
      <c r="A3267" t="s">
        <v>5516</v>
      </c>
      <c r="B3267" t="s">
        <v>5517</v>
      </c>
      <c r="I3267" t="s">
        <v>5518</v>
      </c>
      <c r="J3267" s="3">
        <v>-0.55250980000000005</v>
      </c>
      <c r="K3267" s="3">
        <v>-0.23090620000000001</v>
      </c>
      <c r="L3267" s="3">
        <v>-0.65058470000000002</v>
      </c>
    </row>
    <row r="3268" spans="1:12" x14ac:dyDescent="0.25">
      <c r="A3268" t="s">
        <v>5513</v>
      </c>
      <c r="B3268" t="s">
        <v>5514</v>
      </c>
      <c r="I3268" t="s">
        <v>5515</v>
      </c>
      <c r="J3268" s="3">
        <v>-0.31382189999999999</v>
      </c>
      <c r="K3268" s="3">
        <v>-0.16831470000000001</v>
      </c>
      <c r="L3268" s="3">
        <v>-0.27740140000000002</v>
      </c>
    </row>
    <row r="3269" spans="1:12" x14ac:dyDescent="0.25">
      <c r="A3269" t="s">
        <v>5510</v>
      </c>
      <c r="B3269" t="s">
        <v>5511</v>
      </c>
      <c r="I3269" t="s">
        <v>5512</v>
      </c>
      <c r="J3269" s="3">
        <v>0.26821070000000002</v>
      </c>
      <c r="K3269" s="3">
        <v>-2.4853239999999999E-2</v>
      </c>
      <c r="L3269" s="3">
        <v>0.61920960000000003</v>
      </c>
    </row>
    <row r="3270" spans="1:12" x14ac:dyDescent="0.25">
      <c r="A3270" t="s">
        <v>5507</v>
      </c>
      <c r="B3270" t="s">
        <v>5508</v>
      </c>
      <c r="I3270" t="s">
        <v>5509</v>
      </c>
      <c r="J3270" s="3">
        <v>-0.46494849999999999</v>
      </c>
      <c r="K3270" s="3">
        <v>-0.1498922</v>
      </c>
      <c r="L3270" s="3">
        <v>-0.43965169999999998</v>
      </c>
    </row>
    <row r="3271" spans="1:12" x14ac:dyDescent="0.25">
      <c r="A3271" t="s">
        <v>5504</v>
      </c>
      <c r="B3271" t="s">
        <v>5505</v>
      </c>
      <c r="I3271" t="s">
        <v>5506</v>
      </c>
      <c r="J3271" s="3">
        <v>-0.4849424</v>
      </c>
      <c r="K3271" s="3">
        <v>-1.1542319999999999</v>
      </c>
      <c r="L3271" s="3">
        <v>-0.5063145</v>
      </c>
    </row>
    <row r="3272" spans="1:12" x14ac:dyDescent="0.25">
      <c r="A3272" t="s">
        <v>6543</v>
      </c>
      <c r="B3272" t="s">
        <v>6544</v>
      </c>
      <c r="I3272" t="s">
        <v>5503</v>
      </c>
      <c r="J3272" s="3">
        <v>-0.35708800000000002</v>
      </c>
      <c r="K3272" s="3">
        <v>-0.65424649999999995</v>
      </c>
      <c r="L3272" s="3">
        <v>-0.32412279999999999</v>
      </c>
    </row>
    <row r="3273" spans="1:12" x14ac:dyDescent="0.25">
      <c r="A3273" t="s">
        <v>6540</v>
      </c>
      <c r="B3273" t="s">
        <v>6541</v>
      </c>
      <c r="I3273" t="s">
        <v>6542</v>
      </c>
      <c r="J3273" s="3">
        <v>-0.19756480000000001</v>
      </c>
      <c r="K3273" s="3">
        <v>-0.6156682</v>
      </c>
      <c r="L3273" s="3">
        <v>-0.28542859999999998</v>
      </c>
    </row>
    <row r="3274" spans="1:12" x14ac:dyDescent="0.25">
      <c r="A3274" t="s">
        <v>6537</v>
      </c>
      <c r="B3274" t="s">
        <v>6538</v>
      </c>
      <c r="I3274" t="s">
        <v>6539</v>
      </c>
      <c r="J3274" s="3">
        <v>-0.79635999999999996</v>
      </c>
      <c r="K3274" s="3">
        <v>-0.17857129999999999</v>
      </c>
      <c r="L3274" s="3">
        <v>-0.57271150000000004</v>
      </c>
    </row>
    <row r="3275" spans="1:12" x14ac:dyDescent="0.25">
      <c r="A3275" t="s">
        <v>6534</v>
      </c>
      <c r="B3275" t="s">
        <v>6535</v>
      </c>
      <c r="I3275" t="s">
        <v>6536</v>
      </c>
      <c r="J3275" s="3">
        <v>0.41495850000000001</v>
      </c>
      <c r="K3275" s="3">
        <v>0.88080800000000004</v>
      </c>
      <c r="L3275" s="3">
        <v>-6.3035359999999999E-2</v>
      </c>
    </row>
    <row r="3276" spans="1:12" x14ac:dyDescent="0.25">
      <c r="A3276" t="s">
        <v>6531</v>
      </c>
      <c r="B3276" t="s">
        <v>6532</v>
      </c>
      <c r="I3276" t="s">
        <v>6533</v>
      </c>
      <c r="J3276" s="3">
        <v>0.3721429</v>
      </c>
      <c r="K3276" s="3">
        <v>-0.31223770000000001</v>
      </c>
      <c r="L3276" s="3">
        <v>0.1042323</v>
      </c>
    </row>
    <row r="3277" spans="1:12" x14ac:dyDescent="0.25">
      <c r="A3277" t="s">
        <v>6528</v>
      </c>
      <c r="B3277" t="s">
        <v>6529</v>
      </c>
      <c r="I3277" t="s">
        <v>6530</v>
      </c>
      <c r="J3277" s="3">
        <v>0.25313419999999998</v>
      </c>
      <c r="K3277" s="3">
        <v>-0.1248354</v>
      </c>
      <c r="L3277" s="3">
        <v>9.7529599999999994E-2</v>
      </c>
    </row>
    <row r="3278" spans="1:12" x14ac:dyDescent="0.25">
      <c r="A3278" t="s">
        <v>6525</v>
      </c>
      <c r="B3278" t="s">
        <v>6526</v>
      </c>
      <c r="I3278" t="s">
        <v>6527</v>
      </c>
      <c r="J3278" s="3">
        <v>0.46576200000000001</v>
      </c>
      <c r="K3278" s="3">
        <v>-0.1898572</v>
      </c>
      <c r="L3278" s="3">
        <v>-0.18529190000000001</v>
      </c>
    </row>
    <row r="3279" spans="1:12" x14ac:dyDescent="0.25">
      <c r="A3279" t="s">
        <v>6524</v>
      </c>
      <c r="B3279" t="s">
        <v>957</v>
      </c>
      <c r="I3279" t="s">
        <v>455</v>
      </c>
      <c r="J3279" s="3">
        <v>-0.10063279999999999</v>
      </c>
      <c r="K3279" s="3">
        <v>-0.38306849999999998</v>
      </c>
      <c r="L3279" s="3">
        <v>-7.3098469999999999E-2</v>
      </c>
    </row>
    <row r="3280" spans="1:12" x14ac:dyDescent="0.25">
      <c r="A3280" t="s">
        <v>6523</v>
      </c>
      <c r="B3280" t="s">
        <v>957</v>
      </c>
      <c r="I3280" t="s">
        <v>455</v>
      </c>
      <c r="J3280" s="3">
        <v>4.9436790000000001E-2</v>
      </c>
      <c r="K3280" s="3">
        <v>0.25447170000000002</v>
      </c>
      <c r="L3280" s="3">
        <v>4.979215E-2</v>
      </c>
    </row>
    <row r="3281" spans="1:12" x14ac:dyDescent="0.25">
      <c r="A3281" t="s">
        <v>6520</v>
      </c>
      <c r="B3281" t="s">
        <v>6521</v>
      </c>
      <c r="I3281" t="s">
        <v>6522</v>
      </c>
      <c r="J3281" s="3">
        <v>-0.27567999999999998</v>
      </c>
      <c r="K3281" s="3">
        <v>-0.52063440000000005</v>
      </c>
      <c r="L3281" s="3">
        <v>2.5115470000000001E-2</v>
      </c>
    </row>
    <row r="3282" spans="1:12" x14ac:dyDescent="0.25">
      <c r="A3282" t="s">
        <v>6517</v>
      </c>
      <c r="B3282" t="s">
        <v>6518</v>
      </c>
      <c r="I3282" t="s">
        <v>6519</v>
      </c>
      <c r="J3282" s="3">
        <v>0.27595799999999998</v>
      </c>
      <c r="K3282" s="3">
        <v>-0.26703060000000001</v>
      </c>
      <c r="L3282" s="3">
        <v>1.7185849999999999E-2</v>
      </c>
    </row>
    <row r="3283" spans="1:12" x14ac:dyDescent="0.25">
      <c r="A3283" t="s">
        <v>6514</v>
      </c>
      <c r="B3283" t="s">
        <v>6515</v>
      </c>
      <c r="I3283" t="s">
        <v>6516</v>
      </c>
      <c r="J3283" s="3">
        <v>0.13722590000000001</v>
      </c>
      <c r="K3283" s="3">
        <v>6.2313279999999999E-2</v>
      </c>
      <c r="L3283" s="3">
        <v>0.1162368</v>
      </c>
    </row>
    <row r="3284" spans="1:12" x14ac:dyDescent="0.25">
      <c r="A3284" t="s">
        <v>6511</v>
      </c>
      <c r="B3284" t="s">
        <v>6512</v>
      </c>
      <c r="I3284" t="s">
        <v>6513</v>
      </c>
      <c r="J3284" s="3">
        <v>0.12919220000000001</v>
      </c>
      <c r="K3284" s="3">
        <v>-0.32685120000000001</v>
      </c>
      <c r="L3284" s="3">
        <v>-0.60977340000000002</v>
      </c>
    </row>
    <row r="3285" spans="1:12" x14ac:dyDescent="0.25">
      <c r="A3285" t="s">
        <v>6508</v>
      </c>
      <c r="B3285" t="s">
        <v>6509</v>
      </c>
      <c r="I3285" t="s">
        <v>6510</v>
      </c>
      <c r="J3285" s="3">
        <v>-0.44974360000000002</v>
      </c>
      <c r="K3285" s="3">
        <v>-0.45330160000000003</v>
      </c>
      <c r="L3285" s="3">
        <v>-0.67899730000000003</v>
      </c>
    </row>
    <row r="3286" spans="1:12" x14ac:dyDescent="0.25">
      <c r="A3286" t="s">
        <v>6505</v>
      </c>
      <c r="B3286" t="s">
        <v>6506</v>
      </c>
      <c r="I3286" t="s">
        <v>6507</v>
      </c>
      <c r="J3286" s="3">
        <v>-0.33934839999999999</v>
      </c>
      <c r="K3286" s="3">
        <v>-0.37345640000000002</v>
      </c>
      <c r="L3286" s="3">
        <v>-3.6164950000000001E-2</v>
      </c>
    </row>
    <row r="3287" spans="1:12" x14ac:dyDescent="0.25">
      <c r="A3287" t="s">
        <v>6502</v>
      </c>
      <c r="B3287" t="s">
        <v>6503</v>
      </c>
      <c r="I3287" t="s">
        <v>6504</v>
      </c>
      <c r="J3287" s="3">
        <v>0.3317795</v>
      </c>
      <c r="K3287" s="3">
        <v>-6.6416879999999998E-2</v>
      </c>
      <c r="L3287" s="3">
        <v>0.54989330000000003</v>
      </c>
    </row>
    <row r="3288" spans="1:12" x14ac:dyDescent="0.25">
      <c r="A3288" t="s">
        <v>6501</v>
      </c>
      <c r="B3288" t="s">
        <v>957</v>
      </c>
      <c r="I3288" t="s">
        <v>455</v>
      </c>
      <c r="J3288" s="3">
        <v>0.40930919999999998</v>
      </c>
      <c r="K3288" s="3">
        <v>-7.0486629999999995E-2</v>
      </c>
      <c r="L3288" s="3">
        <v>0.44814749999999998</v>
      </c>
    </row>
    <row r="3289" spans="1:12" x14ac:dyDescent="0.25">
      <c r="A3289" t="s">
        <v>6498</v>
      </c>
      <c r="B3289" t="s">
        <v>6499</v>
      </c>
      <c r="I3289" t="s">
        <v>6500</v>
      </c>
      <c r="J3289" s="3">
        <v>-0.32270749999999998</v>
      </c>
      <c r="K3289" s="3">
        <v>-0.1162141</v>
      </c>
      <c r="L3289" s="3">
        <v>-3.0442070000000002E-2</v>
      </c>
    </row>
    <row r="3290" spans="1:12" x14ac:dyDescent="0.25">
      <c r="A3290" t="s">
        <v>6495</v>
      </c>
      <c r="B3290" t="s">
        <v>6496</v>
      </c>
      <c r="I3290" t="s">
        <v>6497</v>
      </c>
      <c r="J3290" s="3">
        <v>-0.24421190000000001</v>
      </c>
      <c r="K3290" s="3">
        <v>-0.1385247</v>
      </c>
      <c r="L3290" s="3">
        <v>-0.37131989999999998</v>
      </c>
    </row>
    <row r="3291" spans="1:12" x14ac:dyDescent="0.25">
      <c r="A3291" t="s">
        <v>6492</v>
      </c>
      <c r="B3291" t="s">
        <v>6493</v>
      </c>
      <c r="I3291" t="s">
        <v>6494</v>
      </c>
      <c r="J3291" s="3">
        <v>0.22321659999999999</v>
      </c>
      <c r="K3291" s="3">
        <v>0.63501240000000003</v>
      </c>
      <c r="L3291" s="3">
        <v>0.23410890000000001</v>
      </c>
    </row>
    <row r="3292" spans="1:12" x14ac:dyDescent="0.25">
      <c r="A3292" t="s">
        <v>6490</v>
      </c>
      <c r="B3292" t="s">
        <v>6491</v>
      </c>
      <c r="I3292" t="s">
        <v>2942</v>
      </c>
      <c r="J3292" s="3">
        <v>0.72836840000000003</v>
      </c>
      <c r="K3292" s="3">
        <v>1.46871</v>
      </c>
      <c r="L3292" s="3">
        <v>0.42101329999999998</v>
      </c>
    </row>
    <row r="3293" spans="1:12" x14ac:dyDescent="0.25">
      <c r="A3293" t="s">
        <v>6487</v>
      </c>
      <c r="B3293" t="s">
        <v>6488</v>
      </c>
      <c r="I3293" t="s">
        <v>6489</v>
      </c>
      <c r="J3293" s="3">
        <v>-0.1467118</v>
      </c>
      <c r="K3293" s="3">
        <v>0.17607729999999999</v>
      </c>
      <c r="L3293" s="3">
        <v>4.5766569999999999E-2</v>
      </c>
    </row>
    <row r="3294" spans="1:12" x14ac:dyDescent="0.25">
      <c r="A3294" t="s">
        <v>6485</v>
      </c>
      <c r="B3294" t="s">
        <v>6486</v>
      </c>
      <c r="I3294" t="s">
        <v>702</v>
      </c>
      <c r="J3294" s="3">
        <v>1.75299</v>
      </c>
      <c r="K3294" s="3">
        <v>2.3528509999999998</v>
      </c>
      <c r="L3294" s="3">
        <v>1.4457869999999999</v>
      </c>
    </row>
    <row r="3295" spans="1:12" x14ac:dyDescent="0.25">
      <c r="A3295" t="s">
        <v>6484</v>
      </c>
      <c r="B3295" t="s">
        <v>957</v>
      </c>
      <c r="I3295" t="s">
        <v>455</v>
      </c>
      <c r="J3295" s="3">
        <v>7.2751839999999996E-3</v>
      </c>
      <c r="K3295" s="3">
        <v>0.34877019999999997</v>
      </c>
      <c r="L3295" s="3">
        <v>9.7032400000000005E-2</v>
      </c>
    </row>
    <row r="3296" spans="1:12" x14ac:dyDescent="0.25">
      <c r="A3296" t="s">
        <v>6481</v>
      </c>
      <c r="B3296" t="s">
        <v>6482</v>
      </c>
      <c r="I3296" t="s">
        <v>6483</v>
      </c>
      <c r="J3296" s="3">
        <v>-9.7400200000000006E-2</v>
      </c>
      <c r="K3296" s="3">
        <v>-0.2858578</v>
      </c>
      <c r="L3296" s="3">
        <v>-2.7853289999999999E-2</v>
      </c>
    </row>
    <row r="3297" spans="1:12" x14ac:dyDescent="0.25">
      <c r="A3297" t="s">
        <v>6478</v>
      </c>
      <c r="B3297" t="s">
        <v>6479</v>
      </c>
      <c r="I3297" t="s">
        <v>6480</v>
      </c>
      <c r="J3297" s="3">
        <v>-0.58441589999999999</v>
      </c>
      <c r="K3297" s="3">
        <v>-1.041242</v>
      </c>
      <c r="L3297" s="3">
        <v>-0.5836462</v>
      </c>
    </row>
    <row r="3298" spans="1:12" x14ac:dyDescent="0.25">
      <c r="A3298" t="s">
        <v>6475</v>
      </c>
      <c r="B3298" t="s">
        <v>6476</v>
      </c>
      <c r="I3298" t="s">
        <v>6477</v>
      </c>
      <c r="J3298" s="3">
        <v>0.41691010000000001</v>
      </c>
      <c r="K3298" s="3">
        <v>0.13416169999999999</v>
      </c>
      <c r="L3298" s="3">
        <v>0.70182670000000003</v>
      </c>
    </row>
    <row r="3299" spans="1:12" x14ac:dyDescent="0.25">
      <c r="A3299" t="s">
        <v>6473</v>
      </c>
      <c r="B3299" t="s">
        <v>6474</v>
      </c>
      <c r="I3299" t="s">
        <v>1768</v>
      </c>
      <c r="J3299" s="3">
        <v>-0.3557631</v>
      </c>
      <c r="K3299" s="3">
        <v>0.30730420000000003</v>
      </c>
      <c r="L3299" s="3">
        <v>-0.31582149999999998</v>
      </c>
    </row>
    <row r="3300" spans="1:12" x14ac:dyDescent="0.25">
      <c r="A3300" t="s">
        <v>6472</v>
      </c>
      <c r="B3300" t="s">
        <v>957</v>
      </c>
      <c r="I3300" t="s">
        <v>455</v>
      </c>
      <c r="J3300" s="3">
        <v>0.14112350000000001</v>
      </c>
      <c r="K3300" s="3">
        <v>0.72868820000000001</v>
      </c>
      <c r="L3300" s="3">
        <v>0.2045042</v>
      </c>
    </row>
    <row r="3301" spans="1:12" x14ac:dyDescent="0.25">
      <c r="A3301" t="s">
        <v>6470</v>
      </c>
      <c r="B3301" t="s">
        <v>6471</v>
      </c>
      <c r="I3301" t="s">
        <v>3094</v>
      </c>
      <c r="J3301" s="3">
        <v>-0.60907219999999995</v>
      </c>
      <c r="K3301" s="3">
        <v>-0.71299559999999995</v>
      </c>
      <c r="L3301" s="3">
        <v>-0.39413530000000002</v>
      </c>
    </row>
    <row r="3302" spans="1:12" x14ac:dyDescent="0.25">
      <c r="A3302" t="s">
        <v>6467</v>
      </c>
      <c r="B3302" t="s">
        <v>6468</v>
      </c>
      <c r="I3302" t="s">
        <v>6469</v>
      </c>
      <c r="J3302" s="3">
        <v>5.1576219999999997E-3</v>
      </c>
      <c r="K3302" s="3">
        <v>-0.47286699999999998</v>
      </c>
      <c r="L3302" s="3">
        <v>9.8912620000000007E-2</v>
      </c>
    </row>
    <row r="3303" spans="1:12" x14ac:dyDescent="0.25">
      <c r="A3303" t="s">
        <v>6464</v>
      </c>
      <c r="B3303" t="s">
        <v>6465</v>
      </c>
      <c r="I3303" t="s">
        <v>6466</v>
      </c>
      <c r="J3303" s="3">
        <v>-0.42787579999999997</v>
      </c>
      <c r="K3303" s="3">
        <v>-0.87033799999999995</v>
      </c>
      <c r="L3303" s="3">
        <v>-0.52144069999999998</v>
      </c>
    </row>
    <row r="3304" spans="1:12" x14ac:dyDescent="0.25">
      <c r="A3304" t="s">
        <v>6461</v>
      </c>
      <c r="B3304" t="s">
        <v>6462</v>
      </c>
      <c r="I3304" t="s">
        <v>6463</v>
      </c>
      <c r="J3304" s="3">
        <v>-0.21138029999999999</v>
      </c>
      <c r="K3304" s="3">
        <v>-0.31739909999999999</v>
      </c>
      <c r="L3304" s="3">
        <v>-0.25735750000000002</v>
      </c>
    </row>
    <row r="3305" spans="1:12" x14ac:dyDescent="0.25">
      <c r="A3305" t="s">
        <v>6458</v>
      </c>
      <c r="B3305" t="s">
        <v>6459</v>
      </c>
      <c r="I3305" t="s">
        <v>6460</v>
      </c>
      <c r="J3305" s="3">
        <v>-0.37063580000000002</v>
      </c>
      <c r="K3305" s="3">
        <v>-0.51942010000000005</v>
      </c>
      <c r="L3305" s="3">
        <v>-0.17296590000000001</v>
      </c>
    </row>
    <row r="3306" spans="1:12" x14ac:dyDescent="0.25">
      <c r="A3306" t="s">
        <v>6457</v>
      </c>
      <c r="B3306" t="s">
        <v>957</v>
      </c>
      <c r="I3306" t="s">
        <v>455</v>
      </c>
      <c r="J3306" s="3">
        <v>-9.7398159999999998E-2</v>
      </c>
      <c r="K3306" s="3">
        <v>-6.7836229999999997E-2</v>
      </c>
      <c r="L3306" s="3">
        <v>-1.2204080000000001E-2</v>
      </c>
    </row>
    <row r="3307" spans="1:12" x14ac:dyDescent="0.25">
      <c r="A3307" t="s">
        <v>6454</v>
      </c>
      <c r="B3307" t="s">
        <v>6455</v>
      </c>
      <c r="I3307" t="s">
        <v>6456</v>
      </c>
      <c r="J3307" s="3">
        <v>-0.55543039999999999</v>
      </c>
      <c r="K3307" s="3">
        <v>-0.3106505</v>
      </c>
      <c r="L3307" s="3">
        <v>1.066686</v>
      </c>
    </row>
    <row r="3308" spans="1:12" x14ac:dyDescent="0.25">
      <c r="A3308" t="s">
        <v>6451</v>
      </c>
      <c r="B3308" t="s">
        <v>6452</v>
      </c>
      <c r="I3308" t="s">
        <v>6453</v>
      </c>
      <c r="J3308" s="3">
        <v>-0.29535289999999997</v>
      </c>
      <c r="K3308" s="3">
        <v>-0.73163979999999995</v>
      </c>
      <c r="L3308" s="3">
        <v>-0.2491072</v>
      </c>
    </row>
    <row r="3309" spans="1:12" x14ac:dyDescent="0.25">
      <c r="A3309" t="s">
        <v>6450</v>
      </c>
      <c r="B3309" t="s">
        <v>957</v>
      </c>
      <c r="I3309" t="s">
        <v>455</v>
      </c>
      <c r="J3309" s="3">
        <v>-0.55329980000000001</v>
      </c>
      <c r="K3309" s="3">
        <v>-0.814828</v>
      </c>
      <c r="L3309" s="3">
        <v>-0.60735899999999998</v>
      </c>
    </row>
    <row r="3310" spans="1:12" x14ac:dyDescent="0.25">
      <c r="A3310" t="s">
        <v>6449</v>
      </c>
      <c r="B3310" t="s">
        <v>957</v>
      </c>
      <c r="I3310" t="s">
        <v>823</v>
      </c>
      <c r="J3310" s="3">
        <v>-1.3755580000000001</v>
      </c>
      <c r="K3310" s="3">
        <v>-1.8645099999999999</v>
      </c>
      <c r="L3310" s="3">
        <v>-1.127291</v>
      </c>
    </row>
    <row r="3311" spans="1:12" x14ac:dyDescent="0.25">
      <c r="A3311" t="s">
        <v>6448</v>
      </c>
      <c r="B3311" t="s">
        <v>957</v>
      </c>
      <c r="I3311" t="s">
        <v>455</v>
      </c>
      <c r="J3311" s="3">
        <v>0.48750500000000002</v>
      </c>
      <c r="K3311" s="3">
        <v>0.64217679999999999</v>
      </c>
      <c r="L3311" s="3">
        <v>0.23506009999999999</v>
      </c>
    </row>
    <row r="3312" spans="1:12" x14ac:dyDescent="0.25">
      <c r="A3312" t="s">
        <v>6447</v>
      </c>
      <c r="B3312" t="s">
        <v>957</v>
      </c>
      <c r="I3312" t="s">
        <v>455</v>
      </c>
      <c r="J3312" s="3">
        <v>0.10288700000000001</v>
      </c>
      <c r="K3312" s="3">
        <v>0.1021434</v>
      </c>
      <c r="L3312" s="3">
        <v>0.21565609999999999</v>
      </c>
    </row>
    <row r="3313" spans="1:12" x14ac:dyDescent="0.25">
      <c r="A3313" t="s">
        <v>6444</v>
      </c>
      <c r="B3313" t="s">
        <v>6445</v>
      </c>
      <c r="I3313" t="s">
        <v>6446</v>
      </c>
      <c r="J3313" s="3">
        <v>2.103269E-2</v>
      </c>
      <c r="K3313" s="3">
        <v>0.2179256</v>
      </c>
      <c r="L3313" s="3">
        <v>-1.535135E-2</v>
      </c>
    </row>
    <row r="3314" spans="1:12" x14ac:dyDescent="0.25">
      <c r="A3314" t="s">
        <v>6441</v>
      </c>
      <c r="B3314" t="s">
        <v>6442</v>
      </c>
      <c r="I3314" t="s">
        <v>6443</v>
      </c>
      <c r="J3314" s="3">
        <v>-0.1236235</v>
      </c>
      <c r="K3314" s="3">
        <v>-0.61692480000000005</v>
      </c>
      <c r="L3314" s="3">
        <v>-7.161323E-2</v>
      </c>
    </row>
    <row r="3315" spans="1:12" x14ac:dyDescent="0.25">
      <c r="A3315" t="s">
        <v>6440</v>
      </c>
      <c r="B3315" t="s">
        <v>957</v>
      </c>
      <c r="I3315" t="s">
        <v>455</v>
      </c>
      <c r="J3315" s="3">
        <v>1.480516E-2</v>
      </c>
      <c r="K3315" s="3">
        <v>-0.36175400000000002</v>
      </c>
      <c r="L3315" s="3">
        <v>-0.16375590000000001</v>
      </c>
    </row>
    <row r="3316" spans="1:12" x14ac:dyDescent="0.25">
      <c r="A3316" t="s">
        <v>6439</v>
      </c>
      <c r="B3316" t="s">
        <v>957</v>
      </c>
      <c r="I3316" t="s">
        <v>2</v>
      </c>
      <c r="J3316" s="3">
        <v>-0.49638399999999999</v>
      </c>
      <c r="K3316" s="3">
        <v>-0.88300020000000001</v>
      </c>
      <c r="L3316" s="3">
        <v>-0.30617109999999997</v>
      </c>
    </row>
    <row r="3317" spans="1:12" x14ac:dyDescent="0.25">
      <c r="A3317" t="s">
        <v>6438</v>
      </c>
      <c r="B3317" t="s">
        <v>957</v>
      </c>
      <c r="I3317" t="s">
        <v>455</v>
      </c>
      <c r="J3317" s="3">
        <v>-0.13619000000000001</v>
      </c>
      <c r="K3317" s="3">
        <v>-0.47533439999999999</v>
      </c>
      <c r="L3317" s="3">
        <v>-0.2361383</v>
      </c>
    </row>
    <row r="3318" spans="1:12" x14ac:dyDescent="0.25">
      <c r="A3318" t="s">
        <v>5411</v>
      </c>
      <c r="B3318" t="s">
        <v>5412</v>
      </c>
      <c r="I3318" t="s">
        <v>6437</v>
      </c>
      <c r="J3318" s="3">
        <v>-7.4957770000000007E-2</v>
      </c>
      <c r="K3318" s="3">
        <v>-1.4909449999999999E-2</v>
      </c>
      <c r="L3318" s="3">
        <v>-0.67274489999999998</v>
      </c>
    </row>
    <row r="3319" spans="1:12" x14ac:dyDescent="0.25">
      <c r="A3319" t="s">
        <v>5408</v>
      </c>
      <c r="B3319" t="s">
        <v>5409</v>
      </c>
      <c r="I3319" t="s">
        <v>5410</v>
      </c>
      <c r="J3319" s="3">
        <v>-0.46313100000000001</v>
      </c>
      <c r="K3319" s="3">
        <v>-1.099488</v>
      </c>
      <c r="L3319" s="3">
        <v>-0.48235030000000001</v>
      </c>
    </row>
    <row r="3320" spans="1:12" x14ac:dyDescent="0.25">
      <c r="A3320" t="s">
        <v>5405</v>
      </c>
      <c r="B3320" t="s">
        <v>5406</v>
      </c>
      <c r="I3320" t="s">
        <v>5407</v>
      </c>
      <c r="J3320" s="3">
        <v>9.7738560000000002E-2</v>
      </c>
      <c r="K3320" s="3">
        <v>0.59389860000000005</v>
      </c>
      <c r="L3320" s="3">
        <v>9.81128E-2</v>
      </c>
    </row>
    <row r="3321" spans="1:12" x14ac:dyDescent="0.25">
      <c r="A3321" t="s">
        <v>5404</v>
      </c>
      <c r="B3321" t="s">
        <v>957</v>
      </c>
      <c r="I3321" t="s">
        <v>823</v>
      </c>
      <c r="J3321" s="3">
        <v>1.6589659999999999E-2</v>
      </c>
      <c r="K3321" s="3">
        <v>0.57548589999999999</v>
      </c>
      <c r="L3321" s="3">
        <v>0.40978150000000002</v>
      </c>
    </row>
    <row r="3322" spans="1:12" x14ac:dyDescent="0.25">
      <c r="A3322" t="s">
        <v>5401</v>
      </c>
      <c r="B3322" t="s">
        <v>5402</v>
      </c>
      <c r="I3322" t="s">
        <v>5403</v>
      </c>
      <c r="J3322" s="3">
        <v>0.53150819999999999</v>
      </c>
      <c r="K3322" s="3">
        <v>0.35590280000000002</v>
      </c>
      <c r="L3322" s="3">
        <v>0.2600674</v>
      </c>
    </row>
    <row r="3323" spans="1:12" x14ac:dyDescent="0.25">
      <c r="A3323" t="s">
        <v>5398</v>
      </c>
      <c r="B3323" t="s">
        <v>5399</v>
      </c>
      <c r="I3323" t="s">
        <v>5400</v>
      </c>
      <c r="J3323" s="3">
        <v>-0.12171120000000001</v>
      </c>
      <c r="K3323" s="3">
        <v>-0.48189029999999999</v>
      </c>
      <c r="L3323" s="3">
        <v>-0.1480728</v>
      </c>
    </row>
    <row r="3324" spans="1:12" x14ac:dyDescent="0.25">
      <c r="A3324" t="s">
        <v>5395</v>
      </c>
      <c r="B3324" t="s">
        <v>5396</v>
      </c>
      <c r="I3324" t="s">
        <v>5397</v>
      </c>
      <c r="J3324" s="3">
        <v>0.45942949999999999</v>
      </c>
      <c r="K3324" s="3">
        <v>0.85525770000000001</v>
      </c>
      <c r="L3324" s="3">
        <v>0.3660679</v>
      </c>
    </row>
    <row r="3325" spans="1:12" x14ac:dyDescent="0.25">
      <c r="A3325" t="s">
        <v>5392</v>
      </c>
      <c r="B3325" t="s">
        <v>5393</v>
      </c>
      <c r="I3325" t="s">
        <v>5394</v>
      </c>
      <c r="J3325" s="3">
        <v>0.38648139999999997</v>
      </c>
      <c r="K3325" s="3">
        <v>-5.358889E-2</v>
      </c>
      <c r="L3325" s="3">
        <v>0.17835770000000001</v>
      </c>
    </row>
    <row r="3326" spans="1:12" x14ac:dyDescent="0.25">
      <c r="A3326" t="s">
        <v>5389</v>
      </c>
      <c r="B3326" t="s">
        <v>5390</v>
      </c>
      <c r="I3326" t="s">
        <v>5391</v>
      </c>
      <c r="J3326" s="3">
        <v>0.27787990000000001</v>
      </c>
      <c r="K3326" s="3">
        <v>0.57319249999999999</v>
      </c>
      <c r="L3326" s="3">
        <v>0.77807660000000001</v>
      </c>
    </row>
    <row r="3327" spans="1:12" x14ac:dyDescent="0.25">
      <c r="A3327" t="s">
        <v>5386</v>
      </c>
      <c r="B3327" t="s">
        <v>5387</v>
      </c>
      <c r="I3327" t="s">
        <v>5388</v>
      </c>
      <c r="J3327" s="3">
        <v>-0.2766131</v>
      </c>
      <c r="K3327" s="3">
        <v>-1.002772</v>
      </c>
      <c r="L3327" s="3">
        <v>-4.2325120000000001E-2</v>
      </c>
    </row>
    <row r="3328" spans="1:12" x14ac:dyDescent="0.25">
      <c r="A3328" t="s">
        <v>5383</v>
      </c>
      <c r="B3328" t="s">
        <v>5384</v>
      </c>
      <c r="I3328" t="s">
        <v>5385</v>
      </c>
      <c r="J3328" s="3">
        <v>0.12132950000000001</v>
      </c>
      <c r="K3328" s="3">
        <v>-0.67225699999999999</v>
      </c>
      <c r="L3328" s="3">
        <v>-0.24845590000000001</v>
      </c>
    </row>
    <row r="3329" spans="1:12" x14ac:dyDescent="0.25">
      <c r="A3329" t="s">
        <v>6407</v>
      </c>
      <c r="B3329" t="s">
        <v>6408</v>
      </c>
      <c r="I3329" t="s">
        <v>5382</v>
      </c>
      <c r="J3329" s="3">
        <v>-4.2309460000000002E-3</v>
      </c>
      <c r="K3329" s="3">
        <v>5.0960199999999997E-2</v>
      </c>
      <c r="L3329" s="3">
        <v>0.1129206</v>
      </c>
    </row>
    <row r="3330" spans="1:12" x14ac:dyDescent="0.25">
      <c r="A3330" t="s">
        <v>6404</v>
      </c>
      <c r="B3330" t="s">
        <v>6405</v>
      </c>
      <c r="I3330" t="s">
        <v>6406</v>
      </c>
      <c r="J3330" s="3">
        <v>-0.49030990000000002</v>
      </c>
      <c r="K3330" s="3">
        <v>-0.95243199999999995</v>
      </c>
      <c r="L3330" s="3">
        <v>-0.5255784</v>
      </c>
    </row>
    <row r="3331" spans="1:12" x14ac:dyDescent="0.25">
      <c r="A3331" t="s">
        <v>6401</v>
      </c>
      <c r="B3331" t="s">
        <v>6402</v>
      </c>
      <c r="I3331" t="s">
        <v>6403</v>
      </c>
      <c r="J3331" s="3">
        <v>0.92546430000000002</v>
      </c>
      <c r="K3331" s="3">
        <v>1.5818460000000001</v>
      </c>
      <c r="L3331" s="3">
        <v>1.131783</v>
      </c>
    </row>
    <row r="3332" spans="1:12" x14ac:dyDescent="0.25">
      <c r="A3332" t="s">
        <v>6400</v>
      </c>
      <c r="B3332" t="s">
        <v>957</v>
      </c>
      <c r="I3332" t="s">
        <v>455</v>
      </c>
      <c r="J3332" s="3">
        <v>0.30063250000000002</v>
      </c>
      <c r="K3332" s="3">
        <v>0.51018189999999997</v>
      </c>
      <c r="L3332" s="3">
        <v>-0.15988749999999999</v>
      </c>
    </row>
    <row r="3333" spans="1:12" x14ac:dyDescent="0.25">
      <c r="A3333" t="s">
        <v>6397</v>
      </c>
      <c r="B3333" t="s">
        <v>6398</v>
      </c>
      <c r="I3333" t="s">
        <v>6399</v>
      </c>
      <c r="J3333" s="3">
        <v>-0.2378825</v>
      </c>
      <c r="K3333" s="3">
        <v>-0.30503920000000001</v>
      </c>
      <c r="L3333" s="3">
        <v>-0.32802100000000001</v>
      </c>
    </row>
    <row r="3334" spans="1:12" x14ac:dyDescent="0.25">
      <c r="A3334" t="s">
        <v>6396</v>
      </c>
      <c r="B3334" t="s">
        <v>957</v>
      </c>
      <c r="I3334" t="s">
        <v>455</v>
      </c>
      <c r="J3334" s="3">
        <v>0.82031730000000003</v>
      </c>
      <c r="K3334" s="3">
        <v>1.2211320000000001</v>
      </c>
      <c r="L3334" s="3">
        <v>0.67529479999999997</v>
      </c>
    </row>
    <row r="3335" spans="1:12" x14ac:dyDescent="0.25">
      <c r="A3335" t="s">
        <v>6394</v>
      </c>
      <c r="B3335" t="s">
        <v>6395</v>
      </c>
      <c r="I3335" t="s">
        <v>623</v>
      </c>
      <c r="J3335" s="3">
        <v>-0.24352550000000001</v>
      </c>
      <c r="K3335" s="3">
        <v>3.3529150000000001E-2</v>
      </c>
      <c r="L3335" s="3">
        <v>-0.1738249</v>
      </c>
    </row>
    <row r="3336" spans="1:12" x14ac:dyDescent="0.25">
      <c r="A3336" t="s">
        <v>6393</v>
      </c>
      <c r="B3336" t="s">
        <v>957</v>
      </c>
      <c r="I3336" t="s">
        <v>455</v>
      </c>
      <c r="J3336" s="3">
        <v>0.19604009999999999</v>
      </c>
      <c r="K3336" s="3">
        <v>0.46823690000000001</v>
      </c>
      <c r="L3336" s="3">
        <v>0.15726870000000001</v>
      </c>
    </row>
    <row r="3337" spans="1:12" x14ac:dyDescent="0.25">
      <c r="A3337" t="s">
        <v>6390</v>
      </c>
      <c r="B3337" t="s">
        <v>6391</v>
      </c>
      <c r="I3337" t="s">
        <v>6392</v>
      </c>
      <c r="J3337" s="3">
        <v>0.62669200000000003</v>
      </c>
      <c r="K3337" s="3">
        <v>0.72369570000000005</v>
      </c>
      <c r="L3337" s="3">
        <v>0.67818679999999998</v>
      </c>
    </row>
    <row r="3338" spans="1:12" x14ac:dyDescent="0.25">
      <c r="A3338" t="s">
        <v>6387</v>
      </c>
      <c r="B3338" t="s">
        <v>6388</v>
      </c>
      <c r="I3338" t="s">
        <v>6389</v>
      </c>
      <c r="J3338" s="3">
        <v>-0.58436010000000005</v>
      </c>
      <c r="K3338" s="3">
        <v>-1.1301730000000001</v>
      </c>
      <c r="L3338" s="3">
        <v>-0.4791031</v>
      </c>
    </row>
    <row r="3339" spans="1:12" x14ac:dyDescent="0.25">
      <c r="A3339" t="s">
        <v>6386</v>
      </c>
      <c r="B3339" t="s">
        <v>957</v>
      </c>
      <c r="I3339" t="s">
        <v>823</v>
      </c>
      <c r="J3339" s="3">
        <v>5.9581210000000003E-2</v>
      </c>
      <c r="K3339" s="3">
        <v>-9.3276349999999994E-2</v>
      </c>
      <c r="L3339" s="3">
        <v>0.27583649999999998</v>
      </c>
    </row>
    <row r="3340" spans="1:12" x14ac:dyDescent="0.25">
      <c r="A3340" t="s">
        <v>6383</v>
      </c>
      <c r="B3340" t="s">
        <v>6384</v>
      </c>
      <c r="I3340" t="s">
        <v>6385</v>
      </c>
      <c r="J3340" s="3">
        <v>-0.1877103</v>
      </c>
      <c r="K3340" s="3">
        <v>8.6638199999999999E-2</v>
      </c>
      <c r="L3340" s="3">
        <v>-0.14783740000000001</v>
      </c>
    </row>
    <row r="3341" spans="1:12" x14ac:dyDescent="0.25">
      <c r="A3341" t="s">
        <v>6382</v>
      </c>
      <c r="B3341" t="s">
        <v>957</v>
      </c>
      <c r="I3341" t="s">
        <v>455</v>
      </c>
      <c r="J3341" s="3">
        <v>0.38034129999999999</v>
      </c>
      <c r="K3341" s="3">
        <v>0.7491816</v>
      </c>
      <c r="L3341" s="3">
        <v>0.4264288</v>
      </c>
    </row>
    <row r="3342" spans="1:12" x14ac:dyDescent="0.25">
      <c r="A3342" t="s">
        <v>6379</v>
      </c>
      <c r="B3342" t="s">
        <v>6380</v>
      </c>
      <c r="I3342" t="s">
        <v>6381</v>
      </c>
      <c r="J3342" s="3">
        <v>-9.1064309999999996E-2</v>
      </c>
      <c r="K3342" s="3">
        <v>0.2247439</v>
      </c>
      <c r="L3342" s="3">
        <v>-4.8936399999999998E-2</v>
      </c>
    </row>
    <row r="3343" spans="1:12" x14ac:dyDescent="0.25">
      <c r="A3343" t="s">
        <v>6376</v>
      </c>
      <c r="B3343" t="s">
        <v>6377</v>
      </c>
      <c r="I3343" t="s">
        <v>6378</v>
      </c>
      <c r="J3343" s="3">
        <v>-0.91944170000000003</v>
      </c>
      <c r="K3343" s="3">
        <v>-0.91029269999999995</v>
      </c>
      <c r="L3343" s="3">
        <v>-0.40063969999999999</v>
      </c>
    </row>
    <row r="3344" spans="1:12" x14ac:dyDescent="0.25">
      <c r="A3344" t="s">
        <v>6373</v>
      </c>
      <c r="B3344" t="s">
        <v>6374</v>
      </c>
      <c r="I3344" t="s">
        <v>6375</v>
      </c>
      <c r="J3344" s="3">
        <v>0.61546679999999998</v>
      </c>
      <c r="K3344" s="3">
        <v>0.49098890000000001</v>
      </c>
      <c r="L3344" s="3">
        <v>0.68468399999999996</v>
      </c>
    </row>
    <row r="3345" spans="1:12" x14ac:dyDescent="0.25">
      <c r="A3345" t="s">
        <v>5352</v>
      </c>
      <c r="B3345" t="s">
        <v>5353</v>
      </c>
      <c r="I3345" t="s">
        <v>6372</v>
      </c>
      <c r="J3345" s="3">
        <v>0.59581689999999998</v>
      </c>
      <c r="K3345" s="3">
        <v>0.69825289999999995</v>
      </c>
      <c r="L3345" s="3">
        <v>0.62085159999999995</v>
      </c>
    </row>
    <row r="3346" spans="1:12" x14ac:dyDescent="0.25">
      <c r="A3346" t="s">
        <v>5349</v>
      </c>
      <c r="B3346" t="s">
        <v>5350</v>
      </c>
      <c r="I3346" t="s">
        <v>5351</v>
      </c>
      <c r="J3346" s="3">
        <v>-4.1786230000000001E-2</v>
      </c>
      <c r="K3346" s="3">
        <v>-0.1025431</v>
      </c>
      <c r="L3346" s="3">
        <v>-1.726277E-2</v>
      </c>
    </row>
    <row r="3347" spans="1:12" x14ac:dyDescent="0.25">
      <c r="A3347" t="s">
        <v>5346</v>
      </c>
      <c r="B3347" t="s">
        <v>5347</v>
      </c>
      <c r="I3347" t="s">
        <v>5348</v>
      </c>
      <c r="J3347" s="3">
        <v>0.20469409999999999</v>
      </c>
      <c r="K3347" s="3">
        <v>0.1876313</v>
      </c>
      <c r="L3347" s="3">
        <v>0.2808969</v>
      </c>
    </row>
    <row r="3348" spans="1:12" x14ac:dyDescent="0.25">
      <c r="A3348" t="s">
        <v>5343</v>
      </c>
      <c r="B3348" t="s">
        <v>5344</v>
      </c>
      <c r="I3348" t="s">
        <v>5345</v>
      </c>
      <c r="J3348" s="3">
        <v>0.20396590000000001</v>
      </c>
      <c r="K3348" s="3">
        <v>-0.28684029999999999</v>
      </c>
      <c r="L3348" s="3">
        <v>0.30966369999999999</v>
      </c>
    </row>
    <row r="3349" spans="1:12" x14ac:dyDescent="0.25">
      <c r="A3349" t="s">
        <v>5341</v>
      </c>
      <c r="B3349" t="s">
        <v>5342</v>
      </c>
      <c r="I3349" t="s">
        <v>4112</v>
      </c>
      <c r="J3349" s="3">
        <v>-0.57385779999999997</v>
      </c>
      <c r="K3349" s="3">
        <v>-0.69806049999999997</v>
      </c>
      <c r="L3349" s="3">
        <v>-0.34988560000000002</v>
      </c>
    </row>
    <row r="3350" spans="1:12" x14ac:dyDescent="0.25">
      <c r="A3350" t="s">
        <v>5338</v>
      </c>
      <c r="B3350" t="s">
        <v>5339</v>
      </c>
      <c r="I3350" t="s">
        <v>5340</v>
      </c>
      <c r="J3350" s="3">
        <v>1.316506</v>
      </c>
      <c r="K3350" s="3">
        <v>1.265174</v>
      </c>
      <c r="L3350" s="3">
        <v>0.99494610000000006</v>
      </c>
    </row>
    <row r="3351" spans="1:12" x14ac:dyDescent="0.25">
      <c r="A3351" t="s">
        <v>5335</v>
      </c>
      <c r="B3351" t="s">
        <v>5336</v>
      </c>
      <c r="I3351" t="s">
        <v>5337</v>
      </c>
      <c r="J3351" s="3">
        <v>-0.38570670000000001</v>
      </c>
      <c r="K3351" s="3">
        <v>-0.91502950000000005</v>
      </c>
      <c r="L3351" s="3">
        <v>-0.37183539999999998</v>
      </c>
    </row>
    <row r="3352" spans="1:12" x14ac:dyDescent="0.25">
      <c r="A3352" t="s">
        <v>5332</v>
      </c>
      <c r="B3352" t="s">
        <v>5333</v>
      </c>
      <c r="I3352" t="s">
        <v>5334</v>
      </c>
      <c r="J3352" s="3">
        <v>-0.80572140000000003</v>
      </c>
      <c r="K3352" s="3">
        <v>-1.1638980000000001</v>
      </c>
      <c r="L3352" s="3">
        <v>-0.59661010000000003</v>
      </c>
    </row>
    <row r="3353" spans="1:12" x14ac:dyDescent="0.25">
      <c r="A3353" t="s">
        <v>5331</v>
      </c>
      <c r="B3353" t="s">
        <v>957</v>
      </c>
      <c r="I3353" t="s">
        <v>455</v>
      </c>
      <c r="J3353" s="3">
        <v>-0.3230422</v>
      </c>
      <c r="K3353" s="3">
        <v>-0.46128089999999999</v>
      </c>
      <c r="L3353" s="3">
        <v>-0.35695139999999997</v>
      </c>
    </row>
    <row r="3354" spans="1:12" x14ac:dyDescent="0.25">
      <c r="A3354" t="s">
        <v>5330</v>
      </c>
      <c r="B3354" t="s">
        <v>957</v>
      </c>
      <c r="I3354" t="s">
        <v>823</v>
      </c>
      <c r="J3354" s="3">
        <v>-0.37019289999999999</v>
      </c>
      <c r="K3354" s="3">
        <v>-8.1925999999999999E-2</v>
      </c>
      <c r="L3354" s="3">
        <v>-0.1290993</v>
      </c>
    </row>
    <row r="3355" spans="1:12" x14ac:dyDescent="0.25">
      <c r="A3355" t="s">
        <v>5327</v>
      </c>
      <c r="B3355" t="s">
        <v>5328</v>
      </c>
      <c r="I3355" t="s">
        <v>5329</v>
      </c>
      <c r="J3355" s="3">
        <v>-1.041194</v>
      </c>
      <c r="K3355" s="3">
        <v>-0.50483089999999997</v>
      </c>
      <c r="L3355" s="3">
        <v>-0.43133080000000001</v>
      </c>
    </row>
    <row r="3356" spans="1:12" x14ac:dyDescent="0.25">
      <c r="A3356" t="s">
        <v>5324</v>
      </c>
      <c r="B3356" t="s">
        <v>5325</v>
      </c>
      <c r="I3356" t="s">
        <v>5326</v>
      </c>
      <c r="J3356" s="3">
        <v>-0.39670280000000002</v>
      </c>
      <c r="K3356" s="3">
        <v>-0.80853450000000004</v>
      </c>
      <c r="L3356" s="3">
        <v>-0.59996430000000001</v>
      </c>
    </row>
    <row r="3357" spans="1:12" x14ac:dyDescent="0.25">
      <c r="A3357" t="s">
        <v>5321</v>
      </c>
      <c r="B3357" t="s">
        <v>5322</v>
      </c>
      <c r="I3357" t="s">
        <v>5323</v>
      </c>
      <c r="J3357" s="3">
        <v>0.25565979999999999</v>
      </c>
      <c r="K3357" s="3">
        <v>0.17777290000000001</v>
      </c>
      <c r="L3357" s="3">
        <v>0.29975160000000001</v>
      </c>
    </row>
    <row r="3358" spans="1:12" x14ac:dyDescent="0.25">
      <c r="A3358" t="s">
        <v>5318</v>
      </c>
      <c r="B3358" t="s">
        <v>5319</v>
      </c>
      <c r="I3358" t="s">
        <v>5320</v>
      </c>
      <c r="J3358" s="3">
        <v>0.3168745</v>
      </c>
      <c r="K3358" s="3">
        <v>1.3878809999999999</v>
      </c>
      <c r="L3358" s="3">
        <v>0.30480819999999997</v>
      </c>
    </row>
    <row r="3359" spans="1:12" x14ac:dyDescent="0.25">
      <c r="A3359" t="s">
        <v>5317</v>
      </c>
      <c r="B3359" t="s">
        <v>957</v>
      </c>
      <c r="I3359" t="s">
        <v>455</v>
      </c>
      <c r="J3359" s="3">
        <v>-1.691202E-2</v>
      </c>
      <c r="K3359" s="3">
        <v>0.1488331</v>
      </c>
      <c r="L3359" s="3">
        <v>0.22891529999999999</v>
      </c>
    </row>
    <row r="3360" spans="1:12" x14ac:dyDescent="0.25">
      <c r="A3360" t="s">
        <v>5314</v>
      </c>
      <c r="B3360" t="s">
        <v>5315</v>
      </c>
      <c r="I3360" t="s">
        <v>5316</v>
      </c>
      <c r="J3360" s="3">
        <v>-0.37480249999999998</v>
      </c>
      <c r="K3360" s="3">
        <v>-0.69373070000000003</v>
      </c>
      <c r="L3360" s="3">
        <v>-0.16353239999999999</v>
      </c>
    </row>
    <row r="3361" spans="1:12" x14ac:dyDescent="0.25">
      <c r="A3361" t="s">
        <v>5311</v>
      </c>
      <c r="B3361" t="s">
        <v>5312</v>
      </c>
      <c r="I3361" t="s">
        <v>5313</v>
      </c>
      <c r="J3361" s="3">
        <v>-5.1975929999999997E-2</v>
      </c>
      <c r="K3361" s="3">
        <v>-0.71233659999999999</v>
      </c>
      <c r="L3361" s="3">
        <v>-0.1249547</v>
      </c>
    </row>
    <row r="3362" spans="1:12" x14ac:dyDescent="0.25">
      <c r="A3362" t="s">
        <v>5310</v>
      </c>
      <c r="B3362" t="s">
        <v>957</v>
      </c>
      <c r="I3362" t="s">
        <v>455</v>
      </c>
      <c r="J3362" s="3">
        <v>-0.17973459999999999</v>
      </c>
      <c r="K3362" s="3">
        <v>-0.38715569999999999</v>
      </c>
      <c r="L3362" s="3">
        <v>4.561486E-2</v>
      </c>
    </row>
    <row r="3363" spans="1:12" x14ac:dyDescent="0.25">
      <c r="A3363" t="s">
        <v>5308</v>
      </c>
      <c r="B3363" t="s">
        <v>957</v>
      </c>
      <c r="I3363" t="s">
        <v>5309</v>
      </c>
      <c r="J3363" s="3">
        <v>0.4343225</v>
      </c>
      <c r="K3363" s="3">
        <v>0.1364968</v>
      </c>
      <c r="L3363" s="3">
        <v>0.37093530000000002</v>
      </c>
    </row>
    <row r="3364" spans="1:12" x14ac:dyDescent="0.25">
      <c r="A3364" t="s">
        <v>5305</v>
      </c>
      <c r="B3364" t="s">
        <v>5306</v>
      </c>
      <c r="I3364" t="s">
        <v>5307</v>
      </c>
      <c r="J3364" s="3">
        <v>1.267906</v>
      </c>
      <c r="K3364" s="3">
        <v>1.112314</v>
      </c>
      <c r="L3364" s="3">
        <v>1.242588</v>
      </c>
    </row>
    <row r="3365" spans="1:12" x14ac:dyDescent="0.25">
      <c r="A3365" t="s">
        <v>5304</v>
      </c>
      <c r="B3365" t="s">
        <v>957</v>
      </c>
      <c r="I3365" t="s">
        <v>455</v>
      </c>
      <c r="J3365" s="3">
        <v>0.69974749999999997</v>
      </c>
      <c r="K3365" s="3">
        <v>1.322856</v>
      </c>
      <c r="L3365" s="3">
        <v>0.86921990000000005</v>
      </c>
    </row>
    <row r="3366" spans="1:12" x14ac:dyDescent="0.25">
      <c r="A3366" t="s">
        <v>5302</v>
      </c>
      <c r="B3366" t="s">
        <v>957</v>
      </c>
      <c r="I3366" t="s">
        <v>5303</v>
      </c>
      <c r="J3366" s="3">
        <v>-0.62839389999999995</v>
      </c>
      <c r="K3366" s="3">
        <v>-1.0126949999999999</v>
      </c>
      <c r="L3366" s="3">
        <v>-0.46434209999999998</v>
      </c>
    </row>
    <row r="3367" spans="1:12" x14ac:dyDescent="0.25">
      <c r="A3367" t="s">
        <v>5299</v>
      </c>
      <c r="B3367" t="s">
        <v>5300</v>
      </c>
      <c r="I3367" t="s">
        <v>5301</v>
      </c>
      <c r="J3367" s="3">
        <v>-0.35066750000000002</v>
      </c>
      <c r="K3367" s="3">
        <v>-0.16402420000000001</v>
      </c>
      <c r="L3367" s="3">
        <v>-0.23861499999999999</v>
      </c>
    </row>
    <row r="3368" spans="1:12" x14ac:dyDescent="0.25">
      <c r="A3368" t="s">
        <v>5296</v>
      </c>
      <c r="B3368" t="s">
        <v>5297</v>
      </c>
      <c r="I3368" t="s">
        <v>5298</v>
      </c>
      <c r="J3368" s="3">
        <v>0.3061392</v>
      </c>
      <c r="K3368" s="3">
        <v>-0.23277220000000001</v>
      </c>
      <c r="L3368" s="3">
        <v>0.3253451</v>
      </c>
    </row>
    <row r="3369" spans="1:12" x14ac:dyDescent="0.25">
      <c r="A3369" t="s">
        <v>5293</v>
      </c>
      <c r="B3369" t="s">
        <v>5294</v>
      </c>
      <c r="I3369" t="s">
        <v>5295</v>
      </c>
      <c r="J3369" s="3">
        <v>-0.16375010000000001</v>
      </c>
      <c r="K3369" s="3">
        <v>-0.31951859999999999</v>
      </c>
      <c r="L3369" s="3">
        <v>-0.2175668</v>
      </c>
    </row>
    <row r="3370" spans="1:12" x14ac:dyDescent="0.25">
      <c r="A3370" t="s">
        <v>5290</v>
      </c>
      <c r="B3370" t="s">
        <v>5291</v>
      </c>
      <c r="I3370" t="s">
        <v>5292</v>
      </c>
      <c r="J3370" s="3">
        <v>-3.1663539999999997E-2</v>
      </c>
      <c r="K3370" s="3">
        <v>-0.304898</v>
      </c>
      <c r="L3370" s="3">
        <v>4.7543370000000001E-2</v>
      </c>
    </row>
    <row r="3371" spans="1:12" x14ac:dyDescent="0.25">
      <c r="A3371" t="s">
        <v>5287</v>
      </c>
      <c r="B3371" t="s">
        <v>5288</v>
      </c>
      <c r="I3371" t="s">
        <v>5289</v>
      </c>
      <c r="J3371" s="3">
        <v>-0.68002759999999995</v>
      </c>
      <c r="K3371" s="3">
        <v>-1.0914600000000001</v>
      </c>
      <c r="L3371" s="3">
        <v>-0.33389619999999998</v>
      </c>
    </row>
    <row r="3372" spans="1:12" x14ac:dyDescent="0.25">
      <c r="A3372" t="s">
        <v>5284</v>
      </c>
      <c r="B3372" t="s">
        <v>5285</v>
      </c>
      <c r="I3372" t="s">
        <v>5286</v>
      </c>
      <c r="J3372" s="3">
        <v>8.7920150000000002E-2</v>
      </c>
      <c r="K3372" s="3">
        <v>-0.19222429999999999</v>
      </c>
      <c r="L3372" s="3">
        <v>0.27507969999999998</v>
      </c>
    </row>
    <row r="3373" spans="1:12" x14ac:dyDescent="0.25">
      <c r="A3373" t="s">
        <v>5282</v>
      </c>
      <c r="B3373" t="s">
        <v>5283</v>
      </c>
      <c r="I3373" t="s">
        <v>593</v>
      </c>
      <c r="J3373" s="3">
        <v>-0.86537600000000003</v>
      </c>
      <c r="K3373" s="3">
        <v>-1.2587269999999999</v>
      </c>
      <c r="L3373" s="3">
        <v>-0.75490959999999996</v>
      </c>
    </row>
    <row r="3374" spans="1:12" x14ac:dyDescent="0.25">
      <c r="A3374" t="s">
        <v>6300</v>
      </c>
      <c r="B3374" t="s">
        <v>6301</v>
      </c>
      <c r="I3374" t="s">
        <v>5281</v>
      </c>
      <c r="J3374" s="3">
        <v>-0.1134042</v>
      </c>
      <c r="K3374" s="3">
        <v>-0.45960329999999999</v>
      </c>
      <c r="L3374" s="3">
        <v>-0.38570949999999998</v>
      </c>
    </row>
    <row r="3375" spans="1:12" x14ac:dyDescent="0.25">
      <c r="A3375" t="s">
        <v>6297</v>
      </c>
      <c r="B3375" t="s">
        <v>6298</v>
      </c>
      <c r="I3375" t="s">
        <v>6299</v>
      </c>
      <c r="J3375" s="3">
        <v>-0.2261225</v>
      </c>
      <c r="K3375" s="3">
        <v>-0.37097790000000003</v>
      </c>
      <c r="L3375" s="3">
        <v>-0.17493619999999999</v>
      </c>
    </row>
    <row r="3376" spans="1:12" x14ac:dyDescent="0.25">
      <c r="A3376" t="s">
        <v>6295</v>
      </c>
      <c r="B3376" t="s">
        <v>957</v>
      </c>
      <c r="I3376" t="s">
        <v>6296</v>
      </c>
      <c r="J3376" s="3">
        <v>-0.140517</v>
      </c>
      <c r="K3376" s="3">
        <v>0.23027020000000001</v>
      </c>
      <c r="L3376" s="3">
        <v>0.1842308</v>
      </c>
    </row>
    <row r="3377" spans="1:12" x14ac:dyDescent="0.25">
      <c r="A3377" t="s">
        <v>6293</v>
      </c>
      <c r="B3377" t="s">
        <v>957</v>
      </c>
      <c r="I3377" t="s">
        <v>6294</v>
      </c>
      <c r="J3377" s="3">
        <v>0.3227701</v>
      </c>
      <c r="K3377" s="3">
        <v>0.25786779999999998</v>
      </c>
      <c r="L3377" s="3">
        <v>0.22311039999999999</v>
      </c>
    </row>
    <row r="3378" spans="1:12" x14ac:dyDescent="0.25">
      <c r="A3378" t="s">
        <v>6290</v>
      </c>
      <c r="B3378" t="s">
        <v>6291</v>
      </c>
      <c r="I3378" t="s">
        <v>6292</v>
      </c>
      <c r="J3378" s="3">
        <v>-0.25019760000000002</v>
      </c>
      <c r="K3378" s="3">
        <v>-0.35726140000000001</v>
      </c>
      <c r="L3378" s="3">
        <v>-0.18633720000000001</v>
      </c>
    </row>
    <row r="3379" spans="1:12" x14ac:dyDescent="0.25">
      <c r="A3379" t="s">
        <v>6287</v>
      </c>
      <c r="B3379" t="s">
        <v>6288</v>
      </c>
      <c r="I3379" t="s">
        <v>6289</v>
      </c>
      <c r="J3379" s="3">
        <v>0.21004619999999999</v>
      </c>
      <c r="K3379" s="3">
        <v>-9.8161180000000001E-2</v>
      </c>
      <c r="L3379" s="3">
        <v>0.10921699999999999</v>
      </c>
    </row>
    <row r="3380" spans="1:12" x14ac:dyDescent="0.25">
      <c r="A3380" t="s">
        <v>6284</v>
      </c>
      <c r="B3380" t="s">
        <v>6285</v>
      </c>
      <c r="I3380" t="s">
        <v>6286</v>
      </c>
      <c r="J3380" s="3">
        <v>-0.13284889999999999</v>
      </c>
      <c r="K3380" s="3">
        <v>-0.13601050000000001</v>
      </c>
      <c r="L3380" s="3">
        <v>-0.39935989999999999</v>
      </c>
    </row>
    <row r="3381" spans="1:12" x14ac:dyDescent="0.25">
      <c r="A3381" t="s">
        <v>6281</v>
      </c>
      <c r="B3381" t="s">
        <v>6282</v>
      </c>
      <c r="I3381" t="s">
        <v>6283</v>
      </c>
      <c r="J3381" s="3">
        <v>0.45841330000000002</v>
      </c>
      <c r="K3381" s="3">
        <v>0.42015000000000002</v>
      </c>
      <c r="L3381" s="3">
        <v>0.33789710000000001</v>
      </c>
    </row>
    <row r="3382" spans="1:12" x14ac:dyDescent="0.25">
      <c r="A3382" t="s">
        <v>6279</v>
      </c>
      <c r="B3382" t="s">
        <v>14215</v>
      </c>
      <c r="C3382" t="s">
        <v>14216</v>
      </c>
      <c r="I3382" t="s">
        <v>6280</v>
      </c>
      <c r="J3382" s="3">
        <v>0.47573320000000002</v>
      </c>
      <c r="K3382" s="3">
        <v>0.18478069999999999</v>
      </c>
      <c r="L3382" s="3">
        <v>0.62221720000000003</v>
      </c>
    </row>
    <row r="3383" spans="1:12" x14ac:dyDescent="0.25">
      <c r="A3383" t="s">
        <v>6276</v>
      </c>
      <c r="B3383" t="s">
        <v>6277</v>
      </c>
      <c r="I3383" t="s">
        <v>6278</v>
      </c>
      <c r="J3383" s="3">
        <v>0.2107281</v>
      </c>
      <c r="K3383" s="3">
        <v>-0.5640385</v>
      </c>
      <c r="L3383" s="3">
        <v>6.8096660000000003E-2</v>
      </c>
    </row>
    <row r="3384" spans="1:12" x14ac:dyDescent="0.25">
      <c r="A3384" t="s">
        <v>6274</v>
      </c>
      <c r="B3384" t="s">
        <v>957</v>
      </c>
      <c r="I3384" t="s">
        <v>6275</v>
      </c>
      <c r="J3384" s="3">
        <v>-0.56597719999999996</v>
      </c>
      <c r="K3384" s="3">
        <v>-0.98902400000000001</v>
      </c>
      <c r="L3384" s="3">
        <v>-4.1583809999999999E-2</v>
      </c>
    </row>
    <row r="3385" spans="1:12" x14ac:dyDescent="0.25">
      <c r="A3385" t="s">
        <v>6273</v>
      </c>
      <c r="B3385" t="s">
        <v>957</v>
      </c>
      <c r="I3385" t="s">
        <v>455</v>
      </c>
      <c r="J3385" s="3">
        <v>1.9109290000000001E-2</v>
      </c>
      <c r="K3385" s="3">
        <v>-0.6754175</v>
      </c>
      <c r="L3385" s="3">
        <v>-0.1058105</v>
      </c>
    </row>
    <row r="3386" spans="1:12" x14ac:dyDescent="0.25">
      <c r="A3386" t="s">
        <v>6270</v>
      </c>
      <c r="B3386" t="s">
        <v>6271</v>
      </c>
      <c r="I3386" t="s">
        <v>6272</v>
      </c>
      <c r="J3386" s="3">
        <v>-0.30227490000000001</v>
      </c>
      <c r="K3386" s="3">
        <v>-0.94304829999999995</v>
      </c>
      <c r="L3386" s="3">
        <v>-0.47743930000000001</v>
      </c>
    </row>
    <row r="3387" spans="1:12" x14ac:dyDescent="0.25">
      <c r="A3387" t="s">
        <v>6267</v>
      </c>
      <c r="B3387" t="s">
        <v>6268</v>
      </c>
      <c r="I3387" t="s">
        <v>6269</v>
      </c>
      <c r="J3387" s="3">
        <v>-0.17138329999999999</v>
      </c>
      <c r="K3387" s="3">
        <v>-0.8043264</v>
      </c>
      <c r="L3387" s="3">
        <v>-0.4755818</v>
      </c>
    </row>
    <row r="3388" spans="1:12" x14ac:dyDescent="0.25">
      <c r="A3388" t="s">
        <v>6264</v>
      </c>
      <c r="B3388" t="s">
        <v>6265</v>
      </c>
      <c r="I3388" t="s">
        <v>6266</v>
      </c>
      <c r="J3388" s="3">
        <v>-0.82891409999999999</v>
      </c>
      <c r="K3388" s="3">
        <v>-1.610563</v>
      </c>
      <c r="L3388" s="3">
        <v>-1.2073449999999999</v>
      </c>
    </row>
    <row r="3389" spans="1:12" x14ac:dyDescent="0.25">
      <c r="A3389" t="s">
        <v>6261</v>
      </c>
      <c r="B3389" t="s">
        <v>6262</v>
      </c>
      <c r="I3389" t="s">
        <v>6263</v>
      </c>
      <c r="J3389" s="3">
        <v>0.13600200000000001</v>
      </c>
      <c r="K3389" s="3">
        <v>-0.46064139999999998</v>
      </c>
      <c r="L3389" s="3">
        <v>-0.18946660000000001</v>
      </c>
    </row>
    <row r="3390" spans="1:12" x14ac:dyDescent="0.25">
      <c r="A3390" t="s">
        <v>6258</v>
      </c>
      <c r="B3390" t="s">
        <v>6259</v>
      </c>
      <c r="I3390" t="s">
        <v>6260</v>
      </c>
      <c r="J3390" s="3">
        <v>-0.16768189999999999</v>
      </c>
      <c r="K3390" s="3">
        <v>-0.67207119999999998</v>
      </c>
      <c r="L3390" s="3">
        <v>-0.27146520000000002</v>
      </c>
    </row>
    <row r="3391" spans="1:12" x14ac:dyDescent="0.25">
      <c r="A3391" t="s">
        <v>6255</v>
      </c>
      <c r="B3391" t="s">
        <v>6256</v>
      </c>
      <c r="I3391" t="s">
        <v>6257</v>
      </c>
      <c r="J3391" s="3">
        <v>0.52609859999999997</v>
      </c>
      <c r="K3391" s="3">
        <v>1.093577</v>
      </c>
      <c r="L3391" s="3">
        <v>0.17746190000000001</v>
      </c>
    </row>
    <row r="3392" spans="1:12" x14ac:dyDescent="0.25">
      <c r="A3392" t="s">
        <v>6252</v>
      </c>
      <c r="B3392" t="s">
        <v>6253</v>
      </c>
      <c r="I3392" t="s">
        <v>6254</v>
      </c>
      <c r="J3392" s="3">
        <v>0.2257432</v>
      </c>
      <c r="K3392" s="3">
        <v>0.48384129999999997</v>
      </c>
      <c r="L3392" s="3">
        <v>-4.8853559999999997E-2</v>
      </c>
    </row>
    <row r="3393" spans="1:12" x14ac:dyDescent="0.25">
      <c r="A3393" t="s">
        <v>6250</v>
      </c>
      <c r="B3393" t="s">
        <v>957</v>
      </c>
      <c r="I3393" t="s">
        <v>6251</v>
      </c>
      <c r="J3393" s="3">
        <v>0.1838417</v>
      </c>
      <c r="K3393" s="3">
        <v>0.38333319999999999</v>
      </c>
      <c r="L3393" s="3">
        <v>0.1016932</v>
      </c>
    </row>
    <row r="3394" spans="1:12" x14ac:dyDescent="0.25">
      <c r="A3394" t="s">
        <v>6247</v>
      </c>
      <c r="B3394" t="s">
        <v>6248</v>
      </c>
      <c r="I3394" t="s">
        <v>6249</v>
      </c>
      <c r="J3394" s="3">
        <v>-0.79024209999999995</v>
      </c>
      <c r="K3394" s="3">
        <v>-1.274554</v>
      </c>
      <c r="L3394" s="3">
        <v>-0.90857319999999997</v>
      </c>
    </row>
    <row r="3395" spans="1:12" x14ac:dyDescent="0.25">
      <c r="A3395" t="s">
        <v>5215</v>
      </c>
      <c r="B3395" t="s">
        <v>5216</v>
      </c>
      <c r="I3395" t="s">
        <v>3446</v>
      </c>
      <c r="J3395" s="3">
        <v>-2.63573E-2</v>
      </c>
      <c r="K3395" s="3">
        <v>9.4998230000000003E-2</v>
      </c>
      <c r="L3395" s="3">
        <v>0.14205290000000001</v>
      </c>
    </row>
    <row r="3396" spans="1:12" x14ac:dyDescent="0.25">
      <c r="A3396" t="s">
        <v>5212</v>
      </c>
      <c r="B3396" t="s">
        <v>5213</v>
      </c>
      <c r="I3396" t="s">
        <v>5214</v>
      </c>
      <c r="J3396" s="3">
        <v>-0.12531600000000001</v>
      </c>
      <c r="K3396" s="3">
        <v>-1.03698</v>
      </c>
      <c r="L3396" s="3">
        <v>-0.20307459999999999</v>
      </c>
    </row>
    <row r="3397" spans="1:12" x14ac:dyDescent="0.25">
      <c r="A3397" t="s">
        <v>5210</v>
      </c>
      <c r="B3397" t="s">
        <v>5211</v>
      </c>
      <c r="I3397" t="s">
        <v>442</v>
      </c>
      <c r="J3397" s="3">
        <v>6.8096959999999998E-2</v>
      </c>
      <c r="K3397" s="3">
        <v>-0.2102213</v>
      </c>
      <c r="L3397" s="3">
        <v>-0.19976740000000001</v>
      </c>
    </row>
    <row r="3398" spans="1:12" x14ac:dyDescent="0.25">
      <c r="A3398" t="s">
        <v>5208</v>
      </c>
      <c r="B3398" t="s">
        <v>5209</v>
      </c>
      <c r="I3398" t="s">
        <v>4298</v>
      </c>
      <c r="J3398" s="3">
        <v>-4.8300919999999997E-2</v>
      </c>
      <c r="K3398" s="3">
        <v>0.25004589999999999</v>
      </c>
      <c r="L3398" s="3">
        <v>-0.1069166</v>
      </c>
    </row>
    <row r="3399" spans="1:12" x14ac:dyDescent="0.25">
      <c r="A3399" t="s">
        <v>5205</v>
      </c>
      <c r="B3399" t="s">
        <v>5206</v>
      </c>
      <c r="I3399" t="s">
        <v>5207</v>
      </c>
      <c r="J3399" s="3">
        <v>0.2508724</v>
      </c>
      <c r="K3399" s="3">
        <v>0.44035580000000002</v>
      </c>
      <c r="L3399" s="3">
        <v>0.26884200000000003</v>
      </c>
    </row>
    <row r="3400" spans="1:12" x14ac:dyDescent="0.25">
      <c r="A3400" t="s">
        <v>5204</v>
      </c>
      <c r="B3400" t="s">
        <v>957</v>
      </c>
      <c r="I3400" t="s">
        <v>156</v>
      </c>
      <c r="J3400" s="3">
        <v>-1.460987E-2</v>
      </c>
      <c r="K3400" s="3">
        <v>-2.539984E-2</v>
      </c>
      <c r="L3400" s="3">
        <v>9.0253639999999996E-2</v>
      </c>
    </row>
    <row r="3401" spans="1:12" x14ac:dyDescent="0.25">
      <c r="A3401" t="s">
        <v>5203</v>
      </c>
      <c r="B3401" t="s">
        <v>957</v>
      </c>
      <c r="I3401" t="s">
        <v>455</v>
      </c>
      <c r="J3401" s="3">
        <v>0.12485549999999999</v>
      </c>
      <c r="K3401" s="3">
        <v>-5.4853659999999999E-2</v>
      </c>
      <c r="L3401" s="3">
        <v>0.11987920000000001</v>
      </c>
    </row>
    <row r="3402" spans="1:12" x14ac:dyDescent="0.25">
      <c r="A3402" t="s">
        <v>5200</v>
      </c>
      <c r="B3402" t="s">
        <v>5201</v>
      </c>
      <c r="I3402" t="s">
        <v>5202</v>
      </c>
      <c r="J3402" s="3">
        <v>-1.2595369999999999</v>
      </c>
      <c r="K3402" s="3">
        <v>-0.78172540000000001</v>
      </c>
      <c r="L3402" s="3">
        <v>-0.89725010000000005</v>
      </c>
    </row>
    <row r="3403" spans="1:12" x14ac:dyDescent="0.25">
      <c r="A3403" t="s">
        <v>5197</v>
      </c>
      <c r="B3403" t="s">
        <v>5198</v>
      </c>
      <c r="I3403" t="s">
        <v>5199</v>
      </c>
      <c r="J3403" s="3">
        <v>-1.268975</v>
      </c>
      <c r="K3403" s="3">
        <v>-1.4259520000000001</v>
      </c>
      <c r="L3403" s="3">
        <v>-0.85046639999999996</v>
      </c>
    </row>
    <row r="3404" spans="1:12" x14ac:dyDescent="0.25">
      <c r="A3404" t="s">
        <v>5194</v>
      </c>
      <c r="B3404" t="s">
        <v>5195</v>
      </c>
      <c r="I3404" t="s">
        <v>5196</v>
      </c>
      <c r="J3404" s="3">
        <v>0.37250820000000001</v>
      </c>
      <c r="K3404" s="3">
        <v>0.2402029</v>
      </c>
      <c r="L3404" s="3">
        <v>-8.6424180000000003E-2</v>
      </c>
    </row>
    <row r="3405" spans="1:12" x14ac:dyDescent="0.25">
      <c r="A3405" t="s">
        <v>5191</v>
      </c>
      <c r="B3405" t="s">
        <v>5192</v>
      </c>
      <c r="I3405" t="s">
        <v>5193</v>
      </c>
      <c r="J3405" s="3">
        <v>-0.3217006</v>
      </c>
      <c r="K3405" s="3">
        <v>-0.35755609999999999</v>
      </c>
      <c r="L3405" s="3">
        <v>-0.5500969</v>
      </c>
    </row>
    <row r="3406" spans="1:12" x14ac:dyDescent="0.25">
      <c r="A3406" t="s">
        <v>5188</v>
      </c>
      <c r="B3406" t="s">
        <v>5189</v>
      </c>
      <c r="I3406" t="s">
        <v>5190</v>
      </c>
      <c r="J3406" s="3">
        <v>0.65272390000000002</v>
      </c>
      <c r="K3406" s="3">
        <v>1.123462</v>
      </c>
      <c r="L3406" s="3">
        <v>0.35285260000000002</v>
      </c>
    </row>
    <row r="3407" spans="1:12" x14ac:dyDescent="0.25">
      <c r="A3407" t="s">
        <v>5185</v>
      </c>
      <c r="B3407" t="s">
        <v>5186</v>
      </c>
      <c r="I3407" t="s">
        <v>5187</v>
      </c>
      <c r="J3407" s="3">
        <v>-2.9496669999999999E-2</v>
      </c>
      <c r="K3407" s="3">
        <v>-7.1121259999999999E-3</v>
      </c>
      <c r="L3407" s="3">
        <v>-0.29801569999999999</v>
      </c>
    </row>
    <row r="3408" spans="1:12" x14ac:dyDescent="0.25">
      <c r="A3408" t="s">
        <v>5184</v>
      </c>
      <c r="B3408" t="s">
        <v>957</v>
      </c>
      <c r="I3408" t="s">
        <v>455</v>
      </c>
      <c r="J3408" s="3">
        <v>-9.9746699999999994E-2</v>
      </c>
      <c r="K3408" s="3">
        <v>0.10530829999999999</v>
      </c>
      <c r="L3408" s="3">
        <v>1.4806980000000001E-2</v>
      </c>
    </row>
    <row r="3409" spans="1:12" x14ac:dyDescent="0.25">
      <c r="A3409" t="s">
        <v>6209</v>
      </c>
      <c r="B3409" t="s">
        <v>6210</v>
      </c>
      <c r="I3409" t="s">
        <v>5183</v>
      </c>
      <c r="J3409" s="3">
        <v>0.551485</v>
      </c>
      <c r="K3409" s="3">
        <v>0.3510064</v>
      </c>
      <c r="L3409" s="3">
        <v>0.53655200000000003</v>
      </c>
    </row>
    <row r="3410" spans="1:12" x14ac:dyDescent="0.25">
      <c r="A3410" t="s">
        <v>6206</v>
      </c>
      <c r="B3410" t="s">
        <v>6207</v>
      </c>
      <c r="I3410" t="s">
        <v>6208</v>
      </c>
      <c r="J3410" s="3">
        <v>2.035822E-2</v>
      </c>
      <c r="K3410" s="3">
        <v>5.1895579999999997E-2</v>
      </c>
      <c r="L3410" s="3">
        <v>0.1129874</v>
      </c>
    </row>
    <row r="3411" spans="1:12" x14ac:dyDescent="0.25">
      <c r="A3411" t="s">
        <v>6203</v>
      </c>
      <c r="B3411" t="s">
        <v>6204</v>
      </c>
      <c r="I3411" t="s">
        <v>6205</v>
      </c>
      <c r="J3411" s="3">
        <v>0.1959332</v>
      </c>
      <c r="K3411" s="3">
        <v>-3.863867E-2</v>
      </c>
      <c r="L3411" s="3">
        <v>-0.18321680000000001</v>
      </c>
    </row>
    <row r="3412" spans="1:12" x14ac:dyDescent="0.25">
      <c r="A3412" t="s">
        <v>6200</v>
      </c>
      <c r="B3412" t="s">
        <v>6201</v>
      </c>
      <c r="I3412" t="s">
        <v>6202</v>
      </c>
      <c r="J3412" s="3">
        <v>4.9536499999999997E-2</v>
      </c>
      <c r="K3412" s="3">
        <v>-0.1748518</v>
      </c>
      <c r="L3412" s="3">
        <v>-8.1116640000000004E-2</v>
      </c>
    </row>
    <row r="3413" spans="1:12" x14ac:dyDescent="0.25">
      <c r="A3413" t="s">
        <v>6197</v>
      </c>
      <c r="B3413" t="s">
        <v>6198</v>
      </c>
      <c r="I3413" t="s">
        <v>6199</v>
      </c>
      <c r="J3413" s="3">
        <v>-0.11412</v>
      </c>
      <c r="K3413" s="3">
        <v>-1.2373970000000001</v>
      </c>
      <c r="L3413" s="3">
        <v>-0.42896790000000001</v>
      </c>
    </row>
    <row r="3414" spans="1:12" x14ac:dyDescent="0.25">
      <c r="A3414" t="s">
        <v>6194</v>
      </c>
      <c r="B3414" t="s">
        <v>6195</v>
      </c>
      <c r="I3414" t="s">
        <v>6196</v>
      </c>
      <c r="J3414" s="3">
        <v>0.41880079999999997</v>
      </c>
      <c r="K3414" s="3">
        <v>1.486168E-2</v>
      </c>
      <c r="L3414" s="3">
        <v>0.58531359999999999</v>
      </c>
    </row>
    <row r="3415" spans="1:12" x14ac:dyDescent="0.25">
      <c r="A3415" t="s">
        <v>6193</v>
      </c>
      <c r="B3415" t="s">
        <v>957</v>
      </c>
      <c r="I3415" t="s">
        <v>455</v>
      </c>
      <c r="J3415" s="3">
        <v>0.4921719</v>
      </c>
      <c r="K3415" s="3">
        <v>0.94085839999999998</v>
      </c>
      <c r="L3415" s="3">
        <v>0.67168099999999997</v>
      </c>
    </row>
    <row r="3416" spans="1:12" x14ac:dyDescent="0.25">
      <c r="A3416" t="s">
        <v>6191</v>
      </c>
      <c r="B3416" t="s">
        <v>14081</v>
      </c>
      <c r="C3416" t="s">
        <v>14082</v>
      </c>
      <c r="I3416" t="s">
        <v>6192</v>
      </c>
      <c r="J3416" s="3">
        <v>-5.2611560000000002E-2</v>
      </c>
      <c r="K3416" s="3">
        <v>0.70509010000000005</v>
      </c>
      <c r="L3416" s="3">
        <v>0.63807800000000003</v>
      </c>
    </row>
    <row r="3417" spans="1:12" x14ac:dyDescent="0.25">
      <c r="A3417" t="s">
        <v>6190</v>
      </c>
      <c r="B3417" t="s">
        <v>6009</v>
      </c>
      <c r="I3417" t="s">
        <v>6010</v>
      </c>
      <c r="J3417" s="3">
        <v>0.14445549999999999</v>
      </c>
      <c r="K3417" s="3">
        <v>0.2627332</v>
      </c>
      <c r="L3417" s="3">
        <v>0.47381869999999998</v>
      </c>
    </row>
    <row r="3418" spans="1:12" x14ac:dyDescent="0.25">
      <c r="A3418" t="s">
        <v>5148</v>
      </c>
      <c r="B3418" t="s">
        <v>5149</v>
      </c>
      <c r="I3418" t="s">
        <v>6189</v>
      </c>
      <c r="J3418" s="3">
        <v>0.11975239999999999</v>
      </c>
      <c r="K3418" s="3">
        <v>-3.3947150000000002E-2</v>
      </c>
      <c r="L3418" s="3">
        <v>0.18173839999999999</v>
      </c>
    </row>
    <row r="3419" spans="1:12" x14ac:dyDescent="0.25">
      <c r="A3419" t="s">
        <v>5145</v>
      </c>
      <c r="B3419" t="s">
        <v>5146</v>
      </c>
      <c r="I3419" t="s">
        <v>5147</v>
      </c>
      <c r="J3419" s="3">
        <v>-0.47879899999999997</v>
      </c>
      <c r="K3419" s="3">
        <v>-0.63557459999999999</v>
      </c>
      <c r="L3419" s="3">
        <v>-0.46158130000000003</v>
      </c>
    </row>
    <row r="3420" spans="1:12" x14ac:dyDescent="0.25">
      <c r="A3420" t="s">
        <v>5142</v>
      </c>
      <c r="B3420" t="s">
        <v>5143</v>
      </c>
      <c r="I3420" t="s">
        <v>5144</v>
      </c>
      <c r="J3420" s="3">
        <v>0.55133589999999999</v>
      </c>
      <c r="K3420" s="3">
        <v>1.375372</v>
      </c>
      <c r="L3420" s="3">
        <v>0.55457129999999999</v>
      </c>
    </row>
    <row r="3421" spans="1:12" x14ac:dyDescent="0.25">
      <c r="A3421" t="s">
        <v>5141</v>
      </c>
      <c r="B3421" t="s">
        <v>957</v>
      </c>
      <c r="I3421" t="s">
        <v>455</v>
      </c>
      <c r="J3421" s="3">
        <v>1.3614329999999999E-2</v>
      </c>
      <c r="K3421" s="3">
        <v>-0.57204379999999999</v>
      </c>
      <c r="L3421" s="3">
        <v>-0.25283139999999998</v>
      </c>
    </row>
    <row r="3422" spans="1:12" x14ac:dyDescent="0.25">
      <c r="A3422" t="s">
        <v>5138</v>
      </c>
      <c r="B3422" t="s">
        <v>5139</v>
      </c>
      <c r="I3422" t="s">
        <v>5140</v>
      </c>
      <c r="J3422" s="3">
        <v>0.13119790000000001</v>
      </c>
      <c r="K3422" s="3">
        <v>0.4283439</v>
      </c>
      <c r="L3422" s="3">
        <v>0.17878069999999999</v>
      </c>
    </row>
    <row r="3423" spans="1:12" x14ac:dyDescent="0.25">
      <c r="A3423" t="s">
        <v>5137</v>
      </c>
      <c r="B3423" t="s">
        <v>957</v>
      </c>
      <c r="I3423" t="s">
        <v>455</v>
      </c>
      <c r="J3423" s="3">
        <v>-0.17436650000000001</v>
      </c>
      <c r="K3423" s="3">
        <v>-0.52279070000000005</v>
      </c>
      <c r="L3423" s="3">
        <v>-7.8017609999999999E-3</v>
      </c>
    </row>
    <row r="3424" spans="1:12" x14ac:dyDescent="0.25">
      <c r="A3424" t="s">
        <v>5136</v>
      </c>
      <c r="B3424" t="s">
        <v>957</v>
      </c>
      <c r="I3424" t="s">
        <v>957</v>
      </c>
      <c r="J3424" s="3">
        <v>-0.16543669999999999</v>
      </c>
      <c r="K3424" s="3">
        <v>0.43033080000000001</v>
      </c>
      <c r="L3424" s="3">
        <v>0.1372959</v>
      </c>
    </row>
    <row r="3425" spans="1:12" x14ac:dyDescent="0.25">
      <c r="A3425" t="s">
        <v>5133</v>
      </c>
      <c r="B3425" t="s">
        <v>5134</v>
      </c>
      <c r="I3425" t="s">
        <v>5135</v>
      </c>
      <c r="J3425" s="3">
        <v>-5.6408590000000002E-2</v>
      </c>
      <c r="K3425" s="3">
        <v>0.27973930000000002</v>
      </c>
      <c r="L3425" s="3">
        <v>-2.4233309999999999E-3</v>
      </c>
    </row>
    <row r="3426" spans="1:12" x14ac:dyDescent="0.25">
      <c r="A3426" t="s">
        <v>5130</v>
      </c>
      <c r="B3426" t="s">
        <v>5131</v>
      </c>
      <c r="I3426" t="s">
        <v>5132</v>
      </c>
      <c r="J3426" s="3">
        <v>-0.2380295</v>
      </c>
      <c r="K3426" s="3">
        <v>0.64892470000000002</v>
      </c>
      <c r="L3426" s="3">
        <v>-0.38964939999999998</v>
      </c>
    </row>
    <row r="3427" spans="1:12" x14ac:dyDescent="0.25">
      <c r="A3427" t="s">
        <v>5127</v>
      </c>
      <c r="B3427" t="s">
        <v>5128</v>
      </c>
      <c r="I3427" t="s">
        <v>5129</v>
      </c>
      <c r="J3427" s="3">
        <v>-6.6335829999999998E-2</v>
      </c>
      <c r="K3427" s="3">
        <v>-0.21464179999999999</v>
      </c>
      <c r="L3427" s="3">
        <v>-0.2053741</v>
      </c>
    </row>
    <row r="3428" spans="1:12" x14ac:dyDescent="0.25">
      <c r="A3428" t="s">
        <v>5124</v>
      </c>
      <c r="B3428" t="s">
        <v>5125</v>
      </c>
      <c r="I3428" t="s">
        <v>5126</v>
      </c>
      <c r="J3428" s="3">
        <v>-0.1184282</v>
      </c>
      <c r="K3428" s="3">
        <v>-0.35042099999999998</v>
      </c>
      <c r="L3428" s="3">
        <v>-0.26753749999999998</v>
      </c>
    </row>
    <row r="3429" spans="1:12" x14ac:dyDescent="0.25">
      <c r="A3429" t="s">
        <v>5121</v>
      </c>
      <c r="B3429" t="s">
        <v>5122</v>
      </c>
      <c r="I3429" t="s">
        <v>5123</v>
      </c>
      <c r="J3429" s="3">
        <v>-8.5272730000000005E-2</v>
      </c>
      <c r="K3429" s="3">
        <v>-0.24436949999999999</v>
      </c>
      <c r="L3429" s="3">
        <v>-0.20080870000000001</v>
      </c>
    </row>
    <row r="3430" spans="1:12" x14ac:dyDescent="0.25">
      <c r="A3430" t="s">
        <v>5118</v>
      </c>
      <c r="B3430" t="s">
        <v>5119</v>
      </c>
      <c r="I3430" t="s">
        <v>5120</v>
      </c>
      <c r="J3430" s="3">
        <v>0.98384199999999999</v>
      </c>
      <c r="K3430" s="3">
        <v>0.53840759999999999</v>
      </c>
      <c r="L3430" s="3">
        <v>0.88094159999999999</v>
      </c>
    </row>
    <row r="3431" spans="1:12" x14ac:dyDescent="0.25">
      <c r="A3431" t="s">
        <v>5115</v>
      </c>
      <c r="B3431" t="s">
        <v>5116</v>
      </c>
      <c r="I3431" t="s">
        <v>5117</v>
      </c>
      <c r="J3431" s="3">
        <v>-0.40926590000000002</v>
      </c>
      <c r="K3431" s="3">
        <v>-0.41498810000000003</v>
      </c>
      <c r="L3431" s="3">
        <v>-0.51944179999999995</v>
      </c>
    </row>
    <row r="3432" spans="1:12" x14ac:dyDescent="0.25">
      <c r="A3432" t="s">
        <v>5112</v>
      </c>
      <c r="B3432" t="s">
        <v>5113</v>
      </c>
      <c r="I3432" t="s">
        <v>5114</v>
      </c>
      <c r="J3432" s="3">
        <v>0.27229680000000001</v>
      </c>
      <c r="K3432" s="3">
        <v>0.64699079999999998</v>
      </c>
      <c r="L3432" s="3">
        <v>0.65180450000000001</v>
      </c>
    </row>
    <row r="3433" spans="1:12" x14ac:dyDescent="0.25">
      <c r="A3433" t="s">
        <v>5109</v>
      </c>
      <c r="B3433" t="s">
        <v>5110</v>
      </c>
      <c r="I3433" t="s">
        <v>5111</v>
      </c>
      <c r="J3433" s="3">
        <v>0.1340248</v>
      </c>
      <c r="K3433" s="3">
        <v>-0.38823649999999998</v>
      </c>
      <c r="L3433" s="3">
        <v>-0.2059598</v>
      </c>
    </row>
    <row r="3434" spans="1:12" x14ac:dyDescent="0.25">
      <c r="A3434" t="s">
        <v>5107</v>
      </c>
      <c r="B3434" t="s">
        <v>14206</v>
      </c>
      <c r="C3434" t="s">
        <v>14207</v>
      </c>
      <c r="I3434" t="s">
        <v>5108</v>
      </c>
      <c r="J3434" s="3">
        <v>0.81313230000000003</v>
      </c>
      <c r="K3434" s="3">
        <v>0.85787069999999999</v>
      </c>
      <c r="L3434" s="3">
        <v>1.211954</v>
      </c>
    </row>
    <row r="3435" spans="1:12" x14ac:dyDescent="0.25">
      <c r="A3435" t="s">
        <v>5104</v>
      </c>
      <c r="B3435" t="s">
        <v>5105</v>
      </c>
      <c r="I3435" t="s">
        <v>5106</v>
      </c>
      <c r="J3435" s="3">
        <v>6.5876529999999997E-3</v>
      </c>
      <c r="K3435" s="3">
        <v>-0.1756614</v>
      </c>
      <c r="L3435" s="3">
        <v>-1.6326159999999999E-2</v>
      </c>
    </row>
    <row r="3436" spans="1:12" x14ac:dyDescent="0.25">
      <c r="A3436" t="s">
        <v>5101</v>
      </c>
      <c r="B3436" t="s">
        <v>5102</v>
      </c>
      <c r="I3436" t="s">
        <v>5103</v>
      </c>
      <c r="J3436" s="3">
        <v>0.60335240000000001</v>
      </c>
      <c r="K3436" s="3">
        <v>8.9482720000000002E-2</v>
      </c>
      <c r="L3436" s="3">
        <v>0.36418270000000003</v>
      </c>
    </row>
    <row r="3437" spans="1:12" x14ac:dyDescent="0.25">
      <c r="A3437" t="s">
        <v>5100</v>
      </c>
      <c r="B3437" t="s">
        <v>957</v>
      </c>
      <c r="I3437" t="s">
        <v>455</v>
      </c>
      <c r="J3437" s="3">
        <v>0.1115632</v>
      </c>
      <c r="K3437" s="3">
        <v>0.25959979999999999</v>
      </c>
      <c r="L3437" s="3">
        <v>0.13968059999999999</v>
      </c>
    </row>
    <row r="3438" spans="1:12" x14ac:dyDescent="0.25">
      <c r="A3438" t="s">
        <v>5097</v>
      </c>
      <c r="B3438" t="s">
        <v>5098</v>
      </c>
      <c r="I3438" t="s">
        <v>5099</v>
      </c>
      <c r="J3438" s="3">
        <v>0.17221349999999999</v>
      </c>
      <c r="K3438" s="3">
        <v>0.20952989999999999</v>
      </c>
      <c r="L3438" s="3">
        <v>0.21467059999999999</v>
      </c>
    </row>
    <row r="3439" spans="1:12" x14ac:dyDescent="0.25">
      <c r="A3439" t="s">
        <v>5095</v>
      </c>
      <c r="B3439" t="s">
        <v>5096</v>
      </c>
      <c r="I3439" t="s">
        <v>1514</v>
      </c>
      <c r="J3439" s="3">
        <v>8.9957029999999993E-2</v>
      </c>
      <c r="K3439" s="3">
        <v>0.32399539999999999</v>
      </c>
      <c r="L3439" s="3">
        <v>0.16022230000000001</v>
      </c>
    </row>
    <row r="3440" spans="1:12" x14ac:dyDescent="0.25">
      <c r="A3440" t="s">
        <v>5094</v>
      </c>
      <c r="B3440" t="s">
        <v>5092</v>
      </c>
      <c r="I3440" t="s">
        <v>5093</v>
      </c>
      <c r="J3440" s="3">
        <v>0.73202330000000004</v>
      </c>
      <c r="K3440" s="3">
        <v>2.171986</v>
      </c>
      <c r="L3440" s="3">
        <v>0.97053820000000002</v>
      </c>
    </row>
    <row r="3441" spans="1:12" x14ac:dyDescent="0.25">
      <c r="A3441" t="s">
        <v>5091</v>
      </c>
      <c r="B3441" t="s">
        <v>5092</v>
      </c>
      <c r="I3441" t="s">
        <v>5093</v>
      </c>
      <c r="J3441" s="3">
        <v>0.86976100000000001</v>
      </c>
      <c r="K3441" s="3">
        <v>2.1334900000000001</v>
      </c>
      <c r="L3441" s="3">
        <v>1.163098</v>
      </c>
    </row>
    <row r="3442" spans="1:12" x14ac:dyDescent="0.25">
      <c r="A3442" t="s">
        <v>5090</v>
      </c>
      <c r="B3442" t="s">
        <v>957</v>
      </c>
      <c r="I3442" t="s">
        <v>455</v>
      </c>
      <c r="J3442" s="3">
        <v>0.1629263</v>
      </c>
      <c r="K3442" s="3">
        <v>0.58515269999999997</v>
      </c>
      <c r="L3442" s="3">
        <v>-0.20553179999999999</v>
      </c>
    </row>
    <row r="3443" spans="1:12" x14ac:dyDescent="0.25">
      <c r="A3443" t="s">
        <v>5089</v>
      </c>
      <c r="B3443" t="s">
        <v>957</v>
      </c>
      <c r="I3443" t="s">
        <v>455</v>
      </c>
      <c r="J3443" s="3">
        <v>0.56714249999999999</v>
      </c>
      <c r="K3443" s="3">
        <v>1.679265</v>
      </c>
      <c r="L3443" s="3">
        <v>0.38099840000000001</v>
      </c>
    </row>
    <row r="3444" spans="1:12" x14ac:dyDescent="0.25">
      <c r="A3444" t="s">
        <v>5088</v>
      </c>
      <c r="B3444" t="s">
        <v>957</v>
      </c>
      <c r="I3444" t="s">
        <v>4410</v>
      </c>
      <c r="J3444" s="3">
        <v>1.304387</v>
      </c>
      <c r="K3444" s="3">
        <v>2.419092</v>
      </c>
      <c r="L3444" s="3">
        <v>1.237492</v>
      </c>
    </row>
    <row r="3445" spans="1:12" x14ac:dyDescent="0.25">
      <c r="A3445" t="s">
        <v>5085</v>
      </c>
      <c r="B3445" t="s">
        <v>5086</v>
      </c>
      <c r="I3445" t="s">
        <v>5087</v>
      </c>
      <c r="J3445" s="3">
        <v>1.3999459999999999</v>
      </c>
      <c r="K3445" s="3">
        <v>4.5354559999999999</v>
      </c>
      <c r="L3445" s="3">
        <v>1.4401660000000001</v>
      </c>
    </row>
    <row r="3446" spans="1:12" x14ac:dyDescent="0.25">
      <c r="A3446" t="s">
        <v>5084</v>
      </c>
      <c r="B3446" t="s">
        <v>957</v>
      </c>
      <c r="I3446" t="s">
        <v>455</v>
      </c>
      <c r="J3446" s="3">
        <v>0.79042029999999996</v>
      </c>
      <c r="K3446" s="3">
        <v>1.486313</v>
      </c>
      <c r="L3446" s="3">
        <v>0.47083819999999998</v>
      </c>
    </row>
    <row r="3447" spans="1:12" x14ac:dyDescent="0.25">
      <c r="A3447" t="s">
        <v>5081</v>
      </c>
      <c r="B3447" t="s">
        <v>5082</v>
      </c>
      <c r="I3447" t="s">
        <v>5083</v>
      </c>
      <c r="J3447" s="3">
        <v>-0.1228278</v>
      </c>
      <c r="K3447" s="3">
        <v>-0.291966</v>
      </c>
      <c r="L3447" s="3">
        <v>9.1030550000000002E-2</v>
      </c>
    </row>
    <row r="3448" spans="1:12" x14ac:dyDescent="0.25">
      <c r="A3448" t="s">
        <v>5078</v>
      </c>
      <c r="B3448" t="s">
        <v>5079</v>
      </c>
      <c r="I3448" t="s">
        <v>5080</v>
      </c>
      <c r="J3448" s="3">
        <v>-0.37580710000000001</v>
      </c>
      <c r="K3448" s="3">
        <v>1.411565</v>
      </c>
      <c r="L3448" s="3">
        <v>0.78812139999999997</v>
      </c>
    </row>
    <row r="3449" spans="1:12" x14ac:dyDescent="0.25">
      <c r="A3449" t="s">
        <v>5075</v>
      </c>
      <c r="B3449" t="s">
        <v>5076</v>
      </c>
      <c r="I3449" t="s">
        <v>5077</v>
      </c>
      <c r="J3449" s="3">
        <v>0.32801130000000001</v>
      </c>
      <c r="K3449" s="3">
        <v>1.4973000000000001</v>
      </c>
      <c r="L3449" s="3">
        <v>0.80193700000000001</v>
      </c>
    </row>
    <row r="3450" spans="1:12" x14ac:dyDescent="0.25">
      <c r="A3450" t="s">
        <v>5072</v>
      </c>
      <c r="B3450" t="s">
        <v>5073</v>
      </c>
      <c r="I3450" t="s">
        <v>5074</v>
      </c>
      <c r="J3450" s="3">
        <v>-7.9479540000000001E-2</v>
      </c>
      <c r="K3450" s="3">
        <v>0.1835184</v>
      </c>
      <c r="L3450" s="3">
        <v>5.2332150000000001E-2</v>
      </c>
    </row>
    <row r="3451" spans="1:12" x14ac:dyDescent="0.25">
      <c r="A3451" t="s">
        <v>5071</v>
      </c>
      <c r="B3451" t="s">
        <v>14086</v>
      </c>
      <c r="C3451" t="s">
        <v>14087</v>
      </c>
      <c r="D3451" t="s">
        <v>14088</v>
      </c>
      <c r="E3451" t="s">
        <v>14089</v>
      </c>
      <c r="F3451" t="s">
        <v>14090</v>
      </c>
      <c r="I3451" t="s">
        <v>5044</v>
      </c>
      <c r="J3451" s="3">
        <v>-0.1836942</v>
      </c>
      <c r="K3451" s="3">
        <v>0.50545329999999999</v>
      </c>
      <c r="L3451" s="3">
        <v>0.50283659999999997</v>
      </c>
    </row>
    <row r="3452" spans="1:12" x14ac:dyDescent="0.25">
      <c r="A3452" t="s">
        <v>5070</v>
      </c>
      <c r="B3452" t="s">
        <v>957</v>
      </c>
      <c r="I3452" t="s">
        <v>453</v>
      </c>
      <c r="J3452" s="3">
        <v>-0.59557190000000004</v>
      </c>
      <c r="K3452" s="3">
        <v>-9.4802860000000003E-2</v>
      </c>
      <c r="L3452" s="3">
        <v>-0.19619310000000001</v>
      </c>
    </row>
    <row r="3453" spans="1:12" x14ac:dyDescent="0.25">
      <c r="A3453" t="s">
        <v>5069</v>
      </c>
      <c r="B3453" t="s">
        <v>957</v>
      </c>
      <c r="I3453" t="s">
        <v>455</v>
      </c>
      <c r="J3453" s="3">
        <v>6.5726000000000007E-2</v>
      </c>
      <c r="K3453" s="3">
        <v>-0.418792</v>
      </c>
      <c r="L3453" s="3">
        <v>2.6131729999999999E-2</v>
      </c>
    </row>
    <row r="3454" spans="1:12" x14ac:dyDescent="0.25">
      <c r="A3454" t="s">
        <v>5066</v>
      </c>
      <c r="B3454" t="s">
        <v>5067</v>
      </c>
      <c r="I3454" t="s">
        <v>5068</v>
      </c>
      <c r="J3454" s="3">
        <v>-0.3147488</v>
      </c>
      <c r="K3454" s="3">
        <v>-5.3805980000000003E-2</v>
      </c>
      <c r="L3454" s="3">
        <v>-0.31658649999999999</v>
      </c>
    </row>
    <row r="3455" spans="1:12" x14ac:dyDescent="0.25">
      <c r="A3455" t="s">
        <v>5065</v>
      </c>
      <c r="B3455" t="s">
        <v>957</v>
      </c>
      <c r="I3455" t="s">
        <v>455</v>
      </c>
      <c r="J3455" s="3">
        <v>0.50361730000000005</v>
      </c>
      <c r="K3455" s="3">
        <v>5.297934E-2</v>
      </c>
      <c r="L3455" s="3">
        <v>0.65489850000000005</v>
      </c>
    </row>
    <row r="3456" spans="1:12" x14ac:dyDescent="0.25">
      <c r="A3456" t="s">
        <v>5064</v>
      </c>
      <c r="B3456" t="s">
        <v>957</v>
      </c>
      <c r="I3456" t="s">
        <v>455</v>
      </c>
      <c r="J3456" s="3">
        <v>0.1245467</v>
      </c>
      <c r="K3456" s="3">
        <v>9.059847E-2</v>
      </c>
      <c r="L3456" s="3">
        <v>0.2746363</v>
      </c>
    </row>
    <row r="3457" spans="1:12" x14ac:dyDescent="0.25">
      <c r="A3457" t="s">
        <v>5061</v>
      </c>
      <c r="B3457" t="s">
        <v>5062</v>
      </c>
      <c r="I3457" t="s">
        <v>5063</v>
      </c>
      <c r="J3457" s="3">
        <v>7.9901550000000002E-2</v>
      </c>
      <c r="K3457" s="3">
        <v>-0.19780929999999999</v>
      </c>
      <c r="L3457" s="3">
        <v>-2.0682099999999998E-2</v>
      </c>
    </row>
    <row r="3458" spans="1:12" x14ac:dyDescent="0.25">
      <c r="A3458" t="s">
        <v>6090</v>
      </c>
      <c r="B3458" t="s">
        <v>6091</v>
      </c>
      <c r="I3458" t="s">
        <v>5060</v>
      </c>
      <c r="J3458" s="3">
        <v>0.54965050000000004</v>
      </c>
      <c r="K3458" s="3">
        <v>0.65908049999999996</v>
      </c>
      <c r="L3458" s="3">
        <v>9.8891389999999996E-2</v>
      </c>
    </row>
    <row r="3459" spans="1:12" x14ac:dyDescent="0.25">
      <c r="A3459" t="s">
        <v>6087</v>
      </c>
      <c r="B3459" t="s">
        <v>6088</v>
      </c>
      <c r="I3459" t="s">
        <v>6089</v>
      </c>
      <c r="J3459" s="3">
        <v>-9.6247920000000001E-2</v>
      </c>
      <c r="K3459" s="3">
        <v>-0.39828960000000002</v>
      </c>
      <c r="L3459" s="3">
        <v>-9.7619899999999996E-2</v>
      </c>
    </row>
    <row r="3460" spans="1:12" x14ac:dyDescent="0.25">
      <c r="A3460" t="s">
        <v>6084</v>
      </c>
      <c r="B3460" t="s">
        <v>6085</v>
      </c>
      <c r="I3460" t="s">
        <v>6086</v>
      </c>
      <c r="J3460" s="3">
        <v>-0.85908680000000004</v>
      </c>
      <c r="K3460" s="3">
        <v>-1.1900839999999999</v>
      </c>
      <c r="L3460" s="3">
        <v>-0.86061880000000002</v>
      </c>
    </row>
    <row r="3461" spans="1:12" x14ac:dyDescent="0.25">
      <c r="A3461" t="s">
        <v>6081</v>
      </c>
      <c r="B3461" t="s">
        <v>6082</v>
      </c>
      <c r="I3461" t="s">
        <v>6083</v>
      </c>
      <c r="J3461" s="3">
        <v>-0.27976450000000003</v>
      </c>
      <c r="K3461" s="3">
        <v>-0.47403390000000001</v>
      </c>
      <c r="L3461" s="3">
        <v>-9.0125230000000001E-2</v>
      </c>
    </row>
    <row r="3462" spans="1:12" x14ac:dyDescent="0.25">
      <c r="A3462" t="s">
        <v>6078</v>
      </c>
      <c r="B3462" t="s">
        <v>6079</v>
      </c>
      <c r="I3462" t="s">
        <v>6080</v>
      </c>
      <c r="J3462" s="3">
        <v>-0.3018265</v>
      </c>
      <c r="K3462" s="3">
        <v>4.8877360000000002E-3</v>
      </c>
      <c r="L3462" s="3">
        <v>0.1165963</v>
      </c>
    </row>
    <row r="3463" spans="1:12" x14ac:dyDescent="0.25">
      <c r="A3463" t="s">
        <v>6075</v>
      </c>
      <c r="B3463" t="s">
        <v>6076</v>
      </c>
      <c r="I3463" t="s">
        <v>6077</v>
      </c>
      <c r="J3463" s="3">
        <v>1.5966069999999999E-2</v>
      </c>
      <c r="K3463" s="3">
        <v>-0.39459</v>
      </c>
      <c r="L3463" s="3">
        <v>0.55552690000000005</v>
      </c>
    </row>
    <row r="3464" spans="1:12" x14ac:dyDescent="0.25">
      <c r="A3464" t="s">
        <v>6074</v>
      </c>
      <c r="B3464" t="s">
        <v>957</v>
      </c>
      <c r="I3464" t="s">
        <v>455</v>
      </c>
      <c r="J3464" s="3">
        <v>-2.9322159999999999</v>
      </c>
      <c r="K3464" s="3">
        <v>-3.3867600000000002</v>
      </c>
      <c r="L3464" s="3">
        <v>-2.481989</v>
      </c>
    </row>
    <row r="3465" spans="1:12" x14ac:dyDescent="0.25">
      <c r="A3465" t="s">
        <v>6071</v>
      </c>
      <c r="B3465" t="s">
        <v>6072</v>
      </c>
      <c r="I3465" t="s">
        <v>6073</v>
      </c>
      <c r="J3465" s="3">
        <v>-2.8339409999999999E-2</v>
      </c>
      <c r="K3465" s="3">
        <v>-4.947298E-2</v>
      </c>
      <c r="L3465" s="3">
        <v>7.1590349999999997E-2</v>
      </c>
    </row>
    <row r="3466" spans="1:12" x14ac:dyDescent="0.25">
      <c r="A3466" t="s">
        <v>6068</v>
      </c>
      <c r="B3466" t="s">
        <v>6069</v>
      </c>
      <c r="I3466" t="s">
        <v>6070</v>
      </c>
      <c r="J3466" s="3">
        <v>-5.9907229999999999E-2</v>
      </c>
      <c r="K3466" s="3">
        <v>0.1213674</v>
      </c>
      <c r="L3466" s="3">
        <v>-0.26491500000000001</v>
      </c>
    </row>
    <row r="3467" spans="1:12" x14ac:dyDescent="0.25">
      <c r="A3467" t="s">
        <v>6065</v>
      </c>
      <c r="B3467" t="s">
        <v>6066</v>
      </c>
      <c r="I3467" t="s">
        <v>6067</v>
      </c>
      <c r="J3467" s="3">
        <v>-0.83258399999999999</v>
      </c>
      <c r="K3467" s="3">
        <v>-1.0371269999999999</v>
      </c>
      <c r="L3467" s="3">
        <v>-0.48970209999999997</v>
      </c>
    </row>
    <row r="3468" spans="1:12" x14ac:dyDescent="0.25">
      <c r="A3468" t="s">
        <v>6064</v>
      </c>
      <c r="B3468" t="s">
        <v>957</v>
      </c>
      <c r="I3468" t="s">
        <v>455</v>
      </c>
      <c r="J3468" s="3">
        <v>-0.18192700000000001</v>
      </c>
      <c r="K3468" s="3">
        <v>-8.337E-2</v>
      </c>
      <c r="L3468" s="3">
        <v>-7.287014E-2</v>
      </c>
    </row>
    <row r="3469" spans="1:12" x14ac:dyDescent="0.25">
      <c r="A3469" t="s">
        <v>6061</v>
      </c>
      <c r="B3469" t="s">
        <v>6062</v>
      </c>
      <c r="I3469" t="s">
        <v>6063</v>
      </c>
      <c r="J3469" s="3">
        <v>0.13490489999999999</v>
      </c>
      <c r="K3469" s="3">
        <v>0.31117240000000002</v>
      </c>
      <c r="L3469" s="3">
        <v>0.1203964</v>
      </c>
    </row>
    <row r="3470" spans="1:12" x14ac:dyDescent="0.25">
      <c r="A3470" t="s">
        <v>6058</v>
      </c>
      <c r="B3470" t="s">
        <v>6059</v>
      </c>
      <c r="I3470" t="s">
        <v>6060</v>
      </c>
      <c r="J3470" s="3">
        <v>0.31396990000000002</v>
      </c>
      <c r="K3470" s="3">
        <v>8.755317E-2</v>
      </c>
      <c r="L3470" s="3">
        <v>1.9074589999999999E-2</v>
      </c>
    </row>
    <row r="3471" spans="1:12" x14ac:dyDescent="0.25">
      <c r="A3471" t="s">
        <v>5042</v>
      </c>
      <c r="B3471" t="s">
        <v>5043</v>
      </c>
      <c r="I3471" t="s">
        <v>6057</v>
      </c>
      <c r="J3471" s="3">
        <v>0.53814169999999995</v>
      </c>
      <c r="K3471" s="3">
        <v>0.70981470000000002</v>
      </c>
      <c r="L3471" s="3">
        <v>0.1930733</v>
      </c>
    </row>
    <row r="3472" spans="1:12" x14ac:dyDescent="0.25">
      <c r="A3472" t="s">
        <v>5039</v>
      </c>
      <c r="B3472" t="s">
        <v>5040</v>
      </c>
      <c r="I3472" t="s">
        <v>5041</v>
      </c>
      <c r="J3472" s="3">
        <v>-0.1160597</v>
      </c>
      <c r="K3472" s="3">
        <v>5.498898E-2</v>
      </c>
      <c r="L3472" s="3">
        <v>-0.42035339999999999</v>
      </c>
    </row>
    <row r="3473" spans="1:12" x14ac:dyDescent="0.25">
      <c r="A3473" t="s">
        <v>5038</v>
      </c>
      <c r="B3473" t="s">
        <v>957</v>
      </c>
      <c r="I3473" t="s">
        <v>455</v>
      </c>
      <c r="J3473" s="3">
        <v>-0.13018299999999999</v>
      </c>
      <c r="K3473" s="3">
        <v>-0.47258650000000002</v>
      </c>
      <c r="L3473" s="3">
        <v>0.25703199999999998</v>
      </c>
    </row>
    <row r="3474" spans="1:12" x14ac:dyDescent="0.25">
      <c r="A3474" t="s">
        <v>5036</v>
      </c>
      <c r="B3474" t="s">
        <v>957</v>
      </c>
      <c r="I3474" t="s">
        <v>5037</v>
      </c>
      <c r="J3474" s="3">
        <v>-2.3761589999999999E-2</v>
      </c>
      <c r="K3474" s="3">
        <v>-0.2155329</v>
      </c>
      <c r="L3474" s="3">
        <v>0.2708816</v>
      </c>
    </row>
    <row r="3475" spans="1:12" x14ac:dyDescent="0.25">
      <c r="A3475" t="s">
        <v>5033</v>
      </c>
      <c r="B3475" t="s">
        <v>5034</v>
      </c>
      <c r="I3475" t="s">
        <v>5035</v>
      </c>
      <c r="J3475" s="3">
        <v>2.0847859999999999E-2</v>
      </c>
      <c r="K3475" s="3">
        <v>-6.079449E-2</v>
      </c>
      <c r="L3475" s="3">
        <v>-0.2798756</v>
      </c>
    </row>
    <row r="3476" spans="1:12" x14ac:dyDescent="0.25">
      <c r="A3476" t="s">
        <v>5030</v>
      </c>
      <c r="B3476" t="s">
        <v>5031</v>
      </c>
      <c r="I3476" t="s">
        <v>5032</v>
      </c>
      <c r="J3476" s="3">
        <v>0.54423469999999996</v>
      </c>
      <c r="K3476" s="3">
        <v>0.28535290000000002</v>
      </c>
      <c r="L3476" s="3">
        <v>0.3657397</v>
      </c>
    </row>
    <row r="3477" spans="1:12" x14ac:dyDescent="0.25">
      <c r="A3477" t="s">
        <v>5027</v>
      </c>
      <c r="B3477" t="s">
        <v>5028</v>
      </c>
      <c r="I3477" t="s">
        <v>5029</v>
      </c>
      <c r="J3477" s="3">
        <v>-2.4064660000000002E-2</v>
      </c>
      <c r="K3477" s="3">
        <v>-0.69232749999999998</v>
      </c>
      <c r="L3477" s="3">
        <v>4.5373799999999999E-2</v>
      </c>
    </row>
    <row r="3478" spans="1:12" x14ac:dyDescent="0.25">
      <c r="A3478" t="s">
        <v>5024</v>
      </c>
      <c r="B3478" t="s">
        <v>5025</v>
      </c>
      <c r="I3478" t="s">
        <v>5026</v>
      </c>
      <c r="J3478" s="3">
        <v>-2.7349539999999999E-2</v>
      </c>
      <c r="K3478" s="3">
        <v>-0.53826859999999999</v>
      </c>
      <c r="L3478" s="3">
        <v>-0.1185522</v>
      </c>
    </row>
    <row r="3479" spans="1:12" x14ac:dyDescent="0.25">
      <c r="A3479" t="s">
        <v>5021</v>
      </c>
      <c r="B3479" t="s">
        <v>5022</v>
      </c>
      <c r="I3479" t="s">
        <v>5023</v>
      </c>
      <c r="J3479" s="3">
        <v>-6.6506010000000004E-2</v>
      </c>
      <c r="K3479" s="3">
        <v>-3.9513390000000002E-2</v>
      </c>
      <c r="L3479" s="3">
        <v>-7.1723300000000004E-2</v>
      </c>
    </row>
    <row r="3480" spans="1:12" x14ac:dyDescent="0.25">
      <c r="A3480" t="s">
        <v>5018</v>
      </c>
      <c r="B3480" t="s">
        <v>5019</v>
      </c>
      <c r="I3480" t="s">
        <v>5020</v>
      </c>
      <c r="J3480" s="3">
        <v>0.1627305</v>
      </c>
      <c r="K3480" s="3">
        <v>-0.33264389999999999</v>
      </c>
      <c r="L3480" s="3">
        <v>1.455177E-2</v>
      </c>
    </row>
    <row r="3481" spans="1:12" x14ac:dyDescent="0.25">
      <c r="A3481" t="s">
        <v>5015</v>
      </c>
      <c r="B3481" t="s">
        <v>5016</v>
      </c>
      <c r="I3481" t="s">
        <v>5017</v>
      </c>
      <c r="J3481" s="3">
        <v>0.3286712</v>
      </c>
      <c r="K3481" s="3">
        <v>-9.1799939999999997E-2</v>
      </c>
      <c r="L3481" s="3">
        <v>0.48070770000000002</v>
      </c>
    </row>
    <row r="3482" spans="1:12" x14ac:dyDescent="0.25">
      <c r="A3482" t="s">
        <v>5014</v>
      </c>
      <c r="B3482" t="s">
        <v>957</v>
      </c>
      <c r="I3482" t="s">
        <v>455</v>
      </c>
      <c r="J3482" s="3">
        <v>0.39563949999999998</v>
      </c>
      <c r="K3482" s="3">
        <v>6.1663549999999998E-2</v>
      </c>
      <c r="L3482" s="3">
        <v>0.1034019</v>
      </c>
    </row>
    <row r="3483" spans="1:12" x14ac:dyDescent="0.25">
      <c r="A3483" t="s">
        <v>5013</v>
      </c>
      <c r="B3483" t="s">
        <v>957</v>
      </c>
      <c r="I3483" t="s">
        <v>455</v>
      </c>
      <c r="J3483" s="3">
        <v>0.46812100000000001</v>
      </c>
      <c r="K3483" s="3">
        <v>0.12712699999999999</v>
      </c>
      <c r="L3483" s="3">
        <v>0.31206519999999999</v>
      </c>
    </row>
    <row r="3484" spans="1:12" x14ac:dyDescent="0.25">
      <c r="A3484" t="s">
        <v>5010</v>
      </c>
      <c r="B3484" t="s">
        <v>5011</v>
      </c>
      <c r="I3484" t="s">
        <v>5012</v>
      </c>
      <c r="J3484" s="3">
        <v>0.12261710000000001</v>
      </c>
      <c r="K3484" s="3">
        <v>-0.431898</v>
      </c>
      <c r="L3484" s="3">
        <v>-0.10390820000000001</v>
      </c>
    </row>
    <row r="3485" spans="1:12" x14ac:dyDescent="0.25">
      <c r="A3485" t="s">
        <v>6018</v>
      </c>
      <c r="B3485" t="s">
        <v>5008</v>
      </c>
      <c r="I3485" t="s">
        <v>5009</v>
      </c>
      <c r="J3485" s="3">
        <v>-0.12914800000000001</v>
      </c>
      <c r="K3485" s="3">
        <v>-0.81227959999999999</v>
      </c>
      <c r="L3485" s="3">
        <v>-0.33015679999999997</v>
      </c>
    </row>
    <row r="3486" spans="1:12" x14ac:dyDescent="0.25">
      <c r="A3486" t="s">
        <v>6015</v>
      </c>
      <c r="B3486" t="s">
        <v>6016</v>
      </c>
      <c r="I3486" t="s">
        <v>6017</v>
      </c>
      <c r="J3486" s="3">
        <v>-4.298867E-2</v>
      </c>
      <c r="K3486" s="3">
        <v>0.17762520000000001</v>
      </c>
      <c r="L3486" s="3">
        <v>0.18375079999999999</v>
      </c>
    </row>
    <row r="3487" spans="1:12" x14ac:dyDescent="0.25">
      <c r="A3487" t="s">
        <v>6012</v>
      </c>
      <c r="B3487" t="s">
        <v>6013</v>
      </c>
      <c r="I3487" t="s">
        <v>6014</v>
      </c>
      <c r="J3487" s="3">
        <v>-0.27155469999999998</v>
      </c>
      <c r="K3487" s="3">
        <v>-0.4124081</v>
      </c>
      <c r="L3487" s="3">
        <v>-0.21842990000000001</v>
      </c>
    </row>
    <row r="3488" spans="1:12" x14ac:dyDescent="0.25">
      <c r="A3488" t="s">
        <v>6011</v>
      </c>
      <c r="B3488" t="s">
        <v>957</v>
      </c>
      <c r="I3488" t="s">
        <v>455</v>
      </c>
      <c r="J3488" s="3">
        <v>7.4598849999999994E-2</v>
      </c>
      <c r="K3488" s="3">
        <v>6.8030489999999999E-2</v>
      </c>
      <c r="L3488" s="3">
        <v>0.1157903</v>
      </c>
    </row>
    <row r="3489" spans="1:12" x14ac:dyDescent="0.25">
      <c r="A3489" t="s">
        <v>6008</v>
      </c>
      <c r="B3489" t="s">
        <v>6009</v>
      </c>
      <c r="I3489" t="s">
        <v>6010</v>
      </c>
      <c r="J3489" s="3">
        <v>0.2041145</v>
      </c>
      <c r="K3489" s="3">
        <v>0.48341010000000001</v>
      </c>
      <c r="L3489" s="3">
        <v>0.41839939999999998</v>
      </c>
    </row>
    <row r="3490" spans="1:12" x14ac:dyDescent="0.25">
      <c r="A3490" t="s">
        <v>6005</v>
      </c>
      <c r="B3490" t="s">
        <v>6006</v>
      </c>
      <c r="I3490" t="s">
        <v>6007</v>
      </c>
      <c r="J3490" s="3">
        <v>-0.21703120000000001</v>
      </c>
      <c r="K3490" s="3">
        <v>-0.43853310000000001</v>
      </c>
      <c r="L3490" s="3">
        <v>-0.16471230000000001</v>
      </c>
    </row>
    <row r="3491" spans="1:12" x14ac:dyDescent="0.25">
      <c r="A3491" t="s">
        <v>6002</v>
      </c>
      <c r="B3491" t="s">
        <v>6003</v>
      </c>
      <c r="I3491" t="s">
        <v>6004</v>
      </c>
      <c r="J3491" s="3">
        <v>0.1059287</v>
      </c>
      <c r="K3491" s="3">
        <v>-0.49073519999999998</v>
      </c>
      <c r="L3491" s="3">
        <v>0.23681630000000001</v>
      </c>
    </row>
    <row r="3492" spans="1:12" x14ac:dyDescent="0.25">
      <c r="A3492" t="s">
        <v>6001</v>
      </c>
      <c r="B3492" t="s">
        <v>957</v>
      </c>
      <c r="I3492" t="s">
        <v>455</v>
      </c>
      <c r="J3492" s="3">
        <v>0.45336530000000003</v>
      </c>
      <c r="K3492" s="3">
        <v>0.52957319999999997</v>
      </c>
      <c r="L3492" s="3">
        <v>0.49875989999999998</v>
      </c>
    </row>
    <row r="3493" spans="1:12" x14ac:dyDescent="0.25">
      <c r="A3493" t="s">
        <v>6000</v>
      </c>
      <c r="B3493" t="s">
        <v>957</v>
      </c>
      <c r="I3493" t="s">
        <v>455</v>
      </c>
      <c r="J3493" s="3">
        <v>0.50363950000000002</v>
      </c>
      <c r="K3493" s="3">
        <v>0.74370709999999995</v>
      </c>
      <c r="L3493" s="3">
        <v>0.59241449999999996</v>
      </c>
    </row>
    <row r="3494" spans="1:12" x14ac:dyDescent="0.25">
      <c r="A3494" t="s">
        <v>5997</v>
      </c>
      <c r="B3494" t="s">
        <v>5998</v>
      </c>
      <c r="I3494" t="s">
        <v>5999</v>
      </c>
      <c r="J3494" s="3">
        <v>0.51300060000000003</v>
      </c>
      <c r="K3494" s="3">
        <v>0.87978049999999997</v>
      </c>
      <c r="L3494" s="3">
        <v>0.819801</v>
      </c>
    </row>
    <row r="3495" spans="1:12" x14ac:dyDescent="0.25">
      <c r="A3495" t="s">
        <v>5994</v>
      </c>
      <c r="B3495" t="s">
        <v>5995</v>
      </c>
      <c r="I3495" t="s">
        <v>5996</v>
      </c>
      <c r="J3495" s="3">
        <v>0.54803970000000002</v>
      </c>
      <c r="K3495" s="3">
        <v>0.80620329999999996</v>
      </c>
      <c r="L3495" s="3">
        <v>0.81124669999999999</v>
      </c>
    </row>
    <row r="3496" spans="1:12" x14ac:dyDescent="0.25">
      <c r="A3496" t="s">
        <v>5991</v>
      </c>
      <c r="B3496" t="s">
        <v>5992</v>
      </c>
      <c r="I3496" t="s">
        <v>5993</v>
      </c>
      <c r="J3496" s="3">
        <v>-0.36369950000000001</v>
      </c>
      <c r="K3496" s="3">
        <v>-0.47180909999999998</v>
      </c>
      <c r="L3496" s="3">
        <v>-0.10542410000000001</v>
      </c>
    </row>
    <row r="3497" spans="1:12" x14ac:dyDescent="0.25">
      <c r="A3497" t="s">
        <v>5989</v>
      </c>
      <c r="B3497" t="s">
        <v>957</v>
      </c>
      <c r="I3497" t="s">
        <v>5990</v>
      </c>
      <c r="J3497" s="3">
        <v>8.4893419999999997E-2</v>
      </c>
      <c r="K3497" s="3">
        <v>0.73011970000000004</v>
      </c>
      <c r="L3497" s="3">
        <v>0.2155243</v>
      </c>
    </row>
    <row r="3498" spans="1:12" x14ac:dyDescent="0.25">
      <c r="A3498" t="s">
        <v>5988</v>
      </c>
      <c r="B3498" t="s">
        <v>957</v>
      </c>
      <c r="I3498" t="s">
        <v>455</v>
      </c>
      <c r="J3498" s="3">
        <v>0.2417359</v>
      </c>
      <c r="K3498" s="3">
        <v>0.93883450000000002</v>
      </c>
      <c r="L3498" s="3">
        <v>0.17651210000000001</v>
      </c>
    </row>
    <row r="3499" spans="1:12" x14ac:dyDescent="0.25">
      <c r="A3499" t="s">
        <v>5985</v>
      </c>
      <c r="B3499" t="s">
        <v>5986</v>
      </c>
      <c r="I3499" t="s">
        <v>5987</v>
      </c>
      <c r="J3499" s="3">
        <v>0.68393009999999999</v>
      </c>
      <c r="K3499" s="3">
        <v>0.89409819999999995</v>
      </c>
      <c r="L3499" s="3">
        <v>0.77568499999999996</v>
      </c>
    </row>
    <row r="3500" spans="1:12" x14ac:dyDescent="0.25">
      <c r="A3500" t="s">
        <v>5984</v>
      </c>
      <c r="B3500" t="s">
        <v>957</v>
      </c>
      <c r="I3500" t="s">
        <v>455</v>
      </c>
      <c r="J3500" s="3">
        <v>-0.61749410000000005</v>
      </c>
      <c r="K3500" s="3">
        <v>-0.86576189999999997</v>
      </c>
      <c r="L3500" s="3">
        <v>-0.24979999999999999</v>
      </c>
    </row>
    <row r="3501" spans="1:12" x14ac:dyDescent="0.25">
      <c r="A3501" t="s">
        <v>5983</v>
      </c>
      <c r="B3501" t="s">
        <v>957</v>
      </c>
      <c r="I3501" t="s">
        <v>455</v>
      </c>
      <c r="J3501" s="3">
        <v>0.9640358</v>
      </c>
      <c r="K3501" s="3">
        <v>1.823426</v>
      </c>
      <c r="L3501" s="3">
        <v>1.517595</v>
      </c>
    </row>
    <row r="3502" spans="1:12" x14ac:dyDescent="0.25">
      <c r="A3502" t="s">
        <v>5982</v>
      </c>
      <c r="B3502" t="s">
        <v>957</v>
      </c>
      <c r="I3502" t="s">
        <v>2</v>
      </c>
      <c r="J3502" s="3">
        <v>-0.67077279999999995</v>
      </c>
      <c r="K3502" s="3">
        <v>-0.83081590000000005</v>
      </c>
      <c r="L3502" s="3">
        <v>-0.45150259999999998</v>
      </c>
    </row>
    <row r="3503" spans="1:12" x14ac:dyDescent="0.25">
      <c r="A3503" t="s">
        <v>5979</v>
      </c>
      <c r="B3503" t="s">
        <v>5980</v>
      </c>
      <c r="I3503" t="s">
        <v>5981</v>
      </c>
      <c r="J3503" s="3">
        <v>-4.6054640000000001E-3</v>
      </c>
      <c r="K3503" s="3">
        <v>-0.42669370000000001</v>
      </c>
      <c r="L3503" s="3">
        <v>6.8054900000000002E-2</v>
      </c>
    </row>
    <row r="3504" spans="1:12" x14ac:dyDescent="0.25">
      <c r="A3504" t="s">
        <v>5978</v>
      </c>
      <c r="B3504" t="s">
        <v>957</v>
      </c>
      <c r="I3504" t="s">
        <v>455</v>
      </c>
      <c r="J3504" s="3">
        <v>-0.75995829999999998</v>
      </c>
      <c r="K3504" s="3">
        <v>-0.4670339</v>
      </c>
      <c r="L3504" s="3">
        <v>0.1307189</v>
      </c>
    </row>
    <row r="3505" spans="1:12" x14ac:dyDescent="0.25">
      <c r="A3505" t="s">
        <v>5975</v>
      </c>
      <c r="B3505" t="s">
        <v>5976</v>
      </c>
      <c r="I3505" t="s">
        <v>5977</v>
      </c>
      <c r="J3505" s="3">
        <v>0.85557079999999996</v>
      </c>
      <c r="K3505" s="3">
        <v>0.21947649999999999</v>
      </c>
      <c r="L3505" s="3">
        <v>1.160234</v>
      </c>
    </row>
    <row r="3506" spans="1:12" x14ac:dyDescent="0.25">
      <c r="A3506" t="s">
        <v>5972</v>
      </c>
      <c r="B3506" t="s">
        <v>5973</v>
      </c>
      <c r="I3506" t="s">
        <v>5974</v>
      </c>
      <c r="J3506" s="3">
        <v>0.24567140000000001</v>
      </c>
      <c r="K3506" s="3">
        <v>0.18359900000000001</v>
      </c>
      <c r="L3506" s="3">
        <v>0.1894882</v>
      </c>
    </row>
    <row r="3507" spans="1:12" x14ac:dyDescent="0.25">
      <c r="A3507" t="s">
        <v>5969</v>
      </c>
      <c r="B3507" t="s">
        <v>5970</v>
      </c>
      <c r="I3507" t="s">
        <v>5971</v>
      </c>
      <c r="J3507" s="3">
        <v>0.87223700000000004</v>
      </c>
      <c r="K3507" s="3">
        <v>0.69116049999999996</v>
      </c>
      <c r="L3507" s="3">
        <v>0.9914771</v>
      </c>
    </row>
    <row r="3508" spans="1:12" x14ac:dyDescent="0.25">
      <c r="A3508" t="s">
        <v>5968</v>
      </c>
      <c r="B3508" t="s">
        <v>957</v>
      </c>
      <c r="I3508" t="s">
        <v>455</v>
      </c>
      <c r="J3508" s="3">
        <v>0.17147029999999999</v>
      </c>
      <c r="K3508" s="3">
        <v>-9.2486040000000005E-3</v>
      </c>
      <c r="L3508" s="3">
        <v>-0.1344978</v>
      </c>
    </row>
    <row r="3509" spans="1:12" x14ac:dyDescent="0.25">
      <c r="A3509" t="s">
        <v>5965</v>
      </c>
      <c r="B3509" t="s">
        <v>5966</v>
      </c>
      <c r="I3509" t="s">
        <v>5967</v>
      </c>
      <c r="J3509" s="3">
        <v>3.2720899999999997E-2</v>
      </c>
      <c r="K3509" s="3">
        <v>0.1997352</v>
      </c>
      <c r="L3509" s="3">
        <v>0.2111817</v>
      </c>
    </row>
    <row r="3510" spans="1:12" x14ac:dyDescent="0.25">
      <c r="A3510" t="s">
        <v>5962</v>
      </c>
      <c r="B3510" t="s">
        <v>5963</v>
      </c>
      <c r="I3510" t="s">
        <v>5964</v>
      </c>
      <c r="J3510" s="3">
        <v>8.1444100000000005E-2</v>
      </c>
      <c r="K3510" s="3">
        <v>0.2419558</v>
      </c>
      <c r="L3510" s="3">
        <v>0.3920748</v>
      </c>
    </row>
    <row r="3511" spans="1:12" x14ac:dyDescent="0.25">
      <c r="A3511" t="s">
        <v>5959</v>
      </c>
      <c r="B3511" t="s">
        <v>5960</v>
      </c>
      <c r="I3511" t="s">
        <v>5961</v>
      </c>
      <c r="J3511" s="3">
        <v>4.261333E-3</v>
      </c>
      <c r="K3511" s="3">
        <v>8.3718580000000001E-2</v>
      </c>
      <c r="L3511" s="3">
        <v>4.912938E-2</v>
      </c>
    </row>
    <row r="3512" spans="1:12" x14ac:dyDescent="0.25">
      <c r="A3512" t="s">
        <v>5956</v>
      </c>
      <c r="B3512" t="s">
        <v>5957</v>
      </c>
      <c r="I3512" t="s">
        <v>5958</v>
      </c>
      <c r="J3512" s="3">
        <v>1.2893760000000001</v>
      </c>
      <c r="K3512" s="3">
        <v>1.1174409999999999</v>
      </c>
      <c r="L3512" s="3">
        <v>1.49421</v>
      </c>
    </row>
    <row r="3513" spans="1:12" x14ac:dyDescent="0.25">
      <c r="A3513" t="s">
        <v>5955</v>
      </c>
      <c r="B3513" t="s">
        <v>957</v>
      </c>
      <c r="I3513" t="s">
        <v>455</v>
      </c>
      <c r="J3513" s="3">
        <v>0.32213819999999999</v>
      </c>
      <c r="K3513" s="3">
        <v>0.3928316</v>
      </c>
      <c r="L3513" s="3">
        <v>0.10054639999999999</v>
      </c>
    </row>
    <row r="3514" spans="1:12" x14ac:dyDescent="0.25">
      <c r="A3514" t="s">
        <v>5954</v>
      </c>
      <c r="B3514" t="s">
        <v>957</v>
      </c>
      <c r="I3514" t="s">
        <v>455</v>
      </c>
      <c r="J3514" s="3">
        <v>0.56977299999999997</v>
      </c>
      <c r="K3514" s="3">
        <v>1.482497</v>
      </c>
      <c r="L3514" s="3">
        <v>0.76953300000000002</v>
      </c>
    </row>
    <row r="3515" spans="1:12" x14ac:dyDescent="0.25">
      <c r="A3515" t="s">
        <v>5953</v>
      </c>
      <c r="B3515" t="s">
        <v>957</v>
      </c>
      <c r="I3515" t="s">
        <v>455</v>
      </c>
      <c r="J3515" s="3">
        <v>-6.3697129999999999E-3</v>
      </c>
      <c r="K3515" s="3">
        <v>0.1145499</v>
      </c>
      <c r="L3515" s="3">
        <v>0.24923239999999999</v>
      </c>
    </row>
    <row r="3516" spans="1:12" x14ac:dyDescent="0.25">
      <c r="A3516" t="s">
        <v>5950</v>
      </c>
      <c r="B3516" t="s">
        <v>5951</v>
      </c>
      <c r="I3516" t="s">
        <v>5952</v>
      </c>
      <c r="J3516" s="3">
        <v>0.48177989999999998</v>
      </c>
      <c r="K3516" s="3">
        <v>0.13373280000000001</v>
      </c>
      <c r="L3516" s="3">
        <v>0.69753259999999995</v>
      </c>
    </row>
    <row r="3517" spans="1:12" x14ac:dyDescent="0.25">
      <c r="A3517" t="s">
        <v>5947</v>
      </c>
      <c r="B3517" t="s">
        <v>5948</v>
      </c>
      <c r="I3517" t="s">
        <v>5949</v>
      </c>
      <c r="J3517" s="3">
        <v>-0.80727700000000002</v>
      </c>
      <c r="K3517" s="3">
        <v>-1.3904110000000001</v>
      </c>
      <c r="L3517" s="3">
        <v>-1.011517</v>
      </c>
    </row>
    <row r="3518" spans="1:12" x14ac:dyDescent="0.25">
      <c r="A3518" t="s">
        <v>5944</v>
      </c>
      <c r="B3518" t="s">
        <v>5945</v>
      </c>
      <c r="I3518" t="s">
        <v>5946</v>
      </c>
      <c r="J3518" s="3">
        <v>-0.44669429999999999</v>
      </c>
      <c r="K3518" s="3">
        <v>-0.49983490000000003</v>
      </c>
      <c r="L3518" s="3">
        <v>-0.1200304</v>
      </c>
    </row>
    <row r="3519" spans="1:12" x14ac:dyDescent="0.25">
      <c r="A3519" t="s">
        <v>5941</v>
      </c>
      <c r="B3519" t="s">
        <v>5942</v>
      </c>
      <c r="I3519" t="s">
        <v>5943</v>
      </c>
      <c r="J3519" s="3">
        <v>-0.70142879999999996</v>
      </c>
      <c r="K3519" s="3">
        <v>-1.0522990000000001</v>
      </c>
      <c r="L3519" s="3">
        <v>-0.90605899999999995</v>
      </c>
    </row>
    <row r="3520" spans="1:12" x14ac:dyDescent="0.25">
      <c r="A3520" t="s">
        <v>5938</v>
      </c>
      <c r="B3520" t="s">
        <v>5939</v>
      </c>
      <c r="I3520" t="s">
        <v>5940</v>
      </c>
      <c r="J3520" s="3">
        <v>1.6431519999999999</v>
      </c>
      <c r="K3520" s="3">
        <v>1.8036220000000001</v>
      </c>
      <c r="L3520" s="3">
        <v>1.1778820000000001</v>
      </c>
    </row>
    <row r="3521" spans="1:12" x14ac:dyDescent="0.25">
      <c r="A3521" t="s">
        <v>5935</v>
      </c>
      <c r="B3521" t="s">
        <v>5936</v>
      </c>
      <c r="I3521" t="s">
        <v>5937</v>
      </c>
      <c r="J3521" s="3">
        <v>-0.32505830000000002</v>
      </c>
      <c r="K3521" s="3">
        <v>-0.76583659999999998</v>
      </c>
      <c r="L3521" s="3">
        <v>-0.49101460000000002</v>
      </c>
    </row>
    <row r="3522" spans="1:12" x14ac:dyDescent="0.25">
      <c r="A3522" t="s">
        <v>5934</v>
      </c>
      <c r="B3522" t="s">
        <v>957</v>
      </c>
      <c r="I3522" t="s">
        <v>475</v>
      </c>
      <c r="J3522" s="3">
        <v>4.5382909999999999E-2</v>
      </c>
      <c r="K3522" s="3">
        <v>-0.334899</v>
      </c>
      <c r="L3522" s="3">
        <v>9.1464779999999996E-2</v>
      </c>
    </row>
    <row r="3523" spans="1:12" x14ac:dyDescent="0.25">
      <c r="A3523" t="s">
        <v>5933</v>
      </c>
      <c r="B3523" t="s">
        <v>957</v>
      </c>
      <c r="I3523" t="s">
        <v>455</v>
      </c>
      <c r="J3523" s="3">
        <v>-0.16621230000000001</v>
      </c>
      <c r="K3523" s="3">
        <v>0.61575869999999999</v>
      </c>
      <c r="L3523" s="3">
        <v>-3.5183869999999999E-2</v>
      </c>
    </row>
    <row r="3524" spans="1:12" x14ac:dyDescent="0.25">
      <c r="A3524" t="s">
        <v>5931</v>
      </c>
      <c r="B3524" t="s">
        <v>5932</v>
      </c>
      <c r="I3524" t="s">
        <v>2383</v>
      </c>
      <c r="J3524" s="3">
        <v>-0.28071780000000002</v>
      </c>
      <c r="K3524" s="3">
        <v>-0.65220330000000004</v>
      </c>
      <c r="L3524" s="3">
        <v>-0.12855330000000001</v>
      </c>
    </row>
    <row r="3525" spans="1:12" x14ac:dyDescent="0.25">
      <c r="A3525" t="s">
        <v>5928</v>
      </c>
      <c r="B3525" t="s">
        <v>5929</v>
      </c>
      <c r="I3525" t="s">
        <v>5930</v>
      </c>
      <c r="J3525" s="3">
        <v>0.44887899999999997</v>
      </c>
      <c r="K3525" s="3">
        <v>0.17996809999999999</v>
      </c>
      <c r="L3525" s="3">
        <v>0.42160140000000002</v>
      </c>
    </row>
    <row r="3526" spans="1:12" x14ac:dyDescent="0.25">
      <c r="A3526" t="s">
        <v>5927</v>
      </c>
      <c r="B3526" t="s">
        <v>957</v>
      </c>
      <c r="I3526" t="s">
        <v>823</v>
      </c>
      <c r="J3526" s="3">
        <v>-0.1165175</v>
      </c>
      <c r="K3526" s="3">
        <v>-0.58696809999999999</v>
      </c>
      <c r="L3526" s="3">
        <v>2.298182E-2</v>
      </c>
    </row>
    <row r="3527" spans="1:12" x14ac:dyDescent="0.25">
      <c r="A3527" t="s">
        <v>5924</v>
      </c>
      <c r="B3527" t="s">
        <v>5925</v>
      </c>
      <c r="I3527" t="s">
        <v>5926</v>
      </c>
      <c r="J3527" s="3">
        <v>-0.222774</v>
      </c>
      <c r="K3527" s="3">
        <v>-0.546207</v>
      </c>
      <c r="L3527" s="3">
        <v>-0.16065080000000001</v>
      </c>
    </row>
    <row r="3528" spans="1:12" x14ac:dyDescent="0.25">
      <c r="A3528" t="s">
        <v>5921</v>
      </c>
      <c r="B3528" t="s">
        <v>5922</v>
      </c>
      <c r="I3528" t="s">
        <v>5923</v>
      </c>
      <c r="J3528" s="3">
        <v>0.42463980000000001</v>
      </c>
      <c r="K3528" s="3">
        <v>-0.38957130000000001</v>
      </c>
      <c r="L3528" s="3">
        <v>0.45280120000000001</v>
      </c>
    </row>
    <row r="3529" spans="1:12" x14ac:dyDescent="0.25">
      <c r="A3529" t="s">
        <v>5918</v>
      </c>
      <c r="B3529" t="s">
        <v>5919</v>
      </c>
      <c r="I3529" t="s">
        <v>5920</v>
      </c>
      <c r="J3529" s="3">
        <v>0.72193050000000003</v>
      </c>
      <c r="K3529" s="3">
        <v>0.38163370000000002</v>
      </c>
      <c r="L3529" s="3">
        <v>0.71081649999999996</v>
      </c>
    </row>
    <row r="3530" spans="1:12" x14ac:dyDescent="0.25">
      <c r="A3530" t="s">
        <v>5915</v>
      </c>
      <c r="B3530" t="s">
        <v>5916</v>
      </c>
      <c r="I3530" t="s">
        <v>5917</v>
      </c>
      <c r="J3530" s="3">
        <v>-0.21067379999999999</v>
      </c>
      <c r="K3530" s="3">
        <v>1.0490010000000001</v>
      </c>
      <c r="L3530" s="3">
        <v>0.30368489999999998</v>
      </c>
    </row>
    <row r="3531" spans="1:12" x14ac:dyDescent="0.25">
      <c r="A3531" t="s">
        <v>5912</v>
      </c>
      <c r="B3531" t="s">
        <v>5913</v>
      </c>
      <c r="I3531" t="s">
        <v>5914</v>
      </c>
      <c r="J3531" s="3">
        <v>0.35796909999999998</v>
      </c>
      <c r="K3531" s="3">
        <v>0.18185270000000001</v>
      </c>
      <c r="L3531" s="3">
        <v>0.1736943</v>
      </c>
    </row>
    <row r="3532" spans="1:12" x14ac:dyDescent="0.25">
      <c r="A3532" t="s">
        <v>5909</v>
      </c>
      <c r="B3532" t="s">
        <v>5910</v>
      </c>
      <c r="I3532" t="s">
        <v>5911</v>
      </c>
      <c r="J3532" s="3">
        <v>8.0262959999999994E-2</v>
      </c>
      <c r="K3532" s="3">
        <v>0.78161930000000002</v>
      </c>
      <c r="L3532" s="3">
        <v>4.8441480000000002E-2</v>
      </c>
    </row>
    <row r="3533" spans="1:12" x14ac:dyDescent="0.25">
      <c r="A3533" t="s">
        <v>4912</v>
      </c>
      <c r="B3533" t="s">
        <v>4913</v>
      </c>
      <c r="I3533" t="s">
        <v>5908</v>
      </c>
      <c r="J3533" s="3">
        <v>-0.61912469999999997</v>
      </c>
      <c r="K3533" s="3">
        <v>-6.6339369999999995E-2</v>
      </c>
      <c r="L3533" s="3">
        <v>-0.27302080000000001</v>
      </c>
    </row>
    <row r="3534" spans="1:12" x14ac:dyDescent="0.25">
      <c r="A3534" t="s">
        <v>4910</v>
      </c>
      <c r="B3534" t="s">
        <v>4911</v>
      </c>
      <c r="I3534" t="s">
        <v>1657</v>
      </c>
      <c r="J3534" s="3">
        <v>0.17304269999999999</v>
      </c>
      <c r="K3534" s="3">
        <v>-0.3282175</v>
      </c>
      <c r="L3534" s="3">
        <v>0.2364917</v>
      </c>
    </row>
    <row r="3535" spans="1:12" x14ac:dyDescent="0.25">
      <c r="A3535" t="s">
        <v>4907</v>
      </c>
      <c r="B3535" t="s">
        <v>4908</v>
      </c>
      <c r="I3535" t="s">
        <v>4909</v>
      </c>
      <c r="J3535" s="3">
        <v>-0.37096790000000002</v>
      </c>
      <c r="K3535" s="3">
        <v>-0.89335279999999995</v>
      </c>
      <c r="L3535" s="3">
        <v>-0.4125721</v>
      </c>
    </row>
    <row r="3536" spans="1:12" x14ac:dyDescent="0.25">
      <c r="A3536" t="s">
        <v>4904</v>
      </c>
      <c r="B3536" t="s">
        <v>4905</v>
      </c>
      <c r="I3536" t="s">
        <v>4906</v>
      </c>
      <c r="J3536" s="3">
        <v>0.57975670000000001</v>
      </c>
      <c r="K3536" s="3">
        <v>0.4827842</v>
      </c>
      <c r="L3536" s="3">
        <v>0.70144200000000001</v>
      </c>
    </row>
    <row r="3537" spans="1:12" x14ac:dyDescent="0.25">
      <c r="A3537" t="s">
        <v>4901</v>
      </c>
      <c r="B3537" t="s">
        <v>4902</v>
      </c>
      <c r="I3537" t="s">
        <v>4903</v>
      </c>
      <c r="J3537" s="3">
        <v>-0.27655560000000001</v>
      </c>
      <c r="K3537" s="3">
        <v>-0.25255610000000001</v>
      </c>
      <c r="L3537" s="3">
        <v>-0.68807779999999996</v>
      </c>
    </row>
    <row r="3538" spans="1:12" x14ac:dyDescent="0.25">
      <c r="A3538" t="s">
        <v>4899</v>
      </c>
      <c r="B3538" t="s">
        <v>957</v>
      </c>
      <c r="I3538" t="s">
        <v>4900</v>
      </c>
      <c r="J3538" s="3">
        <v>-0.1722612</v>
      </c>
      <c r="K3538" s="3">
        <v>-1.045603E-2</v>
      </c>
      <c r="L3538" s="3">
        <v>-0.18716849999999999</v>
      </c>
    </row>
    <row r="3539" spans="1:12" x14ac:dyDescent="0.25">
      <c r="A3539" t="s">
        <v>4896</v>
      </c>
      <c r="B3539" t="s">
        <v>4897</v>
      </c>
      <c r="I3539" t="s">
        <v>4898</v>
      </c>
      <c r="J3539" s="3">
        <v>-0.32513920000000002</v>
      </c>
      <c r="K3539" s="3">
        <v>-0.65518699999999996</v>
      </c>
      <c r="L3539" s="3">
        <v>-0.40702559999999999</v>
      </c>
    </row>
    <row r="3540" spans="1:12" x14ac:dyDescent="0.25">
      <c r="A3540" t="s">
        <v>4895</v>
      </c>
      <c r="B3540" t="s">
        <v>957</v>
      </c>
      <c r="I3540" t="s">
        <v>455</v>
      </c>
      <c r="J3540" s="3">
        <v>2.572518E-2</v>
      </c>
      <c r="K3540" s="3">
        <v>1.9897809999999998E-2</v>
      </c>
      <c r="L3540" s="3">
        <v>0.12863189999999999</v>
      </c>
    </row>
    <row r="3541" spans="1:12" x14ac:dyDescent="0.25">
      <c r="A3541" t="s">
        <v>4892</v>
      </c>
      <c r="B3541" t="s">
        <v>4893</v>
      </c>
      <c r="I3541" t="s">
        <v>4894</v>
      </c>
      <c r="J3541" s="3">
        <v>2.0261399999999999E-2</v>
      </c>
      <c r="K3541" s="3">
        <v>1.435467</v>
      </c>
      <c r="L3541" s="3">
        <v>5.0786440000000002E-2</v>
      </c>
    </row>
    <row r="3542" spans="1:12" x14ac:dyDescent="0.25">
      <c r="A3542" t="s">
        <v>4889</v>
      </c>
      <c r="B3542" t="s">
        <v>4890</v>
      </c>
      <c r="I3542" t="s">
        <v>4891</v>
      </c>
      <c r="J3542" s="3">
        <v>-0.4398977</v>
      </c>
      <c r="K3542" s="3">
        <v>-1.095456</v>
      </c>
      <c r="L3542" s="3">
        <v>-0.62501949999999995</v>
      </c>
    </row>
    <row r="3543" spans="1:12" x14ac:dyDescent="0.25">
      <c r="A3543" t="s">
        <v>4886</v>
      </c>
      <c r="B3543" t="s">
        <v>4887</v>
      </c>
      <c r="I3543" t="s">
        <v>4888</v>
      </c>
      <c r="J3543" s="3">
        <v>8.2127369999999995E-3</v>
      </c>
      <c r="K3543" s="3">
        <v>-0.20166319999999999</v>
      </c>
      <c r="L3543" s="3">
        <v>-0.38212109999999999</v>
      </c>
    </row>
    <row r="3544" spans="1:12" x14ac:dyDescent="0.25">
      <c r="A3544" t="s">
        <v>4883</v>
      </c>
      <c r="B3544" t="s">
        <v>4884</v>
      </c>
      <c r="I3544" t="s">
        <v>4885</v>
      </c>
      <c r="J3544" s="3">
        <v>0.19205369999999999</v>
      </c>
      <c r="K3544" s="3">
        <v>0.12981760000000001</v>
      </c>
      <c r="L3544" s="3">
        <v>0.28757270000000001</v>
      </c>
    </row>
    <row r="3545" spans="1:12" x14ac:dyDescent="0.25">
      <c r="A3545" t="s">
        <v>4880</v>
      </c>
      <c r="B3545" t="s">
        <v>4881</v>
      </c>
      <c r="I3545" t="s">
        <v>4882</v>
      </c>
      <c r="J3545" s="3">
        <v>0.35800179999999998</v>
      </c>
      <c r="K3545" s="3">
        <v>0.37425560000000002</v>
      </c>
      <c r="L3545" s="3">
        <v>0.20527570000000001</v>
      </c>
    </row>
    <row r="3546" spans="1:12" x14ac:dyDescent="0.25">
      <c r="A3546" t="s">
        <v>4877</v>
      </c>
      <c r="B3546" t="s">
        <v>4878</v>
      </c>
      <c r="I3546" t="s">
        <v>4879</v>
      </c>
      <c r="J3546" s="3">
        <v>2.705333E-2</v>
      </c>
      <c r="K3546" s="3">
        <v>-0.44828170000000001</v>
      </c>
      <c r="L3546" s="3">
        <v>-9.1349940000000004E-2</v>
      </c>
    </row>
    <row r="3547" spans="1:12" x14ac:dyDescent="0.25">
      <c r="A3547" t="s">
        <v>5884</v>
      </c>
      <c r="B3547" t="s">
        <v>5885</v>
      </c>
      <c r="I3547" t="s">
        <v>4876</v>
      </c>
      <c r="J3547" s="3">
        <v>0.23821629999999999</v>
      </c>
      <c r="K3547" s="3">
        <v>0.51514150000000003</v>
      </c>
      <c r="L3547" s="3">
        <v>6.4632090000000001E-3</v>
      </c>
    </row>
    <row r="3548" spans="1:12" x14ac:dyDescent="0.25">
      <c r="A3548" t="s">
        <v>5881</v>
      </c>
      <c r="B3548" t="s">
        <v>5882</v>
      </c>
      <c r="I3548" t="s">
        <v>5883</v>
      </c>
      <c r="J3548" s="3">
        <v>0.99397829999999998</v>
      </c>
      <c r="K3548" s="3">
        <v>0.84457559999999998</v>
      </c>
      <c r="L3548" s="3">
        <v>0.64283009999999996</v>
      </c>
    </row>
    <row r="3549" spans="1:12" x14ac:dyDescent="0.25">
      <c r="A3549" t="s">
        <v>5880</v>
      </c>
      <c r="B3549" t="s">
        <v>957</v>
      </c>
      <c r="I3549" t="s">
        <v>1973</v>
      </c>
      <c r="J3549" s="3">
        <v>1.265925</v>
      </c>
      <c r="K3549" s="3">
        <v>1.1333949999999999</v>
      </c>
      <c r="L3549" s="3">
        <v>1.1906399999999999</v>
      </c>
    </row>
    <row r="3550" spans="1:12" x14ac:dyDescent="0.25">
      <c r="A3550" t="s">
        <v>5877</v>
      </c>
      <c r="B3550" t="s">
        <v>5878</v>
      </c>
      <c r="I3550" t="s">
        <v>5879</v>
      </c>
      <c r="J3550" s="3">
        <v>0.3063961</v>
      </c>
      <c r="K3550" s="3">
        <v>0.1031519</v>
      </c>
      <c r="L3550" s="3">
        <v>0.30058839999999998</v>
      </c>
    </row>
    <row r="3551" spans="1:12" x14ac:dyDescent="0.25">
      <c r="A3551" t="s">
        <v>5875</v>
      </c>
      <c r="B3551" t="s">
        <v>5876</v>
      </c>
      <c r="I3551" t="s">
        <v>1425</v>
      </c>
      <c r="J3551" s="3">
        <v>-0.50888719999999998</v>
      </c>
      <c r="K3551" s="3">
        <v>-1.0881909999999999</v>
      </c>
      <c r="L3551" s="3">
        <v>-0.10710840000000001</v>
      </c>
    </row>
    <row r="3552" spans="1:12" x14ac:dyDescent="0.25">
      <c r="A3552" t="s">
        <v>5872</v>
      </c>
      <c r="B3552" t="s">
        <v>5873</v>
      </c>
      <c r="I3552" t="s">
        <v>5874</v>
      </c>
      <c r="J3552" s="3">
        <v>1.2627630000000001E-2</v>
      </c>
      <c r="K3552" s="3">
        <v>-1.5867719999999998E-2</v>
      </c>
      <c r="L3552" s="3">
        <v>0.12423090000000001</v>
      </c>
    </row>
    <row r="3553" spans="1:12" x14ac:dyDescent="0.25">
      <c r="A3553" t="s">
        <v>5871</v>
      </c>
      <c r="B3553" t="s">
        <v>957</v>
      </c>
      <c r="I3553" t="s">
        <v>455</v>
      </c>
      <c r="J3553" s="3">
        <v>0.4951506</v>
      </c>
      <c r="K3553" s="3">
        <v>0.3533964</v>
      </c>
      <c r="L3553" s="3">
        <v>0.32738859999999997</v>
      </c>
    </row>
    <row r="3554" spans="1:12" x14ac:dyDescent="0.25">
      <c r="A3554" t="s">
        <v>5868</v>
      </c>
      <c r="B3554" t="s">
        <v>5869</v>
      </c>
      <c r="I3554" t="s">
        <v>5870</v>
      </c>
      <c r="J3554" s="3">
        <v>0.24140110000000001</v>
      </c>
      <c r="K3554" s="3">
        <v>0.1170836</v>
      </c>
      <c r="L3554" s="3">
        <v>0.11935510000000001</v>
      </c>
    </row>
    <row r="3555" spans="1:12" x14ac:dyDescent="0.25">
      <c r="A3555" t="s">
        <v>5865</v>
      </c>
      <c r="B3555" t="s">
        <v>5866</v>
      </c>
      <c r="I3555" t="s">
        <v>5867</v>
      </c>
      <c r="J3555" s="3">
        <v>0.57410479999999997</v>
      </c>
      <c r="K3555" s="3">
        <v>-0.2133255</v>
      </c>
      <c r="L3555" s="3">
        <v>0.58746719999999997</v>
      </c>
    </row>
    <row r="3556" spans="1:12" x14ac:dyDescent="0.25">
      <c r="A3556" t="s">
        <v>5862</v>
      </c>
      <c r="B3556" t="s">
        <v>5863</v>
      </c>
      <c r="I3556" t="s">
        <v>5864</v>
      </c>
      <c r="J3556" s="3">
        <v>0.53860019999999997</v>
      </c>
      <c r="K3556" s="3">
        <v>0.1210944</v>
      </c>
      <c r="L3556" s="3">
        <v>0.50700719999999999</v>
      </c>
    </row>
    <row r="3557" spans="1:12" x14ac:dyDescent="0.25">
      <c r="A3557" t="s">
        <v>5861</v>
      </c>
      <c r="B3557" t="s">
        <v>957</v>
      </c>
      <c r="I3557" t="s">
        <v>455</v>
      </c>
      <c r="J3557" s="3">
        <v>0.25209979999999999</v>
      </c>
      <c r="K3557" s="3">
        <v>0.67381869999999999</v>
      </c>
      <c r="L3557" s="3">
        <v>0.48376809999999998</v>
      </c>
    </row>
    <row r="3558" spans="1:12" x14ac:dyDescent="0.25">
      <c r="A3558" t="s">
        <v>5858</v>
      </c>
      <c r="B3558" t="s">
        <v>5859</v>
      </c>
      <c r="I3558" t="s">
        <v>5860</v>
      </c>
      <c r="J3558" s="3">
        <v>0.37109619999999999</v>
      </c>
      <c r="K3558" s="3">
        <v>0.4014411</v>
      </c>
      <c r="L3558" s="3">
        <v>0.25042540000000002</v>
      </c>
    </row>
    <row r="3559" spans="1:12" x14ac:dyDescent="0.25">
      <c r="A3559" t="s">
        <v>5855</v>
      </c>
      <c r="B3559" t="s">
        <v>5856</v>
      </c>
      <c r="I3559" t="s">
        <v>5857</v>
      </c>
      <c r="J3559" s="3">
        <v>-3.1321139999999997E-2</v>
      </c>
      <c r="K3559" s="3">
        <v>-0.18741849999999999</v>
      </c>
      <c r="L3559" s="3">
        <v>-6.0985270000000001E-2</v>
      </c>
    </row>
    <row r="3560" spans="1:12" x14ac:dyDescent="0.25">
      <c r="A3560" t="s">
        <v>4858</v>
      </c>
      <c r="B3560" t="s">
        <v>4859</v>
      </c>
      <c r="I3560" t="s">
        <v>5854</v>
      </c>
      <c r="J3560" s="3">
        <v>-6.4286629999999997E-2</v>
      </c>
      <c r="K3560" s="3">
        <v>-9.8568869999999999E-3</v>
      </c>
      <c r="L3560" s="3">
        <v>-0.25752429999999998</v>
      </c>
    </row>
    <row r="3561" spans="1:12" x14ac:dyDescent="0.25">
      <c r="A3561" t="s">
        <v>4856</v>
      </c>
      <c r="B3561" t="s">
        <v>957</v>
      </c>
      <c r="I3561" t="s">
        <v>4857</v>
      </c>
      <c r="J3561" s="3">
        <v>-0.50549659999999996</v>
      </c>
      <c r="K3561" s="3">
        <v>-1.213284</v>
      </c>
      <c r="L3561" s="3">
        <v>-0.84948049999999997</v>
      </c>
    </row>
    <row r="3562" spans="1:12" x14ac:dyDescent="0.25">
      <c r="A3562" t="s">
        <v>4853</v>
      </c>
      <c r="B3562" t="s">
        <v>4854</v>
      </c>
      <c r="I3562" t="s">
        <v>4855</v>
      </c>
      <c r="J3562" s="3">
        <v>-0.34243449999999998</v>
      </c>
      <c r="K3562" s="3">
        <v>-0.38003769999999998</v>
      </c>
      <c r="L3562" s="3">
        <v>-6.4655989999999997E-2</v>
      </c>
    </row>
    <row r="3563" spans="1:12" x14ac:dyDescent="0.25">
      <c r="A3563" t="s">
        <v>4850</v>
      </c>
      <c r="B3563" t="s">
        <v>4851</v>
      </c>
      <c r="I3563" t="s">
        <v>4852</v>
      </c>
      <c r="J3563" s="3">
        <v>0.3554698</v>
      </c>
      <c r="K3563" s="3">
        <v>0.72993520000000001</v>
      </c>
      <c r="L3563" s="3">
        <v>-1.284888E-2</v>
      </c>
    </row>
    <row r="3564" spans="1:12" x14ac:dyDescent="0.25">
      <c r="A3564" t="s">
        <v>4847</v>
      </c>
      <c r="B3564" t="s">
        <v>4848</v>
      </c>
      <c r="I3564" t="s">
        <v>4849</v>
      </c>
      <c r="J3564" s="3">
        <v>-0.32380639999999999</v>
      </c>
      <c r="K3564" s="3">
        <v>-0.95777500000000004</v>
      </c>
      <c r="L3564" s="3">
        <v>-0.61010600000000004</v>
      </c>
    </row>
    <row r="3565" spans="1:12" x14ac:dyDescent="0.25">
      <c r="A3565" t="s">
        <v>4846</v>
      </c>
      <c r="B3565" t="s">
        <v>957</v>
      </c>
      <c r="I3565" t="s">
        <v>957</v>
      </c>
      <c r="J3565" s="3">
        <v>0.5236364</v>
      </c>
      <c r="K3565" s="3">
        <v>0.72640360000000004</v>
      </c>
      <c r="L3565" s="3">
        <v>0.41234959999999998</v>
      </c>
    </row>
    <row r="3566" spans="1:12" x14ac:dyDescent="0.25">
      <c r="A3566" t="s">
        <v>4843</v>
      </c>
      <c r="B3566" t="s">
        <v>4844</v>
      </c>
      <c r="I3566" t="s">
        <v>4845</v>
      </c>
      <c r="J3566" s="3">
        <v>0.33385389999999998</v>
      </c>
      <c r="K3566" s="3">
        <v>0.1521449</v>
      </c>
      <c r="L3566" s="3">
        <v>0.76982200000000001</v>
      </c>
    </row>
    <row r="3567" spans="1:12" x14ac:dyDescent="0.25">
      <c r="A3567" t="s">
        <v>4841</v>
      </c>
      <c r="B3567" t="s">
        <v>4842</v>
      </c>
      <c r="I3567" t="s">
        <v>4840</v>
      </c>
      <c r="J3567" s="3">
        <v>0.1909303</v>
      </c>
      <c r="K3567" s="3">
        <v>0.238533</v>
      </c>
      <c r="L3567" s="3">
        <v>-9.1037300000000002E-2</v>
      </c>
    </row>
    <row r="3568" spans="1:12" x14ac:dyDescent="0.25">
      <c r="A3568" t="s">
        <v>4838</v>
      </c>
      <c r="B3568" t="s">
        <v>4839</v>
      </c>
      <c r="I3568" t="s">
        <v>4840</v>
      </c>
      <c r="J3568" s="3">
        <v>1.7233959999999999</v>
      </c>
      <c r="K3568" s="3">
        <v>1.3546119999999999</v>
      </c>
      <c r="L3568" s="3">
        <v>0.92935540000000005</v>
      </c>
    </row>
    <row r="3569" spans="1:12" x14ac:dyDescent="0.25">
      <c r="A3569" t="s">
        <v>4837</v>
      </c>
      <c r="B3569" t="s">
        <v>957</v>
      </c>
      <c r="I3569" t="s">
        <v>455</v>
      </c>
      <c r="J3569" s="3">
        <v>0.12657940000000001</v>
      </c>
      <c r="K3569" s="3">
        <v>-6.4727099999999996E-2</v>
      </c>
      <c r="L3569" s="3">
        <v>0.15013109999999999</v>
      </c>
    </row>
    <row r="3570" spans="1:12" x14ac:dyDescent="0.25">
      <c r="A3570" t="s">
        <v>4836</v>
      </c>
      <c r="B3570" t="s">
        <v>957</v>
      </c>
      <c r="I3570" t="s">
        <v>455</v>
      </c>
      <c r="J3570" s="3">
        <v>0.8392018</v>
      </c>
      <c r="K3570" s="3">
        <v>0.36902770000000001</v>
      </c>
      <c r="L3570" s="3">
        <v>0.96730280000000002</v>
      </c>
    </row>
    <row r="3571" spans="1:12" x14ac:dyDescent="0.25">
      <c r="A3571" t="s">
        <v>4833</v>
      </c>
      <c r="B3571" t="s">
        <v>4834</v>
      </c>
      <c r="I3571" t="s">
        <v>4835</v>
      </c>
      <c r="J3571" s="3">
        <v>-8.5352070000000002E-2</v>
      </c>
      <c r="K3571" s="3">
        <v>1.9029810000000001E-2</v>
      </c>
      <c r="L3571" s="3">
        <v>-0.18080969999999999</v>
      </c>
    </row>
    <row r="3572" spans="1:12" x14ac:dyDescent="0.25">
      <c r="A3572" t="s">
        <v>4830</v>
      </c>
      <c r="B3572" t="s">
        <v>4831</v>
      </c>
      <c r="I3572" t="s">
        <v>4832</v>
      </c>
      <c r="J3572" s="3">
        <v>0.33141169999999998</v>
      </c>
      <c r="K3572" s="3">
        <v>0.1781103</v>
      </c>
      <c r="L3572" s="3">
        <v>0.47774100000000003</v>
      </c>
    </row>
    <row r="3573" spans="1:12" x14ac:dyDescent="0.25">
      <c r="A3573" t="s">
        <v>4827</v>
      </c>
      <c r="B3573" t="s">
        <v>4828</v>
      </c>
      <c r="I3573" t="s">
        <v>4829</v>
      </c>
      <c r="J3573" s="3">
        <v>-8.1863480000000002E-2</v>
      </c>
      <c r="K3573" s="3">
        <v>-7.4021489999999995E-2</v>
      </c>
      <c r="L3573" s="3">
        <v>-0.14661109999999999</v>
      </c>
    </row>
    <row r="3574" spans="1:12" x14ac:dyDescent="0.25">
      <c r="A3574" t="s">
        <v>4824</v>
      </c>
      <c r="B3574" t="s">
        <v>4825</v>
      </c>
      <c r="I3574" t="s">
        <v>4826</v>
      </c>
      <c r="J3574" s="3">
        <v>3.8440889999999998E-2</v>
      </c>
      <c r="K3574" s="3">
        <v>0.47563850000000002</v>
      </c>
      <c r="L3574" s="3">
        <v>-7.0471119999999998E-2</v>
      </c>
    </row>
    <row r="3575" spans="1:12" x14ac:dyDescent="0.25">
      <c r="A3575" t="s">
        <v>4821</v>
      </c>
      <c r="B3575" t="s">
        <v>4822</v>
      </c>
      <c r="I3575" t="s">
        <v>4823</v>
      </c>
      <c r="J3575" s="3">
        <v>-0.20666480000000001</v>
      </c>
      <c r="K3575" s="3">
        <v>4.0770570000000003E-3</v>
      </c>
      <c r="L3575" s="3">
        <v>1.5265910000000001E-2</v>
      </c>
    </row>
    <row r="3576" spans="1:12" x14ac:dyDescent="0.25">
      <c r="A3576" t="s">
        <v>4820</v>
      </c>
      <c r="B3576" t="s">
        <v>957</v>
      </c>
      <c r="I3576" t="s">
        <v>2</v>
      </c>
      <c r="J3576" s="3">
        <v>-1.2811939999999999</v>
      </c>
      <c r="K3576" s="3">
        <v>-0.88774379999999997</v>
      </c>
      <c r="L3576" s="3">
        <v>-0.55475750000000001</v>
      </c>
    </row>
    <row r="3577" spans="1:12" x14ac:dyDescent="0.25">
      <c r="A3577" t="s">
        <v>4817</v>
      </c>
      <c r="B3577" t="s">
        <v>4818</v>
      </c>
      <c r="I3577" t="s">
        <v>4819</v>
      </c>
      <c r="J3577" s="3">
        <v>-1.110406</v>
      </c>
      <c r="K3577" s="3">
        <v>-0.97669170000000005</v>
      </c>
      <c r="L3577" s="3">
        <v>-0.26844210000000002</v>
      </c>
    </row>
    <row r="3578" spans="1:12" x14ac:dyDescent="0.25">
      <c r="A3578" t="s">
        <v>4814</v>
      </c>
      <c r="B3578" t="s">
        <v>4815</v>
      </c>
      <c r="I3578" t="s">
        <v>4816</v>
      </c>
      <c r="J3578" s="3">
        <v>-5.8810469999999997E-2</v>
      </c>
      <c r="K3578" s="3">
        <v>0.48493649999999999</v>
      </c>
      <c r="L3578" s="3">
        <v>0.2953826</v>
      </c>
    </row>
    <row r="3579" spans="1:12" x14ac:dyDescent="0.25">
      <c r="A3579" t="s">
        <v>4811</v>
      </c>
      <c r="B3579" t="s">
        <v>4812</v>
      </c>
      <c r="I3579" t="s">
        <v>4813</v>
      </c>
      <c r="J3579" s="3">
        <v>-8.3558720000000003E-2</v>
      </c>
      <c r="K3579" s="3">
        <v>-0.43410339999999997</v>
      </c>
      <c r="L3579" s="3">
        <v>-0.2524419</v>
      </c>
    </row>
    <row r="3580" spans="1:12" x14ac:dyDescent="0.25">
      <c r="A3580" t="s">
        <v>4808</v>
      </c>
      <c r="B3580" t="s">
        <v>4809</v>
      </c>
      <c r="I3580" t="s">
        <v>4810</v>
      </c>
      <c r="J3580" s="3">
        <v>1.596754</v>
      </c>
      <c r="K3580" s="3">
        <v>1.2768060000000001</v>
      </c>
      <c r="L3580" s="3">
        <v>1.2844059999999999</v>
      </c>
    </row>
    <row r="3581" spans="1:12" x14ac:dyDescent="0.25">
      <c r="A3581" t="s">
        <v>4807</v>
      </c>
      <c r="B3581" t="s">
        <v>957</v>
      </c>
      <c r="I3581" t="s">
        <v>455</v>
      </c>
      <c r="J3581" s="3">
        <v>0.45691540000000003</v>
      </c>
      <c r="K3581" s="3">
        <v>0.68746600000000002</v>
      </c>
      <c r="L3581" s="3">
        <v>0.34755259999999999</v>
      </c>
    </row>
    <row r="3582" spans="1:12" x14ac:dyDescent="0.25">
      <c r="A3582" t="s">
        <v>4804</v>
      </c>
      <c r="B3582" t="s">
        <v>4805</v>
      </c>
      <c r="I3582" t="s">
        <v>4806</v>
      </c>
      <c r="J3582" s="3">
        <v>0.44897290000000001</v>
      </c>
      <c r="K3582" s="3">
        <v>-0.31945980000000002</v>
      </c>
      <c r="L3582" s="3">
        <v>0.29109869999999999</v>
      </c>
    </row>
    <row r="3583" spans="1:12" x14ac:dyDescent="0.25">
      <c r="A3583" t="s">
        <v>4801</v>
      </c>
      <c r="B3583" t="s">
        <v>4802</v>
      </c>
      <c r="I3583" t="s">
        <v>4803</v>
      </c>
      <c r="J3583" s="3">
        <v>-0.1103903</v>
      </c>
      <c r="K3583" s="3">
        <v>1.2552490000000001</v>
      </c>
      <c r="L3583" s="3">
        <v>5.960642E-2</v>
      </c>
    </row>
    <row r="3584" spans="1:12" x14ac:dyDescent="0.25">
      <c r="A3584" t="s">
        <v>5777</v>
      </c>
      <c r="B3584" t="s">
        <v>5778</v>
      </c>
      <c r="I3584" t="s">
        <v>4800</v>
      </c>
      <c r="J3584" s="3">
        <v>-0.46868460000000001</v>
      </c>
      <c r="K3584" s="3">
        <v>4.4377699999999999E-2</v>
      </c>
      <c r="L3584" s="3">
        <v>-0.15666579999999999</v>
      </c>
    </row>
    <row r="3585" spans="1:12" x14ac:dyDescent="0.25">
      <c r="A3585" t="s">
        <v>5774</v>
      </c>
      <c r="B3585" t="s">
        <v>5775</v>
      </c>
      <c r="I3585" t="s">
        <v>5776</v>
      </c>
      <c r="J3585" s="3">
        <v>0.33069599999999999</v>
      </c>
      <c r="K3585" s="3">
        <v>0.1930269</v>
      </c>
      <c r="L3585" s="3">
        <v>5.37621E-2</v>
      </c>
    </row>
    <row r="3586" spans="1:12" x14ac:dyDescent="0.25">
      <c r="A3586" t="s">
        <v>5773</v>
      </c>
      <c r="B3586" t="s">
        <v>957</v>
      </c>
      <c r="I3586" t="s">
        <v>455</v>
      </c>
      <c r="J3586" s="3">
        <v>-9.9818260000000006E-2</v>
      </c>
      <c r="K3586" s="3">
        <v>0.13031090000000001</v>
      </c>
      <c r="L3586" s="3">
        <v>2.866819E-2</v>
      </c>
    </row>
    <row r="3587" spans="1:12" x14ac:dyDescent="0.25">
      <c r="A3587" t="s">
        <v>5770</v>
      </c>
      <c r="B3587" t="s">
        <v>5771</v>
      </c>
      <c r="I3587" t="s">
        <v>5772</v>
      </c>
      <c r="J3587" s="3">
        <v>-3.5061269999999999E-2</v>
      </c>
      <c r="K3587" s="3">
        <v>0.30146010000000001</v>
      </c>
      <c r="L3587" s="3">
        <v>4.9559510000000001E-2</v>
      </c>
    </row>
    <row r="3588" spans="1:12" x14ac:dyDescent="0.25">
      <c r="A3588" t="s">
        <v>5767</v>
      </c>
      <c r="B3588" t="s">
        <v>5768</v>
      </c>
      <c r="I3588" t="s">
        <v>5769</v>
      </c>
      <c r="J3588" s="3">
        <v>-0.30161470000000001</v>
      </c>
      <c r="K3588" s="3">
        <v>-0.69311319999999998</v>
      </c>
      <c r="L3588" s="3">
        <v>-0.233845</v>
      </c>
    </row>
    <row r="3589" spans="1:12" x14ac:dyDescent="0.25">
      <c r="A3589" t="s">
        <v>5764</v>
      </c>
      <c r="B3589" t="s">
        <v>5765</v>
      </c>
      <c r="I3589" t="s">
        <v>5766</v>
      </c>
      <c r="J3589" s="3">
        <v>-1.3829020000000001</v>
      </c>
      <c r="K3589" s="3">
        <v>-0.82963019999999998</v>
      </c>
      <c r="L3589" s="3">
        <v>-1.614425</v>
      </c>
    </row>
    <row r="3590" spans="1:12" x14ac:dyDescent="0.25">
      <c r="A3590" t="s">
        <v>5761</v>
      </c>
      <c r="B3590" t="s">
        <v>5762</v>
      </c>
      <c r="I3590" t="s">
        <v>5763</v>
      </c>
      <c r="J3590" s="3">
        <v>-0.27693410000000002</v>
      </c>
      <c r="K3590" s="3">
        <v>-0.59559629999999997</v>
      </c>
      <c r="L3590" s="3">
        <v>0.54394969999999998</v>
      </c>
    </row>
    <row r="3591" spans="1:12" x14ac:dyDescent="0.25">
      <c r="A3591" t="s">
        <v>5758</v>
      </c>
      <c r="B3591" t="s">
        <v>5759</v>
      </c>
      <c r="I3591" t="s">
        <v>5760</v>
      </c>
      <c r="J3591" s="3">
        <v>-0.2247372</v>
      </c>
      <c r="K3591" s="3">
        <v>-0.75633490000000003</v>
      </c>
      <c r="L3591" s="3">
        <v>-0.16228210000000001</v>
      </c>
    </row>
    <row r="3592" spans="1:12" x14ac:dyDescent="0.25">
      <c r="A3592" t="s">
        <v>5757</v>
      </c>
      <c r="B3592" t="s">
        <v>957</v>
      </c>
      <c r="I3592" t="s">
        <v>455</v>
      </c>
      <c r="J3592" s="3">
        <v>7.8392760000000006E-2</v>
      </c>
      <c r="K3592" s="3">
        <v>0.22563430000000001</v>
      </c>
      <c r="L3592" s="3">
        <v>-2.514194E-3</v>
      </c>
    </row>
    <row r="3593" spans="1:12" x14ac:dyDescent="0.25">
      <c r="A3593" t="s">
        <v>5754</v>
      </c>
      <c r="B3593" t="s">
        <v>5755</v>
      </c>
      <c r="I3593" t="s">
        <v>5756</v>
      </c>
      <c r="J3593" s="3">
        <v>0.98410569999999997</v>
      </c>
      <c r="K3593" s="3">
        <v>0.54271689999999995</v>
      </c>
      <c r="L3593" s="3">
        <v>1.1091880000000001</v>
      </c>
    </row>
    <row r="3594" spans="1:12" x14ac:dyDescent="0.25">
      <c r="A3594" t="s">
        <v>5751</v>
      </c>
      <c r="B3594" t="s">
        <v>5752</v>
      </c>
      <c r="I3594" t="s">
        <v>5753</v>
      </c>
      <c r="J3594" s="3">
        <v>-0.26969880000000002</v>
      </c>
      <c r="K3594" s="3">
        <v>-0.50146279999999999</v>
      </c>
      <c r="L3594" s="3">
        <v>-0.27028459999999999</v>
      </c>
    </row>
    <row r="3595" spans="1:12" x14ac:dyDescent="0.25">
      <c r="A3595" t="s">
        <v>5750</v>
      </c>
      <c r="B3595" t="s">
        <v>957</v>
      </c>
      <c r="I3595" t="s">
        <v>455</v>
      </c>
      <c r="J3595" s="3">
        <v>-0.44585770000000002</v>
      </c>
      <c r="K3595" s="3">
        <v>-0.53394580000000003</v>
      </c>
      <c r="L3595" s="3">
        <v>-0.60695379999999999</v>
      </c>
    </row>
    <row r="3596" spans="1:12" x14ac:dyDescent="0.25">
      <c r="A3596" t="s">
        <v>5747</v>
      </c>
      <c r="B3596" t="s">
        <v>5748</v>
      </c>
      <c r="I3596" t="s">
        <v>5749</v>
      </c>
      <c r="J3596" s="3">
        <v>-0.30372569999999999</v>
      </c>
      <c r="K3596" s="3">
        <v>-0.63059569999999998</v>
      </c>
      <c r="L3596" s="3">
        <v>-0.35584329999999997</v>
      </c>
    </row>
    <row r="3597" spans="1:12" x14ac:dyDescent="0.25">
      <c r="A3597" t="s">
        <v>5744</v>
      </c>
      <c r="B3597" t="s">
        <v>5745</v>
      </c>
      <c r="I3597" t="s">
        <v>5746</v>
      </c>
      <c r="J3597" s="3">
        <v>-0.118002</v>
      </c>
      <c r="K3597" s="3">
        <v>-9.5684480000000002E-2</v>
      </c>
      <c r="L3597" s="3">
        <v>0.56046189999999996</v>
      </c>
    </row>
    <row r="3598" spans="1:12" x14ac:dyDescent="0.25">
      <c r="A3598" t="s">
        <v>5742</v>
      </c>
      <c r="B3598" t="s">
        <v>957</v>
      </c>
      <c r="I3598" t="s">
        <v>5743</v>
      </c>
      <c r="J3598" s="3">
        <v>0.43386639999999999</v>
      </c>
      <c r="K3598" s="3">
        <v>0.99255789999999999</v>
      </c>
      <c r="L3598" s="3">
        <v>0.69221929999999998</v>
      </c>
    </row>
    <row r="3599" spans="1:12" x14ac:dyDescent="0.25">
      <c r="A3599" t="s">
        <v>5740</v>
      </c>
      <c r="B3599" t="s">
        <v>957</v>
      </c>
      <c r="I3599" t="s">
        <v>5741</v>
      </c>
      <c r="J3599" s="3">
        <v>-6.9883790000000001E-2</v>
      </c>
      <c r="K3599" s="3">
        <v>0.75150989999999995</v>
      </c>
      <c r="L3599" s="3">
        <v>0.46092480000000002</v>
      </c>
    </row>
    <row r="3600" spans="1:12" x14ac:dyDescent="0.25">
      <c r="A3600" t="s">
        <v>5738</v>
      </c>
      <c r="B3600" t="s">
        <v>957</v>
      </c>
      <c r="I3600" t="s">
        <v>5739</v>
      </c>
      <c r="J3600" s="3">
        <v>-3.0046150000000001E-2</v>
      </c>
      <c r="K3600" s="3">
        <v>-0.14042080000000001</v>
      </c>
      <c r="L3600" s="3">
        <v>-8.8598549999999998E-2</v>
      </c>
    </row>
    <row r="3601" spans="1:12" x14ac:dyDescent="0.25">
      <c r="A3601" t="s">
        <v>5736</v>
      </c>
      <c r="B3601" t="s">
        <v>14226</v>
      </c>
      <c r="C3601" t="s">
        <v>14227</v>
      </c>
      <c r="D3601" t="s">
        <v>14228</v>
      </c>
      <c r="E3601" t="s">
        <v>14229</v>
      </c>
      <c r="I3601" t="s">
        <v>5737</v>
      </c>
      <c r="J3601" s="3">
        <v>3.426614E-2</v>
      </c>
      <c r="K3601" s="3">
        <v>1.272216E-2</v>
      </c>
      <c r="L3601" s="3">
        <v>4.404827E-2</v>
      </c>
    </row>
    <row r="3602" spans="1:12" x14ac:dyDescent="0.25">
      <c r="A3602" t="s">
        <v>4734</v>
      </c>
      <c r="B3602" t="s">
        <v>957</v>
      </c>
      <c r="I3602" t="s">
        <v>5735</v>
      </c>
      <c r="J3602" s="3">
        <v>0.16286709999999999</v>
      </c>
      <c r="K3602" s="3">
        <v>0.4005417</v>
      </c>
      <c r="L3602" s="3">
        <v>0.1039152</v>
      </c>
    </row>
    <row r="3603" spans="1:12" x14ac:dyDescent="0.25">
      <c r="A3603" t="s">
        <v>4732</v>
      </c>
      <c r="B3603" t="s">
        <v>957</v>
      </c>
      <c r="I3603" t="s">
        <v>4733</v>
      </c>
      <c r="J3603" s="3">
        <v>4.6974450000000001E-2</v>
      </c>
      <c r="K3603" s="3">
        <v>0.17632059999999999</v>
      </c>
      <c r="L3603" s="3">
        <v>-3.4118270000000001E-3</v>
      </c>
    </row>
    <row r="3604" spans="1:12" x14ac:dyDescent="0.25">
      <c r="A3604" t="s">
        <v>4730</v>
      </c>
      <c r="B3604" t="s">
        <v>957</v>
      </c>
      <c r="I3604" t="s">
        <v>4731</v>
      </c>
      <c r="J3604" s="3">
        <v>-4.6716349999999997E-2</v>
      </c>
      <c r="K3604" s="3">
        <v>0.27683269999999999</v>
      </c>
      <c r="L3604" s="3">
        <v>8.3546420000000007E-3</v>
      </c>
    </row>
    <row r="3605" spans="1:12" x14ac:dyDescent="0.25">
      <c r="A3605" t="s">
        <v>4729</v>
      </c>
      <c r="B3605" t="s">
        <v>957</v>
      </c>
      <c r="I3605" t="s">
        <v>156</v>
      </c>
      <c r="J3605" s="3">
        <v>-0.84738250000000004</v>
      </c>
      <c r="K3605" s="3">
        <v>-0.50484300000000004</v>
      </c>
      <c r="L3605" s="3">
        <v>-0.62265939999999997</v>
      </c>
    </row>
    <row r="3606" spans="1:12" x14ac:dyDescent="0.25">
      <c r="A3606" t="s">
        <v>4726</v>
      </c>
      <c r="B3606" t="s">
        <v>4727</v>
      </c>
      <c r="I3606" t="s">
        <v>4728</v>
      </c>
      <c r="J3606" s="3">
        <v>0.1109242</v>
      </c>
      <c r="K3606" s="3">
        <v>-0.2964234</v>
      </c>
      <c r="L3606" s="3">
        <v>2.2525219999999999E-3</v>
      </c>
    </row>
    <row r="3607" spans="1:12" x14ac:dyDescent="0.25">
      <c r="A3607" t="s">
        <v>4724</v>
      </c>
      <c r="B3607" t="s">
        <v>957</v>
      </c>
      <c r="I3607" t="s">
        <v>4725</v>
      </c>
      <c r="J3607" s="3">
        <v>2.0416150000000002</v>
      </c>
      <c r="K3607" s="3">
        <v>2.339197</v>
      </c>
      <c r="L3607" s="3">
        <v>1.952952</v>
      </c>
    </row>
    <row r="3608" spans="1:12" x14ac:dyDescent="0.25">
      <c r="A3608" t="s">
        <v>4721</v>
      </c>
      <c r="B3608" t="s">
        <v>4722</v>
      </c>
      <c r="I3608" t="s">
        <v>4723</v>
      </c>
      <c r="J3608" s="3">
        <v>-0.34966639999999999</v>
      </c>
      <c r="K3608" s="3">
        <v>-0.73004009999999997</v>
      </c>
      <c r="L3608" s="3">
        <v>2.4791759999999999E-2</v>
      </c>
    </row>
    <row r="3609" spans="1:12" x14ac:dyDescent="0.25">
      <c r="A3609" t="s">
        <v>4718</v>
      </c>
      <c r="B3609" t="s">
        <v>4719</v>
      </c>
      <c r="I3609" t="s">
        <v>4720</v>
      </c>
      <c r="J3609" s="3">
        <v>0.1025682</v>
      </c>
      <c r="K3609" s="3">
        <v>0.11199340000000001</v>
      </c>
      <c r="L3609" s="3">
        <v>0.16544120000000001</v>
      </c>
    </row>
    <row r="3610" spans="1:12" x14ac:dyDescent="0.25">
      <c r="A3610" t="s">
        <v>4715</v>
      </c>
      <c r="B3610" t="s">
        <v>4716</v>
      </c>
      <c r="I3610" t="s">
        <v>4717</v>
      </c>
      <c r="J3610" s="3">
        <v>0.16407459999999999</v>
      </c>
      <c r="K3610" s="3">
        <v>-7.8042899999999998E-2</v>
      </c>
      <c r="L3610" s="3">
        <v>0.18019450000000001</v>
      </c>
    </row>
    <row r="3611" spans="1:12" x14ac:dyDescent="0.25">
      <c r="A3611" t="s">
        <v>4713</v>
      </c>
      <c r="B3611" t="s">
        <v>957</v>
      </c>
      <c r="I3611" t="s">
        <v>4714</v>
      </c>
      <c r="J3611" s="3">
        <v>-1.3079860000000001</v>
      </c>
      <c r="K3611" s="3">
        <v>-1.2715810000000001</v>
      </c>
      <c r="L3611" s="3">
        <v>-1.0007569999999999</v>
      </c>
    </row>
    <row r="3612" spans="1:12" x14ac:dyDescent="0.25">
      <c r="A3612" t="s">
        <v>4710</v>
      </c>
      <c r="B3612" t="s">
        <v>4711</v>
      </c>
      <c r="I3612" t="s">
        <v>4712</v>
      </c>
      <c r="J3612" s="3">
        <v>-0.57585980000000003</v>
      </c>
      <c r="K3612" s="3">
        <v>-1.1349009999999999</v>
      </c>
      <c r="L3612" s="3">
        <v>-0.27206720000000001</v>
      </c>
    </row>
    <row r="3613" spans="1:12" x14ac:dyDescent="0.25">
      <c r="A3613" t="s">
        <v>4707</v>
      </c>
      <c r="B3613" t="s">
        <v>4708</v>
      </c>
      <c r="I3613" t="s">
        <v>4709</v>
      </c>
      <c r="J3613" s="3">
        <v>-3.6693749999999997E-2</v>
      </c>
      <c r="K3613" s="3">
        <v>-3.8368439999999997E-2</v>
      </c>
      <c r="L3613" s="3">
        <v>0.209289</v>
      </c>
    </row>
    <row r="3614" spans="1:12" x14ac:dyDescent="0.25">
      <c r="A3614" t="s">
        <v>4706</v>
      </c>
      <c r="B3614" t="s">
        <v>957</v>
      </c>
      <c r="I3614" t="s">
        <v>455</v>
      </c>
      <c r="J3614" s="3">
        <v>0.26578659999999998</v>
      </c>
      <c r="K3614" s="3">
        <v>0.36976710000000002</v>
      </c>
      <c r="L3614" s="3">
        <v>0.13074459999999999</v>
      </c>
    </row>
    <row r="3615" spans="1:12" x14ac:dyDescent="0.25">
      <c r="A3615" t="s">
        <v>5701</v>
      </c>
      <c r="B3615" t="s">
        <v>5702</v>
      </c>
      <c r="I3615" t="s">
        <v>5703</v>
      </c>
      <c r="J3615" s="3">
        <v>-0.36108240000000003</v>
      </c>
      <c r="K3615" s="3">
        <v>-0.79490349999999999</v>
      </c>
      <c r="L3615" s="3">
        <v>-0.50688739999999999</v>
      </c>
    </row>
    <row r="3616" spans="1:12" x14ac:dyDescent="0.25">
      <c r="A3616" t="s">
        <v>5698</v>
      </c>
      <c r="B3616" t="s">
        <v>5699</v>
      </c>
      <c r="I3616" t="s">
        <v>5700</v>
      </c>
      <c r="J3616" s="3">
        <v>-0.2725728</v>
      </c>
      <c r="K3616" s="3">
        <v>-0.32585039999999998</v>
      </c>
      <c r="L3616" s="3">
        <v>-0.37515320000000002</v>
      </c>
    </row>
    <row r="3617" spans="1:12" x14ac:dyDescent="0.25">
      <c r="A3617" t="s">
        <v>5695</v>
      </c>
      <c r="B3617" t="s">
        <v>5696</v>
      </c>
      <c r="I3617" t="s">
        <v>5697</v>
      </c>
      <c r="J3617" s="3">
        <v>-0.26453870000000002</v>
      </c>
      <c r="K3617" s="3">
        <v>-0.32311430000000002</v>
      </c>
      <c r="L3617" s="3">
        <v>-0.55143790000000004</v>
      </c>
    </row>
    <row r="3618" spans="1:12" x14ac:dyDescent="0.25">
      <c r="A3618" t="s">
        <v>5694</v>
      </c>
      <c r="B3618" t="s">
        <v>957</v>
      </c>
      <c r="I3618" t="s">
        <v>455</v>
      </c>
      <c r="J3618" s="3">
        <v>0.2825413</v>
      </c>
      <c r="K3618" s="3">
        <v>0.2478573</v>
      </c>
      <c r="L3618" s="3">
        <v>9.6116740000000006E-2</v>
      </c>
    </row>
    <row r="3619" spans="1:12" x14ac:dyDescent="0.25">
      <c r="A3619" t="s">
        <v>5691</v>
      </c>
      <c r="B3619" t="s">
        <v>5692</v>
      </c>
      <c r="I3619" t="s">
        <v>5693</v>
      </c>
      <c r="J3619" s="3">
        <v>0.40345189999999997</v>
      </c>
      <c r="K3619" s="3">
        <v>0.53037080000000003</v>
      </c>
      <c r="L3619" s="3">
        <v>0.36926229999999999</v>
      </c>
    </row>
    <row r="3620" spans="1:12" x14ac:dyDescent="0.25">
      <c r="A3620" t="s">
        <v>5690</v>
      </c>
      <c r="B3620" t="s">
        <v>957</v>
      </c>
      <c r="I3620" t="s">
        <v>4410</v>
      </c>
      <c r="J3620" s="3">
        <v>-5.3500350000000002E-2</v>
      </c>
      <c r="K3620" s="3">
        <v>0.32646360000000002</v>
      </c>
      <c r="L3620" s="3">
        <v>0.36422690000000002</v>
      </c>
    </row>
    <row r="3621" spans="1:12" x14ac:dyDescent="0.25">
      <c r="A3621" t="s">
        <v>5687</v>
      </c>
      <c r="B3621" t="s">
        <v>5688</v>
      </c>
      <c r="I3621" t="s">
        <v>5689</v>
      </c>
      <c r="J3621" s="3">
        <v>0.11512409999999999</v>
      </c>
      <c r="K3621" s="3">
        <v>0.60243670000000005</v>
      </c>
      <c r="L3621" s="3">
        <v>0.29770740000000001</v>
      </c>
    </row>
    <row r="3622" spans="1:12" x14ac:dyDescent="0.25">
      <c r="A3622" t="s">
        <v>5684</v>
      </c>
      <c r="B3622" t="s">
        <v>5685</v>
      </c>
      <c r="I3622" t="s">
        <v>5686</v>
      </c>
      <c r="J3622" s="3">
        <v>-0.18330089999999999</v>
      </c>
      <c r="K3622" s="3">
        <v>-0.71096990000000004</v>
      </c>
      <c r="L3622" s="3">
        <v>0.18604080000000001</v>
      </c>
    </row>
    <row r="3623" spans="1:12" x14ac:dyDescent="0.25">
      <c r="A3623" t="s">
        <v>5681</v>
      </c>
      <c r="B3623" t="s">
        <v>5682</v>
      </c>
      <c r="I3623" t="s">
        <v>5683</v>
      </c>
      <c r="J3623" s="3">
        <v>-0.28534789999999999</v>
      </c>
      <c r="K3623" s="3">
        <v>-0.66182240000000003</v>
      </c>
      <c r="L3623" s="3">
        <v>-0.39932390000000001</v>
      </c>
    </row>
    <row r="3624" spans="1:12" x14ac:dyDescent="0.25">
      <c r="A3624" t="s">
        <v>5678</v>
      </c>
      <c r="B3624" t="s">
        <v>5679</v>
      </c>
      <c r="I3624" t="s">
        <v>5680</v>
      </c>
      <c r="J3624" s="3">
        <v>4.7694739999999999E-2</v>
      </c>
      <c r="K3624" s="3">
        <v>-7.5186340000000004E-2</v>
      </c>
      <c r="L3624" s="3">
        <v>0.19385640000000001</v>
      </c>
    </row>
    <row r="3625" spans="1:12" x14ac:dyDescent="0.25">
      <c r="A3625" t="s">
        <v>5675</v>
      </c>
      <c r="B3625" t="s">
        <v>5676</v>
      </c>
      <c r="I3625" t="s">
        <v>5677</v>
      </c>
      <c r="J3625" s="3">
        <v>0.44184899999999999</v>
      </c>
      <c r="K3625" s="3">
        <v>0.22337360000000001</v>
      </c>
      <c r="L3625" s="3">
        <v>0.53193789999999996</v>
      </c>
    </row>
    <row r="3626" spans="1:12" x14ac:dyDescent="0.25">
      <c r="A3626" t="s">
        <v>5672</v>
      </c>
      <c r="B3626" t="s">
        <v>5673</v>
      </c>
      <c r="I3626" t="s">
        <v>5674</v>
      </c>
      <c r="J3626" s="3">
        <v>0.1368518</v>
      </c>
      <c r="K3626" s="3">
        <v>0.47332879999999999</v>
      </c>
      <c r="L3626" s="3">
        <v>5.1386019999999998E-2</v>
      </c>
    </row>
    <row r="3627" spans="1:12" x14ac:dyDescent="0.25">
      <c r="A3627" t="s">
        <v>4663</v>
      </c>
      <c r="B3627" t="s">
        <v>4664</v>
      </c>
      <c r="I3627" t="s">
        <v>5671</v>
      </c>
      <c r="J3627" s="3">
        <v>0.64196109999999995</v>
      </c>
      <c r="K3627" s="3">
        <v>3.3634509999999999E-2</v>
      </c>
      <c r="L3627" s="3">
        <v>0.4786627</v>
      </c>
    </row>
    <row r="3628" spans="1:12" x14ac:dyDescent="0.25">
      <c r="A3628" t="s">
        <v>4660</v>
      </c>
      <c r="B3628" t="s">
        <v>4661</v>
      </c>
      <c r="I3628" t="s">
        <v>4662</v>
      </c>
      <c r="J3628" s="3">
        <v>-0.1544885</v>
      </c>
      <c r="K3628" s="3">
        <v>-0.1318608</v>
      </c>
      <c r="L3628" s="3">
        <v>-0.2287633</v>
      </c>
    </row>
    <row r="3629" spans="1:12" x14ac:dyDescent="0.25">
      <c r="A3629" t="s">
        <v>4657</v>
      </c>
      <c r="B3629" t="s">
        <v>4658</v>
      </c>
      <c r="I3629" t="s">
        <v>4659</v>
      </c>
      <c r="J3629" s="3">
        <v>-0.1035267</v>
      </c>
      <c r="K3629" s="3">
        <v>-0.57393590000000005</v>
      </c>
      <c r="L3629" s="3">
        <v>-0.23976620000000001</v>
      </c>
    </row>
    <row r="3630" spans="1:12" x14ac:dyDescent="0.25">
      <c r="A3630" t="s">
        <v>4654</v>
      </c>
      <c r="B3630" t="s">
        <v>4655</v>
      </c>
      <c r="I3630" t="s">
        <v>4656</v>
      </c>
      <c r="J3630" s="3">
        <v>1.1986859999999999</v>
      </c>
      <c r="K3630" s="3">
        <v>0.80885399999999996</v>
      </c>
      <c r="L3630" s="3">
        <v>1.042856</v>
      </c>
    </row>
    <row r="3631" spans="1:12" x14ac:dyDescent="0.25">
      <c r="A3631" t="s">
        <v>4651</v>
      </c>
      <c r="B3631" t="s">
        <v>4652</v>
      </c>
      <c r="I3631" t="s">
        <v>4653</v>
      </c>
      <c r="J3631" s="3">
        <v>-1.1113090000000001</v>
      </c>
      <c r="K3631" s="3">
        <v>-1.4576279999999999</v>
      </c>
      <c r="L3631" s="3">
        <v>-1.0198959999999999</v>
      </c>
    </row>
    <row r="3632" spans="1:12" x14ac:dyDescent="0.25">
      <c r="A3632" t="s">
        <v>4648</v>
      </c>
      <c r="B3632" t="s">
        <v>4649</v>
      </c>
      <c r="I3632" t="s">
        <v>4650</v>
      </c>
      <c r="J3632" s="3">
        <v>7.5378100000000003E-2</v>
      </c>
      <c r="K3632" s="3">
        <v>-0.25164259999999999</v>
      </c>
      <c r="L3632" s="3">
        <v>4.5895970000000001E-2</v>
      </c>
    </row>
    <row r="3633" spans="1:12" x14ac:dyDescent="0.25">
      <c r="A3633" t="s">
        <v>4647</v>
      </c>
      <c r="B3633" t="s">
        <v>957</v>
      </c>
      <c r="I3633" t="s">
        <v>455</v>
      </c>
      <c r="J3633" s="3">
        <v>-0.39690569999999997</v>
      </c>
      <c r="K3633" s="3">
        <v>-0.96228199999999997</v>
      </c>
      <c r="L3633" s="3">
        <v>-0.90917769999999998</v>
      </c>
    </row>
    <row r="3634" spans="1:12" x14ac:dyDescent="0.25">
      <c r="A3634" t="s">
        <v>4646</v>
      </c>
      <c r="B3634" t="s">
        <v>957</v>
      </c>
      <c r="I3634" t="s">
        <v>455</v>
      </c>
      <c r="J3634" s="3">
        <v>1.4673389999999999</v>
      </c>
      <c r="K3634" s="3">
        <v>0.47970160000000001</v>
      </c>
      <c r="L3634" s="3">
        <v>1.1124430000000001</v>
      </c>
    </row>
    <row r="3635" spans="1:12" x14ac:dyDescent="0.25">
      <c r="A3635" t="s">
        <v>4643</v>
      </c>
      <c r="B3635" t="s">
        <v>4644</v>
      </c>
      <c r="I3635" t="s">
        <v>4645</v>
      </c>
      <c r="J3635" s="3">
        <v>-0.28561609999999998</v>
      </c>
      <c r="K3635" s="3">
        <v>-0.41239409999999999</v>
      </c>
      <c r="L3635" s="3">
        <v>-0.37270940000000002</v>
      </c>
    </row>
    <row r="3636" spans="1:12" x14ac:dyDescent="0.25">
      <c r="A3636" t="s">
        <v>4640</v>
      </c>
      <c r="B3636" t="s">
        <v>4641</v>
      </c>
      <c r="I3636" t="s">
        <v>4642</v>
      </c>
      <c r="J3636" s="3">
        <v>0.1798698</v>
      </c>
      <c r="K3636" s="3">
        <v>7.842702E-2</v>
      </c>
      <c r="L3636" s="3">
        <v>-3.2329169999999997E-2</v>
      </c>
    </row>
    <row r="3637" spans="1:12" x14ac:dyDescent="0.25">
      <c r="A3637" t="s">
        <v>4637</v>
      </c>
      <c r="B3637" t="s">
        <v>4638</v>
      </c>
      <c r="I3637" t="s">
        <v>4639</v>
      </c>
      <c r="J3637" s="3">
        <v>-0.13314509999999999</v>
      </c>
      <c r="K3637" s="3">
        <v>-0.10819239999999999</v>
      </c>
      <c r="L3637" s="3">
        <v>-0.42917749999999999</v>
      </c>
    </row>
    <row r="3638" spans="1:12" x14ac:dyDescent="0.25">
      <c r="A3638" t="s">
        <v>4636</v>
      </c>
      <c r="B3638" t="s">
        <v>957</v>
      </c>
      <c r="I3638" t="s">
        <v>455</v>
      </c>
      <c r="J3638" s="3">
        <v>0.43548809999999999</v>
      </c>
      <c r="K3638" s="3">
        <v>0.34890710000000003</v>
      </c>
      <c r="L3638" s="3">
        <v>0.25844149999999999</v>
      </c>
    </row>
    <row r="3639" spans="1:12" x14ac:dyDescent="0.25">
      <c r="A3639" t="s">
        <v>4633</v>
      </c>
      <c r="B3639" t="s">
        <v>4634</v>
      </c>
      <c r="I3639" t="s">
        <v>4635</v>
      </c>
      <c r="J3639" s="3">
        <v>-0.48087029999999997</v>
      </c>
      <c r="K3639" s="3">
        <v>-0.91630849999999997</v>
      </c>
      <c r="L3639" s="3">
        <v>0.23164219999999999</v>
      </c>
    </row>
    <row r="3640" spans="1:12" x14ac:dyDescent="0.25">
      <c r="A3640" t="s">
        <v>4632</v>
      </c>
      <c r="B3640" t="s">
        <v>957</v>
      </c>
      <c r="I3640" t="s">
        <v>823</v>
      </c>
      <c r="J3640" s="3">
        <v>-0.11471389999999999</v>
      </c>
      <c r="K3640" s="3">
        <v>0.28984199999999999</v>
      </c>
      <c r="L3640" s="3">
        <v>3.1209489999999999E-2</v>
      </c>
    </row>
    <row r="3641" spans="1:12" x14ac:dyDescent="0.25">
      <c r="A3641" t="s">
        <v>4629</v>
      </c>
      <c r="B3641" t="s">
        <v>4630</v>
      </c>
      <c r="I3641" t="s">
        <v>4631</v>
      </c>
      <c r="J3641" s="3">
        <v>-0.84973050000000006</v>
      </c>
      <c r="K3641" s="3">
        <v>-0.72373370000000004</v>
      </c>
      <c r="L3641" s="3">
        <v>-0.82294149999999999</v>
      </c>
    </row>
    <row r="3642" spans="1:12" x14ac:dyDescent="0.25">
      <c r="A3642" t="s">
        <v>4627</v>
      </c>
      <c r="B3642" t="s">
        <v>4628</v>
      </c>
      <c r="I3642" t="s">
        <v>1638</v>
      </c>
      <c r="J3642" s="3">
        <v>-0.46084999999999998</v>
      </c>
      <c r="K3642" s="3">
        <v>-0.9123753</v>
      </c>
      <c r="L3642" s="3">
        <v>-0.56412099999999998</v>
      </c>
    </row>
    <row r="3643" spans="1:12" x14ac:dyDescent="0.25">
      <c r="A3643" t="s">
        <v>4624</v>
      </c>
      <c r="B3643" t="s">
        <v>4625</v>
      </c>
      <c r="I3643" t="s">
        <v>4626</v>
      </c>
      <c r="J3643" s="3">
        <v>6.7560590000000004E-2</v>
      </c>
      <c r="K3643" s="3">
        <v>-0.2291436</v>
      </c>
      <c r="L3643" s="3">
        <v>-1.0242009999999999E-2</v>
      </c>
    </row>
    <row r="3644" spans="1:12" x14ac:dyDescent="0.25">
      <c r="A3644" t="s">
        <v>4621</v>
      </c>
      <c r="B3644" t="s">
        <v>4622</v>
      </c>
      <c r="I3644" t="s">
        <v>4623</v>
      </c>
      <c r="J3644" s="3">
        <v>-0.4805372</v>
      </c>
      <c r="K3644" s="3">
        <v>-1.063941</v>
      </c>
      <c r="L3644" s="3">
        <v>-0.36668509999999999</v>
      </c>
    </row>
    <row r="3645" spans="1:12" x14ac:dyDescent="0.25">
      <c r="A3645" t="s">
        <v>4618</v>
      </c>
      <c r="B3645" t="s">
        <v>4619</v>
      </c>
      <c r="I3645" t="s">
        <v>4620</v>
      </c>
      <c r="J3645" s="3">
        <v>-0.11545030000000001</v>
      </c>
      <c r="K3645" s="3">
        <v>-0.2144035</v>
      </c>
      <c r="L3645" s="3">
        <v>-1.1443099999999999E-2</v>
      </c>
    </row>
    <row r="3646" spans="1:12" x14ac:dyDescent="0.25">
      <c r="A3646" t="s">
        <v>4615</v>
      </c>
      <c r="B3646" t="s">
        <v>4616</v>
      </c>
      <c r="I3646" t="s">
        <v>4617</v>
      </c>
      <c r="J3646" s="3">
        <v>0.33836359999999999</v>
      </c>
      <c r="K3646" s="3">
        <v>0.15768370000000001</v>
      </c>
      <c r="L3646" s="3">
        <v>0.14874039999999999</v>
      </c>
    </row>
    <row r="3647" spans="1:12" x14ac:dyDescent="0.25">
      <c r="A3647" t="s">
        <v>4612</v>
      </c>
      <c r="B3647" t="s">
        <v>4613</v>
      </c>
      <c r="I3647" t="s">
        <v>4614</v>
      </c>
      <c r="J3647" s="3">
        <v>-0.47818529999999998</v>
      </c>
      <c r="K3647" s="3">
        <v>2.814738E-2</v>
      </c>
      <c r="L3647" s="3">
        <v>4.2787140000000001E-2</v>
      </c>
    </row>
    <row r="3648" spans="1:12" x14ac:dyDescent="0.25">
      <c r="A3648" t="s">
        <v>4609</v>
      </c>
      <c r="B3648" t="s">
        <v>4610</v>
      </c>
      <c r="I3648" t="s">
        <v>4611</v>
      </c>
      <c r="J3648" s="3">
        <v>-0.19246089999999999</v>
      </c>
      <c r="K3648" s="3">
        <v>-0.18804670000000001</v>
      </c>
      <c r="L3648" s="3">
        <v>-0.2379917</v>
      </c>
    </row>
    <row r="3649" spans="1:12" x14ac:dyDescent="0.25">
      <c r="A3649" t="s">
        <v>4608</v>
      </c>
      <c r="B3649" t="s">
        <v>957</v>
      </c>
      <c r="I3649" t="s">
        <v>455</v>
      </c>
      <c r="J3649" s="3">
        <v>-5.9361369999999997E-2</v>
      </c>
      <c r="K3649" s="3">
        <v>-0.58865509999999999</v>
      </c>
      <c r="L3649" s="3">
        <v>8.2922229999999996E-3</v>
      </c>
    </row>
    <row r="3650" spans="1:12" x14ac:dyDescent="0.25">
      <c r="A3650" t="s">
        <v>4605</v>
      </c>
      <c r="B3650" t="s">
        <v>4606</v>
      </c>
      <c r="I3650" t="s">
        <v>4607</v>
      </c>
      <c r="J3650" s="3">
        <v>0.20689170000000001</v>
      </c>
      <c r="K3650" s="3">
        <v>0.68466340000000003</v>
      </c>
      <c r="L3650" s="3">
        <v>0.80792660000000005</v>
      </c>
    </row>
    <row r="3651" spans="1:12" x14ac:dyDescent="0.25">
      <c r="A3651" t="s">
        <v>4602</v>
      </c>
      <c r="B3651" t="s">
        <v>4603</v>
      </c>
      <c r="I3651" t="s">
        <v>4604</v>
      </c>
      <c r="J3651" s="3">
        <v>0.2159256</v>
      </c>
      <c r="K3651" s="3">
        <v>0.61494070000000001</v>
      </c>
      <c r="L3651" s="3">
        <v>-3.941426E-2</v>
      </c>
    </row>
    <row r="3652" spans="1:12" x14ac:dyDescent="0.25">
      <c r="A3652" t="s">
        <v>4599</v>
      </c>
      <c r="B3652" t="s">
        <v>4600</v>
      </c>
      <c r="I3652" t="s">
        <v>4601</v>
      </c>
      <c r="J3652" s="3">
        <v>0.41118329999999997</v>
      </c>
      <c r="K3652" s="3">
        <v>1.191889</v>
      </c>
      <c r="L3652" s="3">
        <v>0.66104719999999995</v>
      </c>
    </row>
    <row r="3653" spans="1:12" x14ac:dyDescent="0.25">
      <c r="A3653" t="s">
        <v>4596</v>
      </c>
      <c r="B3653" t="s">
        <v>4597</v>
      </c>
      <c r="I3653" t="s">
        <v>4598</v>
      </c>
      <c r="J3653" s="3">
        <v>0.20933080000000001</v>
      </c>
      <c r="K3653" s="3">
        <v>0.3329049</v>
      </c>
      <c r="L3653" s="3">
        <v>0.3008248</v>
      </c>
    </row>
    <row r="3654" spans="1:12" x14ac:dyDescent="0.25">
      <c r="A3654" t="s">
        <v>4593</v>
      </c>
      <c r="B3654" t="s">
        <v>4594</v>
      </c>
      <c r="I3654" t="s">
        <v>4595</v>
      </c>
      <c r="J3654" s="3">
        <v>-0.55183649999999995</v>
      </c>
      <c r="K3654" s="3">
        <v>-0.35406660000000001</v>
      </c>
      <c r="L3654" s="3">
        <v>2.9798359999999999E-2</v>
      </c>
    </row>
    <row r="3655" spans="1:12" x14ac:dyDescent="0.25">
      <c r="A3655" t="s">
        <v>4592</v>
      </c>
      <c r="B3655" t="s">
        <v>957</v>
      </c>
      <c r="I3655" t="s">
        <v>455</v>
      </c>
      <c r="J3655" s="3">
        <v>-1.042135</v>
      </c>
      <c r="K3655" s="3">
        <v>-0.89843580000000001</v>
      </c>
      <c r="L3655" s="3">
        <v>-0.29010829999999999</v>
      </c>
    </row>
    <row r="3656" spans="1:12" x14ac:dyDescent="0.25">
      <c r="A3656" t="s">
        <v>4589</v>
      </c>
      <c r="B3656" t="s">
        <v>4590</v>
      </c>
      <c r="I3656" t="s">
        <v>4591</v>
      </c>
      <c r="J3656" s="3">
        <v>0.26329710000000001</v>
      </c>
      <c r="K3656" s="3">
        <v>0.1807156</v>
      </c>
      <c r="L3656" s="3">
        <v>0.36692370000000002</v>
      </c>
    </row>
    <row r="3657" spans="1:12" x14ac:dyDescent="0.25">
      <c r="A3657" t="s">
        <v>4586</v>
      </c>
      <c r="B3657" t="s">
        <v>4587</v>
      </c>
      <c r="I3657" t="s">
        <v>4588</v>
      </c>
      <c r="J3657" s="3">
        <v>-0.2182094</v>
      </c>
      <c r="K3657" s="3">
        <v>-9.5502370000000003E-2</v>
      </c>
      <c r="L3657" s="3">
        <v>-0.27479799999999999</v>
      </c>
    </row>
    <row r="3658" spans="1:12" x14ac:dyDescent="0.25">
      <c r="A3658" t="s">
        <v>4583</v>
      </c>
      <c r="B3658" t="s">
        <v>4584</v>
      </c>
      <c r="I3658" t="s">
        <v>4585</v>
      </c>
      <c r="J3658" s="3">
        <v>-0.57117430000000002</v>
      </c>
      <c r="K3658" s="3">
        <v>-1.0059</v>
      </c>
      <c r="L3658" s="3">
        <v>-0.42811149999999998</v>
      </c>
    </row>
    <row r="3659" spans="1:12" x14ac:dyDescent="0.25">
      <c r="A3659" t="s">
        <v>4581</v>
      </c>
      <c r="B3659" t="s">
        <v>4582</v>
      </c>
      <c r="I3659" t="s">
        <v>4433</v>
      </c>
      <c r="J3659" s="3">
        <v>-0.4317088</v>
      </c>
      <c r="K3659" s="3">
        <v>-0.2329832</v>
      </c>
      <c r="L3659" s="3">
        <v>-0.39254719999999999</v>
      </c>
    </row>
    <row r="3660" spans="1:12" x14ac:dyDescent="0.25">
      <c r="A3660" t="s">
        <v>4578</v>
      </c>
      <c r="B3660" t="s">
        <v>4579</v>
      </c>
      <c r="I3660" t="s">
        <v>4580</v>
      </c>
      <c r="J3660" s="3">
        <v>0.18673629999999999</v>
      </c>
      <c r="K3660" s="3">
        <v>6.1195069999999997E-2</v>
      </c>
      <c r="L3660" s="3">
        <v>0.1496643</v>
      </c>
    </row>
    <row r="3661" spans="1:12" x14ac:dyDescent="0.25">
      <c r="A3661" t="s">
        <v>4577</v>
      </c>
      <c r="B3661" t="s">
        <v>957</v>
      </c>
      <c r="I3661" t="s">
        <v>455</v>
      </c>
      <c r="J3661" s="3">
        <v>0.55211500000000002</v>
      </c>
      <c r="K3661" s="3">
        <v>0.20487069999999999</v>
      </c>
      <c r="L3661" s="3">
        <v>7.4657100000000004E-2</v>
      </c>
    </row>
    <row r="3662" spans="1:12" x14ac:dyDescent="0.25">
      <c r="A3662" t="s">
        <v>4576</v>
      </c>
      <c r="B3662" t="s">
        <v>957</v>
      </c>
      <c r="I3662" t="s">
        <v>455</v>
      </c>
      <c r="J3662" s="3">
        <v>2.6565289999999998E-2</v>
      </c>
      <c r="K3662" s="3">
        <v>-0.46668920000000003</v>
      </c>
      <c r="L3662" s="3">
        <v>-0.32776050000000001</v>
      </c>
    </row>
    <row r="3663" spans="1:12" x14ac:dyDescent="0.25">
      <c r="A3663" t="s">
        <v>4573</v>
      </c>
      <c r="B3663" t="s">
        <v>4574</v>
      </c>
      <c r="I3663" t="s">
        <v>4575</v>
      </c>
      <c r="J3663" s="3">
        <v>-0.3263489</v>
      </c>
      <c r="K3663" s="3">
        <v>-0.87074530000000006</v>
      </c>
      <c r="L3663" s="3">
        <v>-0.82976139999999998</v>
      </c>
    </row>
    <row r="3664" spans="1:12" x14ac:dyDescent="0.25">
      <c r="A3664" t="s">
        <v>5563</v>
      </c>
      <c r="B3664" t="s">
        <v>5564</v>
      </c>
      <c r="I3664" t="s">
        <v>4572</v>
      </c>
      <c r="J3664" s="3">
        <v>0.44067790000000001</v>
      </c>
      <c r="K3664" s="3">
        <v>0.30810320000000002</v>
      </c>
      <c r="L3664" s="3">
        <v>6.6782430000000004E-2</v>
      </c>
    </row>
    <row r="3665" spans="1:12" x14ac:dyDescent="0.25">
      <c r="A3665" t="s">
        <v>5560</v>
      </c>
      <c r="B3665" t="s">
        <v>5561</v>
      </c>
      <c r="I3665" t="s">
        <v>5562</v>
      </c>
      <c r="J3665" s="3">
        <v>-0.60529750000000004</v>
      </c>
      <c r="K3665" s="3">
        <v>-0.47753479999999998</v>
      </c>
      <c r="L3665" s="3">
        <v>-0.63918269999999999</v>
      </c>
    </row>
    <row r="3666" spans="1:12" x14ac:dyDescent="0.25">
      <c r="A3666" t="s">
        <v>5557</v>
      </c>
      <c r="B3666" t="s">
        <v>5558</v>
      </c>
      <c r="I3666" t="s">
        <v>5559</v>
      </c>
      <c r="J3666" s="3">
        <v>-0.1486114</v>
      </c>
      <c r="K3666" s="3">
        <v>-5.2984740000000002E-2</v>
      </c>
      <c r="L3666" s="3">
        <v>-0.1184182</v>
      </c>
    </row>
    <row r="3667" spans="1:12" x14ac:dyDescent="0.25">
      <c r="A3667" t="s">
        <v>5554</v>
      </c>
      <c r="B3667" t="s">
        <v>5555</v>
      </c>
      <c r="I3667" t="s">
        <v>5556</v>
      </c>
      <c r="J3667" s="3">
        <v>-3.023675E-2</v>
      </c>
      <c r="K3667" s="3">
        <v>0.51597930000000003</v>
      </c>
      <c r="L3667" s="3">
        <v>0.17465140000000001</v>
      </c>
    </row>
    <row r="3668" spans="1:12" x14ac:dyDescent="0.25">
      <c r="A3668" t="s">
        <v>5551</v>
      </c>
      <c r="B3668" t="s">
        <v>5552</v>
      </c>
      <c r="I3668" t="s">
        <v>5553</v>
      </c>
      <c r="J3668" s="3">
        <v>-0.50406899999999999</v>
      </c>
      <c r="K3668" s="3">
        <v>-0.76006560000000001</v>
      </c>
      <c r="L3668" s="3">
        <v>-0.34106579999999997</v>
      </c>
    </row>
    <row r="3669" spans="1:12" x14ac:dyDescent="0.25">
      <c r="A3669" t="s">
        <v>5548</v>
      </c>
      <c r="B3669" t="s">
        <v>5549</v>
      </c>
      <c r="I3669" t="s">
        <v>5550</v>
      </c>
      <c r="J3669" s="3">
        <v>3.1519270000000002E-2</v>
      </c>
      <c r="K3669" s="3">
        <v>0.39550740000000001</v>
      </c>
      <c r="L3669" s="3">
        <v>5.4406120000000002E-2</v>
      </c>
    </row>
    <row r="3670" spans="1:12" x14ac:dyDescent="0.25">
      <c r="A3670" t="s">
        <v>5545</v>
      </c>
      <c r="B3670" t="s">
        <v>5546</v>
      </c>
      <c r="I3670" t="s">
        <v>5547</v>
      </c>
      <c r="J3670" s="3">
        <v>1.225042</v>
      </c>
      <c r="K3670" s="3">
        <v>1.340128</v>
      </c>
      <c r="L3670" s="3">
        <v>0.8559795</v>
      </c>
    </row>
    <row r="3671" spans="1:12" x14ac:dyDescent="0.25">
      <c r="A3671" t="s">
        <v>5542</v>
      </c>
      <c r="B3671" t="s">
        <v>5543</v>
      </c>
      <c r="I3671" t="s">
        <v>5544</v>
      </c>
      <c r="J3671" s="3">
        <v>-0.15521940000000001</v>
      </c>
      <c r="K3671" s="3">
        <v>-0.40853689999999998</v>
      </c>
      <c r="L3671" s="3">
        <v>-0.28381299999999998</v>
      </c>
    </row>
    <row r="3672" spans="1:12" x14ac:dyDescent="0.25">
      <c r="A3672" t="s">
        <v>5539</v>
      </c>
      <c r="B3672" t="s">
        <v>5540</v>
      </c>
      <c r="I3672" t="s">
        <v>5541</v>
      </c>
      <c r="J3672" s="3">
        <v>2.1875559999999999E-2</v>
      </c>
      <c r="K3672" s="3">
        <v>-0.58899120000000005</v>
      </c>
      <c r="L3672" s="3">
        <v>-0.12029720000000001</v>
      </c>
    </row>
    <row r="3673" spans="1:12" x14ac:dyDescent="0.25">
      <c r="A3673" t="s">
        <v>5536</v>
      </c>
      <c r="B3673" t="s">
        <v>5537</v>
      </c>
      <c r="I3673" t="s">
        <v>5538</v>
      </c>
      <c r="J3673" s="3">
        <v>7.3436710000000002E-2</v>
      </c>
      <c r="K3673" s="3">
        <v>0.36454160000000002</v>
      </c>
      <c r="L3673" s="3">
        <v>0.16402549999999999</v>
      </c>
    </row>
    <row r="3674" spans="1:12" x14ac:dyDescent="0.25">
      <c r="A3674" t="s">
        <v>4545</v>
      </c>
      <c r="B3674" t="s">
        <v>957</v>
      </c>
      <c r="I3674" t="s">
        <v>455</v>
      </c>
      <c r="J3674" s="3">
        <v>0.25489020000000001</v>
      </c>
      <c r="K3674" s="3">
        <v>0.63501200000000002</v>
      </c>
      <c r="L3674" s="3">
        <v>0.38858759999999998</v>
      </c>
    </row>
    <row r="3675" spans="1:12" x14ac:dyDescent="0.25">
      <c r="A3675" t="s">
        <v>4542</v>
      </c>
      <c r="B3675" t="s">
        <v>4543</v>
      </c>
      <c r="I3675" t="s">
        <v>4544</v>
      </c>
      <c r="J3675" s="3">
        <v>-0.41728310000000002</v>
      </c>
      <c r="K3675" s="3">
        <v>0.27876849999999997</v>
      </c>
      <c r="L3675" s="3">
        <v>-0.40814780000000001</v>
      </c>
    </row>
    <row r="3676" spans="1:12" x14ac:dyDescent="0.25">
      <c r="A3676" t="s">
        <v>4541</v>
      </c>
      <c r="B3676" t="s">
        <v>957</v>
      </c>
      <c r="I3676" t="s">
        <v>2</v>
      </c>
      <c r="J3676" s="3">
        <v>-0.18014559999999999</v>
      </c>
      <c r="K3676" s="3">
        <v>-0.23471040000000001</v>
      </c>
      <c r="L3676" s="3">
        <v>-0.38915270000000002</v>
      </c>
    </row>
    <row r="3677" spans="1:12" x14ac:dyDescent="0.25">
      <c r="A3677" t="s">
        <v>4538</v>
      </c>
      <c r="B3677" t="s">
        <v>4539</v>
      </c>
      <c r="I3677" t="s">
        <v>4540</v>
      </c>
      <c r="J3677" s="3">
        <v>0.33293250000000002</v>
      </c>
      <c r="K3677" s="3">
        <v>7.8355249999999994E-3</v>
      </c>
      <c r="L3677" s="3">
        <v>3.3100070000000002E-2</v>
      </c>
    </row>
    <row r="3678" spans="1:12" x14ac:dyDescent="0.25">
      <c r="A3678" t="s">
        <v>4535</v>
      </c>
      <c r="B3678" t="s">
        <v>4536</v>
      </c>
      <c r="I3678" t="s">
        <v>4537</v>
      </c>
      <c r="J3678" s="3">
        <v>-4.3215370000000003E-2</v>
      </c>
      <c r="K3678" s="3">
        <v>0.49087940000000002</v>
      </c>
      <c r="L3678" s="3">
        <v>-8.0619419999999997E-2</v>
      </c>
    </row>
    <row r="3679" spans="1:12" x14ac:dyDescent="0.25">
      <c r="A3679" t="s">
        <v>4532</v>
      </c>
      <c r="B3679" t="s">
        <v>4533</v>
      </c>
      <c r="I3679" t="s">
        <v>4534</v>
      </c>
      <c r="J3679" s="3">
        <v>0.50437379999999998</v>
      </c>
      <c r="K3679" s="3">
        <v>0.13418099999999999</v>
      </c>
      <c r="L3679" s="3">
        <v>0.2118254</v>
      </c>
    </row>
    <row r="3680" spans="1:12" x14ac:dyDescent="0.25">
      <c r="A3680" t="s">
        <v>4531</v>
      </c>
      <c r="B3680" t="s">
        <v>957</v>
      </c>
      <c r="I3680" t="s">
        <v>455</v>
      </c>
      <c r="J3680" s="3">
        <v>-0.40598610000000002</v>
      </c>
      <c r="K3680" s="3">
        <v>-1.4601409999999999</v>
      </c>
      <c r="L3680" s="3">
        <v>-0.66860459999999999</v>
      </c>
    </row>
    <row r="3681" spans="1:12" x14ac:dyDescent="0.25">
      <c r="A3681" t="s">
        <v>4528</v>
      </c>
      <c r="B3681" t="s">
        <v>4529</v>
      </c>
      <c r="I3681" t="s">
        <v>4530</v>
      </c>
      <c r="J3681" s="3">
        <v>-3.7907950000000003E-2</v>
      </c>
      <c r="K3681" s="3">
        <v>-0.5672471</v>
      </c>
      <c r="L3681" s="3">
        <v>-0.133101</v>
      </c>
    </row>
    <row r="3682" spans="1:12" x14ac:dyDescent="0.25">
      <c r="A3682" t="s">
        <v>4525</v>
      </c>
      <c r="B3682" t="s">
        <v>4526</v>
      </c>
      <c r="I3682" t="s">
        <v>4527</v>
      </c>
      <c r="J3682" s="3">
        <v>-4.3501400000000003E-2</v>
      </c>
      <c r="K3682" s="3">
        <v>-9.4125849999999997E-2</v>
      </c>
      <c r="L3682" s="3">
        <v>-0.10685840000000001</v>
      </c>
    </row>
    <row r="3683" spans="1:12" x14ac:dyDescent="0.25">
      <c r="A3683" t="s">
        <v>4523</v>
      </c>
      <c r="B3683" t="s">
        <v>4524</v>
      </c>
      <c r="I3683" t="s">
        <v>475</v>
      </c>
      <c r="J3683" s="3">
        <v>-0.18873780000000001</v>
      </c>
      <c r="K3683" s="3">
        <v>-0.61533990000000005</v>
      </c>
      <c r="L3683" s="3">
        <v>-0.24517639999999999</v>
      </c>
    </row>
    <row r="3684" spans="1:12" x14ac:dyDescent="0.25">
      <c r="A3684" t="s">
        <v>4520</v>
      </c>
      <c r="B3684" t="s">
        <v>4521</v>
      </c>
      <c r="I3684" t="s">
        <v>4522</v>
      </c>
      <c r="J3684" s="3">
        <v>0.96199559999999995</v>
      </c>
      <c r="K3684" s="3">
        <v>1.6157109999999999</v>
      </c>
      <c r="L3684" s="3">
        <v>1.077604</v>
      </c>
    </row>
    <row r="3685" spans="1:12" x14ac:dyDescent="0.25">
      <c r="A3685" t="s">
        <v>4519</v>
      </c>
      <c r="B3685" t="s">
        <v>957</v>
      </c>
      <c r="I3685" t="s">
        <v>455</v>
      </c>
      <c r="J3685" s="3">
        <v>-0.50548490000000001</v>
      </c>
      <c r="K3685" s="3">
        <v>-0.48058289999999998</v>
      </c>
      <c r="L3685" s="3">
        <v>-0.38291120000000001</v>
      </c>
    </row>
    <row r="3686" spans="1:12" x14ac:dyDescent="0.25">
      <c r="A3686" t="s">
        <v>4516</v>
      </c>
      <c r="B3686" t="s">
        <v>4517</v>
      </c>
      <c r="I3686" t="s">
        <v>4518</v>
      </c>
      <c r="J3686" s="3">
        <v>0.30616710000000003</v>
      </c>
      <c r="K3686" s="3">
        <v>-0.33933760000000002</v>
      </c>
      <c r="L3686" s="3">
        <v>0.47094439999999999</v>
      </c>
    </row>
    <row r="3687" spans="1:12" x14ac:dyDescent="0.25">
      <c r="A3687" t="s">
        <v>4513</v>
      </c>
      <c r="B3687" t="s">
        <v>4514</v>
      </c>
      <c r="I3687" t="s">
        <v>4515</v>
      </c>
      <c r="J3687" s="3">
        <v>0.116814</v>
      </c>
      <c r="K3687" s="3">
        <v>-0.28091480000000002</v>
      </c>
      <c r="L3687" s="3">
        <v>0.18280060000000001</v>
      </c>
    </row>
    <row r="3688" spans="1:12" x14ac:dyDescent="0.25">
      <c r="A3688" t="s">
        <v>4512</v>
      </c>
      <c r="B3688" t="s">
        <v>957</v>
      </c>
      <c r="I3688" t="s">
        <v>455</v>
      </c>
      <c r="J3688" s="3">
        <v>0.4354942</v>
      </c>
      <c r="K3688" s="3">
        <v>-0.26660879999999998</v>
      </c>
      <c r="L3688" s="3">
        <v>0.40467560000000002</v>
      </c>
    </row>
    <row r="3689" spans="1:12" x14ac:dyDescent="0.25">
      <c r="A3689" t="s">
        <v>5501</v>
      </c>
      <c r="B3689" t="s">
        <v>5502</v>
      </c>
      <c r="I3689" t="s">
        <v>4511</v>
      </c>
      <c r="J3689" s="3">
        <v>-0.30868449999999997</v>
      </c>
      <c r="K3689" s="3">
        <v>-0.40059280000000003</v>
      </c>
      <c r="L3689" s="3">
        <v>-6.6813570000000003E-2</v>
      </c>
    </row>
    <row r="3690" spans="1:12" x14ac:dyDescent="0.25">
      <c r="A3690" t="s">
        <v>5498</v>
      </c>
      <c r="B3690" t="s">
        <v>5499</v>
      </c>
      <c r="I3690" t="s">
        <v>5500</v>
      </c>
      <c r="J3690" s="3">
        <v>-0.4267107</v>
      </c>
      <c r="K3690" s="3">
        <v>-0.25510460000000001</v>
      </c>
      <c r="L3690" s="3">
        <v>-0.2346453</v>
      </c>
    </row>
    <row r="3691" spans="1:12" x14ac:dyDescent="0.25">
      <c r="A3691" t="s">
        <v>5495</v>
      </c>
      <c r="B3691" t="s">
        <v>5496</v>
      </c>
      <c r="I3691" t="s">
        <v>5497</v>
      </c>
      <c r="J3691" s="3">
        <v>1.532088E-2</v>
      </c>
      <c r="K3691" s="3">
        <v>0.57720579999999999</v>
      </c>
      <c r="L3691" s="3">
        <v>-9.9405629999999995E-2</v>
      </c>
    </row>
    <row r="3692" spans="1:12" x14ac:dyDescent="0.25">
      <c r="A3692" t="s">
        <v>5492</v>
      </c>
      <c r="B3692" t="s">
        <v>5493</v>
      </c>
      <c r="I3692" t="s">
        <v>5494</v>
      </c>
      <c r="J3692" s="3">
        <v>-0.3001721</v>
      </c>
      <c r="K3692" s="3">
        <v>-0.70238480000000003</v>
      </c>
      <c r="L3692" s="3">
        <v>0.19379959999999999</v>
      </c>
    </row>
    <row r="3693" spans="1:12" x14ac:dyDescent="0.25">
      <c r="A3693" t="s">
        <v>5490</v>
      </c>
      <c r="B3693" t="s">
        <v>957</v>
      </c>
      <c r="I3693" t="s">
        <v>5491</v>
      </c>
      <c r="J3693" s="3">
        <v>-0.27781470000000003</v>
      </c>
      <c r="K3693" s="3">
        <v>-0.37731179999999997</v>
      </c>
      <c r="L3693" s="3">
        <v>-0.1360603</v>
      </c>
    </row>
    <row r="3694" spans="1:12" x14ac:dyDescent="0.25">
      <c r="A3694" t="s">
        <v>5487</v>
      </c>
      <c r="B3694" t="s">
        <v>5488</v>
      </c>
      <c r="I3694" t="s">
        <v>5489</v>
      </c>
      <c r="J3694" s="3">
        <v>0.10453270000000001</v>
      </c>
      <c r="K3694" s="3">
        <v>-2.5434350000000001E-2</v>
      </c>
      <c r="L3694" s="3">
        <v>6.936995E-2</v>
      </c>
    </row>
    <row r="3695" spans="1:12" x14ac:dyDescent="0.25">
      <c r="A3695" t="s">
        <v>5486</v>
      </c>
      <c r="B3695" t="s">
        <v>957</v>
      </c>
      <c r="I3695" t="s">
        <v>2852</v>
      </c>
      <c r="J3695" s="3">
        <v>0.42459279999999999</v>
      </c>
      <c r="K3695" s="3">
        <v>0.72377279999999999</v>
      </c>
      <c r="L3695" s="3">
        <v>0.43139189999999999</v>
      </c>
    </row>
    <row r="3696" spans="1:12" x14ac:dyDescent="0.25">
      <c r="A3696" t="s">
        <v>5483</v>
      </c>
      <c r="B3696" t="s">
        <v>5484</v>
      </c>
      <c r="I3696" t="s">
        <v>5485</v>
      </c>
      <c r="J3696" s="3">
        <v>0.51247770000000004</v>
      </c>
      <c r="K3696" s="3">
        <v>1.123786</v>
      </c>
      <c r="L3696" s="3">
        <v>0.44188660000000002</v>
      </c>
    </row>
    <row r="3697" spans="1:12" x14ac:dyDescent="0.25">
      <c r="A3697" t="s">
        <v>5480</v>
      </c>
      <c r="B3697" t="s">
        <v>5481</v>
      </c>
      <c r="I3697" t="s">
        <v>5482</v>
      </c>
      <c r="J3697" s="3">
        <v>0.4773694</v>
      </c>
      <c r="K3697" s="3">
        <v>0.3149728</v>
      </c>
      <c r="L3697" s="3">
        <v>0.30410150000000002</v>
      </c>
    </row>
    <row r="3698" spans="1:12" x14ac:dyDescent="0.25">
      <c r="A3698" t="s">
        <v>5477</v>
      </c>
      <c r="B3698" t="s">
        <v>5478</v>
      </c>
      <c r="I3698" t="s">
        <v>5479</v>
      </c>
      <c r="J3698" s="3">
        <v>-0.91255799999999998</v>
      </c>
      <c r="K3698" s="3">
        <v>-1.2177560000000001</v>
      </c>
      <c r="L3698" s="3">
        <v>-1.027156</v>
      </c>
    </row>
    <row r="3699" spans="1:12" x14ac:dyDescent="0.25">
      <c r="A3699" t="s">
        <v>5476</v>
      </c>
      <c r="B3699" t="s">
        <v>957</v>
      </c>
      <c r="I3699" t="s">
        <v>538</v>
      </c>
      <c r="J3699" s="3">
        <v>-0.35543530000000001</v>
      </c>
      <c r="K3699" s="3">
        <v>-0.82847910000000002</v>
      </c>
      <c r="L3699" s="3">
        <v>-0.84225399999999995</v>
      </c>
    </row>
    <row r="3700" spans="1:12" x14ac:dyDescent="0.25">
      <c r="A3700" t="s">
        <v>5473</v>
      </c>
      <c r="B3700" t="s">
        <v>5474</v>
      </c>
      <c r="I3700" t="s">
        <v>5475</v>
      </c>
      <c r="J3700" s="3">
        <v>0.50111930000000005</v>
      </c>
      <c r="K3700" s="3">
        <v>0.60509250000000003</v>
      </c>
      <c r="L3700" s="3">
        <v>0.56227879999999997</v>
      </c>
    </row>
    <row r="3701" spans="1:12" x14ac:dyDescent="0.25">
      <c r="A3701" t="s">
        <v>5470</v>
      </c>
      <c r="B3701" t="s">
        <v>5471</v>
      </c>
      <c r="I3701" t="s">
        <v>5472</v>
      </c>
      <c r="J3701" s="3">
        <v>0.47554479999999999</v>
      </c>
      <c r="K3701" s="3">
        <v>0.14493310000000001</v>
      </c>
      <c r="L3701" s="3">
        <v>0.34102120000000002</v>
      </c>
    </row>
    <row r="3702" spans="1:12" x14ac:dyDescent="0.25">
      <c r="A3702" t="s">
        <v>5469</v>
      </c>
      <c r="B3702" t="s">
        <v>957</v>
      </c>
      <c r="I3702" t="s">
        <v>455</v>
      </c>
      <c r="J3702" s="3">
        <v>-0.125835</v>
      </c>
      <c r="K3702" s="3">
        <v>-0.39738180000000001</v>
      </c>
      <c r="L3702" s="3">
        <v>0.1706078</v>
      </c>
    </row>
    <row r="3703" spans="1:12" x14ac:dyDescent="0.25">
      <c r="A3703" t="s">
        <v>5466</v>
      </c>
      <c r="B3703" t="s">
        <v>5467</v>
      </c>
      <c r="I3703" t="s">
        <v>5468</v>
      </c>
      <c r="J3703" s="3">
        <v>5.9939489999999998E-2</v>
      </c>
      <c r="K3703" s="3">
        <v>0.4759871</v>
      </c>
      <c r="L3703" s="3">
        <v>0.221585</v>
      </c>
    </row>
    <row r="3704" spans="1:12" x14ac:dyDescent="0.25">
      <c r="A3704" t="s">
        <v>5463</v>
      </c>
      <c r="B3704" t="s">
        <v>5464</v>
      </c>
      <c r="I3704" t="s">
        <v>5465</v>
      </c>
      <c r="J3704" s="3">
        <v>0.91888219999999998</v>
      </c>
      <c r="K3704" s="3">
        <v>0.76515940000000005</v>
      </c>
      <c r="L3704" s="3">
        <v>0.65077099999999999</v>
      </c>
    </row>
    <row r="3705" spans="1:12" x14ac:dyDescent="0.25">
      <c r="A3705" t="s">
        <v>5460</v>
      </c>
      <c r="B3705" t="s">
        <v>5461</v>
      </c>
      <c r="I3705" t="s">
        <v>5462</v>
      </c>
      <c r="J3705" s="3">
        <v>-0.1866206</v>
      </c>
      <c r="K3705" s="3">
        <v>-0.37769350000000002</v>
      </c>
      <c r="L3705" s="3">
        <v>-0.1702437</v>
      </c>
    </row>
    <row r="3706" spans="1:12" x14ac:dyDescent="0.25">
      <c r="A3706" t="s">
        <v>5457</v>
      </c>
      <c r="B3706" t="s">
        <v>5458</v>
      </c>
      <c r="I3706" t="s">
        <v>5459</v>
      </c>
      <c r="J3706" s="3">
        <v>-0.59614579999999995</v>
      </c>
      <c r="K3706" s="3">
        <v>-1.001479</v>
      </c>
      <c r="L3706" s="3">
        <v>-0.2954793</v>
      </c>
    </row>
    <row r="3707" spans="1:12" x14ac:dyDescent="0.25">
      <c r="A3707" t="s">
        <v>5454</v>
      </c>
      <c r="B3707" t="s">
        <v>5455</v>
      </c>
      <c r="I3707" t="s">
        <v>5456</v>
      </c>
      <c r="J3707" s="3">
        <v>-0.58662599999999998</v>
      </c>
      <c r="K3707" s="3">
        <v>-0.67702859999999998</v>
      </c>
      <c r="L3707" s="3">
        <v>-0.66168170000000004</v>
      </c>
    </row>
    <row r="3708" spans="1:12" x14ac:dyDescent="0.25">
      <c r="A3708" t="s">
        <v>5451</v>
      </c>
      <c r="B3708" t="s">
        <v>5452</v>
      </c>
      <c r="I3708" t="s">
        <v>5453</v>
      </c>
      <c r="J3708" s="3">
        <v>-0.1109923</v>
      </c>
      <c r="K3708" s="3">
        <v>-0.35607030000000001</v>
      </c>
      <c r="L3708" s="3">
        <v>-0.34217150000000002</v>
      </c>
    </row>
    <row r="3709" spans="1:12" x14ac:dyDescent="0.25">
      <c r="A3709" t="s">
        <v>5449</v>
      </c>
      <c r="B3709" t="s">
        <v>957</v>
      </c>
      <c r="I3709" t="s">
        <v>5450</v>
      </c>
      <c r="J3709" s="3">
        <v>-0.37814150000000002</v>
      </c>
      <c r="K3709" s="3">
        <v>-1.212307</v>
      </c>
      <c r="L3709" s="3">
        <v>-0.42766209999999999</v>
      </c>
    </row>
    <row r="3710" spans="1:12" x14ac:dyDescent="0.25">
      <c r="A3710" t="s">
        <v>5448</v>
      </c>
      <c r="B3710" t="s">
        <v>957</v>
      </c>
      <c r="I3710" t="s">
        <v>455</v>
      </c>
      <c r="J3710" s="3">
        <v>1.4797959999999999</v>
      </c>
      <c r="K3710" s="3">
        <v>1.9152960000000001</v>
      </c>
      <c r="L3710" s="3">
        <v>1.2190829999999999</v>
      </c>
    </row>
    <row r="3711" spans="1:12" x14ac:dyDescent="0.25">
      <c r="A3711" t="s">
        <v>5447</v>
      </c>
      <c r="B3711" t="s">
        <v>957</v>
      </c>
      <c r="I3711" t="s">
        <v>455</v>
      </c>
      <c r="J3711" s="3">
        <v>-0.56829629999999998</v>
      </c>
      <c r="K3711" s="3">
        <v>-0.82671910000000004</v>
      </c>
      <c r="L3711" s="3">
        <v>-0.19359580000000001</v>
      </c>
    </row>
    <row r="3712" spans="1:12" x14ac:dyDescent="0.25">
      <c r="A3712" t="s">
        <v>5444</v>
      </c>
      <c r="B3712" t="s">
        <v>5445</v>
      </c>
      <c r="I3712" t="s">
        <v>5446</v>
      </c>
      <c r="J3712" s="3">
        <v>-0.18538660000000001</v>
      </c>
      <c r="K3712" s="3">
        <v>-0.71216550000000001</v>
      </c>
      <c r="L3712" s="3">
        <v>-8.8688959999999997E-2</v>
      </c>
    </row>
    <row r="3713" spans="1:12" x14ac:dyDescent="0.25">
      <c r="A3713" t="s">
        <v>5443</v>
      </c>
      <c r="B3713" t="s">
        <v>957</v>
      </c>
      <c r="I3713" t="s">
        <v>156</v>
      </c>
      <c r="J3713" s="3">
        <v>-0.1116534</v>
      </c>
      <c r="K3713" s="3">
        <v>0.24860670000000001</v>
      </c>
      <c r="L3713" s="3">
        <v>0.36015449999999999</v>
      </c>
    </row>
    <row r="3714" spans="1:12" x14ac:dyDescent="0.25">
      <c r="A3714" t="s">
        <v>5440</v>
      </c>
      <c r="B3714" t="s">
        <v>5441</v>
      </c>
      <c r="I3714" t="s">
        <v>5442</v>
      </c>
      <c r="J3714" s="3">
        <v>-0.65674670000000002</v>
      </c>
      <c r="K3714" s="3">
        <v>-0.79760109999999995</v>
      </c>
      <c r="L3714" s="3">
        <v>-0.52620880000000003</v>
      </c>
    </row>
    <row r="3715" spans="1:12" x14ac:dyDescent="0.25">
      <c r="A3715" t="s">
        <v>5437</v>
      </c>
      <c r="B3715" t="s">
        <v>5438</v>
      </c>
      <c r="I3715" t="s">
        <v>5439</v>
      </c>
      <c r="J3715" s="3">
        <v>-0.35029870000000002</v>
      </c>
      <c r="K3715" s="3">
        <v>-8.4683900000000006E-2</v>
      </c>
      <c r="L3715" s="3">
        <v>0.61200659999999996</v>
      </c>
    </row>
    <row r="3716" spans="1:12" x14ac:dyDescent="0.25">
      <c r="A3716" t="s">
        <v>5436</v>
      </c>
      <c r="B3716" t="s">
        <v>957</v>
      </c>
      <c r="I3716" t="s">
        <v>455</v>
      </c>
      <c r="J3716" s="3">
        <v>4.4811429999999999E-2</v>
      </c>
      <c r="K3716" s="3">
        <v>-0.1796826</v>
      </c>
      <c r="L3716" s="3">
        <v>-9.6822599999999995E-2</v>
      </c>
    </row>
    <row r="3717" spans="1:12" x14ac:dyDescent="0.25">
      <c r="A3717" t="s">
        <v>5434</v>
      </c>
      <c r="B3717" t="s">
        <v>14230</v>
      </c>
      <c r="C3717" t="s">
        <v>14231</v>
      </c>
      <c r="I3717" t="s">
        <v>5435</v>
      </c>
      <c r="J3717" s="3">
        <v>1.1045299999999999E-2</v>
      </c>
      <c r="K3717" s="3">
        <v>-0.1765419</v>
      </c>
      <c r="L3717" s="3">
        <v>1.509372E-2</v>
      </c>
    </row>
    <row r="3718" spans="1:12" x14ac:dyDescent="0.25">
      <c r="A3718" t="s">
        <v>5431</v>
      </c>
      <c r="B3718" t="s">
        <v>5432</v>
      </c>
      <c r="I3718" t="s">
        <v>5433</v>
      </c>
      <c r="J3718" s="3">
        <v>0.1640045</v>
      </c>
      <c r="K3718" s="3">
        <v>-6.5439609999999995E-2</v>
      </c>
      <c r="L3718" s="3">
        <v>0.22843340000000001</v>
      </c>
    </row>
    <row r="3719" spans="1:12" x14ac:dyDescent="0.25">
      <c r="A3719" t="s">
        <v>5428</v>
      </c>
      <c r="B3719" t="s">
        <v>5429</v>
      </c>
      <c r="I3719" t="s">
        <v>5430</v>
      </c>
      <c r="J3719" s="3">
        <v>-0.2093392</v>
      </c>
      <c r="K3719" s="3">
        <v>-0.39663799999999999</v>
      </c>
      <c r="L3719" s="3">
        <v>-0.38339659999999998</v>
      </c>
    </row>
    <row r="3720" spans="1:12" x14ac:dyDescent="0.25">
      <c r="A3720" t="s">
        <v>5427</v>
      </c>
      <c r="B3720" t="s">
        <v>957</v>
      </c>
      <c r="I3720" t="s">
        <v>455</v>
      </c>
      <c r="J3720" s="3">
        <v>0.45195950000000001</v>
      </c>
      <c r="K3720" s="3">
        <v>0.13952539999999999</v>
      </c>
      <c r="L3720" s="3">
        <v>0.14294129999999999</v>
      </c>
    </row>
    <row r="3721" spans="1:12" x14ac:dyDescent="0.25">
      <c r="A3721" t="s">
        <v>5424</v>
      </c>
      <c r="B3721" t="s">
        <v>5425</v>
      </c>
      <c r="I3721" t="s">
        <v>5426</v>
      </c>
      <c r="J3721" s="3">
        <v>0.22177540000000001</v>
      </c>
      <c r="K3721" s="3">
        <v>0.21107770000000001</v>
      </c>
      <c r="L3721" s="3">
        <v>-9.9303359999999993E-2</v>
      </c>
    </row>
    <row r="3722" spans="1:12" x14ac:dyDescent="0.25">
      <c r="A3722" t="s">
        <v>5421</v>
      </c>
      <c r="B3722" t="s">
        <v>5422</v>
      </c>
      <c r="I3722" t="s">
        <v>5423</v>
      </c>
      <c r="J3722" s="3">
        <v>0.2470947</v>
      </c>
      <c r="K3722" s="3">
        <v>-2.5026890000000002E-3</v>
      </c>
      <c r="L3722" s="3">
        <v>0.2221738</v>
      </c>
    </row>
    <row r="3723" spans="1:12" x14ac:dyDescent="0.25">
      <c r="A3723" t="s">
        <v>5418</v>
      </c>
      <c r="B3723" t="s">
        <v>5419</v>
      </c>
      <c r="I3723" t="s">
        <v>5420</v>
      </c>
      <c r="J3723" s="3">
        <v>-2.2599850000000001E-2</v>
      </c>
      <c r="K3723" s="3">
        <v>3.235789E-2</v>
      </c>
      <c r="L3723" s="3">
        <v>-1.077087E-2</v>
      </c>
    </row>
    <row r="3724" spans="1:12" x14ac:dyDescent="0.25">
      <c r="A3724" t="s">
        <v>5415</v>
      </c>
      <c r="B3724" t="s">
        <v>5416</v>
      </c>
      <c r="I3724" t="s">
        <v>5417</v>
      </c>
      <c r="J3724" s="3">
        <v>-0.18036440000000001</v>
      </c>
      <c r="K3724" s="3">
        <v>-0.50108140000000001</v>
      </c>
      <c r="L3724" s="3">
        <v>-0.2165338</v>
      </c>
    </row>
    <row r="3725" spans="1:12" x14ac:dyDescent="0.25">
      <c r="A3725" t="s">
        <v>5414</v>
      </c>
      <c r="B3725" t="s">
        <v>957</v>
      </c>
      <c r="I3725" t="s">
        <v>455</v>
      </c>
      <c r="J3725" s="3">
        <v>0.67975940000000001</v>
      </c>
      <c r="K3725" s="3">
        <v>1.0238510000000001</v>
      </c>
      <c r="L3725" s="3">
        <v>0.46025779999999999</v>
      </c>
    </row>
    <row r="3726" spans="1:12" x14ac:dyDescent="0.25">
      <c r="A3726" t="s">
        <v>4373</v>
      </c>
      <c r="B3726" t="s">
        <v>4374</v>
      </c>
      <c r="I3726" t="s">
        <v>5413</v>
      </c>
      <c r="J3726" s="3">
        <v>-0.1193023</v>
      </c>
      <c r="K3726" s="3">
        <v>-0.48076010000000002</v>
      </c>
      <c r="L3726" s="3">
        <v>0.24142810000000001</v>
      </c>
    </row>
    <row r="3727" spans="1:12" x14ac:dyDescent="0.25">
      <c r="A3727" t="s">
        <v>4370</v>
      </c>
      <c r="B3727" t="s">
        <v>4371</v>
      </c>
      <c r="I3727" t="s">
        <v>4372</v>
      </c>
      <c r="J3727" s="3">
        <v>0.43640319999999999</v>
      </c>
      <c r="K3727" s="3">
        <v>0.1562248</v>
      </c>
      <c r="L3727" s="3">
        <v>0.38423210000000002</v>
      </c>
    </row>
    <row r="3728" spans="1:12" x14ac:dyDescent="0.25">
      <c r="A3728" t="s">
        <v>4367</v>
      </c>
      <c r="B3728" t="s">
        <v>4368</v>
      </c>
      <c r="I3728" t="s">
        <v>4369</v>
      </c>
      <c r="J3728" s="3">
        <v>0.58593519999999999</v>
      </c>
      <c r="K3728" s="3">
        <v>0.55064460000000004</v>
      </c>
      <c r="L3728" s="3">
        <v>0.43928469999999997</v>
      </c>
    </row>
    <row r="3729" spans="1:12" x14ac:dyDescent="0.25">
      <c r="A3729" t="s">
        <v>4366</v>
      </c>
      <c r="B3729" t="s">
        <v>957</v>
      </c>
      <c r="I3729" t="s">
        <v>455</v>
      </c>
      <c r="J3729" s="3">
        <v>0.28521180000000002</v>
      </c>
      <c r="K3729" s="3">
        <v>0.2228019</v>
      </c>
      <c r="L3729" s="3">
        <v>0.44385419999999998</v>
      </c>
    </row>
    <row r="3730" spans="1:12" x14ac:dyDescent="0.25">
      <c r="A3730" t="s">
        <v>4363</v>
      </c>
      <c r="B3730" t="s">
        <v>4364</v>
      </c>
      <c r="I3730" t="s">
        <v>4365</v>
      </c>
      <c r="J3730" s="3">
        <v>0.18978149999999999</v>
      </c>
      <c r="K3730" s="3">
        <v>0.59009370000000005</v>
      </c>
      <c r="L3730" s="3">
        <v>0.26375009999999999</v>
      </c>
    </row>
    <row r="3731" spans="1:12" x14ac:dyDescent="0.25">
      <c r="A3731" t="s">
        <v>4360</v>
      </c>
      <c r="B3731" t="s">
        <v>4361</v>
      </c>
      <c r="I3731" t="s">
        <v>4362</v>
      </c>
      <c r="J3731" s="3">
        <v>-0.31218590000000002</v>
      </c>
      <c r="K3731" s="3">
        <v>-0.153252</v>
      </c>
      <c r="L3731" s="3">
        <v>-0.33870319999999998</v>
      </c>
    </row>
    <row r="3732" spans="1:12" x14ac:dyDescent="0.25">
      <c r="A3732" t="s">
        <v>4357</v>
      </c>
      <c r="B3732" t="s">
        <v>4358</v>
      </c>
      <c r="I3732" t="s">
        <v>4359</v>
      </c>
      <c r="J3732" s="3">
        <v>4.898009E-3</v>
      </c>
      <c r="K3732" s="3">
        <v>0.10417220000000001</v>
      </c>
      <c r="L3732" s="3">
        <v>0.2373672</v>
      </c>
    </row>
    <row r="3733" spans="1:12" x14ac:dyDescent="0.25">
      <c r="A3733" t="s">
        <v>4354</v>
      </c>
      <c r="B3733" t="s">
        <v>4355</v>
      </c>
      <c r="I3733" t="s">
        <v>4356</v>
      </c>
      <c r="J3733" s="3">
        <v>2.4243379999999998E-3</v>
      </c>
      <c r="K3733" s="3">
        <v>0.19904289999999999</v>
      </c>
      <c r="L3733" s="3">
        <v>0.4629297</v>
      </c>
    </row>
    <row r="3734" spans="1:12" x14ac:dyDescent="0.25">
      <c r="A3734" t="s">
        <v>4353</v>
      </c>
      <c r="B3734" t="s">
        <v>957</v>
      </c>
      <c r="I3734" t="s">
        <v>614</v>
      </c>
      <c r="J3734" s="3">
        <v>0.161856</v>
      </c>
      <c r="K3734" s="3">
        <v>-0.26537250000000001</v>
      </c>
      <c r="L3734" s="3">
        <v>-0.12599340000000001</v>
      </c>
    </row>
    <row r="3735" spans="1:12" x14ac:dyDescent="0.25">
      <c r="A3735" t="s">
        <v>4350</v>
      </c>
      <c r="B3735" t="s">
        <v>4351</v>
      </c>
      <c r="I3735" t="s">
        <v>4352</v>
      </c>
      <c r="J3735" s="3">
        <v>-0.39836929999999998</v>
      </c>
      <c r="K3735" s="3">
        <v>-0.12618760000000001</v>
      </c>
      <c r="L3735" s="3">
        <v>0.44522139999999999</v>
      </c>
    </row>
    <row r="3736" spans="1:12" x14ac:dyDescent="0.25">
      <c r="A3736" t="s">
        <v>4347</v>
      </c>
      <c r="B3736" t="s">
        <v>4348</v>
      </c>
      <c r="I3736" t="s">
        <v>4349</v>
      </c>
      <c r="J3736" s="3">
        <v>-0.40824860000000002</v>
      </c>
      <c r="K3736" s="3">
        <v>-0.3771563</v>
      </c>
      <c r="L3736" s="3">
        <v>-0.25648149999999997</v>
      </c>
    </row>
    <row r="3737" spans="1:12" x14ac:dyDescent="0.25">
      <c r="A3737" t="s">
        <v>4344</v>
      </c>
      <c r="B3737" t="s">
        <v>4345</v>
      </c>
      <c r="I3737" t="s">
        <v>4346</v>
      </c>
      <c r="J3737" s="3">
        <v>-0.1336524</v>
      </c>
      <c r="K3737" s="3">
        <v>-1.0397099999999999</v>
      </c>
      <c r="L3737" s="3">
        <v>-0.299481</v>
      </c>
    </row>
    <row r="3738" spans="1:12" x14ac:dyDescent="0.25">
      <c r="A3738" t="s">
        <v>5380</v>
      </c>
      <c r="B3738" t="s">
        <v>5381</v>
      </c>
      <c r="I3738" t="s">
        <v>4343</v>
      </c>
      <c r="J3738" s="3">
        <v>0.32456580000000002</v>
      </c>
      <c r="K3738" s="3">
        <v>0.45652130000000002</v>
      </c>
      <c r="L3738" s="3">
        <v>0.25808219999999998</v>
      </c>
    </row>
    <row r="3739" spans="1:12" x14ac:dyDescent="0.25">
      <c r="A3739" t="s">
        <v>5379</v>
      </c>
      <c r="B3739" t="s">
        <v>957</v>
      </c>
      <c r="I3739" t="s">
        <v>455</v>
      </c>
      <c r="J3739" s="3">
        <v>-2.8289499999999999E-2</v>
      </c>
      <c r="K3739" s="3">
        <v>-0.30985410000000002</v>
      </c>
      <c r="L3739" s="3">
        <v>-0.25407669999999999</v>
      </c>
    </row>
    <row r="3740" spans="1:12" x14ac:dyDescent="0.25">
      <c r="A3740" t="s">
        <v>5378</v>
      </c>
      <c r="B3740" t="s">
        <v>5374</v>
      </c>
      <c r="I3740" t="s">
        <v>5375</v>
      </c>
      <c r="J3740" s="3">
        <v>4.1283609999999998E-2</v>
      </c>
      <c r="K3740" s="3">
        <v>8.4404919999999994E-2</v>
      </c>
      <c r="L3740" s="3">
        <v>7.6640130000000001E-2</v>
      </c>
    </row>
    <row r="3741" spans="1:12" x14ac:dyDescent="0.25">
      <c r="A3741" t="s">
        <v>5376</v>
      </c>
      <c r="B3741" t="s">
        <v>5377</v>
      </c>
      <c r="I3741" t="s">
        <v>593</v>
      </c>
      <c r="J3741" s="3">
        <v>-0.89785550000000003</v>
      </c>
      <c r="K3741" s="3">
        <v>-1.2782720000000001</v>
      </c>
      <c r="L3741" s="3">
        <v>-0.80439939999999999</v>
      </c>
    </row>
    <row r="3742" spans="1:12" x14ac:dyDescent="0.25">
      <c r="A3742" t="s">
        <v>5373</v>
      </c>
      <c r="B3742" t="s">
        <v>5374</v>
      </c>
      <c r="I3742" t="s">
        <v>5375</v>
      </c>
      <c r="J3742" s="3">
        <v>-3.2948539999999998E-2</v>
      </c>
      <c r="K3742" s="3">
        <v>-2.464204E-2</v>
      </c>
      <c r="L3742" s="3">
        <v>-5.8809479999999997E-2</v>
      </c>
    </row>
    <row r="3743" spans="1:12" x14ac:dyDescent="0.25">
      <c r="A3743" t="s">
        <v>5370</v>
      </c>
      <c r="B3743" t="s">
        <v>5371</v>
      </c>
      <c r="I3743" t="s">
        <v>5372</v>
      </c>
      <c r="J3743" s="3">
        <v>-0.68733370000000005</v>
      </c>
      <c r="K3743" s="3">
        <v>-1.3660859999999999</v>
      </c>
      <c r="L3743" s="3">
        <v>-0.37006670000000003</v>
      </c>
    </row>
    <row r="3744" spans="1:12" x14ac:dyDescent="0.25">
      <c r="A3744" t="s">
        <v>5367</v>
      </c>
      <c r="B3744" t="s">
        <v>5368</v>
      </c>
      <c r="I3744" t="s">
        <v>5369</v>
      </c>
      <c r="J3744" s="3">
        <v>0.1241655</v>
      </c>
      <c r="K3744" s="3">
        <v>0.65218100000000001</v>
      </c>
      <c r="L3744" s="3">
        <v>0.24764920000000001</v>
      </c>
    </row>
    <row r="3745" spans="1:12" x14ac:dyDescent="0.25">
      <c r="A3745" t="s">
        <v>5364</v>
      </c>
      <c r="B3745" t="s">
        <v>5365</v>
      </c>
      <c r="I3745" t="s">
        <v>5366</v>
      </c>
      <c r="J3745" s="3">
        <v>7.6803449999999995E-2</v>
      </c>
      <c r="K3745" s="3">
        <v>-0.1957227</v>
      </c>
      <c r="L3745" s="3">
        <v>0.20204620000000001</v>
      </c>
    </row>
    <row r="3746" spans="1:12" x14ac:dyDescent="0.25">
      <c r="A3746" t="s">
        <v>5361</v>
      </c>
      <c r="B3746" t="s">
        <v>5362</v>
      </c>
      <c r="I3746" t="s">
        <v>5363</v>
      </c>
      <c r="J3746" s="3">
        <v>8.6200330000000006E-2</v>
      </c>
      <c r="K3746" s="3">
        <v>-6.6297960000000003E-2</v>
      </c>
      <c r="L3746" s="3">
        <v>-9.2246980000000006E-2</v>
      </c>
    </row>
    <row r="3747" spans="1:12" x14ac:dyDescent="0.25">
      <c r="A3747" t="s">
        <v>5358</v>
      </c>
      <c r="B3747" t="s">
        <v>5359</v>
      </c>
      <c r="I3747" t="s">
        <v>5360</v>
      </c>
      <c r="J3747" s="3">
        <v>-0.38366440000000002</v>
      </c>
      <c r="K3747" s="3">
        <v>-0.81566550000000004</v>
      </c>
      <c r="L3747" s="3">
        <v>-0.35260439999999998</v>
      </c>
    </row>
    <row r="3748" spans="1:12" x14ac:dyDescent="0.25">
      <c r="A3748" t="s">
        <v>5355</v>
      </c>
      <c r="B3748" t="s">
        <v>5356</v>
      </c>
      <c r="I3748" t="s">
        <v>5357</v>
      </c>
      <c r="J3748" s="3">
        <v>-7.9675999999999997E-2</v>
      </c>
      <c r="K3748" s="3">
        <v>0.13214870000000001</v>
      </c>
      <c r="L3748" s="3">
        <v>-6.8010769999999998E-2</v>
      </c>
    </row>
    <row r="3749" spans="1:12" x14ac:dyDescent="0.25">
      <c r="A3749" t="s">
        <v>4337</v>
      </c>
      <c r="B3749" t="s">
        <v>4338</v>
      </c>
      <c r="I3749" t="s">
        <v>5354</v>
      </c>
      <c r="J3749" s="3">
        <v>-5.2741410000000004E-3</v>
      </c>
      <c r="K3749" s="3">
        <v>-0.53294459999999999</v>
      </c>
      <c r="L3749" s="3">
        <v>-0.1822114</v>
      </c>
    </row>
    <row r="3750" spans="1:12" x14ac:dyDescent="0.25">
      <c r="A3750" t="s">
        <v>4334</v>
      </c>
      <c r="B3750" t="s">
        <v>4335</v>
      </c>
      <c r="I3750" t="s">
        <v>4336</v>
      </c>
      <c r="J3750" s="3">
        <v>-0.49705189999999999</v>
      </c>
      <c r="K3750" s="3">
        <v>-1.3123849999999999</v>
      </c>
      <c r="L3750" s="3">
        <v>-0.32533889999999999</v>
      </c>
    </row>
    <row r="3751" spans="1:12" x14ac:dyDescent="0.25">
      <c r="A3751" t="s">
        <v>4331</v>
      </c>
      <c r="B3751" t="s">
        <v>4332</v>
      </c>
      <c r="I3751" t="s">
        <v>4333</v>
      </c>
      <c r="J3751" s="3">
        <v>-0.1069678</v>
      </c>
      <c r="K3751" s="3">
        <v>-0.71304350000000005</v>
      </c>
      <c r="L3751" s="3">
        <v>-9.5057020000000006E-2</v>
      </c>
    </row>
    <row r="3752" spans="1:12" x14ac:dyDescent="0.25">
      <c r="A3752" t="s">
        <v>4328</v>
      </c>
      <c r="B3752" t="s">
        <v>4329</v>
      </c>
      <c r="I3752" t="s">
        <v>4330</v>
      </c>
      <c r="J3752" s="3">
        <v>0.40515069999999997</v>
      </c>
      <c r="K3752" s="3">
        <v>0.14699870000000001</v>
      </c>
      <c r="L3752" s="3">
        <v>0.58634189999999997</v>
      </c>
    </row>
    <row r="3753" spans="1:12" x14ac:dyDescent="0.25">
      <c r="A3753" t="s">
        <v>4327</v>
      </c>
      <c r="B3753" t="s">
        <v>957</v>
      </c>
      <c r="I3753" t="s">
        <v>455</v>
      </c>
      <c r="J3753" s="3">
        <v>-0.13008069999999999</v>
      </c>
      <c r="K3753" s="3">
        <v>-0.67523350000000004</v>
      </c>
      <c r="L3753" s="3">
        <v>-0.2401383</v>
      </c>
    </row>
    <row r="3754" spans="1:12" x14ac:dyDescent="0.25">
      <c r="A3754" t="s">
        <v>4326</v>
      </c>
      <c r="B3754" t="s">
        <v>957</v>
      </c>
      <c r="I3754" t="s">
        <v>455</v>
      </c>
      <c r="J3754" s="3">
        <v>-0.1070759</v>
      </c>
      <c r="K3754" s="3">
        <v>-0.39754410000000001</v>
      </c>
      <c r="L3754" s="3">
        <v>-0.20816219999999999</v>
      </c>
    </row>
    <row r="3755" spans="1:12" x14ac:dyDescent="0.25">
      <c r="A3755" t="s">
        <v>4323</v>
      </c>
      <c r="B3755" t="s">
        <v>4324</v>
      </c>
      <c r="I3755" t="s">
        <v>4325</v>
      </c>
      <c r="J3755" s="3">
        <v>0.4745337</v>
      </c>
      <c r="K3755" s="3">
        <v>0.55033160000000003</v>
      </c>
      <c r="L3755" s="3">
        <v>-4.52358E-2</v>
      </c>
    </row>
    <row r="3756" spans="1:12" x14ac:dyDescent="0.25">
      <c r="A3756" t="s">
        <v>4320</v>
      </c>
      <c r="B3756" t="s">
        <v>4321</v>
      </c>
      <c r="I3756" t="s">
        <v>4322</v>
      </c>
      <c r="J3756" s="3">
        <v>0.8068767</v>
      </c>
      <c r="K3756" s="3">
        <v>1.0603100000000001</v>
      </c>
      <c r="L3756" s="3">
        <v>0.29663970000000001</v>
      </c>
    </row>
    <row r="3757" spans="1:12" x14ac:dyDescent="0.25">
      <c r="A3757" t="s">
        <v>4317</v>
      </c>
      <c r="B3757" t="s">
        <v>4318</v>
      </c>
      <c r="I3757" t="s">
        <v>4319</v>
      </c>
      <c r="J3757" s="3">
        <v>-0.178261</v>
      </c>
      <c r="K3757" s="3">
        <v>-0.95462199999999997</v>
      </c>
      <c r="L3757" s="3">
        <v>-0.14518639999999999</v>
      </c>
    </row>
    <row r="3758" spans="1:12" x14ac:dyDescent="0.25">
      <c r="A3758" t="s">
        <v>4314</v>
      </c>
      <c r="B3758" t="s">
        <v>4315</v>
      </c>
      <c r="I3758" t="s">
        <v>4316</v>
      </c>
      <c r="J3758" s="3">
        <v>-9.1462119999999994E-2</v>
      </c>
      <c r="K3758" s="3">
        <v>-6.5615400000000004E-2</v>
      </c>
      <c r="L3758" s="3">
        <v>-0.40381919999999999</v>
      </c>
    </row>
    <row r="3759" spans="1:12" x14ac:dyDescent="0.25">
      <c r="A3759" t="s">
        <v>4311</v>
      </c>
      <c r="B3759" t="s">
        <v>4312</v>
      </c>
      <c r="I3759" t="s">
        <v>4313</v>
      </c>
      <c r="J3759" s="3">
        <v>0.2092252</v>
      </c>
      <c r="K3759" s="3">
        <v>3.4416020000000002E-3</v>
      </c>
      <c r="L3759" s="3">
        <v>0.12308239999999999</v>
      </c>
    </row>
    <row r="3760" spans="1:12" x14ac:dyDescent="0.25">
      <c r="A3760" t="s">
        <v>4308</v>
      </c>
      <c r="B3760" t="s">
        <v>4309</v>
      </c>
      <c r="I3760" t="s">
        <v>4310</v>
      </c>
      <c r="J3760" s="3">
        <v>-1.5709250000000001E-2</v>
      </c>
      <c r="K3760" s="3">
        <v>-0.62925779999999998</v>
      </c>
      <c r="L3760" s="3">
        <v>-0.13876379999999999</v>
      </c>
    </row>
    <row r="3761" spans="1:12" x14ac:dyDescent="0.25">
      <c r="A3761" t="s">
        <v>4305</v>
      </c>
      <c r="B3761" t="s">
        <v>4306</v>
      </c>
      <c r="I3761" t="s">
        <v>4307</v>
      </c>
      <c r="J3761" s="3">
        <v>-0.35067169999999998</v>
      </c>
      <c r="K3761" s="3">
        <v>-0.60339580000000004</v>
      </c>
      <c r="L3761" s="3">
        <v>-0.46763830000000001</v>
      </c>
    </row>
    <row r="3762" spans="1:12" x14ac:dyDescent="0.25">
      <c r="A3762" t="s">
        <v>4302</v>
      </c>
      <c r="B3762" t="s">
        <v>4303</v>
      </c>
      <c r="I3762" t="s">
        <v>4304</v>
      </c>
      <c r="J3762" s="3">
        <v>0.60731159999999995</v>
      </c>
      <c r="K3762" s="3">
        <v>0.70722240000000003</v>
      </c>
      <c r="L3762" s="3">
        <v>0.61455210000000005</v>
      </c>
    </row>
    <row r="3763" spans="1:12" x14ac:dyDescent="0.25">
      <c r="A3763" t="s">
        <v>4299</v>
      </c>
      <c r="B3763" t="s">
        <v>4300</v>
      </c>
      <c r="I3763" t="s">
        <v>4301</v>
      </c>
      <c r="J3763" s="3">
        <v>0.63649639999999996</v>
      </c>
      <c r="K3763" s="3">
        <v>0.73049070000000005</v>
      </c>
      <c r="L3763" s="3">
        <v>0.69718389999999997</v>
      </c>
    </row>
    <row r="3764" spans="1:12" x14ac:dyDescent="0.25">
      <c r="A3764" t="s">
        <v>4296</v>
      </c>
      <c r="B3764" t="s">
        <v>4297</v>
      </c>
      <c r="I3764" t="s">
        <v>4298</v>
      </c>
      <c r="J3764" s="3">
        <v>-0.25157099999999999</v>
      </c>
      <c r="K3764" s="3">
        <v>-0.110358</v>
      </c>
      <c r="L3764" s="3">
        <v>-0.148927</v>
      </c>
    </row>
    <row r="3765" spans="1:12" x14ac:dyDescent="0.25">
      <c r="A3765" t="s">
        <v>4293</v>
      </c>
      <c r="B3765" t="s">
        <v>4294</v>
      </c>
      <c r="I3765" t="s">
        <v>4295</v>
      </c>
      <c r="J3765" s="3">
        <v>-0.19190550000000001</v>
      </c>
      <c r="K3765" s="3">
        <v>-5.2924069999999997E-2</v>
      </c>
      <c r="L3765" s="3">
        <v>-3.6953020000000003E-2</v>
      </c>
    </row>
    <row r="3766" spans="1:12" x14ac:dyDescent="0.25">
      <c r="A3766" t="s">
        <v>4292</v>
      </c>
      <c r="B3766" t="s">
        <v>957</v>
      </c>
      <c r="I3766" t="s">
        <v>156</v>
      </c>
      <c r="J3766" s="3">
        <v>0.58547020000000005</v>
      </c>
      <c r="K3766" s="3">
        <v>0.62029920000000005</v>
      </c>
      <c r="L3766" s="3">
        <v>0.46960610000000003</v>
      </c>
    </row>
    <row r="3767" spans="1:12" x14ac:dyDescent="0.25">
      <c r="A3767" t="s">
        <v>4289</v>
      </c>
      <c r="B3767" t="s">
        <v>4290</v>
      </c>
      <c r="I3767" t="s">
        <v>4291</v>
      </c>
      <c r="J3767" s="3">
        <v>0.60422679999999995</v>
      </c>
      <c r="K3767" s="3">
        <v>0.69668649999999999</v>
      </c>
      <c r="L3767" s="3">
        <v>0.52790999999999999</v>
      </c>
    </row>
    <row r="3768" spans="1:12" x14ac:dyDescent="0.25">
      <c r="A3768" t="s">
        <v>4286</v>
      </c>
      <c r="B3768" t="s">
        <v>4287</v>
      </c>
      <c r="I3768" t="s">
        <v>4288</v>
      </c>
      <c r="J3768" s="3">
        <v>0.59510989999999997</v>
      </c>
      <c r="K3768" s="3">
        <v>0.36080250000000003</v>
      </c>
      <c r="L3768" s="3">
        <v>0.55546099999999998</v>
      </c>
    </row>
    <row r="3769" spans="1:12" x14ac:dyDescent="0.25">
      <c r="A3769" t="s">
        <v>4285</v>
      </c>
      <c r="B3769" t="s">
        <v>957</v>
      </c>
      <c r="I3769" t="s">
        <v>455</v>
      </c>
      <c r="J3769" s="3">
        <v>0.1077058</v>
      </c>
      <c r="K3769" s="3">
        <v>-0.32379010000000003</v>
      </c>
      <c r="L3769" s="3">
        <v>-8.0715099999999998E-2</v>
      </c>
    </row>
    <row r="3770" spans="1:12" x14ac:dyDescent="0.25">
      <c r="A3770" t="s">
        <v>4283</v>
      </c>
      <c r="B3770" t="s">
        <v>957</v>
      </c>
      <c r="I3770" t="s">
        <v>4284</v>
      </c>
      <c r="J3770" s="3">
        <v>1.3262830000000001</v>
      </c>
      <c r="K3770" s="3">
        <v>1.1100749999999999</v>
      </c>
      <c r="L3770" s="3">
        <v>1.422207</v>
      </c>
    </row>
    <row r="3771" spans="1:12" x14ac:dyDescent="0.25">
      <c r="A3771" t="s">
        <v>4280</v>
      </c>
      <c r="B3771" t="s">
        <v>4281</v>
      </c>
      <c r="I3771" t="s">
        <v>4282</v>
      </c>
      <c r="J3771" s="3">
        <v>9.5393329999999998E-2</v>
      </c>
      <c r="K3771" s="3">
        <v>0.55491919999999995</v>
      </c>
      <c r="L3771" s="3">
        <v>0.21766179999999999</v>
      </c>
    </row>
    <row r="3772" spans="1:12" x14ac:dyDescent="0.25">
      <c r="A3772" t="s">
        <v>4277</v>
      </c>
      <c r="B3772" t="s">
        <v>4278</v>
      </c>
      <c r="I3772" t="s">
        <v>4279</v>
      </c>
      <c r="J3772" s="3">
        <v>0.55053730000000001</v>
      </c>
      <c r="K3772" s="3">
        <v>0.63880110000000001</v>
      </c>
      <c r="L3772" s="3">
        <v>0.42373959999999999</v>
      </c>
    </row>
    <row r="3773" spans="1:12" x14ac:dyDescent="0.25">
      <c r="A3773" t="s">
        <v>4274</v>
      </c>
      <c r="B3773" t="s">
        <v>4275</v>
      </c>
      <c r="I3773" t="s">
        <v>4276</v>
      </c>
      <c r="J3773" s="3">
        <v>0.1122518</v>
      </c>
      <c r="K3773" s="3">
        <v>0.16407260000000001</v>
      </c>
      <c r="L3773" s="3">
        <v>0.23322219999999999</v>
      </c>
    </row>
    <row r="3774" spans="1:12" x14ac:dyDescent="0.25">
      <c r="A3774" t="s">
        <v>5279</v>
      </c>
      <c r="B3774" t="s">
        <v>5280</v>
      </c>
      <c r="I3774" t="s">
        <v>4273</v>
      </c>
      <c r="J3774" s="3">
        <v>-5.8262130000000002E-2</v>
      </c>
      <c r="K3774" s="3">
        <v>-0.48083330000000002</v>
      </c>
      <c r="L3774" s="3">
        <v>9.2389479999999996E-2</v>
      </c>
    </row>
    <row r="3775" spans="1:12" x14ac:dyDescent="0.25">
      <c r="A3775" t="s">
        <v>5278</v>
      </c>
      <c r="B3775" t="s">
        <v>957</v>
      </c>
      <c r="I3775" t="s">
        <v>455</v>
      </c>
      <c r="J3775" s="3">
        <v>0.46464889999999998</v>
      </c>
      <c r="K3775" s="3">
        <v>0.87972720000000004</v>
      </c>
      <c r="L3775" s="3">
        <v>0.58241690000000002</v>
      </c>
    </row>
    <row r="3776" spans="1:12" x14ac:dyDescent="0.25">
      <c r="A3776" t="s">
        <v>5275</v>
      </c>
      <c r="B3776" t="s">
        <v>5276</v>
      </c>
      <c r="I3776" t="s">
        <v>5277</v>
      </c>
      <c r="J3776" s="3">
        <v>0.69933469999999998</v>
      </c>
      <c r="K3776" s="3">
        <v>0.47667229999999999</v>
      </c>
      <c r="L3776" s="3">
        <v>0.63319630000000005</v>
      </c>
    </row>
    <row r="3777" spans="1:12" x14ac:dyDescent="0.25">
      <c r="A3777" t="s">
        <v>5272</v>
      </c>
      <c r="B3777" t="s">
        <v>5273</v>
      </c>
      <c r="I3777" t="s">
        <v>5274</v>
      </c>
      <c r="J3777" s="3">
        <v>0.1616387</v>
      </c>
      <c r="K3777" s="3">
        <v>0.41594569999999997</v>
      </c>
      <c r="L3777" s="3">
        <v>0.1134415</v>
      </c>
    </row>
    <row r="3778" spans="1:12" x14ac:dyDescent="0.25">
      <c r="A3778" t="s">
        <v>5269</v>
      </c>
      <c r="B3778" t="s">
        <v>5270</v>
      </c>
      <c r="I3778" t="s">
        <v>5271</v>
      </c>
      <c r="J3778" s="3">
        <v>0.3378428</v>
      </c>
      <c r="K3778" s="3">
        <v>-2.7438190000000001E-2</v>
      </c>
      <c r="L3778" s="3">
        <v>1.226961E-2</v>
      </c>
    </row>
    <row r="3779" spans="1:12" x14ac:dyDescent="0.25">
      <c r="A3779" t="s">
        <v>5268</v>
      </c>
      <c r="B3779" t="s">
        <v>957</v>
      </c>
      <c r="I3779" t="s">
        <v>455</v>
      </c>
      <c r="J3779" s="3">
        <v>0.33698</v>
      </c>
      <c r="K3779" s="3">
        <v>0.68453319999999995</v>
      </c>
      <c r="L3779" s="3">
        <v>0.41739920000000003</v>
      </c>
    </row>
    <row r="3780" spans="1:12" x14ac:dyDescent="0.25">
      <c r="A3780" t="s">
        <v>5265</v>
      </c>
      <c r="B3780" t="s">
        <v>5266</v>
      </c>
      <c r="I3780" t="s">
        <v>5267</v>
      </c>
      <c r="J3780" s="3">
        <v>0.12462670000000001</v>
      </c>
      <c r="K3780" s="3">
        <v>-0.71423539999999996</v>
      </c>
      <c r="L3780" s="3">
        <v>-4.987896E-2</v>
      </c>
    </row>
    <row r="3781" spans="1:12" x14ac:dyDescent="0.25">
      <c r="A3781" t="s">
        <v>5262</v>
      </c>
      <c r="B3781" t="s">
        <v>5263</v>
      </c>
      <c r="I3781" t="s">
        <v>5264</v>
      </c>
      <c r="J3781" s="3">
        <v>0.11970359999999999</v>
      </c>
      <c r="K3781" s="3">
        <v>5.4979260000000002E-2</v>
      </c>
      <c r="L3781" s="3">
        <v>8.7582599999999997E-2</v>
      </c>
    </row>
    <row r="3782" spans="1:12" x14ac:dyDescent="0.25">
      <c r="A3782" t="s">
        <v>5259</v>
      </c>
      <c r="B3782" t="s">
        <v>5260</v>
      </c>
      <c r="I3782" t="s">
        <v>5261</v>
      </c>
      <c r="J3782" s="3">
        <v>-8.993872E-2</v>
      </c>
      <c r="K3782" s="3">
        <v>9.8596760000000006E-2</v>
      </c>
      <c r="L3782" s="3">
        <v>-5.8753909999999999E-2</v>
      </c>
    </row>
    <row r="3783" spans="1:12" x14ac:dyDescent="0.25">
      <c r="A3783" t="s">
        <v>5257</v>
      </c>
      <c r="B3783" t="s">
        <v>957</v>
      </c>
      <c r="I3783" t="s">
        <v>5258</v>
      </c>
      <c r="J3783" s="3">
        <v>-2.3051539999999999E-2</v>
      </c>
      <c r="K3783" s="3">
        <v>5.9917020000000001E-2</v>
      </c>
      <c r="L3783" s="3">
        <v>-3.5937640000000002E-3</v>
      </c>
    </row>
    <row r="3784" spans="1:12" x14ac:dyDescent="0.25">
      <c r="A3784" t="s">
        <v>5256</v>
      </c>
      <c r="B3784" t="s">
        <v>957</v>
      </c>
      <c r="I3784" t="s">
        <v>1207</v>
      </c>
      <c r="J3784" s="3">
        <v>-0.462926</v>
      </c>
      <c r="K3784" s="3">
        <v>-0.67510899999999996</v>
      </c>
      <c r="L3784" s="3">
        <v>-2.7927440000000001E-2</v>
      </c>
    </row>
    <row r="3785" spans="1:12" x14ac:dyDescent="0.25">
      <c r="A3785" t="s">
        <v>5253</v>
      </c>
      <c r="B3785" t="s">
        <v>5254</v>
      </c>
      <c r="I3785" t="s">
        <v>5255</v>
      </c>
      <c r="J3785" s="3">
        <v>-3.0152579999999998E-2</v>
      </c>
      <c r="K3785" s="3">
        <v>-0.11823069999999999</v>
      </c>
      <c r="L3785" s="3">
        <v>-9.98427E-3</v>
      </c>
    </row>
    <row r="3786" spans="1:12" x14ac:dyDescent="0.25">
      <c r="A3786" t="s">
        <v>5250</v>
      </c>
      <c r="B3786" t="s">
        <v>5251</v>
      </c>
      <c r="I3786" t="s">
        <v>5252</v>
      </c>
      <c r="J3786" s="3">
        <v>0.14123579999999999</v>
      </c>
      <c r="K3786" s="3">
        <v>0.3285691</v>
      </c>
      <c r="L3786" s="3">
        <v>2.9043570000000001E-2</v>
      </c>
    </row>
    <row r="3787" spans="1:12" x14ac:dyDescent="0.25">
      <c r="A3787" t="s">
        <v>5249</v>
      </c>
      <c r="B3787" t="s">
        <v>957</v>
      </c>
      <c r="I3787" t="s">
        <v>1973</v>
      </c>
      <c r="J3787" s="3">
        <v>-0.27892349999999999</v>
      </c>
      <c r="K3787" s="3">
        <v>3.562357E-2</v>
      </c>
      <c r="L3787" s="3">
        <v>0.17834149999999999</v>
      </c>
    </row>
    <row r="3788" spans="1:12" x14ac:dyDescent="0.25">
      <c r="A3788" t="s">
        <v>5248</v>
      </c>
      <c r="B3788" t="s">
        <v>957</v>
      </c>
      <c r="I3788" t="s">
        <v>455</v>
      </c>
      <c r="J3788" s="3">
        <v>0.13503180000000001</v>
      </c>
      <c r="K3788" s="3">
        <v>2.075815</v>
      </c>
      <c r="L3788" s="3">
        <v>0.65443300000000004</v>
      </c>
    </row>
    <row r="3789" spans="1:12" x14ac:dyDescent="0.25">
      <c r="A3789" t="s">
        <v>5245</v>
      </c>
      <c r="B3789" t="s">
        <v>5246</v>
      </c>
      <c r="I3789" t="s">
        <v>5247</v>
      </c>
      <c r="J3789" s="3">
        <v>0.3570277</v>
      </c>
      <c r="K3789" s="3">
        <v>0.4392916</v>
      </c>
      <c r="L3789" s="3">
        <v>0.81919839999999999</v>
      </c>
    </row>
    <row r="3790" spans="1:12" x14ac:dyDescent="0.25">
      <c r="A3790" t="s">
        <v>5242</v>
      </c>
      <c r="B3790" t="s">
        <v>5243</v>
      </c>
      <c r="I3790" t="s">
        <v>5244</v>
      </c>
      <c r="J3790" s="3">
        <v>-0.66875110000000004</v>
      </c>
      <c r="K3790" s="3">
        <v>-0.63870199999999999</v>
      </c>
      <c r="L3790" s="3">
        <v>-0.7447994</v>
      </c>
    </row>
    <row r="3791" spans="1:12" x14ac:dyDescent="0.25">
      <c r="A3791" t="s">
        <v>5239</v>
      </c>
      <c r="B3791" t="s">
        <v>5240</v>
      </c>
      <c r="I3791" t="s">
        <v>5241</v>
      </c>
      <c r="J3791" s="3">
        <v>6.8880010000000005E-2</v>
      </c>
      <c r="K3791" s="3">
        <v>-0.75397130000000001</v>
      </c>
      <c r="L3791" s="3">
        <v>-0.34739160000000002</v>
      </c>
    </row>
    <row r="3792" spans="1:12" x14ac:dyDescent="0.25">
      <c r="A3792" t="s">
        <v>5236</v>
      </c>
      <c r="B3792" t="s">
        <v>5237</v>
      </c>
      <c r="I3792" t="s">
        <v>5238</v>
      </c>
      <c r="J3792" s="3">
        <v>9.1161130000000007E-2</v>
      </c>
      <c r="K3792" s="3">
        <v>4.288757E-2</v>
      </c>
      <c r="L3792" s="3">
        <v>0.1502117</v>
      </c>
    </row>
    <row r="3793" spans="1:12" x14ac:dyDescent="0.25">
      <c r="A3793" t="s">
        <v>5233</v>
      </c>
      <c r="B3793" t="s">
        <v>5234</v>
      </c>
      <c r="I3793" t="s">
        <v>5235</v>
      </c>
      <c r="J3793" s="3">
        <v>-4.7415720000000001E-2</v>
      </c>
      <c r="K3793" s="3">
        <v>-0.43701230000000002</v>
      </c>
      <c r="L3793" s="3">
        <v>-0.1993209</v>
      </c>
    </row>
    <row r="3794" spans="1:12" x14ac:dyDescent="0.25">
      <c r="A3794" t="s">
        <v>5230</v>
      </c>
      <c r="B3794" t="s">
        <v>5231</v>
      </c>
      <c r="I3794" t="s">
        <v>5232</v>
      </c>
      <c r="J3794" s="3">
        <v>-1.3861140000000001</v>
      </c>
      <c r="K3794" s="3">
        <v>-8.2740560000000005E-2</v>
      </c>
      <c r="L3794" s="3">
        <v>0.11109040000000001</v>
      </c>
    </row>
    <row r="3795" spans="1:12" x14ac:dyDescent="0.25">
      <c r="A3795" t="s">
        <v>5227</v>
      </c>
      <c r="B3795" t="s">
        <v>5228</v>
      </c>
      <c r="I3795" t="s">
        <v>5229</v>
      </c>
      <c r="J3795" s="3">
        <v>8.0488669999999998E-2</v>
      </c>
      <c r="K3795" s="3">
        <v>0.13086149999999999</v>
      </c>
      <c r="L3795" s="3">
        <v>-0.48742360000000001</v>
      </c>
    </row>
    <row r="3796" spans="1:12" x14ac:dyDescent="0.25">
      <c r="A3796" t="s">
        <v>5224</v>
      </c>
      <c r="B3796" t="s">
        <v>5225</v>
      </c>
      <c r="I3796" t="s">
        <v>5226</v>
      </c>
      <c r="J3796" s="3">
        <v>-0.14647979999999999</v>
      </c>
      <c r="K3796" s="3">
        <v>0.16610639999999999</v>
      </c>
      <c r="L3796" s="3">
        <v>-0.28436529999999999</v>
      </c>
    </row>
    <row r="3797" spans="1:12" x14ac:dyDescent="0.25">
      <c r="A3797" t="s">
        <v>5221</v>
      </c>
      <c r="B3797" t="s">
        <v>5222</v>
      </c>
      <c r="I3797" t="s">
        <v>5223</v>
      </c>
      <c r="J3797" s="3">
        <v>0.49828109999999998</v>
      </c>
      <c r="K3797" s="3">
        <v>-7.5775410000000001E-2</v>
      </c>
      <c r="L3797" s="3">
        <v>0.48398730000000001</v>
      </c>
    </row>
    <row r="3798" spans="1:12" x14ac:dyDescent="0.25">
      <c r="A3798" t="s">
        <v>5218</v>
      </c>
      <c r="B3798" t="s">
        <v>5219</v>
      </c>
      <c r="I3798" t="s">
        <v>5220</v>
      </c>
      <c r="J3798" s="3">
        <v>-0.44488929999999999</v>
      </c>
      <c r="K3798" s="3">
        <v>-1.0302340000000001</v>
      </c>
      <c r="L3798" s="3">
        <v>-0.70096460000000005</v>
      </c>
    </row>
    <row r="3799" spans="1:12" x14ac:dyDescent="0.25">
      <c r="A3799" t="s">
        <v>4196</v>
      </c>
      <c r="B3799" t="s">
        <v>4197</v>
      </c>
      <c r="I3799" t="s">
        <v>5217</v>
      </c>
      <c r="J3799" s="3">
        <v>6.4111340000000003E-2</v>
      </c>
      <c r="K3799" s="3">
        <v>0.39131769999999999</v>
      </c>
      <c r="L3799" s="3">
        <v>0.16738</v>
      </c>
    </row>
    <row r="3800" spans="1:12" x14ac:dyDescent="0.25">
      <c r="A3800" t="s">
        <v>4193</v>
      </c>
      <c r="B3800" t="s">
        <v>4194</v>
      </c>
      <c r="I3800" t="s">
        <v>4195</v>
      </c>
      <c r="J3800" s="3">
        <v>0.68822280000000002</v>
      </c>
      <c r="K3800" s="3">
        <v>0.85775250000000003</v>
      </c>
      <c r="L3800" s="3">
        <v>0.55317320000000003</v>
      </c>
    </row>
    <row r="3801" spans="1:12" x14ac:dyDescent="0.25">
      <c r="A3801" t="s">
        <v>4190</v>
      </c>
      <c r="B3801" t="s">
        <v>4191</v>
      </c>
      <c r="I3801" t="s">
        <v>4192</v>
      </c>
      <c r="J3801" s="3">
        <v>-0.42670599999999997</v>
      </c>
      <c r="K3801" s="3">
        <v>-9.2578229999999997E-2</v>
      </c>
      <c r="L3801" s="3">
        <v>-0.40635919999999998</v>
      </c>
    </row>
    <row r="3802" spans="1:12" x14ac:dyDescent="0.25">
      <c r="A3802" t="s">
        <v>4187</v>
      </c>
      <c r="B3802" t="s">
        <v>4188</v>
      </c>
      <c r="I3802" t="s">
        <v>4189</v>
      </c>
      <c r="J3802" s="3">
        <v>-6.3038150000000001E-2</v>
      </c>
      <c r="K3802" s="3">
        <v>-0.45824769999999998</v>
      </c>
      <c r="L3802" s="3">
        <v>-0.2784259</v>
      </c>
    </row>
    <row r="3803" spans="1:12" x14ac:dyDescent="0.25">
      <c r="A3803" t="s">
        <v>4184</v>
      </c>
      <c r="B3803" t="s">
        <v>4185</v>
      </c>
      <c r="I3803" t="s">
        <v>4186</v>
      </c>
      <c r="J3803" s="3">
        <v>-0.37153409999999998</v>
      </c>
      <c r="K3803" s="3">
        <v>-0.50095520000000004</v>
      </c>
      <c r="L3803" s="3">
        <v>-0.40477980000000002</v>
      </c>
    </row>
    <row r="3804" spans="1:12" x14ac:dyDescent="0.25">
      <c r="A3804" t="s">
        <v>4181</v>
      </c>
      <c r="B3804" t="s">
        <v>4182</v>
      </c>
      <c r="I3804" t="s">
        <v>4183</v>
      </c>
      <c r="J3804" s="3">
        <v>-0.4288362</v>
      </c>
      <c r="K3804" s="3">
        <v>-0.88072030000000001</v>
      </c>
      <c r="L3804" s="3">
        <v>-0.65152849999999995</v>
      </c>
    </row>
    <row r="3805" spans="1:12" x14ac:dyDescent="0.25">
      <c r="A3805" t="s">
        <v>4178</v>
      </c>
      <c r="B3805" t="s">
        <v>4179</v>
      </c>
      <c r="I3805" t="s">
        <v>4180</v>
      </c>
      <c r="J3805" s="3">
        <v>6.2068449999999997E-2</v>
      </c>
      <c r="K3805" s="3">
        <v>-0.22481309999999999</v>
      </c>
      <c r="L3805" s="3">
        <v>-0.19665170000000001</v>
      </c>
    </row>
    <row r="3806" spans="1:12" x14ac:dyDescent="0.25">
      <c r="A3806" t="s">
        <v>4175</v>
      </c>
      <c r="B3806" t="s">
        <v>4176</v>
      </c>
      <c r="I3806" t="s">
        <v>4177</v>
      </c>
      <c r="J3806" s="3">
        <v>0.1892472</v>
      </c>
      <c r="K3806" s="3">
        <v>-0.26022030000000002</v>
      </c>
      <c r="L3806" s="3">
        <v>-0.14806440000000001</v>
      </c>
    </row>
    <row r="3807" spans="1:12" x14ac:dyDescent="0.25">
      <c r="A3807" t="s">
        <v>4172</v>
      </c>
      <c r="B3807" t="s">
        <v>4173</v>
      </c>
      <c r="I3807" t="s">
        <v>4174</v>
      </c>
      <c r="J3807" s="3">
        <v>1.8979389999999999E-2</v>
      </c>
      <c r="K3807" s="3">
        <v>-0.57114359999999997</v>
      </c>
      <c r="L3807" s="3">
        <v>-0.20225370000000001</v>
      </c>
    </row>
    <row r="3808" spans="1:12" x14ac:dyDescent="0.25">
      <c r="A3808" t="s">
        <v>4170</v>
      </c>
      <c r="B3808" t="s">
        <v>14135</v>
      </c>
      <c r="C3808" t="s">
        <v>14136</v>
      </c>
      <c r="I3808" t="s">
        <v>4171</v>
      </c>
      <c r="J3808" s="3">
        <v>0.78031249999999996</v>
      </c>
      <c r="K3808" s="3">
        <v>0.68915959999999998</v>
      </c>
      <c r="L3808" s="3">
        <v>0.94476539999999998</v>
      </c>
    </row>
    <row r="3809" spans="1:12" x14ac:dyDescent="0.25">
      <c r="A3809" t="s">
        <v>5181</v>
      </c>
      <c r="B3809" t="s">
        <v>5182</v>
      </c>
      <c r="I3809" t="s">
        <v>4169</v>
      </c>
      <c r="J3809" s="3">
        <v>0.27148870000000003</v>
      </c>
      <c r="K3809" s="3">
        <v>9.8202269999999994E-2</v>
      </c>
      <c r="L3809" s="3">
        <v>0.29278989999999999</v>
      </c>
    </row>
    <row r="3810" spans="1:12" x14ac:dyDescent="0.25">
      <c r="A3810" t="s">
        <v>5179</v>
      </c>
      <c r="B3810" t="s">
        <v>5180</v>
      </c>
      <c r="I3810" t="s">
        <v>1768</v>
      </c>
      <c r="J3810" s="3">
        <v>-0.33152340000000002</v>
      </c>
      <c r="K3810" s="3">
        <v>-0.27350970000000002</v>
      </c>
      <c r="L3810" s="3">
        <v>-0.25445200000000001</v>
      </c>
    </row>
    <row r="3811" spans="1:12" x14ac:dyDescent="0.25">
      <c r="A3811" t="s">
        <v>5176</v>
      </c>
      <c r="B3811" t="s">
        <v>5177</v>
      </c>
      <c r="I3811" t="s">
        <v>5178</v>
      </c>
      <c r="J3811" s="3">
        <v>0.28498649999999998</v>
      </c>
      <c r="K3811" s="3">
        <v>0.32489079999999998</v>
      </c>
      <c r="L3811" s="3">
        <v>8.7493360000000006E-2</v>
      </c>
    </row>
    <row r="3812" spans="1:12" x14ac:dyDescent="0.25">
      <c r="A3812" t="s">
        <v>5175</v>
      </c>
      <c r="B3812" t="s">
        <v>957</v>
      </c>
      <c r="I3812" t="s">
        <v>455</v>
      </c>
      <c r="J3812" s="3">
        <v>-0.17177039999999999</v>
      </c>
      <c r="K3812" s="3">
        <v>-0.63303430000000005</v>
      </c>
      <c r="L3812" s="3">
        <v>-0.1451588</v>
      </c>
    </row>
    <row r="3813" spans="1:12" x14ac:dyDescent="0.25">
      <c r="A3813" t="s">
        <v>5172</v>
      </c>
      <c r="B3813" t="s">
        <v>5173</v>
      </c>
      <c r="I3813" t="s">
        <v>5174</v>
      </c>
      <c r="J3813" s="3">
        <v>-0.32922129999999999</v>
      </c>
      <c r="K3813" s="3">
        <v>-7.3283299999999996E-2</v>
      </c>
      <c r="L3813" s="3">
        <v>-0.47782039999999998</v>
      </c>
    </row>
    <row r="3814" spans="1:12" x14ac:dyDescent="0.25">
      <c r="A3814" t="s">
        <v>5169</v>
      </c>
      <c r="B3814" t="s">
        <v>5170</v>
      </c>
      <c r="I3814" t="s">
        <v>5171</v>
      </c>
      <c r="J3814" s="3">
        <v>-0.23928559999999999</v>
      </c>
      <c r="K3814" s="3">
        <v>-0.28887089999999999</v>
      </c>
      <c r="L3814" s="3">
        <v>-0.1783264</v>
      </c>
    </row>
    <row r="3815" spans="1:12" x14ac:dyDescent="0.25">
      <c r="A3815" t="s">
        <v>5166</v>
      </c>
      <c r="B3815" t="s">
        <v>5167</v>
      </c>
      <c r="I3815" t="s">
        <v>5168</v>
      </c>
      <c r="J3815" s="3">
        <v>-0.32165700000000003</v>
      </c>
      <c r="K3815" s="3">
        <v>-0.28130240000000001</v>
      </c>
      <c r="L3815" s="3">
        <v>-0.35994280000000001</v>
      </c>
    </row>
    <row r="3816" spans="1:12" x14ac:dyDescent="0.25">
      <c r="A3816" t="s">
        <v>5163</v>
      </c>
      <c r="B3816" t="s">
        <v>5164</v>
      </c>
      <c r="I3816" t="s">
        <v>5165</v>
      </c>
      <c r="J3816" s="3">
        <v>-0.14385120000000001</v>
      </c>
      <c r="K3816" s="3">
        <v>-0.56124649999999998</v>
      </c>
      <c r="L3816" s="3">
        <v>-0.1925837</v>
      </c>
    </row>
    <row r="3817" spans="1:12" x14ac:dyDescent="0.25">
      <c r="A3817" t="s">
        <v>5160</v>
      </c>
      <c r="B3817" t="s">
        <v>5161</v>
      </c>
      <c r="I3817" t="s">
        <v>5162</v>
      </c>
      <c r="J3817" s="3">
        <v>0.43769439999999998</v>
      </c>
      <c r="K3817" s="3">
        <v>0.94432400000000005</v>
      </c>
      <c r="L3817" s="3">
        <v>0.27077849999999998</v>
      </c>
    </row>
    <row r="3818" spans="1:12" x14ac:dyDescent="0.25">
      <c r="A3818" t="s">
        <v>5157</v>
      </c>
      <c r="B3818" t="s">
        <v>5158</v>
      </c>
      <c r="I3818" t="s">
        <v>5159</v>
      </c>
      <c r="J3818" s="3">
        <v>0.25570470000000001</v>
      </c>
      <c r="K3818" s="3">
        <v>0.26248559999999999</v>
      </c>
      <c r="L3818" s="3">
        <v>0.15063019999999999</v>
      </c>
    </row>
    <row r="3819" spans="1:12" x14ac:dyDescent="0.25">
      <c r="A3819" t="s">
        <v>5154</v>
      </c>
      <c r="B3819" t="s">
        <v>5155</v>
      </c>
      <c r="I3819" t="s">
        <v>5156</v>
      </c>
      <c r="J3819" s="3">
        <v>-3.112641E-2</v>
      </c>
      <c r="K3819" s="3">
        <v>-0.57865290000000003</v>
      </c>
      <c r="L3819" s="3">
        <v>-0.38522960000000001</v>
      </c>
    </row>
    <row r="3820" spans="1:12" x14ac:dyDescent="0.25">
      <c r="A3820" t="s">
        <v>5151</v>
      </c>
      <c r="B3820" t="s">
        <v>5152</v>
      </c>
      <c r="I3820" t="s">
        <v>5153</v>
      </c>
      <c r="J3820" s="3">
        <v>-1.1110819999999999</v>
      </c>
      <c r="K3820" s="3">
        <v>-0.74909950000000003</v>
      </c>
      <c r="L3820" s="3">
        <v>-0.70667820000000003</v>
      </c>
    </row>
    <row r="3821" spans="1:12" x14ac:dyDescent="0.25">
      <c r="A3821" t="s">
        <v>4122</v>
      </c>
      <c r="B3821" t="s">
        <v>4123</v>
      </c>
      <c r="I3821" t="s">
        <v>5150</v>
      </c>
      <c r="J3821" s="3">
        <v>0.22001970000000001</v>
      </c>
      <c r="K3821" s="3">
        <v>-7.0630589999999993E-2</v>
      </c>
      <c r="L3821" s="3">
        <v>-0.1437264</v>
      </c>
    </row>
    <row r="3822" spans="1:12" x14ac:dyDescent="0.25">
      <c r="A3822" t="s">
        <v>4121</v>
      </c>
      <c r="B3822" t="s">
        <v>957</v>
      </c>
      <c r="I3822" t="s">
        <v>455</v>
      </c>
      <c r="J3822" s="3">
        <v>0.36183300000000002</v>
      </c>
      <c r="K3822" s="3">
        <v>0.53068780000000004</v>
      </c>
      <c r="L3822" s="3">
        <v>0.28066999999999998</v>
      </c>
    </row>
    <row r="3823" spans="1:12" x14ac:dyDescent="0.25">
      <c r="A3823" t="s">
        <v>4118</v>
      </c>
      <c r="B3823" t="s">
        <v>4119</v>
      </c>
      <c r="I3823" t="s">
        <v>4120</v>
      </c>
      <c r="J3823" s="3">
        <v>-0.18963679999999999</v>
      </c>
      <c r="K3823" s="3">
        <v>-0.3202911</v>
      </c>
      <c r="L3823" s="3">
        <v>-0.32960390000000001</v>
      </c>
    </row>
    <row r="3824" spans="1:12" x14ac:dyDescent="0.25">
      <c r="A3824" t="s">
        <v>4116</v>
      </c>
      <c r="B3824" t="s">
        <v>14137</v>
      </c>
      <c r="C3824" t="s">
        <v>14138</v>
      </c>
      <c r="I3824" t="s">
        <v>4117</v>
      </c>
      <c r="J3824" s="3">
        <v>0.84567959999999998</v>
      </c>
      <c r="K3824" s="3">
        <v>0.46629559999999998</v>
      </c>
      <c r="L3824" s="3">
        <v>0.90716149999999995</v>
      </c>
    </row>
    <row r="3825" spans="1:12" x14ac:dyDescent="0.25">
      <c r="A3825" t="s">
        <v>4115</v>
      </c>
      <c r="B3825" t="s">
        <v>957</v>
      </c>
      <c r="I3825" t="s">
        <v>453</v>
      </c>
      <c r="J3825" s="3">
        <v>0.36143209999999998</v>
      </c>
      <c r="K3825" s="3">
        <v>0.89229040000000004</v>
      </c>
      <c r="L3825" s="3">
        <v>0.2578588</v>
      </c>
    </row>
    <row r="3826" spans="1:12" x14ac:dyDescent="0.25">
      <c r="A3826" t="s">
        <v>4114</v>
      </c>
      <c r="B3826" t="s">
        <v>957</v>
      </c>
      <c r="I3826" t="s">
        <v>4450</v>
      </c>
      <c r="J3826" s="3">
        <v>0.3821695</v>
      </c>
      <c r="K3826" s="3">
        <v>6.1640069999999998E-2</v>
      </c>
      <c r="L3826" s="3">
        <v>-0.2072039</v>
      </c>
    </row>
    <row r="3827" spans="1:12" x14ac:dyDescent="0.25">
      <c r="A3827" t="s">
        <v>4113</v>
      </c>
      <c r="B3827" t="s">
        <v>957</v>
      </c>
      <c r="I3827" t="s">
        <v>455</v>
      </c>
      <c r="J3827" s="3">
        <v>0.41362139999999997</v>
      </c>
      <c r="K3827" s="3">
        <v>0.32977119999999999</v>
      </c>
      <c r="L3827" s="3">
        <v>0.58721400000000001</v>
      </c>
    </row>
    <row r="3828" spans="1:12" x14ac:dyDescent="0.25">
      <c r="A3828" t="s">
        <v>4110</v>
      </c>
      <c r="B3828" t="s">
        <v>4111</v>
      </c>
      <c r="I3828" t="s">
        <v>4112</v>
      </c>
      <c r="J3828" s="3">
        <v>-0.1723404</v>
      </c>
      <c r="K3828" s="3">
        <v>0.49868820000000003</v>
      </c>
      <c r="L3828" s="3">
        <v>4.1968039999999998E-2</v>
      </c>
    </row>
    <row r="3829" spans="1:12" x14ac:dyDescent="0.25">
      <c r="A3829" t="s">
        <v>4107</v>
      </c>
      <c r="B3829" t="s">
        <v>4108</v>
      </c>
      <c r="I3829" t="s">
        <v>4109</v>
      </c>
      <c r="J3829" s="3">
        <v>0.32944289999999998</v>
      </c>
      <c r="K3829" s="3">
        <v>0.26073639999999998</v>
      </c>
      <c r="L3829" s="3">
        <v>0.33561229999999997</v>
      </c>
    </row>
    <row r="3830" spans="1:12" x14ac:dyDescent="0.25">
      <c r="A3830" t="s">
        <v>4104</v>
      </c>
      <c r="B3830" t="s">
        <v>4105</v>
      </c>
      <c r="I3830" t="s">
        <v>4106</v>
      </c>
      <c r="J3830" s="3">
        <v>-0.1532792</v>
      </c>
      <c r="K3830" s="3">
        <v>0.537852</v>
      </c>
      <c r="L3830" s="3">
        <v>0.23094329999999999</v>
      </c>
    </row>
    <row r="3831" spans="1:12" x14ac:dyDescent="0.25">
      <c r="A3831" t="s">
        <v>4103</v>
      </c>
      <c r="B3831" t="s">
        <v>957</v>
      </c>
      <c r="I3831" t="s">
        <v>156</v>
      </c>
      <c r="J3831" s="3">
        <v>0.27387610000000001</v>
      </c>
      <c r="K3831" s="3">
        <v>-2.2032660000000002E-3</v>
      </c>
      <c r="L3831" s="3">
        <v>9.8830940000000006E-2</v>
      </c>
    </row>
    <row r="3832" spans="1:12" x14ac:dyDescent="0.25">
      <c r="A3832" t="s">
        <v>4102</v>
      </c>
      <c r="B3832" t="s">
        <v>957</v>
      </c>
      <c r="I3832" t="s">
        <v>455</v>
      </c>
      <c r="J3832" s="3">
        <v>-0.28124329999999997</v>
      </c>
      <c r="K3832" s="3">
        <v>-0.31112069999999997</v>
      </c>
      <c r="L3832" s="3">
        <v>-9.3965370000000006E-2</v>
      </c>
    </row>
    <row r="3833" spans="1:12" x14ac:dyDescent="0.25">
      <c r="A3833" t="s">
        <v>4101</v>
      </c>
      <c r="B3833" t="s">
        <v>957</v>
      </c>
      <c r="I3833" t="s">
        <v>4450</v>
      </c>
      <c r="J3833" s="3">
        <v>-0.73724100000000004</v>
      </c>
      <c r="K3833" s="3">
        <v>0.3508153</v>
      </c>
      <c r="L3833" s="3">
        <v>0.46548879999999998</v>
      </c>
    </row>
    <row r="3834" spans="1:12" x14ac:dyDescent="0.25">
      <c r="A3834" t="s">
        <v>4099</v>
      </c>
      <c r="B3834" t="s">
        <v>957</v>
      </c>
      <c r="I3834" t="s">
        <v>4100</v>
      </c>
      <c r="J3834" s="3">
        <v>7.0585110000000006E-2</v>
      </c>
      <c r="K3834" s="3">
        <v>-0.15265599999999999</v>
      </c>
      <c r="L3834" s="3">
        <v>-0.220753</v>
      </c>
    </row>
    <row r="3835" spans="1:12" x14ac:dyDescent="0.25">
      <c r="A3835" t="s">
        <v>4098</v>
      </c>
      <c r="B3835" t="s">
        <v>957</v>
      </c>
      <c r="I3835" t="s">
        <v>455</v>
      </c>
      <c r="J3835" s="3">
        <v>9.9910600000000002E-2</v>
      </c>
      <c r="K3835" s="3">
        <v>0.63090420000000003</v>
      </c>
      <c r="L3835" s="3">
        <v>0.1466925</v>
      </c>
    </row>
    <row r="3836" spans="1:12" x14ac:dyDescent="0.25">
      <c r="A3836" t="s">
        <v>4095</v>
      </c>
      <c r="B3836" t="s">
        <v>4096</v>
      </c>
      <c r="I3836" t="s">
        <v>4097</v>
      </c>
      <c r="J3836" s="3">
        <v>-0.45209749999999999</v>
      </c>
      <c r="K3836" s="3">
        <v>-0.81651359999999995</v>
      </c>
      <c r="L3836" s="3">
        <v>-0.6596824</v>
      </c>
    </row>
    <row r="3837" spans="1:12" x14ac:dyDescent="0.25">
      <c r="A3837" t="s">
        <v>4092</v>
      </c>
      <c r="B3837" t="s">
        <v>4093</v>
      </c>
      <c r="I3837" t="s">
        <v>4094</v>
      </c>
      <c r="J3837" s="3">
        <v>3.7844250000000003E-2</v>
      </c>
      <c r="K3837" s="3">
        <v>-0.18348159999999999</v>
      </c>
      <c r="L3837" s="3">
        <v>8.3332030000000001E-2</v>
      </c>
    </row>
    <row r="3838" spans="1:12" x14ac:dyDescent="0.25">
      <c r="A3838" t="s">
        <v>4091</v>
      </c>
      <c r="B3838" t="s">
        <v>957</v>
      </c>
      <c r="I3838" t="s">
        <v>455</v>
      </c>
      <c r="J3838" s="3">
        <v>0.31952999999999998</v>
      </c>
      <c r="K3838" s="3">
        <v>0.1209066</v>
      </c>
      <c r="L3838" s="3">
        <v>0.2367765</v>
      </c>
    </row>
    <row r="3839" spans="1:12" x14ac:dyDescent="0.25">
      <c r="A3839" t="s">
        <v>4088</v>
      </c>
      <c r="B3839" t="s">
        <v>4089</v>
      </c>
      <c r="I3839" t="s">
        <v>4090</v>
      </c>
      <c r="J3839" s="3">
        <v>-0.47368949999999999</v>
      </c>
      <c r="K3839" s="3">
        <v>-0.82363229999999998</v>
      </c>
      <c r="L3839" s="3">
        <v>-0.12181649999999999</v>
      </c>
    </row>
    <row r="3840" spans="1:12" x14ac:dyDescent="0.25">
      <c r="A3840" t="s">
        <v>4085</v>
      </c>
      <c r="B3840" t="s">
        <v>4086</v>
      </c>
      <c r="I3840" t="s">
        <v>4087</v>
      </c>
      <c r="J3840" s="3">
        <v>-0.47927959999999997</v>
      </c>
      <c r="K3840" s="3">
        <v>-0.86458869999999999</v>
      </c>
      <c r="L3840" s="3">
        <v>-0.29019539999999999</v>
      </c>
    </row>
    <row r="3841" spans="1:12" x14ac:dyDescent="0.25">
      <c r="A3841" t="s">
        <v>4084</v>
      </c>
      <c r="B3841" t="s">
        <v>957</v>
      </c>
      <c r="I3841" t="s">
        <v>455</v>
      </c>
      <c r="J3841" s="3">
        <v>0.62709349999999997</v>
      </c>
      <c r="K3841" s="3">
        <v>0.25169219999999998</v>
      </c>
      <c r="L3841" s="3">
        <v>0.60538389999999997</v>
      </c>
    </row>
    <row r="3842" spans="1:12" x14ac:dyDescent="0.25">
      <c r="A3842" t="s">
        <v>4081</v>
      </c>
      <c r="B3842" t="s">
        <v>4082</v>
      </c>
      <c r="I3842" t="s">
        <v>4083</v>
      </c>
      <c r="J3842" s="3">
        <v>-1.108254E-2</v>
      </c>
      <c r="K3842" s="3">
        <v>-9.8187919999999998E-2</v>
      </c>
      <c r="L3842" s="3">
        <v>6.7961800000000003E-2</v>
      </c>
    </row>
    <row r="3843" spans="1:12" x14ac:dyDescent="0.25">
      <c r="A3843" t="s">
        <v>4079</v>
      </c>
      <c r="B3843" t="s">
        <v>957</v>
      </c>
      <c r="I3843" t="s">
        <v>4080</v>
      </c>
      <c r="J3843" s="3">
        <v>7.3467400000000002E-2</v>
      </c>
      <c r="K3843" s="3">
        <v>-0.24301510000000001</v>
      </c>
      <c r="L3843" s="3">
        <v>-4.6737000000000001E-2</v>
      </c>
    </row>
    <row r="3844" spans="1:12" x14ac:dyDescent="0.25">
      <c r="A3844" t="s">
        <v>4076</v>
      </c>
      <c r="B3844" t="s">
        <v>4077</v>
      </c>
      <c r="I3844" t="s">
        <v>4078</v>
      </c>
      <c r="J3844" s="3">
        <v>0.15791440000000001</v>
      </c>
      <c r="K3844" s="3">
        <v>-0.30908160000000001</v>
      </c>
      <c r="L3844" s="3">
        <v>0.1551072</v>
      </c>
    </row>
    <row r="3845" spans="1:12" x14ac:dyDescent="0.25">
      <c r="A3845" t="s">
        <v>4075</v>
      </c>
      <c r="B3845" t="s">
        <v>957</v>
      </c>
      <c r="I3845" t="s">
        <v>455</v>
      </c>
      <c r="J3845" s="3">
        <v>6.2994460000000002E-2</v>
      </c>
      <c r="K3845" s="3">
        <v>0.47101789999999999</v>
      </c>
      <c r="L3845" s="3">
        <v>1.522065E-2</v>
      </c>
    </row>
    <row r="3846" spans="1:12" x14ac:dyDescent="0.25">
      <c r="A3846" t="s">
        <v>4072</v>
      </c>
      <c r="B3846" t="s">
        <v>4073</v>
      </c>
      <c r="I3846" t="s">
        <v>4074</v>
      </c>
      <c r="J3846" s="3">
        <v>-0.26121949999999999</v>
      </c>
      <c r="K3846" s="3">
        <v>-0.63996869999999995</v>
      </c>
      <c r="L3846" s="3">
        <v>-0.39593869999999998</v>
      </c>
    </row>
    <row r="3847" spans="1:12" x14ac:dyDescent="0.25">
      <c r="A3847" t="s">
        <v>4069</v>
      </c>
      <c r="B3847" t="s">
        <v>4070</v>
      </c>
      <c r="I3847" t="s">
        <v>4071</v>
      </c>
      <c r="J3847" s="3">
        <v>0.34597830000000002</v>
      </c>
      <c r="K3847" s="3">
        <v>-0.46132489999999998</v>
      </c>
      <c r="L3847" s="3">
        <v>-3.592683E-2</v>
      </c>
    </row>
    <row r="3848" spans="1:12" x14ac:dyDescent="0.25">
      <c r="A3848" t="s">
        <v>4066</v>
      </c>
      <c r="B3848" t="s">
        <v>4067</v>
      </c>
      <c r="I3848" t="s">
        <v>4068</v>
      </c>
      <c r="J3848" s="3">
        <v>0.79101239999999995</v>
      </c>
      <c r="K3848" s="3">
        <v>0.28269840000000002</v>
      </c>
      <c r="L3848" s="3">
        <v>0.62636800000000004</v>
      </c>
    </row>
    <row r="3849" spans="1:12" x14ac:dyDescent="0.25">
      <c r="A3849" t="s">
        <v>4063</v>
      </c>
      <c r="B3849" t="s">
        <v>4064</v>
      </c>
      <c r="I3849" t="s">
        <v>4065</v>
      </c>
      <c r="J3849" s="3">
        <v>-0.1286891</v>
      </c>
      <c r="K3849" s="3">
        <v>-0.60091340000000004</v>
      </c>
      <c r="L3849" s="3">
        <v>-0.21984509999999999</v>
      </c>
    </row>
    <row r="3850" spans="1:12" x14ac:dyDescent="0.25">
      <c r="A3850" t="s">
        <v>4060</v>
      </c>
      <c r="B3850" t="s">
        <v>4061</v>
      </c>
      <c r="I3850" t="s">
        <v>4062</v>
      </c>
      <c r="J3850" s="3">
        <v>0.12315039999999999</v>
      </c>
      <c r="K3850" s="3">
        <v>1.137583</v>
      </c>
      <c r="L3850" s="3">
        <v>0.61811919999999998</v>
      </c>
    </row>
    <row r="3851" spans="1:12" x14ac:dyDescent="0.25">
      <c r="A3851" t="s">
        <v>4057</v>
      </c>
      <c r="B3851" t="s">
        <v>4058</v>
      </c>
      <c r="I3851" t="s">
        <v>4059</v>
      </c>
      <c r="J3851" s="3">
        <v>0.14720269999999999</v>
      </c>
      <c r="K3851" s="3">
        <v>-0.207761</v>
      </c>
      <c r="L3851" s="3">
        <v>-0.1068202</v>
      </c>
    </row>
    <row r="3852" spans="1:12" x14ac:dyDescent="0.25">
      <c r="A3852" t="s">
        <v>4054</v>
      </c>
      <c r="B3852" t="s">
        <v>4055</v>
      </c>
      <c r="I3852" t="s">
        <v>4056</v>
      </c>
      <c r="J3852" s="3">
        <v>-0.60276090000000004</v>
      </c>
      <c r="K3852" s="3">
        <v>-0.53222480000000005</v>
      </c>
      <c r="L3852" s="3">
        <v>-0.3754807</v>
      </c>
    </row>
    <row r="3853" spans="1:12" x14ac:dyDescent="0.25">
      <c r="A3853" t="s">
        <v>4052</v>
      </c>
      <c r="B3853" t="s">
        <v>4053</v>
      </c>
      <c r="I3853" t="s">
        <v>1768</v>
      </c>
      <c r="J3853" s="3">
        <v>0.406719</v>
      </c>
      <c r="K3853" s="3">
        <v>-0.41393259999999998</v>
      </c>
      <c r="L3853" s="3">
        <v>4.1797220000000003E-2</v>
      </c>
    </row>
    <row r="3854" spans="1:12" x14ac:dyDescent="0.25">
      <c r="A3854" t="s">
        <v>4051</v>
      </c>
      <c r="B3854" t="s">
        <v>957</v>
      </c>
      <c r="I3854" t="s">
        <v>455</v>
      </c>
      <c r="J3854" s="3">
        <v>0.62332290000000001</v>
      </c>
      <c r="K3854" s="3">
        <v>1.291555</v>
      </c>
      <c r="L3854" s="3">
        <v>0.58778129999999995</v>
      </c>
    </row>
    <row r="3855" spans="1:12" x14ac:dyDescent="0.25">
      <c r="A3855" t="s">
        <v>4049</v>
      </c>
      <c r="B3855" t="s">
        <v>4050</v>
      </c>
      <c r="I3855" t="s">
        <v>2517</v>
      </c>
      <c r="J3855" s="3">
        <v>-0.114787</v>
      </c>
      <c r="K3855" s="3">
        <v>-0.71085039999999999</v>
      </c>
      <c r="L3855" s="3">
        <v>0.2163977</v>
      </c>
    </row>
    <row r="3856" spans="1:12" x14ac:dyDescent="0.25">
      <c r="A3856" t="s">
        <v>4046</v>
      </c>
      <c r="B3856" t="s">
        <v>4047</v>
      </c>
      <c r="I3856" t="s">
        <v>4048</v>
      </c>
      <c r="J3856" s="3">
        <v>0.54645279999999996</v>
      </c>
      <c r="K3856" s="3">
        <v>0.67263450000000002</v>
      </c>
      <c r="L3856" s="3">
        <v>0.46103369999999999</v>
      </c>
    </row>
    <row r="3857" spans="1:12" x14ac:dyDescent="0.25">
      <c r="A3857" t="s">
        <v>4044</v>
      </c>
      <c r="B3857" t="s">
        <v>4045</v>
      </c>
      <c r="I3857" t="s">
        <v>593</v>
      </c>
      <c r="J3857" s="3">
        <v>0.10466590000000001</v>
      </c>
      <c r="K3857" s="3">
        <v>-0.27806019999999998</v>
      </c>
      <c r="L3857" s="3">
        <v>-0.26388</v>
      </c>
    </row>
    <row r="3858" spans="1:12" x14ac:dyDescent="0.25">
      <c r="A3858" t="s">
        <v>4041</v>
      </c>
      <c r="B3858" t="s">
        <v>4042</v>
      </c>
      <c r="I3858" t="s">
        <v>4043</v>
      </c>
      <c r="J3858" s="3">
        <v>0.25282290000000002</v>
      </c>
      <c r="K3858" s="3">
        <v>0.19157769999999999</v>
      </c>
      <c r="L3858" s="3">
        <v>0.44260369999999999</v>
      </c>
    </row>
    <row r="3859" spans="1:12" x14ac:dyDescent="0.25">
      <c r="A3859" t="s">
        <v>4040</v>
      </c>
      <c r="B3859" t="s">
        <v>14232</v>
      </c>
      <c r="C3859" t="s">
        <v>14233</v>
      </c>
      <c r="I3859" t="s">
        <v>3817</v>
      </c>
      <c r="J3859" s="3">
        <v>0.75062300000000004</v>
      </c>
      <c r="K3859" s="3">
        <v>0.24441019999999999</v>
      </c>
      <c r="L3859" s="3">
        <v>0.72656160000000003</v>
      </c>
    </row>
    <row r="3860" spans="1:12" x14ac:dyDescent="0.25">
      <c r="A3860" t="s">
        <v>4037</v>
      </c>
      <c r="B3860" t="s">
        <v>4038</v>
      </c>
      <c r="I3860" t="s">
        <v>4039</v>
      </c>
      <c r="J3860" s="3">
        <v>0.220419</v>
      </c>
      <c r="K3860" s="3">
        <v>-6.6933480000000004E-2</v>
      </c>
      <c r="L3860" s="3">
        <v>0.1616985</v>
      </c>
    </row>
    <row r="3861" spans="1:12" x14ac:dyDescent="0.25">
      <c r="A3861" t="s">
        <v>4035</v>
      </c>
      <c r="B3861" t="s">
        <v>4036</v>
      </c>
      <c r="I3861" t="s">
        <v>1768</v>
      </c>
      <c r="J3861" s="3">
        <v>-6.4883350000000006E-2</v>
      </c>
      <c r="K3861" s="3">
        <v>7.7083680000000002E-2</v>
      </c>
      <c r="L3861" s="3">
        <v>-0.428983</v>
      </c>
    </row>
    <row r="3862" spans="1:12" x14ac:dyDescent="0.25">
      <c r="A3862" t="s">
        <v>4034</v>
      </c>
      <c r="B3862" t="s">
        <v>957</v>
      </c>
      <c r="I3862" t="s">
        <v>455</v>
      </c>
      <c r="J3862" s="3">
        <v>-8.2018030000000006E-2</v>
      </c>
      <c r="K3862" s="3">
        <v>1.000298E-2</v>
      </c>
      <c r="L3862" s="3">
        <v>4.6877210000000002E-2</v>
      </c>
    </row>
    <row r="3863" spans="1:12" x14ac:dyDescent="0.25">
      <c r="A3863" t="s">
        <v>4033</v>
      </c>
      <c r="B3863" t="s">
        <v>957</v>
      </c>
      <c r="I3863" t="s">
        <v>455</v>
      </c>
      <c r="J3863" s="3">
        <v>0.66397649999999997</v>
      </c>
      <c r="K3863" s="3">
        <v>1.4712970000000001</v>
      </c>
      <c r="L3863" s="3">
        <v>0.88440030000000003</v>
      </c>
    </row>
    <row r="3864" spans="1:12" x14ac:dyDescent="0.25">
      <c r="A3864" t="s">
        <v>4030</v>
      </c>
      <c r="B3864" t="s">
        <v>4031</v>
      </c>
      <c r="I3864" t="s">
        <v>4032</v>
      </c>
      <c r="J3864" s="3">
        <v>-7.6696280000000006E-2</v>
      </c>
      <c r="K3864" s="3">
        <v>-2.6238879999999999E-2</v>
      </c>
      <c r="L3864" s="3">
        <v>-5.668488E-2</v>
      </c>
    </row>
    <row r="3865" spans="1:12" x14ac:dyDescent="0.25">
      <c r="A3865" t="s">
        <v>4027</v>
      </c>
      <c r="B3865" t="s">
        <v>4028</v>
      </c>
      <c r="I3865" t="s">
        <v>4029</v>
      </c>
      <c r="J3865" s="3">
        <v>0.91397399999999995</v>
      </c>
      <c r="K3865" s="3">
        <v>0.57663909999999996</v>
      </c>
      <c r="L3865" s="3">
        <v>0.77947080000000002</v>
      </c>
    </row>
    <row r="3866" spans="1:12" x14ac:dyDescent="0.25">
      <c r="A3866" t="s">
        <v>4024</v>
      </c>
      <c r="B3866" t="s">
        <v>4025</v>
      </c>
      <c r="I3866" t="s">
        <v>4026</v>
      </c>
      <c r="J3866" s="3">
        <v>-0.42304199999999997</v>
      </c>
      <c r="K3866" s="3">
        <v>-0.69560109999999997</v>
      </c>
      <c r="L3866" s="3">
        <v>-0.29133550000000003</v>
      </c>
    </row>
    <row r="3867" spans="1:12" x14ac:dyDescent="0.25">
      <c r="A3867" t="s">
        <v>4021</v>
      </c>
      <c r="B3867" t="s">
        <v>4022</v>
      </c>
      <c r="I3867" t="s">
        <v>4023</v>
      </c>
      <c r="J3867" s="3">
        <v>9.4342929999999998E-3</v>
      </c>
      <c r="K3867" s="3">
        <v>0.49289949999999999</v>
      </c>
      <c r="L3867" s="3">
        <v>0.14875140000000001</v>
      </c>
    </row>
    <row r="3868" spans="1:12" x14ac:dyDescent="0.25">
      <c r="A3868" t="s">
        <v>4018</v>
      </c>
      <c r="B3868" t="s">
        <v>4019</v>
      </c>
      <c r="I3868" t="s">
        <v>4020</v>
      </c>
      <c r="J3868" s="3">
        <v>-0.39783570000000001</v>
      </c>
      <c r="K3868" s="3">
        <v>-0.85809400000000002</v>
      </c>
      <c r="L3868" s="3">
        <v>-0.59538979999999997</v>
      </c>
    </row>
    <row r="3869" spans="1:12" x14ac:dyDescent="0.25">
      <c r="A3869" t="s">
        <v>5058</v>
      </c>
      <c r="B3869" t="s">
        <v>5059</v>
      </c>
      <c r="I3869" t="s">
        <v>4017</v>
      </c>
      <c r="J3869" s="3">
        <v>-7.0835609999999993E-2</v>
      </c>
      <c r="K3869" s="3">
        <v>0.23345550000000001</v>
      </c>
      <c r="L3869" s="3">
        <v>-0.185558</v>
      </c>
    </row>
    <row r="3870" spans="1:12" x14ac:dyDescent="0.25">
      <c r="A3870" t="s">
        <v>5055</v>
      </c>
      <c r="B3870" t="s">
        <v>5056</v>
      </c>
      <c r="I3870" t="s">
        <v>5057</v>
      </c>
      <c r="J3870" s="3">
        <v>0.15263109999999999</v>
      </c>
      <c r="K3870" s="3">
        <v>-2.9814690000000001E-2</v>
      </c>
      <c r="L3870" s="3">
        <v>2.4596179999999999E-2</v>
      </c>
    </row>
    <row r="3871" spans="1:12" x14ac:dyDescent="0.25">
      <c r="A3871" t="s">
        <v>5054</v>
      </c>
      <c r="B3871" t="s">
        <v>957</v>
      </c>
      <c r="I3871" t="s">
        <v>823</v>
      </c>
      <c r="J3871" s="3">
        <v>0.57301550000000001</v>
      </c>
      <c r="K3871" s="3">
        <v>5.7346340000000003E-2</v>
      </c>
      <c r="L3871" s="3">
        <v>0.58381530000000004</v>
      </c>
    </row>
    <row r="3872" spans="1:12" x14ac:dyDescent="0.25">
      <c r="A3872" t="s">
        <v>5053</v>
      </c>
      <c r="B3872" t="s">
        <v>957</v>
      </c>
      <c r="I3872" t="s">
        <v>455</v>
      </c>
      <c r="J3872" s="3">
        <v>0.1094092</v>
      </c>
      <c r="K3872" s="3">
        <v>-0.44840279999999999</v>
      </c>
      <c r="L3872" s="3">
        <v>-6.043693E-2</v>
      </c>
    </row>
    <row r="3873" spans="1:12" x14ac:dyDescent="0.25">
      <c r="A3873" t="s">
        <v>5052</v>
      </c>
      <c r="B3873" t="s">
        <v>957</v>
      </c>
      <c r="I3873" t="s">
        <v>455</v>
      </c>
      <c r="J3873" s="3">
        <v>-0.39419789999999999</v>
      </c>
      <c r="K3873" s="3">
        <v>7.7499419999999999E-2</v>
      </c>
      <c r="L3873" s="3">
        <v>-5.6321080000000003E-3</v>
      </c>
    </row>
    <row r="3874" spans="1:12" x14ac:dyDescent="0.25">
      <c r="A3874" t="s">
        <v>5049</v>
      </c>
      <c r="B3874" t="s">
        <v>5050</v>
      </c>
      <c r="I3874" t="s">
        <v>5051</v>
      </c>
      <c r="J3874" s="3">
        <v>0.2364009</v>
      </c>
      <c r="K3874" s="3">
        <v>0.22722990000000001</v>
      </c>
      <c r="L3874" s="3">
        <v>0.14107069999999999</v>
      </c>
    </row>
    <row r="3875" spans="1:12" x14ac:dyDescent="0.25">
      <c r="A3875" t="s">
        <v>5046</v>
      </c>
      <c r="B3875" t="s">
        <v>5047</v>
      </c>
      <c r="I3875" t="s">
        <v>5048</v>
      </c>
      <c r="J3875" s="3">
        <v>-9.450588E-2</v>
      </c>
      <c r="K3875" s="3">
        <v>0.33191110000000001</v>
      </c>
      <c r="L3875" s="3">
        <v>-8.0110609999999999E-2</v>
      </c>
    </row>
    <row r="3876" spans="1:12" x14ac:dyDescent="0.25">
      <c r="A3876" t="s">
        <v>5045</v>
      </c>
      <c r="B3876" t="s">
        <v>957</v>
      </c>
      <c r="I3876" t="s">
        <v>205</v>
      </c>
      <c r="J3876" s="3">
        <v>0.1192062</v>
      </c>
      <c r="K3876" s="3">
        <v>0.94213429999999998</v>
      </c>
      <c r="L3876" s="3">
        <v>0.63169339999999996</v>
      </c>
    </row>
    <row r="3877" spans="1:12" x14ac:dyDescent="0.25">
      <c r="A3877" t="s">
        <v>3990</v>
      </c>
      <c r="B3877" t="s">
        <v>14086</v>
      </c>
      <c r="C3877" t="s">
        <v>14087</v>
      </c>
      <c r="D3877" t="s">
        <v>14088</v>
      </c>
      <c r="E3877" t="s">
        <v>14089</v>
      </c>
      <c r="F3877" t="s">
        <v>14090</v>
      </c>
      <c r="I3877" t="s">
        <v>5044</v>
      </c>
      <c r="J3877" s="3">
        <v>-0.32482490000000003</v>
      </c>
      <c r="K3877" s="3">
        <v>0.33422550000000001</v>
      </c>
      <c r="L3877" s="3">
        <v>0.42306539999999998</v>
      </c>
    </row>
    <row r="3878" spans="1:12" x14ac:dyDescent="0.25">
      <c r="A3878" t="s">
        <v>5007</v>
      </c>
      <c r="B3878" t="s">
        <v>14102</v>
      </c>
      <c r="C3878" t="s">
        <v>14104</v>
      </c>
      <c r="D3878" t="s">
        <v>14105</v>
      </c>
      <c r="E3878" t="s">
        <v>14106</v>
      </c>
      <c r="F3878" t="s">
        <v>14107</v>
      </c>
      <c r="G3878" t="s">
        <v>14108</v>
      </c>
      <c r="I3878" t="s">
        <v>3989</v>
      </c>
      <c r="J3878" s="3">
        <v>-0.1052505</v>
      </c>
      <c r="K3878" s="3">
        <v>6.4295340000000006E-2</v>
      </c>
      <c r="L3878" s="3">
        <v>0.12662000000000001</v>
      </c>
    </row>
    <row r="3879" spans="1:12" x14ac:dyDescent="0.25">
      <c r="A3879" t="s">
        <v>5006</v>
      </c>
      <c r="B3879" t="s">
        <v>957</v>
      </c>
      <c r="I3879" t="s">
        <v>453</v>
      </c>
      <c r="J3879" s="3">
        <v>-0.72456810000000005</v>
      </c>
      <c r="K3879" s="3">
        <v>-0.2081394</v>
      </c>
      <c r="L3879" s="3">
        <v>-0.34077279999999999</v>
      </c>
    </row>
    <row r="3880" spans="1:12" x14ac:dyDescent="0.25">
      <c r="A3880" t="s">
        <v>5003</v>
      </c>
      <c r="B3880" t="s">
        <v>5004</v>
      </c>
      <c r="I3880" t="s">
        <v>5005</v>
      </c>
      <c r="J3880" s="3">
        <v>-9.4682619999999999E-3</v>
      </c>
      <c r="K3880" s="3">
        <v>-0.1150916</v>
      </c>
      <c r="L3880" s="3">
        <v>6.6151459999999995E-2</v>
      </c>
    </row>
    <row r="3881" spans="1:12" x14ac:dyDescent="0.25">
      <c r="A3881" t="s">
        <v>5002</v>
      </c>
      <c r="B3881" t="s">
        <v>957</v>
      </c>
      <c r="I3881" t="s">
        <v>455</v>
      </c>
      <c r="J3881" s="3">
        <v>0.16456280000000001</v>
      </c>
      <c r="K3881" s="3">
        <v>-0.11025550000000001</v>
      </c>
      <c r="L3881" s="3">
        <v>-3.7262660000000003E-2</v>
      </c>
    </row>
    <row r="3882" spans="1:12" x14ac:dyDescent="0.25">
      <c r="A3882" t="s">
        <v>5001</v>
      </c>
      <c r="B3882" t="s">
        <v>957</v>
      </c>
      <c r="I3882" t="s">
        <v>455</v>
      </c>
      <c r="J3882" s="3">
        <v>0.37406590000000001</v>
      </c>
      <c r="K3882" s="3">
        <v>0.84651560000000003</v>
      </c>
      <c r="L3882" s="3">
        <v>0.41824800000000001</v>
      </c>
    </row>
    <row r="3883" spans="1:12" x14ac:dyDescent="0.25">
      <c r="A3883" t="s">
        <v>4998</v>
      </c>
      <c r="B3883" t="s">
        <v>4999</v>
      </c>
      <c r="I3883" t="s">
        <v>5000</v>
      </c>
      <c r="J3883" s="3">
        <v>0.11905060000000001</v>
      </c>
      <c r="K3883" s="3">
        <v>0.24163090000000001</v>
      </c>
      <c r="L3883" s="3">
        <v>0.14920040000000001</v>
      </c>
    </row>
    <row r="3884" spans="1:12" x14ac:dyDescent="0.25">
      <c r="A3884" t="s">
        <v>4995</v>
      </c>
      <c r="B3884" t="s">
        <v>4996</v>
      </c>
      <c r="I3884" t="s">
        <v>4997</v>
      </c>
      <c r="J3884" s="3">
        <v>-0.21473300000000001</v>
      </c>
      <c r="K3884" s="3">
        <v>-0.43310989999999999</v>
      </c>
      <c r="L3884" s="3">
        <v>-0.66636260000000003</v>
      </c>
    </row>
    <row r="3885" spans="1:12" x14ac:dyDescent="0.25">
      <c r="A3885" t="s">
        <v>4992</v>
      </c>
      <c r="B3885" t="s">
        <v>4993</v>
      </c>
      <c r="I3885" t="s">
        <v>4994</v>
      </c>
      <c r="J3885" s="3">
        <v>1.8584159999999999E-2</v>
      </c>
      <c r="K3885" s="3">
        <v>-0.67889310000000003</v>
      </c>
      <c r="L3885" s="3">
        <v>-0.26595540000000001</v>
      </c>
    </row>
    <row r="3886" spans="1:12" x14ac:dyDescent="0.25">
      <c r="A3886" t="s">
        <v>4991</v>
      </c>
      <c r="B3886" t="s">
        <v>957</v>
      </c>
      <c r="I3886" t="s">
        <v>1973</v>
      </c>
      <c r="J3886" s="3">
        <v>0.43169479999999999</v>
      </c>
      <c r="K3886" s="3">
        <v>0.80487160000000002</v>
      </c>
      <c r="L3886" s="3">
        <v>0.41846749999999999</v>
      </c>
    </row>
    <row r="3887" spans="1:12" x14ac:dyDescent="0.25">
      <c r="A3887" t="s">
        <v>4988</v>
      </c>
      <c r="B3887" t="s">
        <v>4989</v>
      </c>
      <c r="I3887" t="s">
        <v>4990</v>
      </c>
      <c r="J3887" s="3">
        <v>-0.32093670000000002</v>
      </c>
      <c r="K3887" s="3">
        <v>-0.91173029999999999</v>
      </c>
      <c r="L3887" s="3">
        <v>-0.58047199999999999</v>
      </c>
    </row>
    <row r="3888" spans="1:12" x14ac:dyDescent="0.25">
      <c r="A3888" t="s">
        <v>4985</v>
      </c>
      <c r="B3888" t="s">
        <v>4986</v>
      </c>
      <c r="I3888" t="s">
        <v>4987</v>
      </c>
      <c r="J3888" s="3">
        <v>0.82073339999999995</v>
      </c>
      <c r="K3888" s="3">
        <v>0.20374890000000001</v>
      </c>
      <c r="L3888" s="3">
        <v>1.1547499999999999</v>
      </c>
    </row>
    <row r="3889" spans="1:12" x14ac:dyDescent="0.25">
      <c r="A3889" t="s">
        <v>4983</v>
      </c>
      <c r="B3889" t="s">
        <v>4984</v>
      </c>
      <c r="I3889" t="s">
        <v>593</v>
      </c>
      <c r="J3889" s="3">
        <v>-1.204539</v>
      </c>
      <c r="K3889" s="3">
        <v>-1.2399119999999999</v>
      </c>
      <c r="L3889" s="3">
        <v>-0.91826019999999997</v>
      </c>
    </row>
    <row r="3890" spans="1:12" x14ac:dyDescent="0.25">
      <c r="A3890" t="s">
        <v>4980</v>
      </c>
      <c r="B3890" t="s">
        <v>4981</v>
      </c>
      <c r="I3890" t="s">
        <v>4982</v>
      </c>
      <c r="J3890" s="3">
        <v>-0.52949429999999997</v>
      </c>
      <c r="K3890" s="3">
        <v>-0.92361479999999996</v>
      </c>
      <c r="L3890" s="3">
        <v>-0.49562329999999999</v>
      </c>
    </row>
    <row r="3891" spans="1:12" x14ac:dyDescent="0.25">
      <c r="A3891" t="s">
        <v>4979</v>
      </c>
      <c r="B3891" t="s">
        <v>957</v>
      </c>
      <c r="I3891" t="s">
        <v>455</v>
      </c>
      <c r="J3891" s="3">
        <v>0.1203005</v>
      </c>
      <c r="K3891" s="3">
        <v>-0.11516419999999999</v>
      </c>
      <c r="L3891" s="3">
        <v>0.1812705</v>
      </c>
    </row>
    <row r="3892" spans="1:12" x14ac:dyDescent="0.25">
      <c r="A3892" t="s">
        <v>4976</v>
      </c>
      <c r="B3892" t="s">
        <v>4977</v>
      </c>
      <c r="I3892" t="s">
        <v>4978</v>
      </c>
      <c r="J3892" s="3">
        <v>2.1915859999999999E-2</v>
      </c>
      <c r="K3892" s="3">
        <v>-9.0401119999999995E-3</v>
      </c>
      <c r="L3892" s="3">
        <v>8.5823440000000001E-2</v>
      </c>
    </row>
    <row r="3893" spans="1:12" x14ac:dyDescent="0.25">
      <c r="A3893" t="s">
        <v>4973</v>
      </c>
      <c r="B3893" t="s">
        <v>4974</v>
      </c>
      <c r="I3893" t="s">
        <v>4975</v>
      </c>
      <c r="J3893" s="3">
        <v>0.7593801</v>
      </c>
      <c r="K3893" s="3">
        <v>1.133969</v>
      </c>
      <c r="L3893" s="3">
        <v>0.53230980000000006</v>
      </c>
    </row>
    <row r="3894" spans="1:12" x14ac:dyDescent="0.25">
      <c r="A3894" t="s">
        <v>4970</v>
      </c>
      <c r="B3894" t="s">
        <v>4971</v>
      </c>
      <c r="I3894" t="s">
        <v>4972</v>
      </c>
      <c r="J3894" s="3">
        <v>-4.2925320000000003E-2</v>
      </c>
      <c r="K3894" s="3">
        <v>-0.51452810000000004</v>
      </c>
      <c r="L3894" s="3">
        <v>0.26521230000000001</v>
      </c>
    </row>
    <row r="3895" spans="1:12" x14ac:dyDescent="0.25">
      <c r="A3895" t="s">
        <v>4967</v>
      </c>
      <c r="B3895" t="s">
        <v>4968</v>
      </c>
      <c r="I3895" t="s">
        <v>4969</v>
      </c>
      <c r="J3895" s="3">
        <v>-4.6009229999999998E-2</v>
      </c>
      <c r="K3895" s="3">
        <v>-0.27371240000000002</v>
      </c>
      <c r="L3895" s="3">
        <v>-2.7500000000000001E-5</v>
      </c>
    </row>
    <row r="3896" spans="1:12" x14ac:dyDescent="0.25">
      <c r="A3896" t="s">
        <v>4964</v>
      </c>
      <c r="B3896" t="s">
        <v>4965</v>
      </c>
      <c r="I3896" t="s">
        <v>4966</v>
      </c>
      <c r="J3896" s="3">
        <v>-0.27277319999999999</v>
      </c>
      <c r="K3896" s="3">
        <v>-0.54566049999999999</v>
      </c>
      <c r="L3896" s="3">
        <v>-0.50497519999999996</v>
      </c>
    </row>
    <row r="3897" spans="1:12" x14ac:dyDescent="0.25">
      <c r="A3897" t="s">
        <v>4961</v>
      </c>
      <c r="B3897" t="s">
        <v>4962</v>
      </c>
      <c r="I3897" t="s">
        <v>4963</v>
      </c>
      <c r="J3897" s="3">
        <v>0.26424229999999999</v>
      </c>
      <c r="K3897" s="3">
        <v>-0.1186213</v>
      </c>
      <c r="L3897" s="3">
        <v>-7.0379730000000001E-2</v>
      </c>
    </row>
    <row r="3898" spans="1:12" x14ac:dyDescent="0.25">
      <c r="A3898" t="s">
        <v>4960</v>
      </c>
      <c r="B3898" t="s">
        <v>957</v>
      </c>
      <c r="I3898" t="s">
        <v>455</v>
      </c>
      <c r="J3898" s="3">
        <v>0.42272120000000002</v>
      </c>
      <c r="K3898" s="3">
        <v>1.650331</v>
      </c>
      <c r="L3898" s="3">
        <v>0.22729469999999999</v>
      </c>
    </row>
    <row r="3899" spans="1:12" x14ac:dyDescent="0.25">
      <c r="A3899" t="s">
        <v>4957</v>
      </c>
      <c r="B3899" t="s">
        <v>4958</v>
      </c>
      <c r="I3899" t="s">
        <v>4959</v>
      </c>
      <c r="J3899" s="3">
        <v>-3.5520589999999998E-2</v>
      </c>
      <c r="K3899" s="3">
        <v>0.36695889999999998</v>
      </c>
      <c r="L3899" s="3">
        <v>7.7564610000000006E-2</v>
      </c>
    </row>
    <row r="3900" spans="1:12" x14ac:dyDescent="0.25">
      <c r="A3900" t="s">
        <v>4956</v>
      </c>
      <c r="B3900" t="s">
        <v>957</v>
      </c>
      <c r="I3900" t="s">
        <v>455</v>
      </c>
      <c r="J3900" s="3">
        <v>-0.1118333</v>
      </c>
      <c r="K3900" s="3">
        <v>-0.2384482</v>
      </c>
      <c r="L3900" s="3">
        <v>-0.3549909</v>
      </c>
    </row>
    <row r="3901" spans="1:12" x14ac:dyDescent="0.25">
      <c r="A3901" t="s">
        <v>4953</v>
      </c>
      <c r="B3901" t="s">
        <v>4954</v>
      </c>
      <c r="I3901" t="s">
        <v>4955</v>
      </c>
      <c r="J3901" s="3">
        <v>-0.19879479999999999</v>
      </c>
      <c r="K3901" s="3">
        <v>-0.37933630000000002</v>
      </c>
      <c r="L3901" s="3">
        <v>-0.22223209999999999</v>
      </c>
    </row>
    <row r="3902" spans="1:12" x14ac:dyDescent="0.25">
      <c r="A3902" t="s">
        <v>4950</v>
      </c>
      <c r="B3902" t="s">
        <v>4951</v>
      </c>
      <c r="I3902" t="s">
        <v>4952</v>
      </c>
      <c r="J3902" s="3">
        <v>7.259931E-2</v>
      </c>
      <c r="K3902" s="3">
        <v>0.66794640000000005</v>
      </c>
      <c r="L3902" s="3">
        <v>2.4383819999999998E-3</v>
      </c>
    </row>
    <row r="3903" spans="1:12" x14ac:dyDescent="0.25">
      <c r="A3903" t="s">
        <v>4949</v>
      </c>
      <c r="B3903" t="s">
        <v>957</v>
      </c>
      <c r="I3903" t="s">
        <v>2</v>
      </c>
      <c r="J3903" s="3">
        <v>0.2536273</v>
      </c>
      <c r="K3903" s="3">
        <v>0.81655359999999999</v>
      </c>
      <c r="L3903" s="3">
        <v>0.35014990000000001</v>
      </c>
    </row>
    <row r="3904" spans="1:12" x14ac:dyDescent="0.25">
      <c r="A3904" t="s">
        <v>4947</v>
      </c>
      <c r="B3904" t="s">
        <v>14171</v>
      </c>
      <c r="C3904" t="s">
        <v>14172</v>
      </c>
      <c r="I3904" t="s">
        <v>4948</v>
      </c>
      <c r="J3904" s="3">
        <v>0.34666740000000001</v>
      </c>
      <c r="K3904" s="3">
        <v>-9.1728820000000003E-2</v>
      </c>
      <c r="L3904" s="3">
        <v>0.2037593</v>
      </c>
    </row>
    <row r="3905" spans="1:12" x14ac:dyDescent="0.25">
      <c r="A3905" t="s">
        <v>4944</v>
      </c>
      <c r="B3905" t="s">
        <v>4945</v>
      </c>
      <c r="I3905" t="s">
        <v>4946</v>
      </c>
      <c r="J3905" s="3">
        <v>-0.5142504</v>
      </c>
      <c r="K3905" s="3">
        <v>-0.87032240000000005</v>
      </c>
      <c r="L3905" s="3">
        <v>-0.76385400000000003</v>
      </c>
    </row>
    <row r="3906" spans="1:12" x14ac:dyDescent="0.25">
      <c r="A3906" t="s">
        <v>4942</v>
      </c>
      <c r="B3906" t="s">
        <v>14173</v>
      </c>
      <c r="C3906" t="s">
        <v>14174</v>
      </c>
      <c r="I3906" t="s">
        <v>4943</v>
      </c>
      <c r="J3906" s="3">
        <v>0.69190110000000005</v>
      </c>
      <c r="K3906" s="3">
        <v>0.24173610000000001</v>
      </c>
      <c r="L3906" s="3">
        <v>0.70160199999999995</v>
      </c>
    </row>
    <row r="3907" spans="1:12" x14ac:dyDescent="0.25">
      <c r="A3907" t="s">
        <v>4939</v>
      </c>
      <c r="B3907" t="s">
        <v>4940</v>
      </c>
      <c r="I3907" t="s">
        <v>4941</v>
      </c>
      <c r="J3907" s="3">
        <v>-0.23133429999999999</v>
      </c>
      <c r="K3907" s="3">
        <v>0.34540510000000002</v>
      </c>
      <c r="L3907" s="3">
        <v>0.58381559999999999</v>
      </c>
    </row>
    <row r="3908" spans="1:12" x14ac:dyDescent="0.25">
      <c r="A3908" t="s">
        <v>4936</v>
      </c>
      <c r="B3908" t="s">
        <v>4937</v>
      </c>
      <c r="I3908" t="s">
        <v>4938</v>
      </c>
      <c r="J3908" s="3">
        <v>0.16960720000000001</v>
      </c>
      <c r="K3908" s="3">
        <v>0.26400230000000002</v>
      </c>
      <c r="L3908" s="3">
        <v>0.2083218</v>
      </c>
    </row>
    <row r="3909" spans="1:12" x14ac:dyDescent="0.25">
      <c r="A3909" t="s">
        <v>4933</v>
      </c>
      <c r="B3909" t="s">
        <v>4934</v>
      </c>
      <c r="I3909" t="s">
        <v>4935</v>
      </c>
      <c r="J3909" s="3">
        <v>0.28378310000000001</v>
      </c>
      <c r="K3909" s="3">
        <v>0.70174820000000004</v>
      </c>
      <c r="L3909" s="3">
        <v>0.36769180000000001</v>
      </c>
    </row>
    <row r="3910" spans="1:12" x14ac:dyDescent="0.25">
      <c r="A3910" t="s">
        <v>4932</v>
      </c>
      <c r="B3910" t="s">
        <v>957</v>
      </c>
      <c r="I3910" t="s">
        <v>455</v>
      </c>
      <c r="J3910" s="3">
        <v>-0.52467759999999997</v>
      </c>
      <c r="K3910" s="3">
        <v>-1.145133</v>
      </c>
      <c r="L3910" s="3">
        <v>-0.28189530000000002</v>
      </c>
    </row>
    <row r="3911" spans="1:12" x14ac:dyDescent="0.25">
      <c r="A3911" t="s">
        <v>4929</v>
      </c>
      <c r="B3911" t="s">
        <v>4930</v>
      </c>
      <c r="I3911" t="s">
        <v>4931</v>
      </c>
      <c r="J3911" s="3">
        <v>-0.28403420000000001</v>
      </c>
      <c r="K3911" s="3">
        <v>-0.29992439999999998</v>
      </c>
      <c r="L3911" s="3">
        <v>-0.22405340000000001</v>
      </c>
    </row>
    <row r="3912" spans="1:12" x14ac:dyDescent="0.25">
      <c r="A3912" t="s">
        <v>4926</v>
      </c>
      <c r="B3912" t="s">
        <v>4927</v>
      </c>
      <c r="I3912" t="s">
        <v>4928</v>
      </c>
      <c r="J3912" s="3">
        <v>6.09998E-2</v>
      </c>
      <c r="K3912" s="3">
        <v>-4.4474270000000003E-2</v>
      </c>
      <c r="L3912" s="3">
        <v>-0.20852200000000001</v>
      </c>
    </row>
    <row r="3913" spans="1:12" x14ac:dyDescent="0.25">
      <c r="A3913" t="s">
        <v>4923</v>
      </c>
      <c r="B3913" t="s">
        <v>4924</v>
      </c>
      <c r="I3913" t="s">
        <v>4925</v>
      </c>
      <c r="J3913" s="3">
        <v>-1.1396649999999999</v>
      </c>
      <c r="K3913" s="3">
        <v>-1.0046930000000001</v>
      </c>
      <c r="L3913" s="3">
        <v>-0.95868799999999998</v>
      </c>
    </row>
    <row r="3914" spans="1:12" x14ac:dyDescent="0.25">
      <c r="A3914" t="s">
        <v>4920</v>
      </c>
      <c r="B3914" t="s">
        <v>4921</v>
      </c>
      <c r="I3914" t="s">
        <v>4922</v>
      </c>
      <c r="J3914" s="3">
        <v>0.3078574</v>
      </c>
      <c r="K3914" s="3">
        <v>4.2564579999999998E-2</v>
      </c>
      <c r="L3914" s="3">
        <v>0.24940190000000001</v>
      </c>
    </row>
    <row r="3915" spans="1:12" x14ac:dyDescent="0.25">
      <c r="A3915" t="s">
        <v>4919</v>
      </c>
      <c r="B3915" t="s">
        <v>957</v>
      </c>
      <c r="I3915" t="s">
        <v>455</v>
      </c>
      <c r="J3915" s="3">
        <v>0.1105579</v>
      </c>
      <c r="K3915" s="3">
        <v>0.4124949</v>
      </c>
      <c r="L3915" s="3">
        <v>0.11594260000000001</v>
      </c>
    </row>
    <row r="3916" spans="1:12" x14ac:dyDescent="0.25">
      <c r="A3916" t="s">
        <v>4918</v>
      </c>
      <c r="B3916" t="s">
        <v>957</v>
      </c>
      <c r="I3916" t="s">
        <v>455</v>
      </c>
      <c r="J3916" s="3">
        <v>-7.1661370000000002E-2</v>
      </c>
      <c r="K3916" s="3">
        <v>-0.1902942</v>
      </c>
      <c r="L3916" s="3">
        <v>-0.22232959999999999</v>
      </c>
    </row>
    <row r="3917" spans="1:12" x14ac:dyDescent="0.25">
      <c r="A3917" t="s">
        <v>4915</v>
      </c>
      <c r="B3917" t="s">
        <v>4916</v>
      </c>
      <c r="I3917" t="s">
        <v>4917</v>
      </c>
      <c r="J3917" s="3">
        <v>0.92305649999999995</v>
      </c>
      <c r="K3917" s="3">
        <v>0.48417700000000002</v>
      </c>
      <c r="L3917" s="3">
        <v>0.59730019999999995</v>
      </c>
    </row>
    <row r="3918" spans="1:12" x14ac:dyDescent="0.25">
      <c r="A3918" t="s">
        <v>3855</v>
      </c>
      <c r="B3918" t="s">
        <v>3856</v>
      </c>
      <c r="I3918" t="s">
        <v>4914</v>
      </c>
      <c r="J3918" s="3">
        <v>-8.0154929999999999E-2</v>
      </c>
      <c r="K3918" s="3">
        <v>-0.27194099999999999</v>
      </c>
      <c r="L3918" s="3">
        <v>2.9402069999999999E-2</v>
      </c>
    </row>
    <row r="3919" spans="1:12" x14ac:dyDescent="0.25">
      <c r="A3919" t="s">
        <v>3852</v>
      </c>
      <c r="B3919" t="s">
        <v>3853</v>
      </c>
      <c r="I3919" t="s">
        <v>3854</v>
      </c>
      <c r="J3919" s="3">
        <v>-0.69284389999999996</v>
      </c>
      <c r="K3919" s="3">
        <v>-0.71549759999999996</v>
      </c>
      <c r="L3919" s="3">
        <v>-0.77790999999999999</v>
      </c>
    </row>
    <row r="3920" spans="1:12" x14ac:dyDescent="0.25">
      <c r="A3920" t="s">
        <v>3849</v>
      </c>
      <c r="B3920" t="s">
        <v>3850</v>
      </c>
      <c r="I3920" t="s">
        <v>3851</v>
      </c>
      <c r="J3920" s="3">
        <v>-0.52399430000000002</v>
      </c>
      <c r="K3920" s="3">
        <v>-0.47107009999999999</v>
      </c>
      <c r="L3920" s="3">
        <v>-0.81886159999999997</v>
      </c>
    </row>
    <row r="3921" spans="1:12" x14ac:dyDescent="0.25">
      <c r="A3921" t="s">
        <v>3846</v>
      </c>
      <c r="B3921" t="s">
        <v>3847</v>
      </c>
      <c r="I3921" t="s">
        <v>3848</v>
      </c>
      <c r="J3921" s="3">
        <v>0.37032959999999998</v>
      </c>
      <c r="K3921" s="3">
        <v>-0.3299724</v>
      </c>
      <c r="L3921" s="3">
        <v>0.12753819999999999</v>
      </c>
    </row>
    <row r="3922" spans="1:12" x14ac:dyDescent="0.25">
      <c r="A3922" t="s">
        <v>3843</v>
      </c>
      <c r="B3922" t="s">
        <v>3844</v>
      </c>
      <c r="I3922" t="s">
        <v>3845</v>
      </c>
      <c r="J3922" s="3">
        <v>-0.2160511</v>
      </c>
      <c r="K3922" s="3">
        <v>-1.2187430000000001E-2</v>
      </c>
      <c r="L3922" s="3">
        <v>-3.2644699999999999E-2</v>
      </c>
    </row>
    <row r="3923" spans="1:12" x14ac:dyDescent="0.25">
      <c r="A3923" t="s">
        <v>3840</v>
      </c>
      <c r="B3923" t="s">
        <v>3841</v>
      </c>
      <c r="I3923" t="s">
        <v>3842</v>
      </c>
      <c r="J3923" s="3">
        <v>2.975214E-2</v>
      </c>
      <c r="K3923" s="3">
        <v>0.14723739999999999</v>
      </c>
      <c r="L3923" s="3">
        <v>7.8072420000000003E-2</v>
      </c>
    </row>
    <row r="3924" spans="1:12" x14ac:dyDescent="0.25">
      <c r="A3924" t="s">
        <v>3837</v>
      </c>
      <c r="B3924" t="s">
        <v>3838</v>
      </c>
      <c r="I3924" t="s">
        <v>3839</v>
      </c>
      <c r="J3924" s="3">
        <v>0.71950440000000004</v>
      </c>
      <c r="K3924" s="3">
        <v>0.50765539999999998</v>
      </c>
      <c r="L3924" s="3">
        <v>0.41452489999999997</v>
      </c>
    </row>
    <row r="3925" spans="1:12" x14ac:dyDescent="0.25">
      <c r="A3925" t="s">
        <v>3836</v>
      </c>
      <c r="B3925" t="s">
        <v>957</v>
      </c>
      <c r="I3925" t="s">
        <v>455</v>
      </c>
      <c r="J3925" s="3">
        <v>-0.67670379999999997</v>
      </c>
      <c r="K3925" s="3">
        <v>-0.65307570000000004</v>
      </c>
      <c r="L3925" s="3">
        <v>-0.6593156</v>
      </c>
    </row>
    <row r="3926" spans="1:12" x14ac:dyDescent="0.25">
      <c r="A3926" t="s">
        <v>3833</v>
      </c>
      <c r="B3926" t="s">
        <v>3834</v>
      </c>
      <c r="I3926" t="s">
        <v>3835</v>
      </c>
      <c r="J3926" s="3">
        <v>-0.35724860000000003</v>
      </c>
      <c r="K3926" s="3">
        <v>-0.1344949</v>
      </c>
      <c r="L3926" s="3">
        <v>-0.14506910000000001</v>
      </c>
    </row>
    <row r="3927" spans="1:12" x14ac:dyDescent="0.25">
      <c r="A3927" t="s">
        <v>2782</v>
      </c>
      <c r="B3927" t="s">
        <v>2783</v>
      </c>
      <c r="I3927" t="s">
        <v>3832</v>
      </c>
      <c r="J3927" s="3">
        <v>-0.32641809999999999</v>
      </c>
      <c r="K3927" s="3">
        <v>0.78306030000000004</v>
      </c>
      <c r="L3927" s="3">
        <v>0.48620629999999998</v>
      </c>
    </row>
    <row r="3928" spans="1:12" x14ac:dyDescent="0.25">
      <c r="A3928" t="s">
        <v>2781</v>
      </c>
      <c r="B3928" t="s">
        <v>957</v>
      </c>
      <c r="I3928" t="s">
        <v>455</v>
      </c>
      <c r="J3928" s="3">
        <v>9.0360040000000003E-2</v>
      </c>
      <c r="K3928" s="3">
        <v>-0.25233640000000002</v>
      </c>
      <c r="L3928" s="3">
        <v>-1.2761369999999999E-2</v>
      </c>
    </row>
    <row r="3929" spans="1:12" x14ac:dyDescent="0.25">
      <c r="A3929" t="s">
        <v>4874</v>
      </c>
      <c r="B3929" t="s">
        <v>4875</v>
      </c>
      <c r="I3929" t="s">
        <v>2780</v>
      </c>
      <c r="J3929" s="3">
        <v>0.44477620000000001</v>
      </c>
      <c r="K3929" s="3">
        <v>0.15609239999999999</v>
      </c>
      <c r="L3929" s="3">
        <v>0.123929</v>
      </c>
    </row>
    <row r="3930" spans="1:12" x14ac:dyDescent="0.25">
      <c r="A3930" t="s">
        <v>4873</v>
      </c>
      <c r="B3930" t="s">
        <v>957</v>
      </c>
      <c r="I3930" t="s">
        <v>156</v>
      </c>
      <c r="J3930" s="3">
        <v>7.123111E-2</v>
      </c>
      <c r="K3930" s="3">
        <v>0.58890500000000001</v>
      </c>
      <c r="L3930" s="3">
        <v>0.18071100000000001</v>
      </c>
    </row>
    <row r="3931" spans="1:12" x14ac:dyDescent="0.25">
      <c r="A3931" t="s">
        <v>4870</v>
      </c>
      <c r="B3931" t="s">
        <v>4871</v>
      </c>
      <c r="I3931" t="s">
        <v>4872</v>
      </c>
      <c r="J3931" s="3">
        <v>-0.26220549999999998</v>
      </c>
      <c r="K3931" s="3">
        <v>-0.31681090000000001</v>
      </c>
      <c r="L3931" s="3">
        <v>9.2428369999999996E-2</v>
      </c>
    </row>
    <row r="3932" spans="1:12" x14ac:dyDescent="0.25">
      <c r="A3932" t="s">
        <v>4867</v>
      </c>
      <c r="B3932" t="s">
        <v>4868</v>
      </c>
      <c r="I3932" t="s">
        <v>4869</v>
      </c>
      <c r="J3932" s="3">
        <v>-0.48204350000000001</v>
      </c>
      <c r="K3932" s="3">
        <v>0.76987799999999995</v>
      </c>
      <c r="L3932" s="3">
        <v>-4.9129909999999999E-2</v>
      </c>
    </row>
    <row r="3933" spans="1:12" x14ac:dyDescent="0.25">
      <c r="A3933" t="s">
        <v>4864</v>
      </c>
      <c r="B3933" t="s">
        <v>4865</v>
      </c>
      <c r="I3933" t="s">
        <v>4866</v>
      </c>
      <c r="J3933" s="3">
        <v>0.3695543</v>
      </c>
      <c r="K3933" s="3">
        <v>0.43358010000000002</v>
      </c>
      <c r="L3933" s="3">
        <v>9.7260550000000001E-2</v>
      </c>
    </row>
    <row r="3934" spans="1:12" x14ac:dyDescent="0.25">
      <c r="A3934" t="s">
        <v>4861</v>
      </c>
      <c r="B3934" t="s">
        <v>4862</v>
      </c>
      <c r="I3934" t="s">
        <v>4863</v>
      </c>
      <c r="J3934" s="3">
        <v>-0.1560011</v>
      </c>
      <c r="K3934" s="3">
        <v>5.674419E-2</v>
      </c>
      <c r="L3934" s="3">
        <v>-8.7079039999999996E-2</v>
      </c>
    </row>
    <row r="3935" spans="1:12" x14ac:dyDescent="0.25">
      <c r="A3935" t="s">
        <v>3830</v>
      </c>
      <c r="B3935" t="s">
        <v>3831</v>
      </c>
      <c r="I3935" t="s">
        <v>4860</v>
      </c>
      <c r="J3935" s="3">
        <v>-0.33435480000000001</v>
      </c>
      <c r="K3935" s="3">
        <v>0.4658369</v>
      </c>
      <c r="L3935" s="3">
        <v>1.014707</v>
      </c>
    </row>
    <row r="3936" spans="1:12" x14ac:dyDescent="0.25">
      <c r="A3936" t="s">
        <v>3827</v>
      </c>
      <c r="B3936" t="s">
        <v>3828</v>
      </c>
      <c r="I3936" t="s">
        <v>3829</v>
      </c>
      <c r="J3936" s="3">
        <v>-0.14557729999999999</v>
      </c>
      <c r="K3936" s="3">
        <v>-7.4797760000000005E-2</v>
      </c>
      <c r="L3936" s="3">
        <v>9.5530069999999995E-2</v>
      </c>
    </row>
    <row r="3937" spans="1:12" x14ac:dyDescent="0.25">
      <c r="A3937" t="s">
        <v>3824</v>
      </c>
      <c r="B3937" t="s">
        <v>3825</v>
      </c>
      <c r="I3937" t="s">
        <v>3826</v>
      </c>
      <c r="J3937" s="3">
        <v>-0.127469</v>
      </c>
      <c r="K3937" s="3">
        <v>-0.51357810000000004</v>
      </c>
      <c r="L3937" s="3">
        <v>-0.35635299999999998</v>
      </c>
    </row>
    <row r="3938" spans="1:12" x14ac:dyDescent="0.25">
      <c r="A3938" t="s">
        <v>3821</v>
      </c>
      <c r="B3938" t="s">
        <v>3822</v>
      </c>
      <c r="I3938" t="s">
        <v>3823</v>
      </c>
      <c r="J3938" s="3">
        <v>-2.5330600000000002E-2</v>
      </c>
      <c r="K3938" s="3">
        <v>-0.33789950000000002</v>
      </c>
      <c r="L3938" s="3">
        <v>0.1231646</v>
      </c>
    </row>
    <row r="3939" spans="1:12" x14ac:dyDescent="0.25">
      <c r="A3939" t="s">
        <v>3818</v>
      </c>
      <c r="B3939" t="s">
        <v>3819</v>
      </c>
      <c r="I3939" t="s">
        <v>3820</v>
      </c>
      <c r="J3939" s="3">
        <v>-0.22423109999999999</v>
      </c>
      <c r="K3939" s="3">
        <v>-0.81115210000000004</v>
      </c>
      <c r="L3939" s="3">
        <v>-2.3188070000000002E-2</v>
      </c>
    </row>
    <row r="3940" spans="1:12" x14ac:dyDescent="0.25">
      <c r="A3940" t="s">
        <v>3816</v>
      </c>
      <c r="B3940" t="s">
        <v>14232</v>
      </c>
      <c r="C3940" t="s">
        <v>14233</v>
      </c>
      <c r="I3940" t="s">
        <v>3817</v>
      </c>
      <c r="J3940" s="3">
        <v>0.49963800000000003</v>
      </c>
      <c r="K3940" s="3">
        <v>0.17280470000000001</v>
      </c>
      <c r="L3940" s="3">
        <v>0.42637180000000002</v>
      </c>
    </row>
    <row r="3941" spans="1:12" x14ac:dyDescent="0.25">
      <c r="A3941" t="s">
        <v>3813</v>
      </c>
      <c r="B3941" t="s">
        <v>3814</v>
      </c>
      <c r="I3941" t="s">
        <v>3815</v>
      </c>
      <c r="J3941" s="3">
        <v>7.2527380000000002E-2</v>
      </c>
      <c r="K3941" s="3">
        <v>3.2152819999999999E-2</v>
      </c>
      <c r="L3941" s="3">
        <v>0.40783399999999997</v>
      </c>
    </row>
    <row r="3942" spans="1:12" x14ac:dyDescent="0.25">
      <c r="A3942" t="s">
        <v>3810</v>
      </c>
      <c r="B3942" t="s">
        <v>3811</v>
      </c>
      <c r="I3942" t="s">
        <v>3812</v>
      </c>
      <c r="J3942" s="3">
        <v>0.2411954</v>
      </c>
      <c r="K3942" s="3">
        <v>-0.28129900000000002</v>
      </c>
      <c r="L3942" s="3">
        <v>-0.1057328</v>
      </c>
    </row>
    <row r="3943" spans="1:12" x14ac:dyDescent="0.25">
      <c r="A3943" t="s">
        <v>3808</v>
      </c>
      <c r="B3943" t="s">
        <v>3809</v>
      </c>
      <c r="I3943" t="s">
        <v>1033</v>
      </c>
      <c r="J3943" s="3">
        <v>6.9079669999999996E-2</v>
      </c>
      <c r="K3943" s="3">
        <v>0.37148959999999998</v>
      </c>
      <c r="L3943" s="3">
        <v>0.1037448</v>
      </c>
    </row>
    <row r="3944" spans="1:12" x14ac:dyDescent="0.25">
      <c r="A3944" t="s">
        <v>3805</v>
      </c>
      <c r="B3944" t="s">
        <v>3806</v>
      </c>
      <c r="I3944" t="s">
        <v>3807</v>
      </c>
      <c r="J3944" s="3">
        <v>0.16451250000000001</v>
      </c>
      <c r="K3944" s="3">
        <v>0.3975784</v>
      </c>
      <c r="L3944" s="3">
        <v>0.21796479999999999</v>
      </c>
    </row>
    <row r="3945" spans="1:12" x14ac:dyDescent="0.25">
      <c r="A3945" t="s">
        <v>3802</v>
      </c>
      <c r="B3945" t="s">
        <v>3803</v>
      </c>
      <c r="I3945" t="s">
        <v>3804</v>
      </c>
      <c r="J3945" s="3">
        <v>-0.63627869999999997</v>
      </c>
      <c r="K3945" s="3">
        <v>-0.23142689999999999</v>
      </c>
      <c r="L3945" s="3">
        <v>-8.7839260000000002E-2</v>
      </c>
    </row>
    <row r="3946" spans="1:12" x14ac:dyDescent="0.25">
      <c r="A3946" t="s">
        <v>3799</v>
      </c>
      <c r="B3946" t="s">
        <v>3800</v>
      </c>
      <c r="I3946" t="s">
        <v>3801</v>
      </c>
      <c r="J3946" s="3">
        <v>-0.34386489999999997</v>
      </c>
      <c r="K3946" s="3">
        <v>-0.89307420000000004</v>
      </c>
      <c r="L3946" s="3">
        <v>-0.37436249999999999</v>
      </c>
    </row>
    <row r="3947" spans="1:12" x14ac:dyDescent="0.25">
      <c r="A3947" t="s">
        <v>3796</v>
      </c>
      <c r="B3947" t="s">
        <v>3797</v>
      </c>
      <c r="I3947" t="s">
        <v>3798</v>
      </c>
      <c r="J3947" s="3">
        <v>1.1716869999999999</v>
      </c>
      <c r="K3947" s="3">
        <v>1.492634</v>
      </c>
      <c r="L3947" s="3">
        <v>0.81484979999999996</v>
      </c>
    </row>
    <row r="3948" spans="1:12" x14ac:dyDescent="0.25">
      <c r="A3948" t="s">
        <v>3794</v>
      </c>
      <c r="B3948" t="s">
        <v>3795</v>
      </c>
      <c r="I3948" t="s">
        <v>2738</v>
      </c>
      <c r="J3948" s="3">
        <v>0.63562339999999995</v>
      </c>
      <c r="K3948" s="3">
        <v>0.39853050000000001</v>
      </c>
      <c r="L3948" s="3">
        <v>0.80461280000000002</v>
      </c>
    </row>
    <row r="3949" spans="1:12" x14ac:dyDescent="0.25">
      <c r="A3949" t="s">
        <v>3791</v>
      </c>
      <c r="B3949" t="s">
        <v>3792</v>
      </c>
      <c r="I3949" t="s">
        <v>3793</v>
      </c>
      <c r="J3949" s="3">
        <v>0.57782699999999998</v>
      </c>
      <c r="K3949" s="3">
        <v>0.46163359999999998</v>
      </c>
      <c r="L3949" s="3">
        <v>0.60327989999999998</v>
      </c>
    </row>
    <row r="3950" spans="1:12" x14ac:dyDescent="0.25">
      <c r="A3950" t="s">
        <v>3788</v>
      </c>
      <c r="B3950" t="s">
        <v>3789</v>
      </c>
      <c r="I3950" t="s">
        <v>3790</v>
      </c>
      <c r="J3950" s="3">
        <v>0.77268099999999995</v>
      </c>
      <c r="K3950" s="3">
        <v>0.35561179999999998</v>
      </c>
      <c r="L3950" s="3">
        <v>0.7499557</v>
      </c>
    </row>
    <row r="3951" spans="1:12" x14ac:dyDescent="0.25">
      <c r="A3951" t="s">
        <v>3785</v>
      </c>
      <c r="B3951" t="s">
        <v>3786</v>
      </c>
      <c r="I3951" t="s">
        <v>3787</v>
      </c>
      <c r="J3951" s="3">
        <v>0.14452809999999999</v>
      </c>
      <c r="K3951" s="3">
        <v>-0.39189610000000002</v>
      </c>
      <c r="L3951" s="3">
        <v>0.1266217</v>
      </c>
    </row>
    <row r="3952" spans="1:12" x14ac:dyDescent="0.25">
      <c r="A3952" t="s">
        <v>3782</v>
      </c>
      <c r="B3952" t="s">
        <v>3783</v>
      </c>
      <c r="I3952" t="s">
        <v>3784</v>
      </c>
      <c r="J3952" s="3">
        <v>0.55352849999999998</v>
      </c>
      <c r="K3952" s="3">
        <v>0.66523149999999998</v>
      </c>
      <c r="L3952" s="3">
        <v>0.72443500000000005</v>
      </c>
    </row>
    <row r="3953" spans="1:12" x14ac:dyDescent="0.25">
      <c r="A3953" t="s">
        <v>3779</v>
      </c>
      <c r="B3953" t="s">
        <v>3780</v>
      </c>
      <c r="I3953" t="s">
        <v>3781</v>
      </c>
      <c r="J3953" s="3">
        <v>-0.42077890000000001</v>
      </c>
      <c r="K3953" s="3">
        <v>-0.54384140000000003</v>
      </c>
      <c r="L3953" s="3">
        <v>-0.57830979999999998</v>
      </c>
    </row>
    <row r="3954" spans="1:12" x14ac:dyDescent="0.25">
      <c r="A3954" t="s">
        <v>3776</v>
      </c>
      <c r="B3954" t="s">
        <v>3777</v>
      </c>
      <c r="I3954" t="s">
        <v>3778</v>
      </c>
      <c r="J3954" s="3">
        <v>0.42700900000000003</v>
      </c>
      <c r="K3954" s="3">
        <v>0.32128030000000002</v>
      </c>
      <c r="L3954" s="3">
        <v>0.42070390000000002</v>
      </c>
    </row>
    <row r="3955" spans="1:12" x14ac:dyDescent="0.25">
      <c r="A3955" t="s">
        <v>3773</v>
      </c>
      <c r="B3955" t="s">
        <v>3774</v>
      </c>
      <c r="I3955" t="s">
        <v>3775</v>
      </c>
      <c r="J3955" s="3">
        <v>-9.3100859999999994E-2</v>
      </c>
      <c r="K3955" s="3">
        <v>4.0057799999999998E-2</v>
      </c>
      <c r="L3955" s="3">
        <v>-0.1185277</v>
      </c>
    </row>
    <row r="3956" spans="1:12" x14ac:dyDescent="0.25">
      <c r="A3956" t="s">
        <v>3771</v>
      </c>
      <c r="B3956" t="s">
        <v>957</v>
      </c>
      <c r="I3956" t="s">
        <v>3772</v>
      </c>
      <c r="J3956" s="3">
        <v>0.25466499999999997</v>
      </c>
      <c r="K3956" s="3">
        <v>0.20165040000000001</v>
      </c>
      <c r="L3956" s="3">
        <v>0.35370629999999997</v>
      </c>
    </row>
    <row r="3957" spans="1:12" x14ac:dyDescent="0.25">
      <c r="A3957" t="s">
        <v>3768</v>
      </c>
      <c r="B3957" t="s">
        <v>3769</v>
      </c>
      <c r="I3957" t="s">
        <v>3770</v>
      </c>
      <c r="J3957" s="3">
        <v>-0.13678090000000001</v>
      </c>
      <c r="K3957" s="3">
        <v>-1.1362000000000001E-2</v>
      </c>
      <c r="L3957" s="3">
        <v>-0.2660074</v>
      </c>
    </row>
    <row r="3958" spans="1:12" x14ac:dyDescent="0.25">
      <c r="A3958" t="s">
        <v>3765</v>
      </c>
      <c r="B3958" t="s">
        <v>3766</v>
      </c>
      <c r="I3958" t="s">
        <v>3767</v>
      </c>
      <c r="J3958" s="3">
        <v>-0.29043970000000002</v>
      </c>
      <c r="K3958" s="3">
        <v>-0.17332600000000001</v>
      </c>
      <c r="L3958" s="3">
        <v>-0.24543480000000001</v>
      </c>
    </row>
    <row r="3959" spans="1:12" x14ac:dyDescent="0.25">
      <c r="A3959" t="s">
        <v>3764</v>
      </c>
      <c r="B3959" t="s">
        <v>957</v>
      </c>
      <c r="I3959" t="s">
        <v>455</v>
      </c>
      <c r="J3959" s="3">
        <v>-7.7865019999999993E-2</v>
      </c>
      <c r="K3959" s="3">
        <v>-0.18011959999999999</v>
      </c>
      <c r="L3959" s="3">
        <v>-0.34879599999999999</v>
      </c>
    </row>
    <row r="3960" spans="1:12" x14ac:dyDescent="0.25">
      <c r="A3960" t="s">
        <v>3763</v>
      </c>
      <c r="B3960" t="s">
        <v>957</v>
      </c>
      <c r="I3960" t="s">
        <v>455</v>
      </c>
      <c r="J3960" s="3">
        <v>-0.57464720000000002</v>
      </c>
      <c r="K3960" s="3">
        <v>-0.21766089999999999</v>
      </c>
      <c r="L3960" s="3">
        <v>-0.63048769999999998</v>
      </c>
    </row>
    <row r="3961" spans="1:12" x14ac:dyDescent="0.25">
      <c r="A3961" t="s">
        <v>3762</v>
      </c>
      <c r="B3961" t="s">
        <v>957</v>
      </c>
      <c r="I3961" t="s">
        <v>455</v>
      </c>
      <c r="J3961" s="3">
        <v>-0.81695819999999997</v>
      </c>
      <c r="K3961" s="3">
        <v>-0.41776459999999999</v>
      </c>
      <c r="L3961" s="3">
        <v>-0.38000060000000002</v>
      </c>
    </row>
    <row r="3962" spans="1:12" x14ac:dyDescent="0.25">
      <c r="A3962" t="s">
        <v>3759</v>
      </c>
      <c r="B3962" t="s">
        <v>3760</v>
      </c>
      <c r="I3962" t="s">
        <v>3761</v>
      </c>
      <c r="J3962" s="3">
        <v>-0.40374209999999999</v>
      </c>
      <c r="K3962" s="3">
        <v>-0.2204422</v>
      </c>
      <c r="L3962" s="3">
        <v>-4.9067399999999997E-2</v>
      </c>
    </row>
    <row r="3963" spans="1:12" x14ac:dyDescent="0.25">
      <c r="A3963" t="s">
        <v>4798</v>
      </c>
      <c r="B3963" t="s">
        <v>4799</v>
      </c>
      <c r="I3963" t="s">
        <v>3758</v>
      </c>
      <c r="J3963" s="3">
        <v>0.19757050000000001</v>
      </c>
      <c r="K3963" s="3">
        <v>0.72333809999999998</v>
      </c>
      <c r="L3963" s="3">
        <v>0.35716690000000001</v>
      </c>
    </row>
    <row r="3964" spans="1:12" x14ac:dyDescent="0.25">
      <c r="A3964" t="s">
        <v>4797</v>
      </c>
      <c r="B3964" t="s">
        <v>957</v>
      </c>
      <c r="I3964" t="s">
        <v>455</v>
      </c>
      <c r="J3964" s="3">
        <v>-7.7300670000000002E-2</v>
      </c>
      <c r="K3964" s="3">
        <v>-0.4424939</v>
      </c>
      <c r="L3964" s="3">
        <v>-0.42841180000000001</v>
      </c>
    </row>
    <row r="3965" spans="1:12" x14ac:dyDescent="0.25">
      <c r="A3965" t="s">
        <v>4794</v>
      </c>
      <c r="B3965" t="s">
        <v>4795</v>
      </c>
      <c r="I3965" t="s">
        <v>4796</v>
      </c>
      <c r="J3965" s="3">
        <v>-0.4454785</v>
      </c>
      <c r="K3965" s="3">
        <v>-0.59635249999999995</v>
      </c>
      <c r="L3965" s="3">
        <v>-0.44534810000000002</v>
      </c>
    </row>
    <row r="3966" spans="1:12" x14ac:dyDescent="0.25">
      <c r="A3966" t="s">
        <v>4791</v>
      </c>
      <c r="B3966" t="s">
        <v>4792</v>
      </c>
      <c r="I3966" t="s">
        <v>4793</v>
      </c>
      <c r="J3966" s="3">
        <v>-0.66668249999999996</v>
      </c>
      <c r="K3966" s="3">
        <v>-1.155745</v>
      </c>
      <c r="L3966" s="3">
        <v>-1.0189999999999999</v>
      </c>
    </row>
    <row r="3967" spans="1:12" x14ac:dyDescent="0.25">
      <c r="A3967" t="s">
        <v>4788</v>
      </c>
      <c r="B3967" t="s">
        <v>4789</v>
      </c>
      <c r="I3967" t="s">
        <v>4790</v>
      </c>
      <c r="J3967" s="3">
        <v>0.2341222</v>
      </c>
      <c r="K3967" s="3">
        <v>0.3114268</v>
      </c>
      <c r="L3967" s="3">
        <v>0.2417532</v>
      </c>
    </row>
    <row r="3968" spans="1:12" x14ac:dyDescent="0.25">
      <c r="A3968" t="s">
        <v>4786</v>
      </c>
      <c r="B3968" t="s">
        <v>4787</v>
      </c>
      <c r="I3968" t="s">
        <v>4433</v>
      </c>
      <c r="J3968" s="3">
        <v>-0.45388580000000001</v>
      </c>
      <c r="K3968" s="3">
        <v>-0.42169980000000001</v>
      </c>
      <c r="L3968" s="3">
        <v>-0.31392019999999998</v>
      </c>
    </row>
    <row r="3969" spans="1:12" x14ac:dyDescent="0.25">
      <c r="A3969" t="s">
        <v>4784</v>
      </c>
      <c r="B3969" t="s">
        <v>4785</v>
      </c>
      <c r="I3969" t="s">
        <v>2506</v>
      </c>
      <c r="J3969" s="3">
        <v>-0.33740569999999998</v>
      </c>
      <c r="K3969" s="3">
        <v>-0.56933529999999999</v>
      </c>
      <c r="L3969" s="3">
        <v>6.7643700000000001E-2</v>
      </c>
    </row>
    <row r="3970" spans="1:12" x14ac:dyDescent="0.25">
      <c r="A3970" t="s">
        <v>4781</v>
      </c>
      <c r="B3970" t="s">
        <v>4782</v>
      </c>
      <c r="I3970" t="s">
        <v>4783</v>
      </c>
      <c r="J3970" s="3">
        <v>-0.18598290000000001</v>
      </c>
      <c r="K3970" s="3">
        <v>-0.136019</v>
      </c>
      <c r="L3970" s="3">
        <v>-0.12593219999999999</v>
      </c>
    </row>
    <row r="3971" spans="1:12" x14ac:dyDescent="0.25">
      <c r="A3971" t="s">
        <v>4780</v>
      </c>
      <c r="B3971" t="s">
        <v>957</v>
      </c>
      <c r="I3971" t="s">
        <v>455</v>
      </c>
      <c r="J3971" s="3">
        <v>-0.45341300000000001</v>
      </c>
      <c r="K3971" s="3">
        <v>-0.29194999999999999</v>
      </c>
      <c r="L3971" s="3">
        <v>-0.34631129999999999</v>
      </c>
    </row>
    <row r="3972" spans="1:12" x14ac:dyDescent="0.25">
      <c r="A3972" t="s">
        <v>4777</v>
      </c>
      <c r="B3972" t="s">
        <v>4778</v>
      </c>
      <c r="I3972" t="s">
        <v>4779</v>
      </c>
      <c r="J3972" s="3">
        <v>4.6928549999999999E-2</v>
      </c>
      <c r="K3972" s="3">
        <v>-0.31690669999999999</v>
      </c>
      <c r="L3972" s="3">
        <v>-0.20834929999999999</v>
      </c>
    </row>
    <row r="3973" spans="1:12" x14ac:dyDescent="0.25">
      <c r="A3973" t="s">
        <v>4774</v>
      </c>
      <c r="B3973" t="s">
        <v>4775</v>
      </c>
      <c r="I3973" t="s">
        <v>4776</v>
      </c>
      <c r="J3973" s="3">
        <v>-0.31406709999999999</v>
      </c>
      <c r="K3973" s="3">
        <v>-0.80549660000000001</v>
      </c>
      <c r="L3973" s="3">
        <v>-0.157163</v>
      </c>
    </row>
    <row r="3974" spans="1:12" x14ac:dyDescent="0.25">
      <c r="A3974" t="s">
        <v>4771</v>
      </c>
      <c r="B3974" t="s">
        <v>4772</v>
      </c>
      <c r="I3974" t="s">
        <v>4773</v>
      </c>
      <c r="J3974" s="3">
        <v>-3.8648279999999998E-3</v>
      </c>
      <c r="K3974" s="3">
        <v>-0.71602790000000005</v>
      </c>
      <c r="L3974" s="3">
        <v>-0.34632869999999999</v>
      </c>
    </row>
    <row r="3975" spans="1:12" x14ac:dyDescent="0.25">
      <c r="A3975" t="s">
        <v>4768</v>
      </c>
      <c r="B3975" t="s">
        <v>4769</v>
      </c>
      <c r="I3975" t="s">
        <v>4770</v>
      </c>
      <c r="J3975" s="3">
        <v>-0.15604660000000001</v>
      </c>
      <c r="K3975" s="3">
        <v>3.6528999999999999E-2</v>
      </c>
      <c r="L3975" s="3">
        <v>-1.505825E-2</v>
      </c>
    </row>
    <row r="3976" spans="1:12" x14ac:dyDescent="0.25">
      <c r="A3976" t="s">
        <v>4767</v>
      </c>
      <c r="B3976" t="s">
        <v>957</v>
      </c>
      <c r="I3976" t="s">
        <v>453</v>
      </c>
      <c r="J3976" s="3">
        <v>-9.1382169999999999E-2</v>
      </c>
      <c r="K3976" s="3">
        <v>0.18867300000000001</v>
      </c>
      <c r="L3976" s="3">
        <v>-4.1445179999999998E-2</v>
      </c>
    </row>
    <row r="3977" spans="1:12" x14ac:dyDescent="0.25">
      <c r="A3977" t="s">
        <v>4764</v>
      </c>
      <c r="B3977" t="s">
        <v>4765</v>
      </c>
      <c r="I3977" t="s">
        <v>4766</v>
      </c>
      <c r="J3977" s="3">
        <v>0.19362480000000001</v>
      </c>
      <c r="K3977" s="3">
        <v>0.90943819999999997</v>
      </c>
      <c r="L3977" s="3">
        <v>0.47921839999999999</v>
      </c>
    </row>
    <row r="3978" spans="1:12" x14ac:dyDescent="0.25">
      <c r="A3978" t="s">
        <v>4761</v>
      </c>
      <c r="B3978" t="s">
        <v>4762</v>
      </c>
      <c r="I3978" t="s">
        <v>4763</v>
      </c>
      <c r="J3978" s="3">
        <v>0.5164974</v>
      </c>
      <c r="K3978" s="3">
        <v>0.97508870000000003</v>
      </c>
      <c r="L3978" s="3">
        <v>0.51341440000000005</v>
      </c>
    </row>
    <row r="3979" spans="1:12" x14ac:dyDescent="0.25">
      <c r="A3979" t="s">
        <v>4758</v>
      </c>
      <c r="B3979" t="s">
        <v>4759</v>
      </c>
      <c r="I3979" t="s">
        <v>4760</v>
      </c>
      <c r="J3979" s="3">
        <v>0.18761949999999999</v>
      </c>
      <c r="K3979" s="3">
        <v>-0.21963299999999999</v>
      </c>
      <c r="L3979" s="3">
        <v>0.2274649</v>
      </c>
    </row>
    <row r="3980" spans="1:12" x14ac:dyDescent="0.25">
      <c r="A3980" t="s">
        <v>4755</v>
      </c>
      <c r="B3980" t="s">
        <v>4756</v>
      </c>
      <c r="I3980" t="s">
        <v>4757</v>
      </c>
      <c r="J3980" s="3">
        <v>0.1305849</v>
      </c>
      <c r="K3980" s="3">
        <v>-0.21592249999999999</v>
      </c>
      <c r="L3980" s="3">
        <v>0.1182634</v>
      </c>
    </row>
    <row r="3981" spans="1:12" x14ac:dyDescent="0.25">
      <c r="A3981" t="s">
        <v>4752</v>
      </c>
      <c r="B3981" t="s">
        <v>4753</v>
      </c>
      <c r="I3981" t="s">
        <v>4754</v>
      </c>
      <c r="J3981" s="3">
        <v>-9.4622970000000001E-2</v>
      </c>
      <c r="K3981" s="3">
        <v>-0.44377329999999998</v>
      </c>
      <c r="L3981" s="3">
        <v>0.24449070000000001</v>
      </c>
    </row>
    <row r="3982" spans="1:12" x14ac:dyDescent="0.25">
      <c r="A3982" t="s">
        <v>4749</v>
      </c>
      <c r="B3982" t="s">
        <v>4750</v>
      </c>
      <c r="I3982" t="s">
        <v>4751</v>
      </c>
      <c r="J3982" s="3">
        <v>-0.1051516</v>
      </c>
      <c r="K3982" s="3">
        <v>0.18248880000000001</v>
      </c>
      <c r="L3982" s="3">
        <v>0.22679630000000001</v>
      </c>
    </row>
    <row r="3983" spans="1:12" x14ac:dyDescent="0.25">
      <c r="A3983" t="s">
        <v>4747</v>
      </c>
      <c r="B3983" t="s">
        <v>957</v>
      </c>
      <c r="I3983" t="s">
        <v>4748</v>
      </c>
      <c r="J3983" s="3">
        <v>4.7515549999999997E-2</v>
      </c>
      <c r="K3983" s="3">
        <v>0.174788</v>
      </c>
      <c r="L3983" s="3">
        <v>0.23258239999999999</v>
      </c>
    </row>
    <row r="3984" spans="1:12" x14ac:dyDescent="0.25">
      <c r="A3984" t="s">
        <v>4745</v>
      </c>
      <c r="B3984" t="s">
        <v>957</v>
      </c>
      <c r="I3984" t="s">
        <v>4746</v>
      </c>
      <c r="J3984" s="3">
        <v>-0.70043789999999995</v>
      </c>
      <c r="K3984" s="3">
        <v>-0.48140729999999998</v>
      </c>
      <c r="L3984" s="3">
        <v>-0.34867690000000001</v>
      </c>
    </row>
    <row r="3985" spans="1:12" x14ac:dyDescent="0.25">
      <c r="A3985" t="s">
        <v>4742</v>
      </c>
      <c r="B3985" t="s">
        <v>4743</v>
      </c>
      <c r="I3985" t="s">
        <v>4744</v>
      </c>
      <c r="J3985" s="3">
        <v>-0.21804780000000001</v>
      </c>
      <c r="K3985" s="3">
        <v>-0.43244050000000001</v>
      </c>
      <c r="L3985" s="3">
        <v>-0.3098457</v>
      </c>
    </row>
    <row r="3986" spans="1:12" x14ac:dyDescent="0.25">
      <c r="A3986" t="s">
        <v>4739</v>
      </c>
      <c r="B3986" t="s">
        <v>4740</v>
      </c>
      <c r="I3986" t="s">
        <v>4741</v>
      </c>
      <c r="J3986" s="3">
        <v>0.1320836</v>
      </c>
      <c r="K3986" s="3">
        <v>0.42274780000000001</v>
      </c>
      <c r="L3986" s="3">
        <v>0.17514179999999999</v>
      </c>
    </row>
    <row r="3987" spans="1:12" x14ac:dyDescent="0.25">
      <c r="A3987" t="s">
        <v>4736</v>
      </c>
      <c r="B3987" t="s">
        <v>4737</v>
      </c>
      <c r="I3987" t="s">
        <v>4738</v>
      </c>
      <c r="J3987" s="3">
        <v>0.1346609</v>
      </c>
      <c r="K3987" s="3">
        <v>-0.26861479999999999</v>
      </c>
      <c r="L3987" s="3">
        <v>-7.9855930000000006E-2</v>
      </c>
    </row>
    <row r="3988" spans="1:12" x14ac:dyDescent="0.25">
      <c r="A3988" t="s">
        <v>3698</v>
      </c>
      <c r="B3988" t="s">
        <v>3699</v>
      </c>
      <c r="I3988" t="s">
        <v>4735</v>
      </c>
      <c r="J3988" s="3">
        <v>-0.53015679999999998</v>
      </c>
      <c r="K3988" s="3">
        <v>-0.97945150000000003</v>
      </c>
      <c r="L3988" s="3">
        <v>-0.44548310000000002</v>
      </c>
    </row>
    <row r="3989" spans="1:12" x14ac:dyDescent="0.25">
      <c r="A3989" t="s">
        <v>3695</v>
      </c>
      <c r="B3989" t="s">
        <v>3696</v>
      </c>
      <c r="I3989" t="s">
        <v>3697</v>
      </c>
      <c r="J3989" s="3">
        <v>0.2991798</v>
      </c>
      <c r="K3989" s="3">
        <v>0.1477135</v>
      </c>
      <c r="L3989" s="3">
        <v>2.8739839999999999E-2</v>
      </c>
    </row>
    <row r="3990" spans="1:12" x14ac:dyDescent="0.25">
      <c r="A3990" t="s">
        <v>3692</v>
      </c>
      <c r="B3990" t="s">
        <v>3693</v>
      </c>
      <c r="I3990" t="s">
        <v>3694</v>
      </c>
      <c r="J3990" s="3">
        <v>1.111786E-2</v>
      </c>
      <c r="K3990" s="3">
        <v>-0.47723500000000002</v>
      </c>
      <c r="L3990" s="3">
        <v>-3.8441830000000003E-2</v>
      </c>
    </row>
    <row r="3991" spans="1:12" x14ac:dyDescent="0.25">
      <c r="A3991" t="s">
        <v>3689</v>
      </c>
      <c r="B3991" t="s">
        <v>3690</v>
      </c>
      <c r="I3991" t="s">
        <v>3691</v>
      </c>
      <c r="J3991" s="3">
        <v>0.34102209999999999</v>
      </c>
      <c r="K3991" s="3">
        <v>0.12034069999999999</v>
      </c>
      <c r="L3991" s="3">
        <v>-0.47648089999999999</v>
      </c>
    </row>
    <row r="3992" spans="1:12" x14ac:dyDescent="0.25">
      <c r="A3992" t="s">
        <v>3686</v>
      </c>
      <c r="B3992" t="s">
        <v>3687</v>
      </c>
      <c r="I3992" t="s">
        <v>3688</v>
      </c>
      <c r="J3992" s="3">
        <v>0.38899909999999999</v>
      </c>
      <c r="K3992" s="3">
        <v>0.120488</v>
      </c>
      <c r="L3992" s="3">
        <v>-3.6260100000000003E-2</v>
      </c>
    </row>
    <row r="3993" spans="1:12" x14ac:dyDescent="0.25">
      <c r="A3993" t="s">
        <v>3683</v>
      </c>
      <c r="B3993" t="s">
        <v>3684</v>
      </c>
      <c r="I3993" t="s">
        <v>3685</v>
      </c>
      <c r="J3993" s="3">
        <v>-5.1020870000000003E-2</v>
      </c>
      <c r="K3993" s="3">
        <v>-0.72782469999999999</v>
      </c>
      <c r="L3993" s="3">
        <v>-0.18873010000000001</v>
      </c>
    </row>
    <row r="3994" spans="1:12" x14ac:dyDescent="0.25">
      <c r="A3994" t="s">
        <v>3680</v>
      </c>
      <c r="B3994" t="s">
        <v>3681</v>
      </c>
      <c r="I3994" t="s">
        <v>3682</v>
      </c>
      <c r="J3994" s="3">
        <v>9.0916549999999999E-2</v>
      </c>
      <c r="K3994" s="3">
        <v>-0.31983850000000003</v>
      </c>
      <c r="L3994" s="3">
        <v>0.46587519999999999</v>
      </c>
    </row>
    <row r="3995" spans="1:12" x14ac:dyDescent="0.25">
      <c r="A3995" t="s">
        <v>3679</v>
      </c>
      <c r="B3995" t="s">
        <v>957</v>
      </c>
      <c r="I3995" t="s">
        <v>228</v>
      </c>
      <c r="J3995" s="3">
        <v>-2.862143E-2</v>
      </c>
      <c r="K3995" s="3">
        <v>0.1632651</v>
      </c>
      <c r="L3995" s="3">
        <v>-4.3483109999999998E-2</v>
      </c>
    </row>
    <row r="3996" spans="1:12" x14ac:dyDescent="0.25">
      <c r="A3996" t="s">
        <v>3676</v>
      </c>
      <c r="B3996" t="s">
        <v>3677</v>
      </c>
      <c r="I3996" t="s">
        <v>3678</v>
      </c>
      <c r="J3996" s="3">
        <v>-0.74867479999999997</v>
      </c>
      <c r="K3996" s="3">
        <v>-0.68586179999999997</v>
      </c>
      <c r="L3996" s="3">
        <v>-0.73826409999999998</v>
      </c>
    </row>
    <row r="3997" spans="1:12" x14ac:dyDescent="0.25">
      <c r="A3997" t="s">
        <v>4704</v>
      </c>
      <c r="B3997" t="s">
        <v>4705</v>
      </c>
      <c r="I3997" t="s">
        <v>3675</v>
      </c>
      <c r="J3997" s="3">
        <v>-0.42639830000000001</v>
      </c>
      <c r="K3997" s="3">
        <v>-0.92805740000000003</v>
      </c>
      <c r="L3997" s="3">
        <v>-0.22774649999999999</v>
      </c>
    </row>
    <row r="3998" spans="1:12" x14ac:dyDescent="0.25">
      <c r="A3998" t="s">
        <v>4701</v>
      </c>
      <c r="B3998" t="s">
        <v>4702</v>
      </c>
      <c r="I3998" t="s">
        <v>4703</v>
      </c>
      <c r="J3998" s="3">
        <v>0.62630920000000001</v>
      </c>
      <c r="K3998" s="3">
        <v>1.535442</v>
      </c>
      <c r="L3998" s="3">
        <v>1.2812509999999999</v>
      </c>
    </row>
    <row r="3999" spans="1:12" x14ac:dyDescent="0.25">
      <c r="A3999" t="s">
        <v>4698</v>
      </c>
      <c r="B3999" t="s">
        <v>4699</v>
      </c>
      <c r="I3999" t="s">
        <v>4700</v>
      </c>
      <c r="J3999" s="3">
        <v>-0.3332811</v>
      </c>
      <c r="K3999" s="3">
        <v>-5.352061E-3</v>
      </c>
      <c r="L3999" s="3">
        <v>0.14890610000000001</v>
      </c>
    </row>
    <row r="4000" spans="1:12" x14ac:dyDescent="0.25">
      <c r="A4000" t="s">
        <v>4697</v>
      </c>
      <c r="B4000" t="s">
        <v>957</v>
      </c>
      <c r="I4000" t="s">
        <v>2</v>
      </c>
      <c r="J4000" s="3">
        <v>0.56408389999999997</v>
      </c>
      <c r="K4000" s="3">
        <v>0.72628899999999996</v>
      </c>
      <c r="L4000" s="3">
        <v>0.38802530000000002</v>
      </c>
    </row>
    <row r="4001" spans="1:12" x14ac:dyDescent="0.25">
      <c r="A4001" t="s">
        <v>4694</v>
      </c>
      <c r="B4001" t="s">
        <v>4695</v>
      </c>
      <c r="I4001" t="s">
        <v>4696</v>
      </c>
      <c r="J4001" s="3">
        <v>0.2369705</v>
      </c>
      <c r="K4001" s="3">
        <v>0.33838449999999998</v>
      </c>
      <c r="L4001" s="3">
        <v>0.22601479999999999</v>
      </c>
    </row>
    <row r="4002" spans="1:12" x14ac:dyDescent="0.25">
      <c r="A4002" t="s">
        <v>4691</v>
      </c>
      <c r="B4002" t="s">
        <v>4692</v>
      </c>
      <c r="I4002" t="s">
        <v>4693</v>
      </c>
      <c r="J4002" s="3">
        <v>-6.7087729999999998E-2</v>
      </c>
      <c r="K4002" s="3">
        <v>0.35321649999999999</v>
      </c>
      <c r="L4002" s="3">
        <v>-0.16801630000000001</v>
      </c>
    </row>
    <row r="4003" spans="1:12" x14ac:dyDescent="0.25">
      <c r="A4003" t="s">
        <v>4688</v>
      </c>
      <c r="B4003" t="s">
        <v>4689</v>
      </c>
      <c r="I4003" t="s">
        <v>4690</v>
      </c>
      <c r="J4003" s="3">
        <v>0.48086689999999999</v>
      </c>
      <c r="K4003" s="3">
        <v>0.3835578</v>
      </c>
      <c r="L4003" s="3">
        <v>0.33361629999999998</v>
      </c>
    </row>
    <row r="4004" spans="1:12" x14ac:dyDescent="0.25">
      <c r="A4004" t="s">
        <v>4685</v>
      </c>
      <c r="B4004" t="s">
        <v>4686</v>
      </c>
      <c r="I4004" t="s">
        <v>4687</v>
      </c>
      <c r="J4004" s="3">
        <v>-1.1205069999999999</v>
      </c>
      <c r="K4004" s="3">
        <v>-1.271703</v>
      </c>
      <c r="L4004" s="3">
        <v>-0.63482819999999995</v>
      </c>
    </row>
    <row r="4005" spans="1:12" x14ac:dyDescent="0.25">
      <c r="A4005" t="s">
        <v>4682</v>
      </c>
      <c r="B4005" t="s">
        <v>4683</v>
      </c>
      <c r="I4005" t="s">
        <v>4684</v>
      </c>
      <c r="J4005" s="3">
        <v>-4.0526620000000003E-3</v>
      </c>
      <c r="K4005" s="3">
        <v>-0.1193091</v>
      </c>
      <c r="L4005" s="3">
        <v>-0.20084689999999999</v>
      </c>
    </row>
    <row r="4006" spans="1:12" x14ac:dyDescent="0.25">
      <c r="A4006" t="s">
        <v>4681</v>
      </c>
      <c r="B4006" t="s">
        <v>957</v>
      </c>
      <c r="I4006" t="s">
        <v>455</v>
      </c>
      <c r="J4006" s="3">
        <v>1.1988189999999999E-2</v>
      </c>
      <c r="K4006" s="3">
        <v>1.298206</v>
      </c>
      <c r="L4006" s="3">
        <v>0.72164349999999999</v>
      </c>
    </row>
    <row r="4007" spans="1:12" x14ac:dyDescent="0.25">
      <c r="A4007" t="s">
        <v>4678</v>
      </c>
      <c r="B4007" t="s">
        <v>4679</v>
      </c>
      <c r="I4007" t="s">
        <v>4680</v>
      </c>
      <c r="J4007" s="3">
        <v>6.1480199999999999E-2</v>
      </c>
      <c r="K4007" s="3">
        <v>0.14811079999999999</v>
      </c>
      <c r="L4007" s="3">
        <v>0.36133389999999999</v>
      </c>
    </row>
    <row r="4008" spans="1:12" x14ac:dyDescent="0.25">
      <c r="A4008" t="s">
        <v>4677</v>
      </c>
      <c r="B4008" t="s">
        <v>957</v>
      </c>
      <c r="I4008" t="s">
        <v>453</v>
      </c>
      <c r="J4008" s="3">
        <v>-3.3095979999999997E-2</v>
      </c>
      <c r="K4008" s="3">
        <v>0.31142959999999997</v>
      </c>
      <c r="L4008" s="3">
        <v>2.0697750000000001E-2</v>
      </c>
    </row>
    <row r="4009" spans="1:12" x14ac:dyDescent="0.25">
      <c r="A4009" t="s">
        <v>4676</v>
      </c>
      <c r="B4009" t="s">
        <v>957</v>
      </c>
      <c r="I4009" t="s">
        <v>455</v>
      </c>
      <c r="J4009" s="3">
        <v>-0.28036299999999997</v>
      </c>
      <c r="K4009" s="3">
        <v>-0.49474380000000001</v>
      </c>
      <c r="L4009" s="3">
        <v>-0.42044039999999999</v>
      </c>
    </row>
    <row r="4010" spans="1:12" x14ac:dyDescent="0.25">
      <c r="A4010" t="s">
        <v>4675</v>
      </c>
      <c r="B4010" t="s">
        <v>957</v>
      </c>
      <c r="I4010" t="s">
        <v>455</v>
      </c>
      <c r="J4010" s="3">
        <v>1.8965030000000001E-2</v>
      </c>
      <c r="K4010" s="3">
        <v>-0.24675420000000001</v>
      </c>
      <c r="L4010" s="3">
        <v>0.36429319999999998</v>
      </c>
    </row>
    <row r="4011" spans="1:12" x14ac:dyDescent="0.25">
      <c r="A4011" t="s">
        <v>4672</v>
      </c>
      <c r="B4011" t="s">
        <v>4673</v>
      </c>
      <c r="I4011" t="s">
        <v>4674</v>
      </c>
      <c r="J4011" s="3">
        <v>-0.27898519999999999</v>
      </c>
      <c r="K4011" s="3">
        <v>-1.0564420000000001</v>
      </c>
      <c r="L4011" s="3">
        <v>-0.34107880000000002</v>
      </c>
    </row>
    <row r="4012" spans="1:12" x14ac:dyDescent="0.25">
      <c r="A4012" t="s">
        <v>4669</v>
      </c>
      <c r="B4012" t="s">
        <v>4670</v>
      </c>
      <c r="I4012" t="s">
        <v>4671</v>
      </c>
      <c r="J4012" s="3">
        <v>-9.0004700000000007E-2</v>
      </c>
      <c r="K4012" s="3">
        <v>-0.50852430000000004</v>
      </c>
      <c r="L4012" s="3">
        <v>-0.47316130000000001</v>
      </c>
    </row>
    <row r="4013" spans="1:12" x14ac:dyDescent="0.25">
      <c r="A4013" t="s">
        <v>4666</v>
      </c>
      <c r="B4013" t="s">
        <v>4667</v>
      </c>
      <c r="I4013" t="s">
        <v>4668</v>
      </c>
      <c r="J4013" s="3">
        <v>-0.30421340000000002</v>
      </c>
      <c r="K4013" s="3">
        <v>-1.7631250000000001E-2</v>
      </c>
      <c r="L4013" s="3">
        <v>0.38507560000000002</v>
      </c>
    </row>
    <row r="4014" spans="1:12" x14ac:dyDescent="0.25">
      <c r="A4014" t="s">
        <v>3619</v>
      </c>
      <c r="B4014" t="s">
        <v>3620</v>
      </c>
      <c r="I4014" t="s">
        <v>4665</v>
      </c>
      <c r="J4014" s="3">
        <v>-0.43665389999999998</v>
      </c>
      <c r="K4014" s="3">
        <v>-9.8817100000000005E-2</v>
      </c>
      <c r="L4014" s="3">
        <v>-0.22280810000000001</v>
      </c>
    </row>
    <row r="4015" spans="1:12" x14ac:dyDescent="0.25">
      <c r="A4015" t="s">
        <v>3617</v>
      </c>
      <c r="B4015" t="s">
        <v>957</v>
      </c>
      <c r="I4015" t="s">
        <v>3618</v>
      </c>
      <c r="J4015" s="3">
        <v>-0.43167529999999998</v>
      </c>
      <c r="K4015" s="3">
        <v>-0.35368189999999999</v>
      </c>
      <c r="L4015" s="3">
        <v>0.1020654</v>
      </c>
    </row>
    <row r="4016" spans="1:12" x14ac:dyDescent="0.25">
      <c r="A4016" t="s">
        <v>3616</v>
      </c>
      <c r="B4016" t="s">
        <v>957</v>
      </c>
      <c r="I4016" t="s">
        <v>475</v>
      </c>
      <c r="J4016" s="3">
        <v>-1.0112410000000001</v>
      </c>
      <c r="K4016" s="3">
        <v>-1.1142749999999999</v>
      </c>
      <c r="L4016" s="3">
        <v>-1.253957</v>
      </c>
    </row>
    <row r="4017" spans="1:12" x14ac:dyDescent="0.25">
      <c r="A4017" t="s">
        <v>3613</v>
      </c>
      <c r="B4017" t="s">
        <v>3614</v>
      </c>
      <c r="I4017" t="s">
        <v>3615</v>
      </c>
      <c r="J4017" s="3">
        <v>2.1712920000000002</v>
      </c>
      <c r="K4017" s="3">
        <v>1.327923</v>
      </c>
      <c r="L4017" s="3">
        <v>1.8056209999999999</v>
      </c>
    </row>
    <row r="4018" spans="1:12" x14ac:dyDescent="0.25">
      <c r="A4018" t="s">
        <v>3610</v>
      </c>
      <c r="B4018" t="s">
        <v>3611</v>
      </c>
      <c r="I4018" t="s">
        <v>3612</v>
      </c>
      <c r="J4018" s="3">
        <v>-0.78380470000000002</v>
      </c>
      <c r="K4018" s="3">
        <v>-1.483206</v>
      </c>
      <c r="L4018" s="3">
        <v>-1.0636559999999999</v>
      </c>
    </row>
    <row r="4019" spans="1:12" x14ac:dyDescent="0.25">
      <c r="A4019" t="s">
        <v>3607</v>
      </c>
      <c r="B4019" t="s">
        <v>3608</v>
      </c>
      <c r="I4019" t="s">
        <v>3609</v>
      </c>
      <c r="J4019" s="3">
        <v>-0.1014712</v>
      </c>
      <c r="K4019" s="3">
        <v>0.38087310000000002</v>
      </c>
      <c r="L4019" s="3">
        <v>-0.24300920000000001</v>
      </c>
    </row>
    <row r="4020" spans="1:12" x14ac:dyDescent="0.25">
      <c r="A4020" t="s">
        <v>3606</v>
      </c>
      <c r="B4020" t="s">
        <v>957</v>
      </c>
      <c r="I4020" t="s">
        <v>1973</v>
      </c>
      <c r="J4020" s="3">
        <v>0.28005089999999999</v>
      </c>
      <c r="K4020" s="3">
        <v>0.20299210000000001</v>
      </c>
      <c r="L4020" s="3">
        <v>0.52171880000000004</v>
      </c>
    </row>
    <row r="4021" spans="1:12" x14ac:dyDescent="0.25">
      <c r="A4021" t="s">
        <v>3604</v>
      </c>
      <c r="B4021" t="s">
        <v>3605</v>
      </c>
      <c r="I4021" t="s">
        <v>2383</v>
      </c>
      <c r="J4021" s="3">
        <v>-0.28819610000000001</v>
      </c>
      <c r="K4021" s="3">
        <v>-0.68773430000000002</v>
      </c>
      <c r="L4021" s="3">
        <v>-0.48657299999999998</v>
      </c>
    </row>
    <row r="4022" spans="1:12" x14ac:dyDescent="0.25">
      <c r="A4022" t="s">
        <v>3601</v>
      </c>
      <c r="B4022" t="s">
        <v>3602</v>
      </c>
      <c r="I4022" t="s">
        <v>3603</v>
      </c>
      <c r="J4022" s="3">
        <v>2.2770280000000001</v>
      </c>
      <c r="K4022" s="3">
        <v>2.3999459999999999</v>
      </c>
      <c r="L4022" s="3">
        <v>2.1211280000000001</v>
      </c>
    </row>
    <row r="4023" spans="1:12" x14ac:dyDescent="0.25">
      <c r="A4023" t="s">
        <v>3598</v>
      </c>
      <c r="B4023" t="s">
        <v>3599</v>
      </c>
      <c r="I4023" t="s">
        <v>3600</v>
      </c>
      <c r="J4023" s="3">
        <v>0.35427510000000001</v>
      </c>
      <c r="K4023" s="3">
        <v>-0.37824799999999997</v>
      </c>
      <c r="L4023" s="3">
        <v>-9.2352890000000007E-2</v>
      </c>
    </row>
    <row r="4024" spans="1:12" x14ac:dyDescent="0.25">
      <c r="A4024" t="s">
        <v>3595</v>
      </c>
      <c r="B4024" t="s">
        <v>3596</v>
      </c>
      <c r="I4024" t="s">
        <v>3597</v>
      </c>
      <c r="J4024" s="3">
        <v>-0.4744157</v>
      </c>
      <c r="K4024" s="3">
        <v>-0.41005979999999997</v>
      </c>
      <c r="L4024" s="3">
        <v>-0.24861420000000001</v>
      </c>
    </row>
    <row r="4025" spans="1:12" x14ac:dyDescent="0.25">
      <c r="A4025" t="s">
        <v>3594</v>
      </c>
      <c r="B4025" t="s">
        <v>957</v>
      </c>
      <c r="I4025" t="s">
        <v>455</v>
      </c>
      <c r="J4025" s="3">
        <v>-0.18376329999999999</v>
      </c>
      <c r="K4025" s="3">
        <v>-0.63646559999999996</v>
      </c>
      <c r="L4025" s="3">
        <v>-0.2870607</v>
      </c>
    </row>
    <row r="4026" spans="1:12" x14ac:dyDescent="0.25">
      <c r="A4026" t="s">
        <v>3591</v>
      </c>
      <c r="B4026" t="s">
        <v>3592</v>
      </c>
      <c r="I4026" t="s">
        <v>3593</v>
      </c>
      <c r="J4026" s="3">
        <v>-0.74975780000000003</v>
      </c>
      <c r="K4026" s="3">
        <v>-0.66946329999999998</v>
      </c>
      <c r="L4026" s="3">
        <v>-0.76931780000000005</v>
      </c>
    </row>
    <row r="4027" spans="1:12" x14ac:dyDescent="0.25">
      <c r="A4027" t="s">
        <v>3588</v>
      </c>
      <c r="B4027" t="s">
        <v>3589</v>
      </c>
      <c r="I4027" t="s">
        <v>3590</v>
      </c>
      <c r="J4027" s="3">
        <v>0.30120370000000002</v>
      </c>
      <c r="K4027" s="3">
        <v>-1.8921830000000001E-2</v>
      </c>
      <c r="L4027" s="3">
        <v>0.14721139999999999</v>
      </c>
    </row>
    <row r="4028" spans="1:12" x14ac:dyDescent="0.25">
      <c r="A4028" t="s">
        <v>3585</v>
      </c>
      <c r="B4028" t="s">
        <v>3586</v>
      </c>
      <c r="I4028" t="s">
        <v>3587</v>
      </c>
      <c r="J4028" s="3">
        <v>-0.13516040000000001</v>
      </c>
      <c r="K4028" s="3">
        <v>-0.52694940000000001</v>
      </c>
      <c r="L4028" s="3">
        <v>-0.30883119999999997</v>
      </c>
    </row>
    <row r="4029" spans="1:12" x14ac:dyDescent="0.25">
      <c r="A4029" t="s">
        <v>3582</v>
      </c>
      <c r="B4029" t="s">
        <v>3583</v>
      </c>
      <c r="I4029" t="s">
        <v>3584</v>
      </c>
      <c r="J4029" s="3">
        <v>-0.14703150000000001</v>
      </c>
      <c r="K4029" s="3">
        <v>-0.31806640000000003</v>
      </c>
      <c r="L4029" s="3">
        <v>-9.7856949999999998E-2</v>
      </c>
    </row>
    <row r="4030" spans="1:12" x14ac:dyDescent="0.25">
      <c r="A4030" t="s">
        <v>3579</v>
      </c>
      <c r="B4030" t="s">
        <v>3580</v>
      </c>
      <c r="I4030" t="s">
        <v>3581</v>
      </c>
      <c r="J4030" s="3">
        <v>-0.2325605</v>
      </c>
      <c r="K4030" s="3">
        <v>-0.41170400000000001</v>
      </c>
      <c r="L4030" s="3">
        <v>-0.3140443</v>
      </c>
    </row>
    <row r="4031" spans="1:12" x14ac:dyDescent="0.25">
      <c r="A4031" t="s">
        <v>3577</v>
      </c>
      <c r="B4031" t="s">
        <v>3578</v>
      </c>
      <c r="I4031" t="s">
        <v>593</v>
      </c>
      <c r="J4031" s="3">
        <v>-0.43674099999999999</v>
      </c>
      <c r="K4031" s="3">
        <v>-0.52730710000000003</v>
      </c>
      <c r="L4031" s="3">
        <v>-0.74618930000000006</v>
      </c>
    </row>
    <row r="4032" spans="1:12" x14ac:dyDescent="0.25">
      <c r="A4032" t="s">
        <v>3574</v>
      </c>
      <c r="B4032" t="s">
        <v>3575</v>
      </c>
      <c r="I4032" t="s">
        <v>3576</v>
      </c>
      <c r="J4032" s="3">
        <v>0.33009179999999999</v>
      </c>
      <c r="K4032" s="3">
        <v>-7.1643739999999997E-2</v>
      </c>
      <c r="L4032" s="3">
        <v>0.4715992</v>
      </c>
    </row>
    <row r="4033" spans="1:12" x14ac:dyDescent="0.25">
      <c r="A4033" t="s">
        <v>3571</v>
      </c>
      <c r="B4033" t="s">
        <v>3572</v>
      </c>
      <c r="I4033" t="s">
        <v>3573</v>
      </c>
      <c r="J4033" s="3">
        <v>0.19746359999999999</v>
      </c>
      <c r="K4033" s="3">
        <v>-0.26215850000000002</v>
      </c>
      <c r="L4033" s="3">
        <v>0.26029330000000001</v>
      </c>
    </row>
    <row r="4034" spans="1:12" x14ac:dyDescent="0.25">
      <c r="A4034" t="s">
        <v>3569</v>
      </c>
      <c r="B4034" t="s">
        <v>957</v>
      </c>
      <c r="I4034" t="s">
        <v>3570</v>
      </c>
      <c r="J4034" s="3">
        <v>-0.24198900000000001</v>
      </c>
      <c r="K4034" s="3">
        <v>-0.42087439999999998</v>
      </c>
      <c r="L4034" s="3">
        <v>-0.21305389999999999</v>
      </c>
    </row>
    <row r="4035" spans="1:12" x14ac:dyDescent="0.25">
      <c r="A4035" t="s">
        <v>3566</v>
      </c>
      <c r="B4035" t="s">
        <v>3567</v>
      </c>
      <c r="I4035" t="s">
        <v>3568</v>
      </c>
      <c r="J4035" s="3">
        <v>0.18927630000000001</v>
      </c>
      <c r="K4035" s="3">
        <v>-0.32517420000000002</v>
      </c>
      <c r="L4035" s="3">
        <v>8.0075900000000002E-3</v>
      </c>
    </row>
    <row r="4036" spans="1:12" x14ac:dyDescent="0.25">
      <c r="A4036" t="s">
        <v>3563</v>
      </c>
      <c r="B4036" t="s">
        <v>3564</v>
      </c>
      <c r="I4036" t="s">
        <v>3565</v>
      </c>
      <c r="J4036" s="3">
        <v>8.5490250000000004E-2</v>
      </c>
      <c r="K4036" s="3">
        <v>-0.32725090000000001</v>
      </c>
      <c r="L4036" s="3">
        <v>0.15850230000000001</v>
      </c>
    </row>
    <row r="4037" spans="1:12" x14ac:dyDescent="0.25">
      <c r="A4037" t="s">
        <v>3560</v>
      </c>
      <c r="B4037" t="s">
        <v>3561</v>
      </c>
      <c r="I4037" t="s">
        <v>3562</v>
      </c>
      <c r="J4037" s="3">
        <v>-0.16598170000000001</v>
      </c>
      <c r="K4037" s="3">
        <v>-0.2228203</v>
      </c>
      <c r="L4037" s="3">
        <v>3.0997920000000002E-2</v>
      </c>
    </row>
    <row r="4038" spans="1:12" x14ac:dyDescent="0.25">
      <c r="A4038" t="s">
        <v>3559</v>
      </c>
      <c r="B4038" t="s">
        <v>957</v>
      </c>
      <c r="I4038" t="s">
        <v>156</v>
      </c>
      <c r="J4038" s="3">
        <v>0.1024385</v>
      </c>
      <c r="K4038" s="3">
        <v>0.8189246</v>
      </c>
      <c r="L4038" s="3">
        <v>0.68954720000000003</v>
      </c>
    </row>
    <row r="4039" spans="1:12" x14ac:dyDescent="0.25">
      <c r="A4039" t="s">
        <v>3558</v>
      </c>
      <c r="B4039" t="s">
        <v>957</v>
      </c>
      <c r="I4039" t="s">
        <v>475</v>
      </c>
      <c r="J4039" s="3">
        <v>0.10155889999999999</v>
      </c>
      <c r="K4039" s="3">
        <v>-0.48533349999999997</v>
      </c>
      <c r="L4039" s="3">
        <v>0.19129360000000001</v>
      </c>
    </row>
    <row r="4040" spans="1:12" x14ac:dyDescent="0.25">
      <c r="A4040" t="s">
        <v>3555</v>
      </c>
      <c r="B4040" t="s">
        <v>3556</v>
      </c>
      <c r="I4040" t="s">
        <v>3557</v>
      </c>
      <c r="J4040" s="3">
        <v>4.9917799999999998E-2</v>
      </c>
      <c r="K4040" s="3">
        <v>0.6897778</v>
      </c>
      <c r="L4040" s="3">
        <v>0.67958430000000003</v>
      </c>
    </row>
    <row r="4041" spans="1:12" x14ac:dyDescent="0.25">
      <c r="A4041" t="s">
        <v>3553</v>
      </c>
      <c r="B4041" t="s">
        <v>3554</v>
      </c>
      <c r="I4041" t="s">
        <v>315</v>
      </c>
      <c r="J4041" s="3">
        <v>-6.7177379999999995E-2</v>
      </c>
      <c r="K4041" s="3">
        <v>-0.57847380000000004</v>
      </c>
      <c r="L4041" s="3">
        <v>-0.18560550000000001</v>
      </c>
    </row>
    <row r="4042" spans="1:12" x14ac:dyDescent="0.25">
      <c r="A4042" t="s">
        <v>3552</v>
      </c>
      <c r="B4042" t="s">
        <v>957</v>
      </c>
      <c r="I4042" t="s">
        <v>455</v>
      </c>
      <c r="J4042" s="3">
        <v>0.24690480000000001</v>
      </c>
      <c r="K4042" s="3">
        <v>0.18413019999999999</v>
      </c>
      <c r="L4042" s="3">
        <v>1.8615909999999999E-3</v>
      </c>
    </row>
    <row r="4043" spans="1:12" x14ac:dyDescent="0.25">
      <c r="A4043" t="s">
        <v>3550</v>
      </c>
      <c r="B4043" t="s">
        <v>3551</v>
      </c>
      <c r="I4043" t="s">
        <v>3293</v>
      </c>
      <c r="J4043" s="3">
        <v>-0.1221473</v>
      </c>
      <c r="K4043" s="3">
        <v>-0.17125319999999999</v>
      </c>
      <c r="L4043" s="3">
        <v>-0.13208980000000001</v>
      </c>
    </row>
    <row r="4044" spans="1:12" x14ac:dyDescent="0.25">
      <c r="A4044" t="s">
        <v>3547</v>
      </c>
      <c r="B4044" t="s">
        <v>3548</v>
      </c>
      <c r="I4044" t="s">
        <v>3549</v>
      </c>
      <c r="J4044" s="3">
        <v>0.11086070000000001</v>
      </c>
      <c r="K4044" s="3">
        <v>-0.1928888</v>
      </c>
      <c r="L4044" s="3">
        <v>-0.1120357</v>
      </c>
    </row>
    <row r="4045" spans="1:12" x14ac:dyDescent="0.25">
      <c r="A4045" t="s">
        <v>3544</v>
      </c>
      <c r="B4045" t="s">
        <v>3545</v>
      </c>
      <c r="I4045" t="s">
        <v>3546</v>
      </c>
      <c r="J4045" s="3">
        <v>0.61893540000000002</v>
      </c>
      <c r="K4045" s="3">
        <v>0.169962</v>
      </c>
      <c r="L4045" s="3">
        <v>-8.2897369999999998E-2</v>
      </c>
    </row>
    <row r="4046" spans="1:12" x14ac:dyDescent="0.25">
      <c r="A4046" t="s">
        <v>3541</v>
      </c>
      <c r="B4046" t="s">
        <v>3542</v>
      </c>
      <c r="I4046" t="s">
        <v>3543</v>
      </c>
      <c r="J4046" s="3">
        <v>0.29919630000000003</v>
      </c>
      <c r="K4046" s="3">
        <v>-2.053257E-2</v>
      </c>
      <c r="L4046" s="3">
        <v>0.39680759999999998</v>
      </c>
    </row>
    <row r="4047" spans="1:12" x14ac:dyDescent="0.25">
      <c r="A4047" t="s">
        <v>3538</v>
      </c>
      <c r="B4047" t="s">
        <v>3539</v>
      </c>
      <c r="I4047" t="s">
        <v>3540</v>
      </c>
      <c r="J4047" s="3">
        <v>0.1791335</v>
      </c>
      <c r="K4047" s="3">
        <v>-0.75500069999999997</v>
      </c>
      <c r="L4047" s="3">
        <v>0.16514719999999999</v>
      </c>
    </row>
    <row r="4048" spans="1:12" x14ac:dyDescent="0.25">
      <c r="A4048" t="s">
        <v>3536</v>
      </c>
      <c r="B4048" t="s">
        <v>957</v>
      </c>
      <c r="I4048" t="s">
        <v>3537</v>
      </c>
      <c r="J4048" s="3">
        <v>0.47741410000000001</v>
      </c>
      <c r="K4048" s="3">
        <v>8.2085199999999997E-2</v>
      </c>
      <c r="L4048" s="3">
        <v>0.61263990000000002</v>
      </c>
    </row>
    <row r="4049" spans="1:12" x14ac:dyDescent="0.25">
      <c r="A4049" t="s">
        <v>3535</v>
      </c>
      <c r="B4049" t="s">
        <v>957</v>
      </c>
      <c r="I4049" t="s">
        <v>455</v>
      </c>
      <c r="J4049" s="3">
        <v>0.63964330000000003</v>
      </c>
      <c r="K4049" s="3">
        <v>0.86525549999999996</v>
      </c>
      <c r="L4049" s="3">
        <v>0.53041939999999999</v>
      </c>
    </row>
    <row r="4050" spans="1:12" x14ac:dyDescent="0.25">
      <c r="A4050" t="s">
        <v>3532</v>
      </c>
      <c r="B4050" t="s">
        <v>3533</v>
      </c>
      <c r="I4050" t="s">
        <v>3534</v>
      </c>
      <c r="J4050" s="3">
        <v>0.37320569999999997</v>
      </c>
      <c r="K4050" s="3">
        <v>1.176099</v>
      </c>
      <c r="L4050" s="3">
        <v>0.23881859999999999</v>
      </c>
    </row>
    <row r="4051" spans="1:12" x14ac:dyDescent="0.25">
      <c r="A4051" t="s">
        <v>3529</v>
      </c>
      <c r="B4051" t="s">
        <v>3530</v>
      </c>
      <c r="I4051" t="s">
        <v>3531</v>
      </c>
      <c r="J4051" s="3">
        <v>-7.6621290000000002E-3</v>
      </c>
      <c r="K4051" s="3">
        <v>-0.88324429999999998</v>
      </c>
      <c r="L4051" s="3">
        <v>-0.2437482</v>
      </c>
    </row>
    <row r="4052" spans="1:12" x14ac:dyDescent="0.25">
      <c r="A4052" t="s">
        <v>4570</v>
      </c>
      <c r="B4052" t="s">
        <v>4571</v>
      </c>
      <c r="I4052" t="s">
        <v>3528</v>
      </c>
      <c r="J4052" s="3">
        <v>-0.17575950000000001</v>
      </c>
      <c r="K4052" s="3">
        <v>-0.71045320000000001</v>
      </c>
      <c r="L4052" s="3">
        <v>-0.29257870000000002</v>
      </c>
    </row>
    <row r="4053" spans="1:12" x14ac:dyDescent="0.25">
      <c r="A4053" t="s">
        <v>4567</v>
      </c>
      <c r="B4053" t="s">
        <v>4568</v>
      </c>
      <c r="I4053" t="s">
        <v>4569</v>
      </c>
      <c r="J4053" s="3">
        <v>-2.980785E-2</v>
      </c>
      <c r="K4053" s="3">
        <v>-0.66255240000000004</v>
      </c>
      <c r="L4053" s="3">
        <v>-0.1402185</v>
      </c>
    </row>
    <row r="4054" spans="1:12" x14ac:dyDescent="0.25">
      <c r="A4054" t="s">
        <v>4565</v>
      </c>
      <c r="B4054" t="s">
        <v>4566</v>
      </c>
      <c r="I4054" t="s">
        <v>1578</v>
      </c>
      <c r="J4054" s="3">
        <v>-0.11695170000000001</v>
      </c>
      <c r="K4054" s="3">
        <v>-0.58255349999999995</v>
      </c>
      <c r="L4054" s="3">
        <v>-1.360506E-2</v>
      </c>
    </row>
    <row r="4055" spans="1:12" x14ac:dyDescent="0.25">
      <c r="A4055" t="s">
        <v>4562</v>
      </c>
      <c r="B4055" t="s">
        <v>4563</v>
      </c>
      <c r="I4055" t="s">
        <v>4564</v>
      </c>
      <c r="J4055" s="3">
        <v>-0.20486019999999999</v>
      </c>
      <c r="K4055" s="3">
        <v>0.50994919999999999</v>
      </c>
      <c r="L4055" s="3">
        <v>4.3969540000000001E-2</v>
      </c>
    </row>
    <row r="4056" spans="1:12" x14ac:dyDescent="0.25">
      <c r="A4056" t="s">
        <v>4559</v>
      </c>
      <c r="B4056" t="s">
        <v>4560</v>
      </c>
      <c r="I4056" t="s">
        <v>4561</v>
      </c>
      <c r="J4056" s="3">
        <v>-0.2936164</v>
      </c>
      <c r="K4056" s="3">
        <v>-0.90463740000000004</v>
      </c>
      <c r="L4056" s="3">
        <v>-0.2612023</v>
      </c>
    </row>
    <row r="4057" spans="1:12" x14ac:dyDescent="0.25">
      <c r="A4057" t="s">
        <v>4556</v>
      </c>
      <c r="B4057" t="s">
        <v>4557</v>
      </c>
      <c r="I4057" t="s">
        <v>4558</v>
      </c>
      <c r="J4057" s="3">
        <v>1.065982</v>
      </c>
      <c r="K4057" s="3">
        <v>1.0757559999999999</v>
      </c>
      <c r="L4057" s="3">
        <v>1.1128370000000001</v>
      </c>
    </row>
    <row r="4058" spans="1:12" x14ac:dyDescent="0.25">
      <c r="A4058" t="s">
        <v>4553</v>
      </c>
      <c r="B4058" t="s">
        <v>4554</v>
      </c>
      <c r="I4058" t="s">
        <v>4555</v>
      </c>
      <c r="J4058" s="3">
        <v>-1.7328429999999999E-2</v>
      </c>
      <c r="K4058" s="3">
        <v>9.8277320000000001E-2</v>
      </c>
      <c r="L4058" s="3">
        <v>-9.3543409999999994E-2</v>
      </c>
    </row>
    <row r="4059" spans="1:12" x14ac:dyDescent="0.25">
      <c r="A4059" t="s">
        <v>4550</v>
      </c>
      <c r="B4059" t="s">
        <v>4551</v>
      </c>
      <c r="I4059" t="s">
        <v>4552</v>
      </c>
      <c r="J4059" s="3">
        <v>0.48715039999999998</v>
      </c>
      <c r="K4059" s="3">
        <v>0.803346</v>
      </c>
      <c r="L4059" s="3">
        <v>0.57258419999999999</v>
      </c>
    </row>
    <row r="4060" spans="1:12" x14ac:dyDescent="0.25">
      <c r="A4060" t="s">
        <v>4547</v>
      </c>
      <c r="B4060" t="s">
        <v>4548</v>
      </c>
      <c r="I4060" t="s">
        <v>4549</v>
      </c>
      <c r="J4060" s="3">
        <v>-0.72335640000000001</v>
      </c>
      <c r="K4060" s="3">
        <v>-0.1723462</v>
      </c>
      <c r="L4060" s="3">
        <v>-0.62862779999999996</v>
      </c>
    </row>
    <row r="4061" spans="1:12" x14ac:dyDescent="0.25">
      <c r="A4061" t="s">
        <v>3491</v>
      </c>
      <c r="B4061" t="s">
        <v>3492</v>
      </c>
      <c r="I4061" t="s">
        <v>4546</v>
      </c>
      <c r="J4061" s="3">
        <v>0.33677249999999997</v>
      </c>
      <c r="K4061" s="3">
        <v>0.30582589999999998</v>
      </c>
      <c r="L4061" s="3">
        <v>0.46100239999999998</v>
      </c>
    </row>
    <row r="4062" spans="1:12" x14ac:dyDescent="0.25">
      <c r="A4062" t="s">
        <v>3489</v>
      </c>
      <c r="B4062" t="s">
        <v>3490</v>
      </c>
      <c r="I4062" t="s">
        <v>278</v>
      </c>
      <c r="J4062" s="3">
        <v>-0.91605479999999995</v>
      </c>
      <c r="K4062" s="3">
        <v>-0.85244600000000004</v>
      </c>
      <c r="L4062" s="3">
        <v>-0.70149570000000006</v>
      </c>
    </row>
    <row r="4063" spans="1:12" x14ac:dyDescent="0.25">
      <c r="A4063" t="s">
        <v>3486</v>
      </c>
      <c r="B4063" t="s">
        <v>3487</v>
      </c>
      <c r="I4063" t="s">
        <v>3488</v>
      </c>
      <c r="J4063" s="3">
        <v>-0.42109809999999998</v>
      </c>
      <c r="K4063" s="3">
        <v>-0.8571029</v>
      </c>
      <c r="L4063" s="3">
        <v>-0.44760739999999999</v>
      </c>
    </row>
    <row r="4064" spans="1:12" x14ac:dyDescent="0.25">
      <c r="A4064" t="s">
        <v>4509</v>
      </c>
      <c r="B4064" t="s">
        <v>4510</v>
      </c>
      <c r="I4064" t="s">
        <v>3485</v>
      </c>
      <c r="J4064" s="3">
        <v>-0.14742459999999999</v>
      </c>
      <c r="K4064" s="3">
        <v>-0.81411049999999996</v>
      </c>
      <c r="L4064" s="3">
        <v>-0.327019</v>
      </c>
    </row>
    <row r="4065" spans="1:12" x14ac:dyDescent="0.25">
      <c r="A4065" t="s">
        <v>4506</v>
      </c>
      <c r="B4065" t="s">
        <v>4507</v>
      </c>
      <c r="I4065" t="s">
        <v>4508</v>
      </c>
      <c r="J4065" s="3">
        <v>0.26076070000000001</v>
      </c>
      <c r="K4065" s="3">
        <v>-6.6643129999999995E-2</v>
      </c>
      <c r="L4065" s="3">
        <v>-0.28955779999999998</v>
      </c>
    </row>
    <row r="4066" spans="1:12" x14ac:dyDescent="0.25">
      <c r="A4066" t="s">
        <v>4503</v>
      </c>
      <c r="B4066" t="s">
        <v>4504</v>
      </c>
      <c r="I4066" t="s">
        <v>4505</v>
      </c>
      <c r="J4066" s="3">
        <v>1.5930260000000002E-2</v>
      </c>
      <c r="K4066" s="3">
        <v>-0.32483960000000001</v>
      </c>
      <c r="L4066" s="3">
        <v>-0.4255661</v>
      </c>
    </row>
    <row r="4067" spans="1:12" x14ac:dyDescent="0.25">
      <c r="A4067" t="s">
        <v>4500</v>
      </c>
      <c r="B4067" t="s">
        <v>4501</v>
      </c>
      <c r="I4067" t="s">
        <v>4502</v>
      </c>
      <c r="J4067" s="3">
        <v>-0.67971490000000001</v>
      </c>
      <c r="K4067" s="3">
        <v>-1.046478</v>
      </c>
      <c r="L4067" s="3">
        <v>-0.7396142</v>
      </c>
    </row>
    <row r="4068" spans="1:12" x14ac:dyDescent="0.25">
      <c r="A4068" t="s">
        <v>4497</v>
      </c>
      <c r="B4068" t="s">
        <v>4498</v>
      </c>
      <c r="I4068" t="s">
        <v>4499</v>
      </c>
      <c r="J4068" s="3">
        <v>-5.4183170000000003E-2</v>
      </c>
      <c r="K4068" s="3">
        <v>-0.4133058</v>
      </c>
      <c r="L4068" s="3">
        <v>-4.9178479999999997E-2</v>
      </c>
    </row>
    <row r="4069" spans="1:12" x14ac:dyDescent="0.25">
      <c r="A4069" t="s">
        <v>4495</v>
      </c>
      <c r="B4069" t="s">
        <v>4496</v>
      </c>
      <c r="I4069" t="s">
        <v>1638</v>
      </c>
      <c r="J4069" s="3">
        <v>-0.61374790000000001</v>
      </c>
      <c r="K4069" s="3">
        <v>-1.093739</v>
      </c>
      <c r="L4069" s="3">
        <v>-0.83467550000000001</v>
      </c>
    </row>
    <row r="4070" spans="1:12" x14ac:dyDescent="0.25">
      <c r="A4070" t="s">
        <v>4492</v>
      </c>
      <c r="B4070" t="s">
        <v>4493</v>
      </c>
      <c r="I4070" t="s">
        <v>4494</v>
      </c>
      <c r="J4070" s="3">
        <v>0.50886520000000002</v>
      </c>
      <c r="K4070" s="3">
        <v>-5.4406620000000003E-2</v>
      </c>
      <c r="L4070" s="3">
        <v>0.12095599999999999</v>
      </c>
    </row>
    <row r="4071" spans="1:12" x14ac:dyDescent="0.25">
      <c r="A4071" t="s">
        <v>4489</v>
      </c>
      <c r="B4071" t="s">
        <v>4490</v>
      </c>
      <c r="I4071" t="s">
        <v>4491</v>
      </c>
      <c r="J4071" s="3">
        <v>-0.1594132</v>
      </c>
      <c r="K4071" s="3">
        <v>-0.45613599999999999</v>
      </c>
      <c r="L4071" s="3">
        <v>-0.33575470000000002</v>
      </c>
    </row>
    <row r="4072" spans="1:12" x14ac:dyDescent="0.25">
      <c r="A4072" t="s">
        <v>4486</v>
      </c>
      <c r="B4072" t="s">
        <v>4487</v>
      </c>
      <c r="I4072" t="s">
        <v>4488</v>
      </c>
      <c r="J4072" s="3">
        <v>-0.24116370000000001</v>
      </c>
      <c r="K4072" s="3">
        <v>0.2997204</v>
      </c>
      <c r="L4072" s="3">
        <v>-0.56106590000000001</v>
      </c>
    </row>
    <row r="4073" spans="1:12" x14ac:dyDescent="0.25">
      <c r="A4073" t="s">
        <v>4483</v>
      </c>
      <c r="B4073" t="s">
        <v>4484</v>
      </c>
      <c r="I4073" t="s">
        <v>4485</v>
      </c>
      <c r="J4073" s="3">
        <v>1.0066139999999999</v>
      </c>
      <c r="K4073" s="3">
        <v>0.46266170000000001</v>
      </c>
      <c r="L4073" s="3">
        <v>0.42654419999999998</v>
      </c>
    </row>
    <row r="4074" spans="1:12" x14ac:dyDescent="0.25">
      <c r="A4074" t="s">
        <v>4481</v>
      </c>
      <c r="B4074" t="s">
        <v>957</v>
      </c>
      <c r="I4074" t="s">
        <v>4482</v>
      </c>
      <c r="J4074" s="3">
        <v>0.25308079999999999</v>
      </c>
      <c r="K4074" s="3">
        <v>0.10844579999999999</v>
      </c>
      <c r="L4074" s="3">
        <v>0.217302</v>
      </c>
    </row>
    <row r="4075" spans="1:12" x14ac:dyDescent="0.25">
      <c r="A4075" t="s">
        <v>4478</v>
      </c>
      <c r="B4075" t="s">
        <v>4479</v>
      </c>
      <c r="I4075" t="s">
        <v>4480</v>
      </c>
      <c r="J4075" s="3">
        <v>1.3343039999999999</v>
      </c>
      <c r="K4075" s="3">
        <v>1.0960650000000001</v>
      </c>
      <c r="L4075" s="3">
        <v>1.1490959999999999</v>
      </c>
    </row>
    <row r="4076" spans="1:12" x14ac:dyDescent="0.25">
      <c r="A4076" t="s">
        <v>4477</v>
      </c>
      <c r="B4076" t="s">
        <v>957</v>
      </c>
      <c r="I4076" t="s">
        <v>455</v>
      </c>
      <c r="J4076" s="3">
        <v>-0.3932696</v>
      </c>
      <c r="K4076" s="3">
        <v>-0.4748752</v>
      </c>
      <c r="L4076" s="3">
        <v>-0.44714379999999998</v>
      </c>
    </row>
    <row r="4077" spans="1:12" x14ac:dyDescent="0.25">
      <c r="A4077" t="s">
        <v>4476</v>
      </c>
      <c r="B4077" t="s">
        <v>957</v>
      </c>
      <c r="I4077" t="s">
        <v>455</v>
      </c>
      <c r="J4077" s="3">
        <v>-0.76456769999999996</v>
      </c>
      <c r="K4077" s="3">
        <v>-0.67833880000000002</v>
      </c>
      <c r="L4077" s="3">
        <v>-0.189552</v>
      </c>
    </row>
    <row r="4078" spans="1:12" x14ac:dyDescent="0.25">
      <c r="A4078" t="s">
        <v>4474</v>
      </c>
      <c r="B4078" t="s">
        <v>957</v>
      </c>
      <c r="I4078" t="s">
        <v>4475</v>
      </c>
      <c r="J4078" s="3">
        <v>-0.24040429999999999</v>
      </c>
      <c r="K4078" s="3">
        <v>-0.65896940000000004</v>
      </c>
      <c r="L4078" s="3">
        <v>-0.41763149999999999</v>
      </c>
    </row>
    <row r="4079" spans="1:12" x14ac:dyDescent="0.25">
      <c r="A4079" t="s">
        <v>4471</v>
      </c>
      <c r="B4079" t="s">
        <v>4472</v>
      </c>
      <c r="I4079" t="s">
        <v>4473</v>
      </c>
      <c r="J4079" s="3">
        <v>-0.2271647</v>
      </c>
      <c r="K4079" s="3">
        <v>-0.99302919999999995</v>
      </c>
      <c r="L4079" s="3">
        <v>8.0848439999999994E-2</v>
      </c>
    </row>
    <row r="4080" spans="1:12" x14ac:dyDescent="0.25">
      <c r="A4080" t="s">
        <v>4468</v>
      </c>
      <c r="B4080" t="s">
        <v>4469</v>
      </c>
      <c r="I4080" t="s">
        <v>4470</v>
      </c>
      <c r="J4080" s="3">
        <v>-0.337003</v>
      </c>
      <c r="K4080" s="3">
        <v>-0.81019810000000003</v>
      </c>
      <c r="L4080" s="3">
        <v>-9.1695620000000005E-2</v>
      </c>
    </row>
    <row r="4081" spans="1:12" x14ac:dyDescent="0.25">
      <c r="A4081" t="s">
        <v>4465</v>
      </c>
      <c r="B4081" t="s">
        <v>4466</v>
      </c>
      <c r="I4081" t="s">
        <v>4467</v>
      </c>
      <c r="J4081" s="3">
        <v>-7.4431769999999994E-2</v>
      </c>
      <c r="K4081" s="3">
        <v>-3.9850339999999998E-2</v>
      </c>
      <c r="L4081" s="3">
        <v>0.35488779999999998</v>
      </c>
    </row>
    <row r="4082" spans="1:12" x14ac:dyDescent="0.25">
      <c r="A4082" t="s">
        <v>4462</v>
      </c>
      <c r="B4082" t="s">
        <v>4463</v>
      </c>
      <c r="I4082" t="s">
        <v>4464</v>
      </c>
      <c r="J4082" s="3">
        <v>1.2770490000000001E-2</v>
      </c>
      <c r="K4082" s="3">
        <v>0.47977589999999998</v>
      </c>
      <c r="L4082" s="3">
        <v>0.2380082</v>
      </c>
    </row>
    <row r="4083" spans="1:12" x14ac:dyDescent="0.25">
      <c r="A4083" t="s">
        <v>4459</v>
      </c>
      <c r="B4083" t="s">
        <v>4460</v>
      </c>
      <c r="I4083" t="s">
        <v>4461</v>
      </c>
      <c r="J4083" s="3">
        <v>-1.8278329999999999E-2</v>
      </c>
      <c r="K4083" s="3">
        <v>-0.18191979999999999</v>
      </c>
      <c r="L4083" s="3">
        <v>-0.29837540000000001</v>
      </c>
    </row>
    <row r="4084" spans="1:12" x14ac:dyDescent="0.25">
      <c r="A4084" t="s">
        <v>4456</v>
      </c>
      <c r="B4084" t="s">
        <v>4457</v>
      </c>
      <c r="I4084" t="s">
        <v>4458</v>
      </c>
      <c r="J4084" s="3">
        <v>0.25655149999999999</v>
      </c>
      <c r="K4084" s="3">
        <v>0.23048279999999999</v>
      </c>
      <c r="L4084" s="3">
        <v>0.40668070000000001</v>
      </c>
    </row>
    <row r="4085" spans="1:12" x14ac:dyDescent="0.25">
      <c r="A4085" t="s">
        <v>4453</v>
      </c>
      <c r="B4085" t="s">
        <v>4454</v>
      </c>
      <c r="I4085" t="s">
        <v>4455</v>
      </c>
      <c r="J4085" s="3">
        <v>-0.49491230000000003</v>
      </c>
      <c r="K4085" s="3">
        <v>-0.52174670000000001</v>
      </c>
      <c r="L4085" s="3">
        <v>-0.34480329999999998</v>
      </c>
    </row>
    <row r="4086" spans="1:12" x14ac:dyDescent="0.25">
      <c r="A4086" t="s">
        <v>4452</v>
      </c>
      <c r="B4086" t="s">
        <v>957</v>
      </c>
      <c r="I4086" t="s">
        <v>455</v>
      </c>
      <c r="J4086" s="3">
        <v>0.28832790000000003</v>
      </c>
      <c r="K4086" s="3">
        <v>6.1835639999999997E-2</v>
      </c>
      <c r="L4086" s="3">
        <v>0.77537</v>
      </c>
    </row>
    <row r="4087" spans="1:12" x14ac:dyDescent="0.25">
      <c r="A4087" t="s">
        <v>4451</v>
      </c>
      <c r="B4087" t="s">
        <v>957</v>
      </c>
      <c r="I4087" t="s">
        <v>455</v>
      </c>
      <c r="J4087" s="3">
        <v>0.32766410000000001</v>
      </c>
      <c r="K4087" s="3">
        <v>1.176494E-2</v>
      </c>
      <c r="L4087" s="3">
        <v>0.44459769999999998</v>
      </c>
    </row>
    <row r="4088" spans="1:12" x14ac:dyDescent="0.25">
      <c r="A4088" t="s">
        <v>4449</v>
      </c>
      <c r="B4088" t="s">
        <v>957</v>
      </c>
      <c r="I4088" t="s">
        <v>4450</v>
      </c>
      <c r="J4088" s="3">
        <v>1.5827109999999998E-2</v>
      </c>
      <c r="K4088" s="3">
        <v>-0.53290210000000005</v>
      </c>
      <c r="L4088" s="3">
        <v>-0.1280326</v>
      </c>
    </row>
    <row r="4089" spans="1:12" x14ac:dyDescent="0.25">
      <c r="A4089" t="s">
        <v>4447</v>
      </c>
      <c r="B4089" t="s">
        <v>957</v>
      </c>
      <c r="I4089" t="s">
        <v>4448</v>
      </c>
      <c r="J4089" s="3">
        <v>0.5525002</v>
      </c>
      <c r="K4089" s="3">
        <v>0.55548730000000002</v>
      </c>
      <c r="L4089" s="3">
        <v>0.77486659999999996</v>
      </c>
    </row>
    <row r="4090" spans="1:12" x14ac:dyDescent="0.25">
      <c r="A4090" t="s">
        <v>4444</v>
      </c>
      <c r="B4090" t="s">
        <v>4445</v>
      </c>
      <c r="I4090" t="s">
        <v>4446</v>
      </c>
      <c r="J4090" s="3">
        <v>-2.1189530000000002E-2</v>
      </c>
      <c r="K4090" s="3">
        <v>8.0618099999999998E-2</v>
      </c>
      <c r="L4090" s="3">
        <v>6.9870979999999999E-2</v>
      </c>
    </row>
    <row r="4091" spans="1:12" x14ac:dyDescent="0.25">
      <c r="A4091" t="s">
        <v>4441</v>
      </c>
      <c r="B4091" t="s">
        <v>4442</v>
      </c>
      <c r="I4091" t="s">
        <v>4443</v>
      </c>
      <c r="J4091" s="3">
        <v>-0.70547629999999995</v>
      </c>
      <c r="K4091" s="3">
        <v>-1.3289200000000001</v>
      </c>
      <c r="L4091" s="3">
        <v>-0.65943969999999996</v>
      </c>
    </row>
    <row r="4092" spans="1:12" x14ac:dyDescent="0.25">
      <c r="A4092" t="s">
        <v>4440</v>
      </c>
      <c r="B4092" t="s">
        <v>957</v>
      </c>
      <c r="I4092" t="s">
        <v>455</v>
      </c>
      <c r="J4092" s="3">
        <v>0.3323719</v>
      </c>
      <c r="K4092" s="3">
        <v>0.43920989999999999</v>
      </c>
      <c r="L4092" s="3">
        <v>0.35403469999999998</v>
      </c>
    </row>
    <row r="4093" spans="1:12" x14ac:dyDescent="0.25">
      <c r="A4093" t="s">
        <v>4437</v>
      </c>
      <c r="B4093" t="s">
        <v>4438</v>
      </c>
      <c r="I4093" t="s">
        <v>4439</v>
      </c>
      <c r="J4093" s="3">
        <v>-6.6474679999999994E-2</v>
      </c>
      <c r="K4093" s="3">
        <v>-0.75509800000000005</v>
      </c>
      <c r="L4093" s="3">
        <v>-0.2234178</v>
      </c>
    </row>
    <row r="4094" spans="1:12" x14ac:dyDescent="0.25">
      <c r="A4094" t="s">
        <v>4434</v>
      </c>
      <c r="B4094" t="s">
        <v>4435</v>
      </c>
      <c r="I4094" t="s">
        <v>4436</v>
      </c>
      <c r="J4094" s="3">
        <v>0.24167330000000001</v>
      </c>
      <c r="K4094" s="3">
        <v>0.3138435</v>
      </c>
      <c r="L4094" s="3">
        <v>0.3266539</v>
      </c>
    </row>
    <row r="4095" spans="1:12" x14ac:dyDescent="0.25">
      <c r="A4095" t="s">
        <v>4431</v>
      </c>
      <c r="B4095" t="s">
        <v>4432</v>
      </c>
      <c r="I4095" t="s">
        <v>4433</v>
      </c>
      <c r="J4095" s="3">
        <v>8.6737480000000006E-2</v>
      </c>
      <c r="K4095" s="3">
        <v>0.4119314</v>
      </c>
      <c r="L4095" s="3">
        <v>-0.52071639999999997</v>
      </c>
    </row>
    <row r="4096" spans="1:12" x14ac:dyDescent="0.25">
      <c r="A4096" t="s">
        <v>4428</v>
      </c>
      <c r="B4096" t="s">
        <v>4429</v>
      </c>
      <c r="I4096" t="s">
        <v>4430</v>
      </c>
      <c r="J4096" s="3">
        <v>-0.1113724</v>
      </c>
      <c r="K4096" s="3">
        <v>0.14048340000000001</v>
      </c>
      <c r="L4096" s="3">
        <v>-7.2380559999999997E-2</v>
      </c>
    </row>
    <row r="4097" spans="1:12" x14ac:dyDescent="0.25">
      <c r="A4097" t="s">
        <v>4425</v>
      </c>
      <c r="B4097" t="s">
        <v>4426</v>
      </c>
      <c r="I4097" t="s">
        <v>4427</v>
      </c>
      <c r="J4097" s="3">
        <v>-0.24951799999999999</v>
      </c>
      <c r="K4097" s="3">
        <v>-9.3920000000000003E-2</v>
      </c>
      <c r="L4097" s="3">
        <v>-0.25447120000000001</v>
      </c>
    </row>
    <row r="4098" spans="1:12" x14ac:dyDescent="0.25">
      <c r="A4098" t="s">
        <v>4422</v>
      </c>
      <c r="B4098" t="s">
        <v>4423</v>
      </c>
      <c r="I4098" t="s">
        <v>4424</v>
      </c>
      <c r="J4098" s="3">
        <v>-8.9652549999999998E-2</v>
      </c>
      <c r="K4098" s="3">
        <v>-0.30542859999999999</v>
      </c>
      <c r="L4098" s="3">
        <v>-0.1806123</v>
      </c>
    </row>
    <row r="4099" spans="1:12" x14ac:dyDescent="0.25">
      <c r="A4099" t="s">
        <v>4419</v>
      </c>
      <c r="B4099" t="s">
        <v>4420</v>
      </c>
      <c r="I4099" t="s">
        <v>4421</v>
      </c>
      <c r="J4099" s="3">
        <v>-0.75347739999999996</v>
      </c>
      <c r="K4099" s="3">
        <v>-1.4482699999999999</v>
      </c>
      <c r="L4099" s="3">
        <v>-0.43595640000000002</v>
      </c>
    </row>
    <row r="4100" spans="1:12" x14ac:dyDescent="0.25">
      <c r="A4100" t="s">
        <v>4418</v>
      </c>
      <c r="B4100" t="s">
        <v>957</v>
      </c>
      <c r="I4100" t="s">
        <v>455</v>
      </c>
      <c r="J4100" s="3">
        <v>-0.59751069999999995</v>
      </c>
      <c r="K4100" s="3">
        <v>-0.73128099999999996</v>
      </c>
      <c r="L4100" s="3">
        <v>-0.43343120000000002</v>
      </c>
    </row>
    <row r="4101" spans="1:12" x14ac:dyDescent="0.25">
      <c r="A4101" t="s">
        <v>4417</v>
      </c>
      <c r="B4101" t="s">
        <v>957</v>
      </c>
      <c r="I4101" t="s">
        <v>455</v>
      </c>
      <c r="J4101" s="3">
        <v>3.022072E-2</v>
      </c>
      <c r="K4101" s="3">
        <v>4.002199E-2</v>
      </c>
      <c r="L4101" s="3">
        <v>8.4760260000000004E-2</v>
      </c>
    </row>
    <row r="4102" spans="1:12" x14ac:dyDescent="0.25">
      <c r="A4102" t="s">
        <v>4414</v>
      </c>
      <c r="B4102" t="s">
        <v>4415</v>
      </c>
      <c r="I4102" t="s">
        <v>4416</v>
      </c>
      <c r="J4102" s="3">
        <v>0.35454639999999998</v>
      </c>
      <c r="K4102" s="3">
        <v>0.18914339999999999</v>
      </c>
      <c r="L4102" s="3">
        <v>0.21845390000000001</v>
      </c>
    </row>
    <row r="4103" spans="1:12" x14ac:dyDescent="0.25">
      <c r="A4103" t="s">
        <v>4411</v>
      </c>
      <c r="B4103" t="s">
        <v>4412</v>
      </c>
      <c r="I4103" t="s">
        <v>4413</v>
      </c>
      <c r="J4103" s="3">
        <v>-0.61045879999999997</v>
      </c>
      <c r="K4103" s="3">
        <v>-0.31335809999999997</v>
      </c>
      <c r="L4103" s="3">
        <v>-0.31724170000000002</v>
      </c>
    </row>
    <row r="4104" spans="1:12" x14ac:dyDescent="0.25">
      <c r="A4104" t="s">
        <v>4409</v>
      </c>
      <c r="B4104" t="s">
        <v>957</v>
      </c>
      <c r="I4104" t="s">
        <v>4410</v>
      </c>
      <c r="J4104" s="3">
        <v>-0.48457850000000002</v>
      </c>
      <c r="K4104" s="3">
        <v>-0.56627709999999998</v>
      </c>
      <c r="L4104" s="3">
        <v>-0.95294199999999996</v>
      </c>
    </row>
    <row r="4105" spans="1:12" x14ac:dyDescent="0.25">
      <c r="A4105" t="s">
        <v>4406</v>
      </c>
      <c r="B4105" t="s">
        <v>4407</v>
      </c>
      <c r="I4105" t="s">
        <v>4408</v>
      </c>
      <c r="J4105" s="3">
        <v>0.63162359999999995</v>
      </c>
      <c r="K4105" s="3">
        <v>0.80556499999999998</v>
      </c>
      <c r="L4105" s="3">
        <v>0.23261380000000001</v>
      </c>
    </row>
    <row r="4106" spans="1:12" x14ac:dyDescent="0.25">
      <c r="A4106" t="s">
        <v>4403</v>
      </c>
      <c r="B4106" t="s">
        <v>4404</v>
      </c>
      <c r="I4106" t="s">
        <v>4405</v>
      </c>
      <c r="J4106" s="3">
        <v>7.6495969999999996E-2</v>
      </c>
      <c r="K4106" s="3">
        <v>0.43547459999999999</v>
      </c>
      <c r="L4106" s="3">
        <v>0.20236390000000001</v>
      </c>
    </row>
    <row r="4107" spans="1:12" x14ac:dyDescent="0.25">
      <c r="A4107" t="s">
        <v>4402</v>
      </c>
      <c r="B4107" t="s">
        <v>957</v>
      </c>
      <c r="I4107" t="s">
        <v>453</v>
      </c>
      <c r="J4107" s="3">
        <v>-0.41244760000000003</v>
      </c>
      <c r="K4107" s="3">
        <v>-9.7669550000000008E-3</v>
      </c>
      <c r="L4107" s="3">
        <v>-0.10077120000000001</v>
      </c>
    </row>
    <row r="4108" spans="1:12" x14ac:dyDescent="0.25">
      <c r="A4108" t="s">
        <v>4400</v>
      </c>
      <c r="B4108" t="s">
        <v>4401</v>
      </c>
      <c r="I4108" t="s">
        <v>3994</v>
      </c>
      <c r="J4108" s="3">
        <v>-0.75483210000000001</v>
      </c>
      <c r="K4108" s="3">
        <v>-0.97351849999999995</v>
      </c>
      <c r="L4108" s="3">
        <v>-0.67110300000000001</v>
      </c>
    </row>
    <row r="4109" spans="1:12" x14ac:dyDescent="0.25">
      <c r="A4109" t="s">
        <v>4398</v>
      </c>
      <c r="B4109" t="s">
        <v>4399</v>
      </c>
      <c r="I4109" t="s">
        <v>4226</v>
      </c>
      <c r="J4109" s="3">
        <v>0.29591000000000001</v>
      </c>
      <c r="K4109" s="3">
        <v>-0.12614729999999999</v>
      </c>
      <c r="L4109" s="3">
        <v>0.2980508</v>
      </c>
    </row>
    <row r="4110" spans="1:12" x14ac:dyDescent="0.25">
      <c r="A4110" t="s">
        <v>4395</v>
      </c>
      <c r="B4110" t="s">
        <v>4396</v>
      </c>
      <c r="I4110" t="s">
        <v>4397</v>
      </c>
      <c r="J4110" s="3">
        <v>0.44661430000000002</v>
      </c>
      <c r="K4110" s="3">
        <v>-0.50184269999999997</v>
      </c>
      <c r="L4110" s="3">
        <v>-0.14245659999999999</v>
      </c>
    </row>
    <row r="4111" spans="1:12" x14ac:dyDescent="0.25">
      <c r="A4111" t="s">
        <v>4392</v>
      </c>
      <c r="B4111" t="s">
        <v>4393</v>
      </c>
      <c r="I4111" t="s">
        <v>4394</v>
      </c>
      <c r="J4111" s="3">
        <v>0.65127930000000001</v>
      </c>
      <c r="K4111" s="3">
        <v>0.89697800000000005</v>
      </c>
      <c r="L4111" s="3">
        <v>0.86148800000000003</v>
      </c>
    </row>
    <row r="4112" spans="1:12" x14ac:dyDescent="0.25">
      <c r="A4112" t="s">
        <v>4391</v>
      </c>
      <c r="B4112" t="s">
        <v>957</v>
      </c>
      <c r="I4112" t="s">
        <v>455</v>
      </c>
      <c r="J4112" s="3">
        <v>-4.3833280000000002E-2</v>
      </c>
      <c r="K4112" s="3">
        <v>0.15550149999999999</v>
      </c>
      <c r="L4112" s="3">
        <v>3.4227680000000003E-2</v>
      </c>
    </row>
    <row r="4113" spans="1:12" x14ac:dyDescent="0.25">
      <c r="A4113" t="s">
        <v>4390</v>
      </c>
      <c r="B4113" t="s">
        <v>957</v>
      </c>
      <c r="I4113" t="s">
        <v>455</v>
      </c>
      <c r="J4113" s="3">
        <v>7.0580660000000003E-2</v>
      </c>
      <c r="K4113" s="3">
        <v>-0.53336669999999997</v>
      </c>
      <c r="L4113" s="3">
        <v>-0.12723400000000001</v>
      </c>
    </row>
    <row r="4114" spans="1:12" x14ac:dyDescent="0.25">
      <c r="A4114" t="s">
        <v>4387</v>
      </c>
      <c r="B4114" t="s">
        <v>4388</v>
      </c>
      <c r="I4114" t="s">
        <v>4389</v>
      </c>
      <c r="J4114" s="3">
        <v>-0.3097741</v>
      </c>
      <c r="K4114" s="3">
        <v>-0.28169709999999998</v>
      </c>
      <c r="L4114" s="3">
        <v>0.28903220000000002</v>
      </c>
    </row>
    <row r="4115" spans="1:12" x14ac:dyDescent="0.25">
      <c r="A4115" t="s">
        <v>4384</v>
      </c>
      <c r="B4115" t="s">
        <v>4385</v>
      </c>
      <c r="I4115" t="s">
        <v>4386</v>
      </c>
      <c r="J4115" s="3">
        <v>0.2677851</v>
      </c>
      <c r="K4115" s="3">
        <v>0.42303200000000002</v>
      </c>
      <c r="L4115" s="3">
        <v>0.25392910000000002</v>
      </c>
    </row>
    <row r="4116" spans="1:12" x14ac:dyDescent="0.25">
      <c r="A4116" t="s">
        <v>4383</v>
      </c>
      <c r="B4116" t="s">
        <v>957</v>
      </c>
      <c r="I4116" t="s">
        <v>455</v>
      </c>
      <c r="J4116" s="3">
        <v>0.1981579</v>
      </c>
      <c r="K4116" s="3">
        <v>-0.44758300000000001</v>
      </c>
      <c r="L4116" s="3">
        <v>0.55247559999999996</v>
      </c>
    </row>
    <row r="4117" spans="1:12" x14ac:dyDescent="0.25">
      <c r="A4117" t="s">
        <v>4382</v>
      </c>
      <c r="B4117" t="s">
        <v>957</v>
      </c>
      <c r="I4117" t="s">
        <v>823</v>
      </c>
      <c r="J4117" s="3">
        <v>-0.72454890000000005</v>
      </c>
      <c r="K4117" s="3">
        <v>-1.3265150000000001</v>
      </c>
      <c r="L4117" s="3">
        <v>-0.66652429999999996</v>
      </c>
    </row>
    <row r="4118" spans="1:12" x14ac:dyDescent="0.25">
      <c r="A4118" t="s">
        <v>4379</v>
      </c>
      <c r="B4118" t="s">
        <v>4380</v>
      </c>
      <c r="I4118" t="s">
        <v>4381</v>
      </c>
      <c r="J4118" s="3">
        <v>0.84233100000000005</v>
      </c>
      <c r="K4118" s="3">
        <v>1.4099520000000001</v>
      </c>
      <c r="L4118" s="3">
        <v>1.323191</v>
      </c>
    </row>
    <row r="4119" spans="1:12" x14ac:dyDescent="0.25">
      <c r="A4119" t="s">
        <v>4377</v>
      </c>
      <c r="B4119" t="s">
        <v>4378</v>
      </c>
      <c r="I4119" t="s">
        <v>2079</v>
      </c>
      <c r="J4119" s="3">
        <v>0.2011377</v>
      </c>
      <c r="K4119" s="3">
        <v>-0.18869610000000001</v>
      </c>
      <c r="L4119" s="3">
        <v>2.6922250000000002E-2</v>
      </c>
    </row>
    <row r="4120" spans="1:12" x14ac:dyDescent="0.25">
      <c r="A4120" t="s">
        <v>4376</v>
      </c>
      <c r="B4120" t="s">
        <v>957</v>
      </c>
      <c r="I4120" t="s">
        <v>455</v>
      </c>
      <c r="J4120" s="3">
        <v>0.47855720000000002</v>
      </c>
      <c r="K4120" s="3">
        <v>0.54763099999999998</v>
      </c>
      <c r="L4120" s="3">
        <v>0.50522319999999998</v>
      </c>
    </row>
    <row r="4121" spans="1:12" x14ac:dyDescent="0.25">
      <c r="A4121" t="s">
        <v>3356</v>
      </c>
      <c r="B4121" t="s">
        <v>4375</v>
      </c>
      <c r="I4121" t="s">
        <v>3872</v>
      </c>
      <c r="J4121" s="3">
        <v>0.27814460000000002</v>
      </c>
      <c r="K4121" s="3">
        <v>0.58998110000000004</v>
      </c>
      <c r="L4121" s="3">
        <v>0.421985</v>
      </c>
    </row>
    <row r="4122" spans="1:12" x14ac:dyDescent="0.25">
      <c r="A4122" t="s">
        <v>3353</v>
      </c>
      <c r="B4122" t="s">
        <v>3354</v>
      </c>
      <c r="I4122" t="s">
        <v>3355</v>
      </c>
      <c r="J4122" s="3">
        <v>1.0515760000000001</v>
      </c>
      <c r="K4122" s="3">
        <v>1.1714089999999999</v>
      </c>
      <c r="L4122" s="3">
        <v>1.269323</v>
      </c>
    </row>
    <row r="4123" spans="1:12" x14ac:dyDescent="0.25">
      <c r="A4123" t="s">
        <v>3350</v>
      </c>
      <c r="B4123" t="s">
        <v>3351</v>
      </c>
      <c r="I4123" t="s">
        <v>3352</v>
      </c>
      <c r="J4123" s="3">
        <v>-0.1936156</v>
      </c>
      <c r="K4123" s="3">
        <v>-0.64267600000000003</v>
      </c>
      <c r="L4123" s="3">
        <v>8.1230739999999996E-2</v>
      </c>
    </row>
    <row r="4124" spans="1:12" x14ac:dyDescent="0.25">
      <c r="A4124" t="s">
        <v>3349</v>
      </c>
      <c r="B4124" t="s">
        <v>957</v>
      </c>
      <c r="I4124" t="s">
        <v>455</v>
      </c>
      <c r="J4124" s="3">
        <v>-0.1804547</v>
      </c>
      <c r="K4124" s="3">
        <v>-0.3246501</v>
      </c>
      <c r="L4124" s="3">
        <v>-0.32946189999999997</v>
      </c>
    </row>
    <row r="4125" spans="1:12" x14ac:dyDescent="0.25">
      <c r="A4125" t="s">
        <v>3346</v>
      </c>
      <c r="B4125" t="s">
        <v>3347</v>
      </c>
      <c r="I4125" t="s">
        <v>3348</v>
      </c>
      <c r="J4125" s="3">
        <v>0.2244168</v>
      </c>
      <c r="K4125" s="3">
        <v>0.36474109999999998</v>
      </c>
      <c r="L4125" s="3">
        <v>0.45154</v>
      </c>
    </row>
    <row r="4126" spans="1:12" x14ac:dyDescent="0.25">
      <c r="A4126" t="s">
        <v>3345</v>
      </c>
      <c r="B4126" t="s">
        <v>957</v>
      </c>
      <c r="I4126" t="s">
        <v>1114</v>
      </c>
      <c r="J4126" s="3">
        <v>-0.72370290000000004</v>
      </c>
      <c r="K4126" s="3">
        <v>-1.275026</v>
      </c>
      <c r="L4126" s="3">
        <v>-0.69196809999999997</v>
      </c>
    </row>
    <row r="4127" spans="1:12" x14ac:dyDescent="0.25">
      <c r="A4127" t="s">
        <v>3342</v>
      </c>
      <c r="B4127" t="s">
        <v>3343</v>
      </c>
      <c r="I4127" t="s">
        <v>3344</v>
      </c>
      <c r="J4127" s="3">
        <v>-0.40298679999999998</v>
      </c>
      <c r="K4127" s="3">
        <v>-0.64024939999999997</v>
      </c>
      <c r="L4127" s="3">
        <v>-9.4256450000000006E-2</v>
      </c>
    </row>
    <row r="4128" spans="1:12" x14ac:dyDescent="0.25">
      <c r="A4128" t="s">
        <v>3340</v>
      </c>
      <c r="B4128" t="s">
        <v>957</v>
      </c>
      <c r="I4128" t="s">
        <v>3341</v>
      </c>
      <c r="J4128" s="3">
        <v>0.48806270000000002</v>
      </c>
      <c r="K4128" s="3">
        <v>0.1204644</v>
      </c>
      <c r="L4128" s="3">
        <v>0.13185140000000001</v>
      </c>
    </row>
    <row r="4129" spans="1:12" x14ac:dyDescent="0.25">
      <c r="A4129" t="s">
        <v>3337</v>
      </c>
      <c r="B4129" t="s">
        <v>3338</v>
      </c>
      <c r="I4129" t="s">
        <v>3339</v>
      </c>
      <c r="J4129" s="3">
        <v>-0.22706319999999999</v>
      </c>
      <c r="K4129" s="3">
        <v>-0.1203027</v>
      </c>
      <c r="L4129" s="3">
        <v>-0.17837610000000001</v>
      </c>
    </row>
    <row r="4130" spans="1:12" x14ac:dyDescent="0.25">
      <c r="A4130" t="s">
        <v>3334</v>
      </c>
      <c r="B4130" t="s">
        <v>3335</v>
      </c>
      <c r="I4130" t="s">
        <v>3336</v>
      </c>
      <c r="J4130" s="3">
        <v>2.23322E-2</v>
      </c>
      <c r="K4130" s="3">
        <v>-2.5085119999999999E-2</v>
      </c>
      <c r="L4130" s="3">
        <v>0.18097559999999999</v>
      </c>
    </row>
    <row r="4131" spans="1:12" x14ac:dyDescent="0.25">
      <c r="A4131" t="s">
        <v>3331</v>
      </c>
      <c r="B4131" t="s">
        <v>3332</v>
      </c>
      <c r="I4131" t="s">
        <v>3333</v>
      </c>
      <c r="J4131" s="3">
        <v>0.28048410000000001</v>
      </c>
      <c r="K4131" s="3">
        <v>0.3961577</v>
      </c>
      <c r="L4131" s="3">
        <v>0.3404237</v>
      </c>
    </row>
    <row r="4132" spans="1:12" x14ac:dyDescent="0.25">
      <c r="A4132" t="s">
        <v>3330</v>
      </c>
      <c r="B4132" t="s">
        <v>957</v>
      </c>
      <c r="I4132" t="s">
        <v>455</v>
      </c>
      <c r="J4132" s="3">
        <v>0.46514060000000002</v>
      </c>
      <c r="K4132" s="3">
        <v>0.48101870000000002</v>
      </c>
      <c r="L4132" s="3">
        <v>0.19719200000000001</v>
      </c>
    </row>
    <row r="4133" spans="1:12" x14ac:dyDescent="0.25">
      <c r="A4133" t="s">
        <v>2290</v>
      </c>
      <c r="B4133" t="s">
        <v>3328</v>
      </c>
      <c r="I4133" t="s">
        <v>3329</v>
      </c>
      <c r="J4133" s="3">
        <v>-6.1722069999999997E-2</v>
      </c>
      <c r="K4133" s="3">
        <v>-0.43132039999999999</v>
      </c>
      <c r="L4133" s="3">
        <v>-0.1206497</v>
      </c>
    </row>
    <row r="4134" spans="1:12" x14ac:dyDescent="0.25">
      <c r="A4134" t="s">
        <v>2287</v>
      </c>
      <c r="B4134" t="s">
        <v>2288</v>
      </c>
      <c r="I4134" t="s">
        <v>2289</v>
      </c>
      <c r="J4134" s="3">
        <v>-0.86913470000000004</v>
      </c>
      <c r="K4134" s="3">
        <v>-0.87895400000000001</v>
      </c>
      <c r="L4134" s="3">
        <v>-0.287248</v>
      </c>
    </row>
    <row r="4135" spans="1:12" x14ac:dyDescent="0.25">
      <c r="A4135" t="s">
        <v>4341</v>
      </c>
      <c r="B4135" t="s">
        <v>4342</v>
      </c>
      <c r="I4135" t="s">
        <v>2286</v>
      </c>
      <c r="J4135" s="3">
        <v>0.18180959999999999</v>
      </c>
      <c r="K4135" s="3">
        <v>0.76155280000000003</v>
      </c>
      <c r="L4135" s="3">
        <v>0.3809304</v>
      </c>
    </row>
    <row r="4136" spans="1:12" x14ac:dyDescent="0.25">
      <c r="A4136" t="s">
        <v>4340</v>
      </c>
      <c r="B4136" t="s">
        <v>957</v>
      </c>
      <c r="I4136" t="s">
        <v>2</v>
      </c>
      <c r="J4136" s="3">
        <v>0.44586969999999998</v>
      </c>
      <c r="K4136" s="3">
        <v>-6.050519E-2</v>
      </c>
      <c r="L4136" s="3">
        <v>0.22475020000000001</v>
      </c>
    </row>
    <row r="4137" spans="1:12" x14ac:dyDescent="0.25">
      <c r="A4137" t="s">
        <v>3326</v>
      </c>
      <c r="B4137" t="s">
        <v>3327</v>
      </c>
      <c r="I4137" t="s">
        <v>4339</v>
      </c>
      <c r="J4137" s="3">
        <v>-0.56636419999999998</v>
      </c>
      <c r="K4137" s="3">
        <v>-0.72202929999999999</v>
      </c>
      <c r="L4137" s="3">
        <v>-0.40564850000000002</v>
      </c>
    </row>
    <row r="4138" spans="1:12" x14ac:dyDescent="0.25">
      <c r="A4138" t="s">
        <v>3323</v>
      </c>
      <c r="B4138" t="s">
        <v>3324</v>
      </c>
      <c r="I4138" t="s">
        <v>3325</v>
      </c>
      <c r="J4138" s="3">
        <v>6.3342460000000003E-2</v>
      </c>
      <c r="K4138" s="3">
        <v>-0.15548600000000001</v>
      </c>
      <c r="L4138" s="3">
        <v>-0.2698719</v>
      </c>
    </row>
    <row r="4139" spans="1:12" x14ac:dyDescent="0.25">
      <c r="A4139" t="s">
        <v>3320</v>
      </c>
      <c r="B4139" t="s">
        <v>3321</v>
      </c>
      <c r="I4139" t="s">
        <v>3322</v>
      </c>
      <c r="J4139" s="3">
        <v>-0.40465899999999999</v>
      </c>
      <c r="K4139" s="3">
        <v>-0.77352799999999999</v>
      </c>
      <c r="L4139" s="3">
        <v>-0.53109960000000001</v>
      </c>
    </row>
    <row r="4140" spans="1:12" x14ac:dyDescent="0.25">
      <c r="A4140" t="s">
        <v>3317</v>
      </c>
      <c r="B4140" t="s">
        <v>3318</v>
      </c>
      <c r="I4140" t="s">
        <v>3319</v>
      </c>
      <c r="J4140" s="3">
        <v>0.1178515</v>
      </c>
      <c r="K4140" s="3">
        <v>4.8807929999999999E-2</v>
      </c>
      <c r="L4140" s="3">
        <v>0.66222859999999995</v>
      </c>
    </row>
    <row r="4141" spans="1:12" x14ac:dyDescent="0.25">
      <c r="A4141" t="s">
        <v>3314</v>
      </c>
      <c r="B4141" t="s">
        <v>3315</v>
      </c>
      <c r="I4141" t="s">
        <v>3316</v>
      </c>
      <c r="J4141" s="3">
        <v>-0.36540479999999997</v>
      </c>
      <c r="K4141" s="3">
        <v>-0.92568309999999998</v>
      </c>
      <c r="L4141" s="3">
        <v>-0.59663849999999996</v>
      </c>
    </row>
    <row r="4142" spans="1:12" x14ac:dyDescent="0.25">
      <c r="A4142" t="s">
        <v>3311</v>
      </c>
      <c r="B4142" t="s">
        <v>3312</v>
      </c>
      <c r="I4142" t="s">
        <v>3313</v>
      </c>
      <c r="J4142" s="3">
        <v>0.56531209999999998</v>
      </c>
      <c r="K4142" s="3">
        <v>0.17720630000000001</v>
      </c>
      <c r="L4142" s="3">
        <v>0.29137099999999999</v>
      </c>
    </row>
    <row r="4143" spans="1:12" x14ac:dyDescent="0.25">
      <c r="A4143" t="s">
        <v>3309</v>
      </c>
      <c r="B4143" t="s">
        <v>14139</v>
      </c>
      <c r="C4143" t="s">
        <v>14140</v>
      </c>
      <c r="I4143" t="s">
        <v>3310</v>
      </c>
      <c r="J4143" s="3">
        <v>0.53049820000000003</v>
      </c>
      <c r="K4143" s="3">
        <v>-6.8608260000000004E-2</v>
      </c>
      <c r="L4143" s="3">
        <v>0.52138949999999995</v>
      </c>
    </row>
    <row r="4144" spans="1:12" x14ac:dyDescent="0.25">
      <c r="A4144" t="s">
        <v>3306</v>
      </c>
      <c r="B4144" t="s">
        <v>3307</v>
      </c>
      <c r="I4144" t="s">
        <v>3308</v>
      </c>
      <c r="J4144" s="3">
        <v>0.67403460000000004</v>
      </c>
      <c r="K4144" s="3">
        <v>0.65401010000000004</v>
      </c>
      <c r="L4144" s="3">
        <v>0.62603299999999995</v>
      </c>
    </row>
    <row r="4145" spans="1:12" x14ac:dyDescent="0.25">
      <c r="A4145" t="s">
        <v>3305</v>
      </c>
      <c r="B4145" t="s">
        <v>957</v>
      </c>
      <c r="I4145" t="s">
        <v>455</v>
      </c>
      <c r="J4145" s="3">
        <v>0.118629</v>
      </c>
      <c r="K4145" s="3">
        <v>-0.365012</v>
      </c>
      <c r="L4145" s="3">
        <v>0.41714370000000001</v>
      </c>
    </row>
    <row r="4146" spans="1:12" x14ac:dyDescent="0.25">
      <c r="A4146" t="s">
        <v>3302</v>
      </c>
      <c r="B4146" t="s">
        <v>3303</v>
      </c>
      <c r="I4146" t="s">
        <v>3304</v>
      </c>
      <c r="J4146" s="3">
        <v>-0.16706570000000001</v>
      </c>
      <c r="K4146" s="3">
        <v>-7.3560719999999996E-2</v>
      </c>
      <c r="L4146" s="3">
        <v>-0.24397389999999999</v>
      </c>
    </row>
    <row r="4147" spans="1:12" x14ac:dyDescent="0.25">
      <c r="A4147" t="s">
        <v>3299</v>
      </c>
      <c r="B4147" t="s">
        <v>3300</v>
      </c>
      <c r="I4147" t="s">
        <v>3301</v>
      </c>
      <c r="J4147" s="3">
        <v>-0.24729419999999999</v>
      </c>
      <c r="K4147" s="3">
        <v>-0.7112695</v>
      </c>
      <c r="L4147" s="3">
        <v>-0.25767210000000002</v>
      </c>
    </row>
    <row r="4148" spans="1:12" x14ac:dyDescent="0.25">
      <c r="A4148" t="s">
        <v>3298</v>
      </c>
      <c r="B4148" t="s">
        <v>957</v>
      </c>
      <c r="I4148" t="s">
        <v>455</v>
      </c>
      <c r="J4148" s="3">
        <v>0.46308500000000002</v>
      </c>
      <c r="K4148" s="3">
        <v>0.75694700000000004</v>
      </c>
      <c r="L4148" s="3">
        <v>0.17003450000000001</v>
      </c>
    </row>
    <row r="4149" spans="1:12" x14ac:dyDescent="0.25">
      <c r="A4149" t="s">
        <v>3297</v>
      </c>
      <c r="B4149" t="s">
        <v>957</v>
      </c>
      <c r="I4149" t="s">
        <v>455</v>
      </c>
      <c r="J4149" s="3">
        <v>0.59198430000000002</v>
      </c>
      <c r="K4149" s="3">
        <v>1.1602840000000001</v>
      </c>
      <c r="L4149" s="3">
        <v>0.66804370000000002</v>
      </c>
    </row>
    <row r="4150" spans="1:12" x14ac:dyDescent="0.25">
      <c r="A4150" t="s">
        <v>3294</v>
      </c>
      <c r="B4150" t="s">
        <v>3295</v>
      </c>
      <c r="I4150" t="s">
        <v>3296</v>
      </c>
      <c r="J4150" s="3">
        <v>0.27146540000000002</v>
      </c>
      <c r="K4150" s="3">
        <v>0.56783260000000002</v>
      </c>
      <c r="L4150" s="3">
        <v>0.2839989</v>
      </c>
    </row>
    <row r="4151" spans="1:12" x14ac:dyDescent="0.25">
      <c r="A4151" t="s">
        <v>3291</v>
      </c>
      <c r="B4151" t="s">
        <v>3292</v>
      </c>
      <c r="I4151" t="s">
        <v>3293</v>
      </c>
      <c r="J4151" s="3">
        <v>7.3466119999999998E-3</v>
      </c>
      <c r="K4151" s="3">
        <v>0.1864479</v>
      </c>
      <c r="L4151" s="3">
        <v>0.24294660000000001</v>
      </c>
    </row>
    <row r="4152" spans="1:12" x14ac:dyDescent="0.25">
      <c r="A4152" t="s">
        <v>3288</v>
      </c>
      <c r="B4152" t="s">
        <v>3289</v>
      </c>
      <c r="I4152" t="s">
        <v>3290</v>
      </c>
      <c r="J4152" s="3">
        <v>1.0795939999999999</v>
      </c>
      <c r="K4152" s="3">
        <v>1.1058539999999999</v>
      </c>
      <c r="L4152" s="3">
        <v>0.92933679999999996</v>
      </c>
    </row>
    <row r="4153" spans="1:12" x14ac:dyDescent="0.25">
      <c r="A4153" t="s">
        <v>3285</v>
      </c>
      <c r="B4153" t="s">
        <v>3286</v>
      </c>
      <c r="I4153" t="s">
        <v>3287</v>
      </c>
      <c r="J4153" s="3">
        <v>-0.34720810000000002</v>
      </c>
      <c r="K4153" s="3">
        <v>-0.75627040000000001</v>
      </c>
      <c r="L4153" s="3">
        <v>-0.59085049999999995</v>
      </c>
    </row>
    <row r="4154" spans="1:12" x14ac:dyDescent="0.25">
      <c r="A4154" t="s">
        <v>3282</v>
      </c>
      <c r="B4154" t="s">
        <v>3283</v>
      </c>
      <c r="I4154" t="s">
        <v>3284</v>
      </c>
      <c r="J4154" s="3">
        <v>0.33669169999999998</v>
      </c>
      <c r="K4154" s="3">
        <v>0.76100029999999996</v>
      </c>
      <c r="L4154" s="3">
        <v>0.33350489999999999</v>
      </c>
    </row>
    <row r="4155" spans="1:12" x14ac:dyDescent="0.25">
      <c r="A4155" t="s">
        <v>3281</v>
      </c>
      <c r="B4155" t="s">
        <v>957</v>
      </c>
      <c r="I4155" t="s">
        <v>455</v>
      </c>
      <c r="J4155" s="3">
        <v>0.1248611</v>
      </c>
      <c r="K4155" s="3">
        <v>0.80077679999999996</v>
      </c>
      <c r="L4155" s="3">
        <v>0.28382439999999998</v>
      </c>
    </row>
    <row r="4156" spans="1:12" x14ac:dyDescent="0.25">
      <c r="A4156" t="s">
        <v>3278</v>
      </c>
      <c r="B4156" t="s">
        <v>3279</v>
      </c>
      <c r="I4156" t="s">
        <v>3280</v>
      </c>
      <c r="J4156" s="3">
        <v>-0.50369050000000004</v>
      </c>
      <c r="K4156" s="3">
        <v>-0.1960413</v>
      </c>
      <c r="L4156" s="3">
        <v>-0.10425769999999999</v>
      </c>
    </row>
    <row r="4157" spans="1:12" x14ac:dyDescent="0.25">
      <c r="A4157" t="s">
        <v>3277</v>
      </c>
      <c r="B4157" t="s">
        <v>957</v>
      </c>
      <c r="I4157" t="s">
        <v>823</v>
      </c>
      <c r="J4157" s="3">
        <v>-0.53076820000000002</v>
      </c>
      <c r="K4157" s="3">
        <v>-0.45668389999999998</v>
      </c>
      <c r="L4157" s="3">
        <v>-0.44563700000000001</v>
      </c>
    </row>
    <row r="4158" spans="1:12" x14ac:dyDescent="0.25">
      <c r="A4158" t="s">
        <v>3275</v>
      </c>
      <c r="B4158" t="s">
        <v>957</v>
      </c>
      <c r="I4158" t="s">
        <v>3276</v>
      </c>
      <c r="J4158" s="3">
        <v>1.2272E-2</v>
      </c>
      <c r="K4158" s="3">
        <v>-0.25271290000000002</v>
      </c>
      <c r="L4158" s="3">
        <v>3.8153620000000001E-3</v>
      </c>
    </row>
    <row r="4159" spans="1:12" x14ac:dyDescent="0.25">
      <c r="A4159" t="s">
        <v>3273</v>
      </c>
      <c r="B4159" t="s">
        <v>3274</v>
      </c>
      <c r="I4159" t="s">
        <v>430</v>
      </c>
      <c r="J4159" s="3">
        <v>-1.5431550000000001</v>
      </c>
      <c r="K4159" s="3">
        <v>-1.715792</v>
      </c>
      <c r="L4159" s="3">
        <v>-1.044726</v>
      </c>
    </row>
    <row r="4160" spans="1:12" x14ac:dyDescent="0.25">
      <c r="A4160" t="s">
        <v>3270</v>
      </c>
      <c r="B4160" t="s">
        <v>3271</v>
      </c>
      <c r="I4160" t="s">
        <v>3272</v>
      </c>
      <c r="J4160" s="3">
        <v>0.19361120000000001</v>
      </c>
      <c r="K4160" s="3">
        <v>-0.14381920000000001</v>
      </c>
      <c r="L4160" s="3">
        <v>0.29026540000000001</v>
      </c>
    </row>
    <row r="4161" spans="1:12" x14ac:dyDescent="0.25">
      <c r="A4161" t="s">
        <v>3269</v>
      </c>
      <c r="B4161" t="s">
        <v>957</v>
      </c>
      <c r="I4161" t="s">
        <v>455</v>
      </c>
      <c r="J4161" s="3">
        <v>0.6164868</v>
      </c>
      <c r="K4161" s="3">
        <v>0.64712369999999997</v>
      </c>
      <c r="L4161" s="3">
        <v>0.65753399999999995</v>
      </c>
    </row>
    <row r="4162" spans="1:12" x14ac:dyDescent="0.25">
      <c r="A4162" t="s">
        <v>3266</v>
      </c>
      <c r="B4162" t="s">
        <v>3267</v>
      </c>
      <c r="I4162" t="s">
        <v>3268</v>
      </c>
      <c r="J4162" s="3">
        <v>0.36793940000000003</v>
      </c>
      <c r="K4162" s="3">
        <v>-3.3438089999999997E-2</v>
      </c>
      <c r="L4162" s="3">
        <v>8.3815689999999998E-2</v>
      </c>
    </row>
    <row r="4163" spans="1:12" x14ac:dyDescent="0.25">
      <c r="A4163" t="s">
        <v>3263</v>
      </c>
      <c r="B4163" t="s">
        <v>3264</v>
      </c>
      <c r="I4163" t="s">
        <v>3265</v>
      </c>
      <c r="J4163" s="3">
        <v>0.16305330000000001</v>
      </c>
      <c r="K4163" s="3">
        <v>-0.46664830000000002</v>
      </c>
      <c r="L4163" s="3">
        <v>-4.2124250000000002E-2</v>
      </c>
    </row>
    <row r="4164" spans="1:12" x14ac:dyDescent="0.25">
      <c r="A4164" t="s">
        <v>3262</v>
      </c>
      <c r="B4164" t="s">
        <v>957</v>
      </c>
      <c r="I4164" t="s">
        <v>475</v>
      </c>
      <c r="J4164" s="3">
        <v>0.23246</v>
      </c>
      <c r="K4164" s="3">
        <v>-9.5034839999999995E-2</v>
      </c>
      <c r="L4164" s="3">
        <v>3.3076010000000003E-2</v>
      </c>
    </row>
    <row r="4165" spans="1:12" x14ac:dyDescent="0.25">
      <c r="A4165" t="s">
        <v>3259</v>
      </c>
      <c r="B4165" t="s">
        <v>3260</v>
      </c>
      <c r="I4165" t="s">
        <v>3261</v>
      </c>
      <c r="J4165" s="3">
        <v>0.251168</v>
      </c>
      <c r="K4165" s="3">
        <v>-0.1993974</v>
      </c>
      <c r="L4165" s="3">
        <v>-0.19562740000000001</v>
      </c>
    </row>
    <row r="4166" spans="1:12" x14ac:dyDescent="0.25">
      <c r="A4166" t="s">
        <v>3256</v>
      </c>
      <c r="B4166" t="s">
        <v>3257</v>
      </c>
      <c r="I4166" t="s">
        <v>3258</v>
      </c>
      <c r="J4166" s="3">
        <v>-6.6377370000000003E-3</v>
      </c>
      <c r="K4166" s="3">
        <v>-0.3990841</v>
      </c>
      <c r="L4166" s="3">
        <v>0.21453939999999999</v>
      </c>
    </row>
    <row r="4167" spans="1:12" x14ac:dyDescent="0.25">
      <c r="A4167" t="s">
        <v>3255</v>
      </c>
      <c r="B4167" t="s">
        <v>957</v>
      </c>
      <c r="I4167" t="s">
        <v>455</v>
      </c>
      <c r="J4167" s="3">
        <v>-0.46150869999999999</v>
      </c>
      <c r="K4167" s="3">
        <v>0.1106896</v>
      </c>
      <c r="L4167" s="3">
        <v>-0.50558700000000001</v>
      </c>
    </row>
    <row r="4168" spans="1:12" x14ac:dyDescent="0.25">
      <c r="A4168" t="s">
        <v>3252</v>
      </c>
      <c r="B4168" t="s">
        <v>3253</v>
      </c>
      <c r="I4168" t="s">
        <v>3254</v>
      </c>
      <c r="J4168" s="3">
        <v>-0.1665828</v>
      </c>
      <c r="K4168" s="3">
        <v>-7.1889030000000007E-2</v>
      </c>
      <c r="L4168" s="3">
        <v>-0.25595990000000002</v>
      </c>
    </row>
    <row r="4169" spans="1:12" x14ac:dyDescent="0.25">
      <c r="A4169" t="s">
        <v>3249</v>
      </c>
      <c r="B4169" t="s">
        <v>3250</v>
      </c>
      <c r="I4169" t="s">
        <v>3251</v>
      </c>
      <c r="J4169" s="3">
        <v>-0.39868690000000001</v>
      </c>
      <c r="K4169" s="3">
        <v>-0.33785749999999998</v>
      </c>
      <c r="L4169" s="3">
        <v>-0.29302529999999999</v>
      </c>
    </row>
    <row r="4170" spans="1:12" x14ac:dyDescent="0.25">
      <c r="A4170" t="s">
        <v>3246</v>
      </c>
      <c r="B4170" t="s">
        <v>3247</v>
      </c>
      <c r="I4170" t="s">
        <v>3248</v>
      </c>
      <c r="J4170" s="3">
        <v>0.77261380000000002</v>
      </c>
      <c r="K4170" s="3">
        <v>1.6999299999999999</v>
      </c>
      <c r="L4170" s="3">
        <v>0.32823039999999998</v>
      </c>
    </row>
    <row r="4171" spans="1:12" x14ac:dyDescent="0.25">
      <c r="A4171" t="s">
        <v>3243</v>
      </c>
      <c r="B4171" t="s">
        <v>3244</v>
      </c>
      <c r="I4171" t="s">
        <v>3245</v>
      </c>
      <c r="J4171" s="3">
        <v>0.27547890000000003</v>
      </c>
      <c r="K4171" s="3">
        <v>0.72562800000000005</v>
      </c>
      <c r="L4171" s="3">
        <v>0.29376170000000001</v>
      </c>
    </row>
    <row r="4172" spans="1:12" x14ac:dyDescent="0.25">
      <c r="A4172" t="s">
        <v>3241</v>
      </c>
      <c r="B4172" t="s">
        <v>957</v>
      </c>
      <c r="I4172" t="s">
        <v>3242</v>
      </c>
      <c r="J4172" s="3">
        <v>0.29967959999999999</v>
      </c>
      <c r="K4172" s="3">
        <v>0.1276359</v>
      </c>
      <c r="L4172" s="3">
        <v>-7.72983E-2</v>
      </c>
    </row>
    <row r="4173" spans="1:12" x14ac:dyDescent="0.25">
      <c r="A4173" t="s">
        <v>4271</v>
      </c>
      <c r="B4173" t="s">
        <v>4272</v>
      </c>
      <c r="I4173" t="s">
        <v>3240</v>
      </c>
      <c r="J4173" s="3">
        <v>-0.29289680000000001</v>
      </c>
      <c r="K4173" s="3">
        <v>-0.77458539999999998</v>
      </c>
      <c r="L4173" s="3">
        <v>-0.34135189999999999</v>
      </c>
    </row>
    <row r="4174" spans="1:12" x14ac:dyDescent="0.25">
      <c r="A4174" t="s">
        <v>4268</v>
      </c>
      <c r="B4174" t="s">
        <v>4269</v>
      </c>
      <c r="I4174" t="s">
        <v>4270</v>
      </c>
      <c r="J4174" s="3">
        <v>0.3185846</v>
      </c>
      <c r="K4174" s="3">
        <v>0.1768923</v>
      </c>
      <c r="L4174" s="3">
        <v>1.4494150000000001E-2</v>
      </c>
    </row>
    <row r="4175" spans="1:12" x14ac:dyDescent="0.25">
      <c r="A4175" t="s">
        <v>4265</v>
      </c>
      <c r="B4175" t="s">
        <v>4266</v>
      </c>
      <c r="I4175" t="s">
        <v>4267</v>
      </c>
      <c r="J4175" s="3">
        <v>0.35444399999999998</v>
      </c>
      <c r="K4175" s="3">
        <v>0.27688590000000002</v>
      </c>
      <c r="L4175" s="3">
        <v>0.53952049999999996</v>
      </c>
    </row>
    <row r="4176" spans="1:12" x14ac:dyDescent="0.25">
      <c r="A4176" t="s">
        <v>4262</v>
      </c>
      <c r="B4176" t="s">
        <v>4263</v>
      </c>
      <c r="I4176" t="s">
        <v>4264</v>
      </c>
      <c r="J4176" s="3">
        <v>0.91180430000000001</v>
      </c>
      <c r="K4176" s="3">
        <v>0.89076180000000005</v>
      </c>
      <c r="L4176" s="3">
        <v>0.90779449999999995</v>
      </c>
    </row>
    <row r="4177" spans="1:12" x14ac:dyDescent="0.25">
      <c r="A4177" t="s">
        <v>4261</v>
      </c>
      <c r="B4177" t="s">
        <v>957</v>
      </c>
      <c r="I4177" t="s">
        <v>1207</v>
      </c>
      <c r="J4177" s="3">
        <v>2.9484689999999998</v>
      </c>
      <c r="K4177" s="3">
        <v>3.0502790000000002</v>
      </c>
      <c r="L4177" s="3">
        <v>2.7579419999999999</v>
      </c>
    </row>
    <row r="4178" spans="1:12" x14ac:dyDescent="0.25">
      <c r="A4178" t="s">
        <v>4258</v>
      </c>
      <c r="B4178" t="s">
        <v>4259</v>
      </c>
      <c r="I4178" t="s">
        <v>4260</v>
      </c>
      <c r="J4178" s="3">
        <v>0.68089650000000002</v>
      </c>
      <c r="K4178" s="3">
        <v>0.32488210000000001</v>
      </c>
      <c r="L4178" s="3">
        <v>0.6758402</v>
      </c>
    </row>
    <row r="4179" spans="1:12" x14ac:dyDescent="0.25">
      <c r="A4179" t="s">
        <v>4255</v>
      </c>
      <c r="B4179" t="s">
        <v>4256</v>
      </c>
      <c r="I4179" t="s">
        <v>4257</v>
      </c>
      <c r="J4179" s="3">
        <v>-0.19503470000000001</v>
      </c>
      <c r="K4179" s="3">
        <v>2.0436590000000001E-2</v>
      </c>
      <c r="L4179" s="3">
        <v>-0.30741059999999998</v>
      </c>
    </row>
    <row r="4180" spans="1:12" x14ac:dyDescent="0.25">
      <c r="A4180" t="s">
        <v>4254</v>
      </c>
      <c r="B4180" t="s">
        <v>957</v>
      </c>
      <c r="I4180" t="s">
        <v>455</v>
      </c>
      <c r="J4180" s="3">
        <v>-0.13617360000000001</v>
      </c>
      <c r="K4180" s="3">
        <v>-0.62950159999999999</v>
      </c>
      <c r="L4180" s="3">
        <v>-6.0790660000000003E-2</v>
      </c>
    </row>
    <row r="4181" spans="1:12" x14ac:dyDescent="0.25">
      <c r="A4181" t="s">
        <v>4251</v>
      </c>
      <c r="B4181" t="s">
        <v>4252</v>
      </c>
      <c r="I4181" t="s">
        <v>4253</v>
      </c>
      <c r="J4181" s="3">
        <v>-0.1110025</v>
      </c>
      <c r="K4181" s="3">
        <v>-0.25027490000000002</v>
      </c>
      <c r="L4181" s="3">
        <v>-0.177204</v>
      </c>
    </row>
    <row r="4182" spans="1:12" x14ac:dyDescent="0.25">
      <c r="A4182" t="s">
        <v>4248</v>
      </c>
      <c r="B4182" t="s">
        <v>4249</v>
      </c>
      <c r="I4182" t="s">
        <v>4250</v>
      </c>
      <c r="J4182" s="3">
        <v>-8.3385799999999996E-2</v>
      </c>
      <c r="K4182" s="3">
        <v>7.0464860000000004E-2</v>
      </c>
      <c r="L4182" s="3">
        <v>-2.6221789999999998E-2</v>
      </c>
    </row>
    <row r="4183" spans="1:12" x14ac:dyDescent="0.25">
      <c r="A4183" t="s">
        <v>4246</v>
      </c>
      <c r="B4183" t="s">
        <v>957</v>
      </c>
      <c r="I4183" t="s">
        <v>4247</v>
      </c>
      <c r="J4183" s="3">
        <v>8.0151639999999996E-2</v>
      </c>
      <c r="K4183" s="3">
        <v>0.31191580000000002</v>
      </c>
      <c r="L4183" s="3">
        <v>5.0673950000000002E-2</v>
      </c>
    </row>
    <row r="4184" spans="1:12" x14ac:dyDescent="0.25">
      <c r="A4184" t="s">
        <v>4243</v>
      </c>
      <c r="B4184" t="s">
        <v>4244</v>
      </c>
      <c r="I4184" t="s">
        <v>4245</v>
      </c>
      <c r="J4184" s="3">
        <v>0.82578839999999998</v>
      </c>
      <c r="K4184" s="3">
        <v>1.7560560000000001</v>
      </c>
      <c r="L4184" s="3">
        <v>0.58153840000000001</v>
      </c>
    </row>
    <row r="4185" spans="1:12" x14ac:dyDescent="0.25">
      <c r="A4185" t="s">
        <v>4242</v>
      </c>
      <c r="B4185" t="s">
        <v>957</v>
      </c>
      <c r="I4185" t="s">
        <v>453</v>
      </c>
      <c r="J4185" s="3">
        <v>-1.086905</v>
      </c>
      <c r="K4185" s="3">
        <v>-0.63528240000000002</v>
      </c>
      <c r="L4185" s="3">
        <v>-0.62450030000000001</v>
      </c>
    </row>
    <row r="4186" spans="1:12" x14ac:dyDescent="0.25">
      <c r="A4186" t="s">
        <v>4239</v>
      </c>
      <c r="B4186" t="s">
        <v>4240</v>
      </c>
      <c r="I4186" t="s">
        <v>4241</v>
      </c>
      <c r="J4186" s="3">
        <v>1.0798540000000001</v>
      </c>
      <c r="K4186" s="3">
        <v>0.56317269999999997</v>
      </c>
      <c r="L4186" s="3">
        <v>1.1303259999999999</v>
      </c>
    </row>
    <row r="4187" spans="1:12" x14ac:dyDescent="0.25">
      <c r="A4187" t="s">
        <v>4238</v>
      </c>
      <c r="B4187" t="s">
        <v>957</v>
      </c>
      <c r="I4187" t="s">
        <v>455</v>
      </c>
      <c r="J4187" s="3">
        <v>0.84628369999999997</v>
      </c>
      <c r="K4187" s="3">
        <v>0.35262549999999998</v>
      </c>
      <c r="L4187" s="3">
        <v>0.83816829999999998</v>
      </c>
    </row>
    <row r="4188" spans="1:12" x14ac:dyDescent="0.25">
      <c r="A4188" t="s">
        <v>4237</v>
      </c>
      <c r="B4188" t="s">
        <v>957</v>
      </c>
      <c r="I4188" t="s">
        <v>2</v>
      </c>
      <c r="J4188" s="3">
        <v>7.9236890000000004E-2</v>
      </c>
      <c r="K4188" s="3">
        <v>0.1706627</v>
      </c>
      <c r="L4188" s="3">
        <v>-9.0561929999999999E-2</v>
      </c>
    </row>
    <row r="4189" spans="1:12" x14ac:dyDescent="0.25">
      <c r="A4189" t="s">
        <v>4236</v>
      </c>
      <c r="B4189" t="s">
        <v>14234</v>
      </c>
      <c r="C4189" t="s">
        <v>14235</v>
      </c>
      <c r="I4189" t="s">
        <v>493</v>
      </c>
      <c r="J4189" s="3">
        <v>0.3620855</v>
      </c>
      <c r="K4189" s="3">
        <v>0.35569240000000002</v>
      </c>
      <c r="L4189" s="3">
        <v>0.4058792</v>
      </c>
    </row>
    <row r="4190" spans="1:12" x14ac:dyDescent="0.25">
      <c r="A4190" t="s">
        <v>4235</v>
      </c>
      <c r="B4190" t="s">
        <v>957</v>
      </c>
      <c r="I4190" t="s">
        <v>455</v>
      </c>
      <c r="J4190" s="3">
        <v>8.1479800000000005E-2</v>
      </c>
      <c r="K4190" s="3">
        <v>0.1113469</v>
      </c>
      <c r="L4190" s="3">
        <v>3.1173340000000001E-2</v>
      </c>
    </row>
    <row r="4191" spans="1:12" x14ac:dyDescent="0.25">
      <c r="A4191" t="s">
        <v>4233</v>
      </c>
      <c r="B4191" t="s">
        <v>4234</v>
      </c>
      <c r="I4191" t="s">
        <v>430</v>
      </c>
      <c r="J4191" s="3">
        <v>-1.1049119999999999</v>
      </c>
      <c r="K4191" s="3">
        <v>-1.407977</v>
      </c>
      <c r="L4191" s="3">
        <v>-0.84451319999999996</v>
      </c>
    </row>
    <row r="4192" spans="1:12" x14ac:dyDescent="0.25">
      <c r="A4192" t="s">
        <v>4230</v>
      </c>
      <c r="B4192" t="s">
        <v>4231</v>
      </c>
      <c r="I4192" t="s">
        <v>4232</v>
      </c>
      <c r="J4192" s="3">
        <v>0.65063439999999995</v>
      </c>
      <c r="K4192" s="3">
        <v>0.74587829999999999</v>
      </c>
      <c r="L4192" s="3">
        <v>1.027339</v>
      </c>
    </row>
    <row r="4193" spans="1:12" x14ac:dyDescent="0.25">
      <c r="A4193" t="s">
        <v>4227</v>
      </c>
      <c r="B4193" t="s">
        <v>4228</v>
      </c>
      <c r="I4193" t="s">
        <v>4229</v>
      </c>
      <c r="J4193" s="3">
        <v>-0.34247709999999998</v>
      </c>
      <c r="K4193" s="3">
        <v>-0.89441519999999997</v>
      </c>
      <c r="L4193" s="3">
        <v>-0.41481780000000001</v>
      </c>
    </row>
    <row r="4194" spans="1:12" x14ac:dyDescent="0.25">
      <c r="A4194" t="s">
        <v>4224</v>
      </c>
      <c r="B4194" t="s">
        <v>4225</v>
      </c>
      <c r="I4194" t="s">
        <v>4226</v>
      </c>
      <c r="J4194" s="3">
        <v>-8.1364530000000004E-2</v>
      </c>
      <c r="K4194" s="3">
        <v>-6.3312789999999994E-2</v>
      </c>
      <c r="L4194" s="3">
        <v>-0.13621659999999999</v>
      </c>
    </row>
    <row r="4195" spans="1:12" x14ac:dyDescent="0.25">
      <c r="A4195" t="s">
        <v>4221</v>
      </c>
      <c r="B4195" t="s">
        <v>4222</v>
      </c>
      <c r="I4195" t="s">
        <v>4223</v>
      </c>
      <c r="J4195" s="3">
        <v>2.5846109999999999E-2</v>
      </c>
      <c r="K4195" s="3">
        <v>-0.65456990000000004</v>
      </c>
      <c r="L4195" s="3">
        <v>-0.16947799999999999</v>
      </c>
    </row>
    <row r="4196" spans="1:12" x14ac:dyDescent="0.25">
      <c r="A4196" t="s">
        <v>4219</v>
      </c>
      <c r="B4196" t="s">
        <v>4220</v>
      </c>
      <c r="I4196" t="s">
        <v>593</v>
      </c>
      <c r="J4196" s="3">
        <v>-0.80851770000000001</v>
      </c>
      <c r="K4196" s="3">
        <v>-1.2884979999999999</v>
      </c>
      <c r="L4196" s="3">
        <v>-0.47938700000000001</v>
      </c>
    </row>
    <row r="4197" spans="1:12" x14ac:dyDescent="0.25">
      <c r="A4197" t="s">
        <v>4217</v>
      </c>
      <c r="B4197" t="s">
        <v>957</v>
      </c>
      <c r="I4197" t="s">
        <v>4218</v>
      </c>
      <c r="J4197" s="3">
        <v>-0.70062429999999998</v>
      </c>
      <c r="K4197" s="3">
        <v>-0.54742420000000003</v>
      </c>
      <c r="L4197" s="3">
        <v>-0.51231389999999999</v>
      </c>
    </row>
    <row r="4198" spans="1:12" x14ac:dyDescent="0.25">
      <c r="A4198" t="s">
        <v>4214</v>
      </c>
      <c r="B4198" t="s">
        <v>4215</v>
      </c>
      <c r="I4198" t="s">
        <v>4216</v>
      </c>
      <c r="J4198" s="3">
        <v>-6.005257E-2</v>
      </c>
      <c r="K4198" s="3">
        <v>-0.31186619999999998</v>
      </c>
      <c r="L4198" s="3">
        <v>8.592632E-2</v>
      </c>
    </row>
    <row r="4199" spans="1:12" x14ac:dyDescent="0.25">
      <c r="A4199" t="s">
        <v>4211</v>
      </c>
      <c r="B4199" t="s">
        <v>4212</v>
      </c>
      <c r="I4199" t="s">
        <v>4213</v>
      </c>
      <c r="J4199" s="3">
        <v>2.0258399999999999E-2</v>
      </c>
      <c r="K4199" s="3">
        <v>9.3229699999999999E-3</v>
      </c>
      <c r="L4199" s="3">
        <v>-0.1711066</v>
      </c>
    </row>
    <row r="4200" spans="1:12" x14ac:dyDescent="0.25">
      <c r="A4200" t="s">
        <v>4210</v>
      </c>
      <c r="B4200" t="s">
        <v>957</v>
      </c>
      <c r="I4200" t="s">
        <v>455</v>
      </c>
      <c r="J4200" s="3">
        <v>0.43312810000000002</v>
      </c>
      <c r="K4200" s="3">
        <v>0.20814250000000001</v>
      </c>
      <c r="L4200" s="3">
        <v>0.37847069999999999</v>
      </c>
    </row>
    <row r="4201" spans="1:12" x14ac:dyDescent="0.25">
      <c r="A4201" t="s">
        <v>4207</v>
      </c>
      <c r="B4201" t="s">
        <v>4208</v>
      </c>
      <c r="I4201" t="s">
        <v>4209</v>
      </c>
      <c r="J4201" s="3">
        <v>-7.527884E-2</v>
      </c>
      <c r="K4201" s="3">
        <v>-0.74204099999999995</v>
      </c>
      <c r="L4201" s="3">
        <v>8.3805299999999999E-2</v>
      </c>
    </row>
    <row r="4202" spans="1:12" x14ac:dyDescent="0.25">
      <c r="A4202" t="s">
        <v>4204</v>
      </c>
      <c r="B4202" t="s">
        <v>4205</v>
      </c>
      <c r="I4202" t="s">
        <v>4206</v>
      </c>
      <c r="J4202" s="3">
        <v>-2.0751729999999999E-2</v>
      </c>
      <c r="K4202" s="3">
        <v>5.5066800000000003E-4</v>
      </c>
      <c r="L4202" s="3">
        <v>4.1016899999999998E-3</v>
      </c>
    </row>
    <row r="4203" spans="1:12" x14ac:dyDescent="0.25">
      <c r="A4203" t="s">
        <v>4202</v>
      </c>
      <c r="B4203" t="s">
        <v>4203</v>
      </c>
      <c r="I4203" t="s">
        <v>252</v>
      </c>
      <c r="J4203" s="3">
        <v>-3.0577030000000002E-2</v>
      </c>
      <c r="K4203" s="3">
        <v>0.1198467</v>
      </c>
      <c r="L4203" s="3">
        <v>0.59918760000000004</v>
      </c>
    </row>
    <row r="4204" spans="1:12" x14ac:dyDescent="0.25">
      <c r="A4204" t="s">
        <v>4199</v>
      </c>
      <c r="B4204" t="s">
        <v>4200</v>
      </c>
      <c r="I4204" t="s">
        <v>4201</v>
      </c>
      <c r="J4204" s="3">
        <v>0.24477109999999999</v>
      </c>
      <c r="K4204" s="3">
        <v>-0.38731300000000002</v>
      </c>
      <c r="L4204" s="3">
        <v>-0.21345020000000001</v>
      </c>
    </row>
    <row r="4205" spans="1:12" x14ac:dyDescent="0.25">
      <c r="A4205" t="s">
        <v>3168</v>
      </c>
      <c r="B4205" t="s">
        <v>3169</v>
      </c>
      <c r="I4205" t="s">
        <v>4198</v>
      </c>
      <c r="J4205" s="3">
        <v>-0.3482674</v>
      </c>
      <c r="K4205" s="3">
        <v>-0.75718490000000005</v>
      </c>
      <c r="L4205" s="3">
        <v>-0.24602850000000001</v>
      </c>
    </row>
    <row r="4206" spans="1:12" x14ac:dyDescent="0.25">
      <c r="A4206" t="s">
        <v>3165</v>
      </c>
      <c r="B4206" t="s">
        <v>3166</v>
      </c>
      <c r="I4206" t="s">
        <v>3167</v>
      </c>
      <c r="J4206" s="3">
        <v>0.65637319999999999</v>
      </c>
      <c r="K4206" s="3">
        <v>0.9468432</v>
      </c>
      <c r="L4206" s="3">
        <v>0.9663119</v>
      </c>
    </row>
    <row r="4207" spans="1:12" x14ac:dyDescent="0.25">
      <c r="A4207" t="s">
        <v>3162</v>
      </c>
      <c r="B4207" t="s">
        <v>3163</v>
      </c>
      <c r="I4207" t="s">
        <v>3164</v>
      </c>
      <c r="J4207" s="3">
        <v>-0.53131839999999997</v>
      </c>
      <c r="K4207" s="3">
        <v>-0.27906049999999999</v>
      </c>
      <c r="L4207" s="3">
        <v>-0.50439909999999999</v>
      </c>
    </row>
    <row r="4208" spans="1:12" x14ac:dyDescent="0.25">
      <c r="A4208" t="s">
        <v>3159</v>
      </c>
      <c r="B4208" t="s">
        <v>3160</v>
      </c>
      <c r="I4208" t="s">
        <v>3161</v>
      </c>
      <c r="J4208" s="3">
        <v>-0.1292372</v>
      </c>
      <c r="K4208" s="3">
        <v>-3.422588E-2</v>
      </c>
      <c r="L4208" s="3">
        <v>-6.9556999999999994E-2</v>
      </c>
    </row>
    <row r="4209" spans="1:12" x14ac:dyDescent="0.25">
      <c r="A4209" t="s">
        <v>3156</v>
      </c>
      <c r="B4209" t="s">
        <v>3157</v>
      </c>
      <c r="I4209" t="s">
        <v>3158</v>
      </c>
      <c r="J4209" s="3">
        <v>0.59202589999999999</v>
      </c>
      <c r="K4209" s="3">
        <v>0.93404109999999996</v>
      </c>
      <c r="L4209" s="3">
        <v>0.71985849999999996</v>
      </c>
    </row>
    <row r="4210" spans="1:12" x14ac:dyDescent="0.25">
      <c r="A4210" t="s">
        <v>3155</v>
      </c>
      <c r="B4210" t="s">
        <v>957</v>
      </c>
      <c r="I4210" t="s">
        <v>455</v>
      </c>
      <c r="J4210" s="3">
        <v>0.21533160000000001</v>
      </c>
      <c r="K4210" s="3">
        <v>0.1228083</v>
      </c>
      <c r="L4210" s="3">
        <v>0.2594438</v>
      </c>
    </row>
    <row r="4211" spans="1:12" x14ac:dyDescent="0.25">
      <c r="A4211" t="s">
        <v>3152</v>
      </c>
      <c r="B4211" t="s">
        <v>3153</v>
      </c>
      <c r="I4211" t="s">
        <v>3154</v>
      </c>
      <c r="J4211" s="3">
        <v>0.19530140000000001</v>
      </c>
      <c r="K4211" s="3">
        <v>-0.13096940000000001</v>
      </c>
      <c r="L4211" s="3">
        <v>0.160833</v>
      </c>
    </row>
    <row r="4212" spans="1:12" x14ac:dyDescent="0.25">
      <c r="A4212" t="s">
        <v>3149</v>
      </c>
      <c r="B4212" t="s">
        <v>3150</v>
      </c>
      <c r="I4212" t="s">
        <v>3151</v>
      </c>
      <c r="J4212" s="3">
        <v>0.30139090000000002</v>
      </c>
      <c r="K4212" s="3">
        <v>0.61364370000000001</v>
      </c>
      <c r="L4212" s="3">
        <v>0.1611166</v>
      </c>
    </row>
    <row r="4213" spans="1:12" x14ac:dyDescent="0.25">
      <c r="A4213" t="s">
        <v>3148</v>
      </c>
      <c r="B4213" t="s">
        <v>957</v>
      </c>
      <c r="I4213" t="s">
        <v>455</v>
      </c>
      <c r="J4213" s="3">
        <v>-3.5529670000000002E-3</v>
      </c>
      <c r="K4213" s="3">
        <v>0.5866306</v>
      </c>
      <c r="L4213" s="3">
        <v>0.1062751</v>
      </c>
    </row>
    <row r="4214" spans="1:12" x14ac:dyDescent="0.25">
      <c r="A4214" t="s">
        <v>3147</v>
      </c>
      <c r="B4214" t="s">
        <v>957</v>
      </c>
      <c r="I4214" t="s">
        <v>455</v>
      </c>
      <c r="J4214" s="3">
        <v>-0.30155939999999998</v>
      </c>
      <c r="K4214" s="3">
        <v>-2.6209489999999998E-2</v>
      </c>
      <c r="L4214" s="3">
        <v>0.2261562</v>
      </c>
    </row>
    <row r="4215" spans="1:12" x14ac:dyDescent="0.25">
      <c r="A4215" t="s">
        <v>4167</v>
      </c>
      <c r="B4215" t="s">
        <v>4168</v>
      </c>
      <c r="I4215" t="s">
        <v>3146</v>
      </c>
      <c r="J4215" s="3">
        <v>-0.1779066</v>
      </c>
      <c r="K4215" s="3">
        <v>-4.1048330000000001E-2</v>
      </c>
      <c r="L4215" s="3">
        <v>-1.7496129999999999E-2</v>
      </c>
    </row>
    <row r="4216" spans="1:12" x14ac:dyDescent="0.25">
      <c r="A4216" t="s">
        <v>4164</v>
      </c>
      <c r="B4216" t="s">
        <v>4165</v>
      </c>
      <c r="I4216" t="s">
        <v>4166</v>
      </c>
      <c r="J4216" s="3">
        <v>-0.39113229999999999</v>
      </c>
      <c r="K4216" s="3">
        <v>-0.72764220000000002</v>
      </c>
      <c r="L4216" s="3">
        <v>-0.55256950000000005</v>
      </c>
    </row>
    <row r="4217" spans="1:12" x14ac:dyDescent="0.25">
      <c r="A4217" t="s">
        <v>4161</v>
      </c>
      <c r="B4217" t="s">
        <v>4162</v>
      </c>
      <c r="I4217" t="s">
        <v>4163</v>
      </c>
      <c r="J4217" s="3">
        <v>-0.53264619999999996</v>
      </c>
      <c r="K4217" s="3">
        <v>-0.70926219999999995</v>
      </c>
      <c r="L4217" s="3">
        <v>-0.42158000000000001</v>
      </c>
    </row>
    <row r="4218" spans="1:12" x14ac:dyDescent="0.25">
      <c r="A4218" t="s">
        <v>4158</v>
      </c>
      <c r="B4218" t="s">
        <v>4159</v>
      </c>
      <c r="I4218" t="s">
        <v>4160</v>
      </c>
      <c r="J4218" s="3">
        <v>-8.0794950000000004E-2</v>
      </c>
      <c r="K4218" s="3">
        <v>-1.4589929999999999E-2</v>
      </c>
      <c r="L4218" s="3">
        <v>0.12437960000000001</v>
      </c>
    </row>
    <row r="4219" spans="1:12" x14ac:dyDescent="0.25">
      <c r="A4219" t="s">
        <v>4156</v>
      </c>
      <c r="B4219" t="s">
        <v>4157</v>
      </c>
      <c r="I4219" t="s">
        <v>2611</v>
      </c>
      <c r="J4219" s="3">
        <v>-0.59566319999999995</v>
      </c>
      <c r="K4219" s="3">
        <v>-0.21919549999999999</v>
      </c>
      <c r="L4219" s="3">
        <v>-0.14865059999999999</v>
      </c>
    </row>
    <row r="4220" spans="1:12" x14ac:dyDescent="0.25">
      <c r="A4220" t="s">
        <v>4153</v>
      </c>
      <c r="B4220" t="s">
        <v>4154</v>
      </c>
      <c r="I4220" t="s">
        <v>4155</v>
      </c>
      <c r="J4220" s="3">
        <v>-0.2531832</v>
      </c>
      <c r="K4220" s="3">
        <v>-0.20369680000000001</v>
      </c>
      <c r="L4220" s="3">
        <v>-0.30097639999999998</v>
      </c>
    </row>
    <row r="4221" spans="1:12" x14ac:dyDescent="0.25">
      <c r="A4221" t="s">
        <v>4150</v>
      </c>
      <c r="B4221" t="s">
        <v>4151</v>
      </c>
      <c r="I4221" t="s">
        <v>4152</v>
      </c>
      <c r="J4221" s="3">
        <v>-0.3235345</v>
      </c>
      <c r="K4221" s="3">
        <v>0.30620940000000002</v>
      </c>
      <c r="L4221" s="3">
        <v>7.9938819999999994E-2</v>
      </c>
    </row>
    <row r="4222" spans="1:12" x14ac:dyDescent="0.25">
      <c r="A4222" t="s">
        <v>4147</v>
      </c>
      <c r="B4222" t="s">
        <v>4148</v>
      </c>
      <c r="I4222" t="s">
        <v>4149</v>
      </c>
      <c r="J4222" s="3">
        <v>0.1074209</v>
      </c>
      <c r="K4222" s="3">
        <v>-3.9778180000000002E-3</v>
      </c>
      <c r="L4222" s="3">
        <v>-0.18483749999999999</v>
      </c>
    </row>
    <row r="4223" spans="1:12" x14ac:dyDescent="0.25">
      <c r="A4223" t="s">
        <v>4144</v>
      </c>
      <c r="B4223" t="s">
        <v>4145</v>
      </c>
      <c r="I4223" t="s">
        <v>4146</v>
      </c>
      <c r="J4223" s="3">
        <v>4.1227769999999997E-2</v>
      </c>
      <c r="K4223" s="3">
        <v>-0.81710210000000005</v>
      </c>
      <c r="L4223" s="3">
        <v>-3.610994E-2</v>
      </c>
    </row>
    <row r="4224" spans="1:12" x14ac:dyDescent="0.25">
      <c r="A4224" t="s">
        <v>4141</v>
      </c>
      <c r="B4224" t="s">
        <v>4142</v>
      </c>
      <c r="I4224" t="s">
        <v>4143</v>
      </c>
      <c r="J4224" s="3">
        <v>0.22434460000000001</v>
      </c>
      <c r="K4224" s="3">
        <v>-0.41072170000000002</v>
      </c>
      <c r="L4224" s="3">
        <v>0.10124909999999999</v>
      </c>
    </row>
    <row r="4225" spans="1:12" x14ac:dyDescent="0.25">
      <c r="A4225" t="s">
        <v>4140</v>
      </c>
      <c r="B4225" t="s">
        <v>957</v>
      </c>
      <c r="I4225" t="s">
        <v>823</v>
      </c>
      <c r="J4225" s="3">
        <v>0.89136930000000003</v>
      </c>
      <c r="K4225" s="3">
        <v>1.5868169999999999</v>
      </c>
      <c r="L4225" s="3">
        <v>0.72415499999999999</v>
      </c>
    </row>
    <row r="4226" spans="1:12" x14ac:dyDescent="0.25">
      <c r="A4226" t="s">
        <v>4138</v>
      </c>
      <c r="B4226" t="s">
        <v>4139</v>
      </c>
      <c r="I4226" t="s">
        <v>1166</v>
      </c>
      <c r="J4226" s="3">
        <v>0.47700999999999999</v>
      </c>
      <c r="K4226" s="3">
        <v>0.95850000000000002</v>
      </c>
      <c r="L4226" s="3">
        <v>0.76725620000000005</v>
      </c>
    </row>
    <row r="4227" spans="1:12" x14ac:dyDescent="0.25">
      <c r="A4227" t="s">
        <v>4135</v>
      </c>
      <c r="B4227" t="s">
        <v>4136</v>
      </c>
      <c r="I4227" t="s">
        <v>4137</v>
      </c>
      <c r="J4227" s="3">
        <v>-0.20628869999999999</v>
      </c>
      <c r="K4227" s="3">
        <v>0.14331189999999999</v>
      </c>
      <c r="L4227" s="3">
        <v>-0.35609000000000002</v>
      </c>
    </row>
    <row r="4228" spans="1:12" x14ac:dyDescent="0.25">
      <c r="A4228" t="s">
        <v>4132</v>
      </c>
      <c r="B4228" t="s">
        <v>4133</v>
      </c>
      <c r="I4228" t="s">
        <v>4134</v>
      </c>
      <c r="J4228" s="3">
        <v>5.7640410000000003E-2</v>
      </c>
      <c r="K4228" s="3">
        <v>-0.25570359999999998</v>
      </c>
      <c r="L4228" s="3">
        <v>-0.15819929999999999</v>
      </c>
    </row>
    <row r="4229" spans="1:12" x14ac:dyDescent="0.25">
      <c r="A4229" t="s">
        <v>4130</v>
      </c>
      <c r="B4229" t="s">
        <v>4131</v>
      </c>
      <c r="I4229" t="s">
        <v>593</v>
      </c>
      <c r="J4229" s="3">
        <v>-1.0273909999999999</v>
      </c>
      <c r="K4229" s="3">
        <v>-1.5263180000000001</v>
      </c>
      <c r="L4229" s="3">
        <v>-0.77509550000000005</v>
      </c>
    </row>
    <row r="4230" spans="1:12" x14ac:dyDescent="0.25">
      <c r="A4230" t="s">
        <v>4128</v>
      </c>
      <c r="B4230" t="s">
        <v>957</v>
      </c>
      <c r="I4230" t="s">
        <v>4129</v>
      </c>
      <c r="J4230" s="3">
        <v>6.7748879999999997E-2</v>
      </c>
      <c r="K4230" s="3">
        <v>-0.33102189999999998</v>
      </c>
      <c r="L4230" s="3">
        <v>0.15749170000000001</v>
      </c>
    </row>
    <row r="4231" spans="1:12" x14ac:dyDescent="0.25">
      <c r="A4231" t="s">
        <v>4125</v>
      </c>
      <c r="B4231" t="s">
        <v>4126</v>
      </c>
      <c r="I4231" t="s">
        <v>4127</v>
      </c>
      <c r="J4231" s="3">
        <v>-0.2222635</v>
      </c>
      <c r="K4231" s="3">
        <v>-0.64155079999999998</v>
      </c>
      <c r="L4231" s="3">
        <v>-0.2176884</v>
      </c>
    </row>
    <row r="4232" spans="1:12" x14ac:dyDescent="0.25">
      <c r="A4232" t="s">
        <v>3092</v>
      </c>
      <c r="B4232" t="s">
        <v>3093</v>
      </c>
      <c r="I4232" t="s">
        <v>4124</v>
      </c>
      <c r="J4232" s="3">
        <v>-0.15041280000000001</v>
      </c>
      <c r="K4232" s="3">
        <v>-0.33274939999999997</v>
      </c>
      <c r="L4232" s="3">
        <v>-9.4724320000000001E-2</v>
      </c>
    </row>
    <row r="4233" spans="1:12" x14ac:dyDescent="0.25">
      <c r="A4233" t="s">
        <v>3089</v>
      </c>
      <c r="B4233" t="s">
        <v>3090</v>
      </c>
      <c r="I4233" t="s">
        <v>3091</v>
      </c>
      <c r="J4233" s="3">
        <v>-0.32299030000000001</v>
      </c>
      <c r="K4233" s="3">
        <v>-0.70328889999999999</v>
      </c>
      <c r="L4233" s="3">
        <v>-0.25805270000000002</v>
      </c>
    </row>
    <row r="4234" spans="1:12" x14ac:dyDescent="0.25">
      <c r="A4234" t="s">
        <v>3088</v>
      </c>
      <c r="B4234" t="s">
        <v>14236</v>
      </c>
      <c r="C4234" t="s">
        <v>14237</v>
      </c>
      <c r="I4234" t="s">
        <v>1143</v>
      </c>
      <c r="J4234" s="3">
        <v>0.44300780000000001</v>
      </c>
      <c r="K4234" s="3">
        <v>0.2471449</v>
      </c>
      <c r="L4234" s="3">
        <v>0.86085769999999995</v>
      </c>
    </row>
    <row r="4235" spans="1:12" x14ac:dyDescent="0.25">
      <c r="A4235" t="s">
        <v>3087</v>
      </c>
      <c r="B4235" t="s">
        <v>957</v>
      </c>
      <c r="I4235" t="s">
        <v>156</v>
      </c>
      <c r="J4235" s="3">
        <v>1.0938030000000001</v>
      </c>
      <c r="K4235" s="3">
        <v>1.9660580000000001</v>
      </c>
      <c r="L4235" s="3">
        <v>0.60715189999999997</v>
      </c>
    </row>
    <row r="4236" spans="1:12" x14ac:dyDescent="0.25">
      <c r="A4236" t="s">
        <v>3084</v>
      </c>
      <c r="B4236" t="s">
        <v>3085</v>
      </c>
      <c r="I4236" t="s">
        <v>3086</v>
      </c>
      <c r="J4236" s="3">
        <v>0.20229610000000001</v>
      </c>
      <c r="K4236" s="3">
        <v>-0.14242920000000001</v>
      </c>
      <c r="L4236" s="3">
        <v>6.5472080000000002E-2</v>
      </c>
    </row>
    <row r="4237" spans="1:12" x14ac:dyDescent="0.25">
      <c r="A4237" t="s">
        <v>3081</v>
      </c>
      <c r="B4237" t="s">
        <v>3082</v>
      </c>
      <c r="I4237" t="s">
        <v>3083</v>
      </c>
      <c r="J4237" s="3">
        <v>0.15375530000000001</v>
      </c>
      <c r="K4237" s="3">
        <v>0.42834509999999998</v>
      </c>
      <c r="L4237" s="3">
        <v>0.42843779999999998</v>
      </c>
    </row>
    <row r="4238" spans="1:12" x14ac:dyDescent="0.25">
      <c r="A4238" t="s">
        <v>3079</v>
      </c>
      <c r="B4238" t="s">
        <v>957</v>
      </c>
      <c r="I4238" t="s">
        <v>3080</v>
      </c>
      <c r="J4238" s="3">
        <v>-0.1186444</v>
      </c>
      <c r="K4238" s="3">
        <v>-0.52534570000000003</v>
      </c>
      <c r="L4238" s="3">
        <v>9.7402210000000003E-2</v>
      </c>
    </row>
    <row r="4239" spans="1:12" x14ac:dyDescent="0.25">
      <c r="A4239" t="s">
        <v>3076</v>
      </c>
      <c r="B4239" t="s">
        <v>3077</v>
      </c>
      <c r="I4239" t="s">
        <v>3078</v>
      </c>
      <c r="J4239" s="3">
        <v>2.3526490000000001E-2</v>
      </c>
      <c r="K4239" s="3">
        <v>-9.5767840000000007E-2</v>
      </c>
      <c r="L4239" s="3">
        <v>-5.1808760000000002E-2</v>
      </c>
    </row>
    <row r="4240" spans="1:12" x14ac:dyDescent="0.25">
      <c r="A4240" t="s">
        <v>3073</v>
      </c>
      <c r="B4240" t="s">
        <v>3074</v>
      </c>
      <c r="I4240" t="s">
        <v>3075</v>
      </c>
      <c r="J4240" s="3">
        <v>-0.37455280000000002</v>
      </c>
      <c r="K4240" s="3">
        <v>-0.92916379999999998</v>
      </c>
      <c r="L4240" s="3">
        <v>-0.30551990000000001</v>
      </c>
    </row>
    <row r="4241" spans="1:12" x14ac:dyDescent="0.25">
      <c r="A4241" t="s">
        <v>3070</v>
      </c>
      <c r="B4241" t="s">
        <v>3071</v>
      </c>
      <c r="I4241" t="s">
        <v>3072</v>
      </c>
      <c r="J4241" s="3">
        <v>-0.32168550000000001</v>
      </c>
      <c r="K4241" s="3">
        <v>-0.65352100000000002</v>
      </c>
      <c r="L4241" s="3">
        <v>-0.18753069999999999</v>
      </c>
    </row>
    <row r="4242" spans="1:12" x14ac:dyDescent="0.25">
      <c r="A4242" t="s">
        <v>3068</v>
      </c>
      <c r="B4242" t="s">
        <v>957</v>
      </c>
      <c r="I4242" t="s">
        <v>3069</v>
      </c>
      <c r="J4242" s="3">
        <v>-7.6577709999999993E-2</v>
      </c>
      <c r="K4242" s="3">
        <v>-5.1757549999999999E-2</v>
      </c>
      <c r="L4242" s="3">
        <v>0.16330910000000001</v>
      </c>
    </row>
    <row r="4243" spans="1:12" x14ac:dyDescent="0.25">
      <c r="A4243" t="s">
        <v>3065</v>
      </c>
      <c r="B4243" t="s">
        <v>3066</v>
      </c>
      <c r="I4243" t="s">
        <v>3067</v>
      </c>
      <c r="J4243" s="3">
        <v>0.6284476</v>
      </c>
      <c r="K4243" s="3">
        <v>0.14123040000000001</v>
      </c>
      <c r="L4243" s="3">
        <v>0.3467961</v>
      </c>
    </row>
    <row r="4244" spans="1:12" x14ac:dyDescent="0.25">
      <c r="A4244" t="s">
        <v>3062</v>
      </c>
      <c r="B4244" t="s">
        <v>3063</v>
      </c>
      <c r="I4244" t="s">
        <v>3064</v>
      </c>
      <c r="J4244" s="3">
        <v>-0.28452189999999999</v>
      </c>
      <c r="K4244" s="3">
        <v>-0.32800770000000001</v>
      </c>
      <c r="L4244" s="3">
        <v>-0.2941087</v>
      </c>
    </row>
    <row r="4245" spans="1:12" x14ac:dyDescent="0.25">
      <c r="A4245" t="s">
        <v>3059</v>
      </c>
      <c r="B4245" t="s">
        <v>3060</v>
      </c>
      <c r="I4245" t="s">
        <v>3061</v>
      </c>
      <c r="J4245" s="3">
        <v>-0.86178909999999997</v>
      </c>
      <c r="K4245" s="3">
        <v>-1.3782799999999999</v>
      </c>
      <c r="L4245" s="3">
        <v>-0.79523250000000001</v>
      </c>
    </row>
    <row r="4246" spans="1:12" x14ac:dyDescent="0.25">
      <c r="A4246" t="s">
        <v>3056</v>
      </c>
      <c r="B4246" t="s">
        <v>3057</v>
      </c>
      <c r="I4246" t="s">
        <v>3058</v>
      </c>
      <c r="J4246" s="3">
        <v>-0.77636179999999999</v>
      </c>
      <c r="K4246" s="3">
        <v>-0.85353849999999998</v>
      </c>
      <c r="L4246" s="3">
        <v>-0.94777429999999996</v>
      </c>
    </row>
    <row r="4247" spans="1:12" x14ac:dyDescent="0.25">
      <c r="A4247" t="s">
        <v>3053</v>
      </c>
      <c r="B4247" t="s">
        <v>3054</v>
      </c>
      <c r="I4247" t="s">
        <v>3055</v>
      </c>
      <c r="J4247" s="3">
        <v>0.64631760000000005</v>
      </c>
      <c r="K4247" s="3">
        <v>0.71784269999999994</v>
      </c>
      <c r="L4247" s="3">
        <v>0.70527810000000002</v>
      </c>
    </row>
    <row r="4248" spans="1:12" x14ac:dyDescent="0.25">
      <c r="A4248" t="s">
        <v>3052</v>
      </c>
      <c r="B4248" t="s">
        <v>957</v>
      </c>
      <c r="I4248" t="s">
        <v>453</v>
      </c>
      <c r="J4248" s="3">
        <v>-0.18166450000000001</v>
      </c>
      <c r="K4248" s="3">
        <v>-0.17336960000000001</v>
      </c>
      <c r="L4248" s="3">
        <v>-0.21037030000000001</v>
      </c>
    </row>
    <row r="4249" spans="1:12" x14ac:dyDescent="0.25">
      <c r="A4249" t="s">
        <v>3049</v>
      </c>
      <c r="B4249" t="s">
        <v>3050</v>
      </c>
      <c r="I4249" t="s">
        <v>3051</v>
      </c>
      <c r="J4249" s="3">
        <v>-0.11253100000000001</v>
      </c>
      <c r="K4249" s="3">
        <v>0.25756459999999998</v>
      </c>
      <c r="L4249" s="3">
        <v>-0.1153169</v>
      </c>
    </row>
    <row r="4250" spans="1:12" x14ac:dyDescent="0.25">
      <c r="A4250" t="s">
        <v>3048</v>
      </c>
      <c r="B4250" t="s">
        <v>957</v>
      </c>
      <c r="I4250" t="s">
        <v>455</v>
      </c>
      <c r="J4250" s="3">
        <v>-0.62233519999999998</v>
      </c>
      <c r="K4250" s="3">
        <v>-1.0666599999999999</v>
      </c>
      <c r="L4250" s="3">
        <v>-7.6723250000000007E-2</v>
      </c>
    </row>
    <row r="4251" spans="1:12" x14ac:dyDescent="0.25">
      <c r="A4251" t="s">
        <v>3047</v>
      </c>
      <c r="B4251" t="s">
        <v>957</v>
      </c>
      <c r="I4251" t="s">
        <v>455</v>
      </c>
      <c r="J4251" s="3">
        <v>0.34444279999999999</v>
      </c>
      <c r="K4251" s="3">
        <v>0.90547690000000003</v>
      </c>
      <c r="L4251" s="3">
        <v>0.74925589999999997</v>
      </c>
    </row>
    <row r="4252" spans="1:12" x14ac:dyDescent="0.25">
      <c r="A4252" t="s">
        <v>3044</v>
      </c>
      <c r="B4252" t="s">
        <v>3045</v>
      </c>
      <c r="I4252" t="s">
        <v>3046</v>
      </c>
      <c r="J4252" s="3">
        <v>-0.115887</v>
      </c>
      <c r="K4252" s="3">
        <v>-3.4127030000000003E-2</v>
      </c>
      <c r="L4252" s="3">
        <v>0.21138009999999999</v>
      </c>
    </row>
    <row r="4253" spans="1:12" x14ac:dyDescent="0.25">
      <c r="A4253" t="s">
        <v>3043</v>
      </c>
      <c r="B4253" t="s">
        <v>957</v>
      </c>
      <c r="I4253" t="s">
        <v>455</v>
      </c>
      <c r="J4253" s="3">
        <v>4.855288E-2</v>
      </c>
      <c r="K4253" s="3">
        <v>-0.18901780000000001</v>
      </c>
      <c r="L4253" s="3">
        <v>-6.7094050000000002E-2</v>
      </c>
    </row>
    <row r="4254" spans="1:12" x14ac:dyDescent="0.25">
      <c r="A4254" t="s">
        <v>3042</v>
      </c>
      <c r="B4254" t="s">
        <v>957</v>
      </c>
      <c r="I4254" t="s">
        <v>1207</v>
      </c>
      <c r="J4254" s="3">
        <v>0.13132969999999999</v>
      </c>
      <c r="K4254" s="3">
        <v>0.11859699999999999</v>
      </c>
      <c r="L4254" s="3">
        <v>8.6246260000000005E-2</v>
      </c>
    </row>
    <row r="4255" spans="1:12" x14ac:dyDescent="0.25">
      <c r="A4255" t="s">
        <v>3039</v>
      </c>
      <c r="B4255" t="s">
        <v>3040</v>
      </c>
      <c r="I4255" t="s">
        <v>3041</v>
      </c>
      <c r="J4255" s="3">
        <v>0.20563580000000001</v>
      </c>
      <c r="K4255" s="3">
        <v>0.44011800000000001</v>
      </c>
      <c r="L4255" s="3">
        <v>0.2708335</v>
      </c>
    </row>
    <row r="4256" spans="1:12" x14ac:dyDescent="0.25">
      <c r="A4256" t="s">
        <v>3037</v>
      </c>
      <c r="B4256" t="s">
        <v>957</v>
      </c>
      <c r="I4256" t="s">
        <v>3038</v>
      </c>
      <c r="J4256" s="3">
        <v>1.65689</v>
      </c>
      <c r="K4256" s="3">
        <v>1.5385610000000001</v>
      </c>
      <c r="L4256" s="3">
        <v>1.1805239999999999</v>
      </c>
    </row>
    <row r="4257" spans="1:12" x14ac:dyDescent="0.25">
      <c r="A4257" t="s">
        <v>3034</v>
      </c>
      <c r="B4257" t="s">
        <v>3035</v>
      </c>
      <c r="I4257" t="s">
        <v>3036</v>
      </c>
      <c r="J4257" s="3">
        <v>-0.12426959999999999</v>
      </c>
      <c r="K4257" s="3">
        <v>-0.22757040000000001</v>
      </c>
      <c r="L4257" s="3">
        <v>-4.8139260000000003E-2</v>
      </c>
    </row>
    <row r="4258" spans="1:12" x14ac:dyDescent="0.25">
      <c r="A4258" t="s">
        <v>3033</v>
      </c>
      <c r="B4258" t="s">
        <v>957</v>
      </c>
      <c r="I4258" t="s">
        <v>455</v>
      </c>
      <c r="J4258" s="3">
        <v>1.0958270000000001</v>
      </c>
      <c r="K4258" s="3">
        <v>1.252381</v>
      </c>
      <c r="L4258" s="3">
        <v>0.75014179999999997</v>
      </c>
    </row>
    <row r="4259" spans="1:12" x14ac:dyDescent="0.25">
      <c r="A4259" t="s">
        <v>3032</v>
      </c>
      <c r="B4259" t="s">
        <v>957</v>
      </c>
      <c r="I4259" t="s">
        <v>475</v>
      </c>
      <c r="J4259" s="3">
        <v>1.109583</v>
      </c>
      <c r="K4259" s="3">
        <v>1.471533</v>
      </c>
      <c r="L4259" s="3">
        <v>0.67751799999999995</v>
      </c>
    </row>
    <row r="4260" spans="1:12" x14ac:dyDescent="0.25">
      <c r="A4260" t="s">
        <v>3029</v>
      </c>
      <c r="B4260" t="s">
        <v>3030</v>
      </c>
      <c r="I4260" t="s">
        <v>3031</v>
      </c>
      <c r="J4260" s="3">
        <v>7.2997469999999995E-2</v>
      </c>
      <c r="K4260" s="3">
        <v>-0.95306179999999996</v>
      </c>
      <c r="L4260" s="3">
        <v>0.14863219999999999</v>
      </c>
    </row>
    <row r="4261" spans="1:12" x14ac:dyDescent="0.25">
      <c r="A4261" t="s">
        <v>3026</v>
      </c>
      <c r="B4261" t="s">
        <v>3027</v>
      </c>
      <c r="I4261" t="s">
        <v>3028</v>
      </c>
      <c r="J4261" s="3">
        <v>-0.19125130000000001</v>
      </c>
      <c r="K4261" s="3">
        <v>-0.39089360000000001</v>
      </c>
      <c r="L4261" s="3">
        <v>-0.19755700000000001</v>
      </c>
    </row>
    <row r="4262" spans="1:12" x14ac:dyDescent="0.25">
      <c r="A4262" t="s">
        <v>3023</v>
      </c>
      <c r="B4262" t="s">
        <v>3024</v>
      </c>
      <c r="I4262" t="s">
        <v>3025</v>
      </c>
      <c r="J4262" s="3">
        <v>-0.39619409999999999</v>
      </c>
      <c r="K4262" s="3">
        <v>-8.5449540000000004E-2</v>
      </c>
      <c r="L4262" s="3">
        <v>-0.52361550000000001</v>
      </c>
    </row>
    <row r="4263" spans="1:12" x14ac:dyDescent="0.25">
      <c r="A4263" t="s">
        <v>3022</v>
      </c>
      <c r="B4263" t="s">
        <v>957</v>
      </c>
      <c r="I4263" t="s">
        <v>455</v>
      </c>
      <c r="J4263" s="3">
        <v>0.45512249999999999</v>
      </c>
      <c r="K4263" s="3">
        <v>0.75692979999999999</v>
      </c>
      <c r="L4263" s="3">
        <v>0.81701970000000002</v>
      </c>
    </row>
    <row r="4264" spans="1:12" x14ac:dyDescent="0.25">
      <c r="A4264" t="s">
        <v>3021</v>
      </c>
      <c r="B4264" t="s">
        <v>957</v>
      </c>
      <c r="I4264" t="s">
        <v>455</v>
      </c>
      <c r="J4264" s="3">
        <v>0.242454</v>
      </c>
      <c r="K4264" s="3">
        <v>0.44526579999999999</v>
      </c>
      <c r="L4264" s="3">
        <v>0.38933719999999999</v>
      </c>
    </row>
    <row r="4265" spans="1:12" x14ac:dyDescent="0.25">
      <c r="A4265" t="s">
        <v>3018</v>
      </c>
      <c r="B4265" t="s">
        <v>3019</v>
      </c>
      <c r="I4265" t="s">
        <v>3020</v>
      </c>
      <c r="J4265" s="3">
        <v>-0.6640218</v>
      </c>
      <c r="K4265" s="3">
        <v>-0.80857610000000002</v>
      </c>
      <c r="L4265" s="3">
        <v>-0.3566396</v>
      </c>
    </row>
    <row r="4266" spans="1:12" x14ac:dyDescent="0.25">
      <c r="A4266" t="s">
        <v>3015</v>
      </c>
      <c r="B4266" t="s">
        <v>3016</v>
      </c>
      <c r="I4266" t="s">
        <v>3017</v>
      </c>
      <c r="J4266" s="3">
        <v>0.28072910000000001</v>
      </c>
      <c r="K4266" s="3">
        <v>0.7079318</v>
      </c>
      <c r="L4266" s="3">
        <v>0.39571079999999997</v>
      </c>
    </row>
    <row r="4267" spans="1:12" x14ac:dyDescent="0.25">
      <c r="A4267" t="s">
        <v>3014</v>
      </c>
      <c r="B4267" t="s">
        <v>957</v>
      </c>
      <c r="I4267" t="s">
        <v>455</v>
      </c>
      <c r="J4267" s="3">
        <v>0.2113469</v>
      </c>
      <c r="K4267" s="3">
        <v>0.57739479999999999</v>
      </c>
      <c r="L4267" s="3">
        <v>0.62616970000000005</v>
      </c>
    </row>
    <row r="4268" spans="1:12" x14ac:dyDescent="0.25">
      <c r="A4268" t="s">
        <v>3011</v>
      </c>
      <c r="B4268" t="s">
        <v>3012</v>
      </c>
      <c r="I4268" t="s">
        <v>3013</v>
      </c>
      <c r="J4268" s="3">
        <v>-0.49910779999999999</v>
      </c>
      <c r="K4268" s="3">
        <v>-0.94334859999999998</v>
      </c>
      <c r="L4268" s="3">
        <v>-0.41129919999999998</v>
      </c>
    </row>
    <row r="4269" spans="1:12" x14ac:dyDescent="0.25">
      <c r="A4269" t="s">
        <v>3008</v>
      </c>
      <c r="B4269" t="s">
        <v>3009</v>
      </c>
      <c r="I4269" t="s">
        <v>3010</v>
      </c>
      <c r="J4269" s="3">
        <v>0.18870970000000001</v>
      </c>
      <c r="K4269" s="3">
        <v>6.3259499999999996E-2</v>
      </c>
      <c r="L4269" s="3">
        <v>8.9262129999999995E-2</v>
      </c>
    </row>
    <row r="4270" spans="1:12" x14ac:dyDescent="0.25">
      <c r="A4270" t="s">
        <v>3007</v>
      </c>
      <c r="B4270" t="s">
        <v>957</v>
      </c>
      <c r="I4270" t="s">
        <v>455</v>
      </c>
      <c r="J4270" s="3">
        <v>-0.67862540000000005</v>
      </c>
      <c r="K4270" s="3">
        <v>-0.81900139999999999</v>
      </c>
      <c r="L4270" s="3">
        <v>-0.87354980000000004</v>
      </c>
    </row>
    <row r="4271" spans="1:12" x14ac:dyDescent="0.25">
      <c r="A4271" t="s">
        <v>3005</v>
      </c>
      <c r="B4271" t="s">
        <v>957</v>
      </c>
      <c r="I4271" t="s">
        <v>3006</v>
      </c>
      <c r="J4271" s="3">
        <v>-9.9138400000000002E-2</v>
      </c>
      <c r="K4271" s="3">
        <v>-0.1411356</v>
      </c>
      <c r="L4271" s="3">
        <v>-0.1036613</v>
      </c>
    </row>
    <row r="4272" spans="1:12" x14ac:dyDescent="0.25">
      <c r="A4272" t="s">
        <v>3002</v>
      </c>
      <c r="B4272" t="s">
        <v>3003</v>
      </c>
      <c r="I4272" t="s">
        <v>3004</v>
      </c>
      <c r="J4272" s="3">
        <v>-0.33396579999999998</v>
      </c>
      <c r="K4272" s="3">
        <v>-0.67582200000000003</v>
      </c>
      <c r="L4272" s="3">
        <v>-0.24766869999999999</v>
      </c>
    </row>
    <row r="4273" spans="1:12" x14ac:dyDescent="0.25">
      <c r="A4273" t="s">
        <v>2999</v>
      </c>
      <c r="B4273" t="s">
        <v>3000</v>
      </c>
      <c r="I4273" t="s">
        <v>3001</v>
      </c>
      <c r="J4273" s="3">
        <v>5.2147440000000003E-2</v>
      </c>
      <c r="K4273" s="3">
        <v>-0.2439057</v>
      </c>
      <c r="L4273" s="3">
        <v>-1.223467E-2</v>
      </c>
    </row>
    <row r="4274" spans="1:12" x14ac:dyDescent="0.25">
      <c r="A4274" t="s">
        <v>2997</v>
      </c>
      <c r="B4274" t="s">
        <v>957</v>
      </c>
      <c r="I4274" t="s">
        <v>2998</v>
      </c>
      <c r="J4274" s="3">
        <v>-0.34745419999999999</v>
      </c>
      <c r="K4274" s="3">
        <v>-0.49587870000000001</v>
      </c>
      <c r="L4274" s="3">
        <v>-0.33820899999999998</v>
      </c>
    </row>
    <row r="4275" spans="1:12" x14ac:dyDescent="0.25">
      <c r="A4275" t="s">
        <v>2994</v>
      </c>
      <c r="B4275" t="s">
        <v>2995</v>
      </c>
      <c r="I4275" t="s">
        <v>2996</v>
      </c>
      <c r="J4275" s="3">
        <v>-0.48085830000000002</v>
      </c>
      <c r="K4275" s="3">
        <v>-0.78180819999999995</v>
      </c>
      <c r="L4275" s="3">
        <v>-0.18908949999999999</v>
      </c>
    </row>
    <row r="4276" spans="1:12" x14ac:dyDescent="0.25">
      <c r="A4276" t="s">
        <v>2991</v>
      </c>
      <c r="B4276" t="s">
        <v>2992</v>
      </c>
      <c r="I4276" t="s">
        <v>2993</v>
      </c>
      <c r="J4276" s="3">
        <v>-0.95653999999999995</v>
      </c>
      <c r="K4276" s="3">
        <v>-0.26040279999999999</v>
      </c>
      <c r="L4276" s="3">
        <v>-0.50381160000000003</v>
      </c>
    </row>
    <row r="4277" spans="1:12" x14ac:dyDescent="0.25">
      <c r="A4277" t="s">
        <v>2988</v>
      </c>
      <c r="B4277" t="s">
        <v>2989</v>
      </c>
      <c r="I4277" t="s">
        <v>2990</v>
      </c>
      <c r="J4277" s="3">
        <v>-0.25074780000000002</v>
      </c>
      <c r="K4277" s="3">
        <v>-5.3156370000000001E-2</v>
      </c>
      <c r="L4277" s="3">
        <v>-0.23813970000000001</v>
      </c>
    </row>
    <row r="4278" spans="1:12" x14ac:dyDescent="0.25">
      <c r="A4278" t="s">
        <v>2987</v>
      </c>
      <c r="B4278" t="s">
        <v>957</v>
      </c>
      <c r="I4278" t="s">
        <v>453</v>
      </c>
      <c r="J4278" s="3">
        <v>-0.1015004</v>
      </c>
      <c r="K4278" s="3">
        <v>-0.19841909999999999</v>
      </c>
      <c r="L4278" s="3">
        <v>-0.17498330000000001</v>
      </c>
    </row>
    <row r="4279" spans="1:12" x14ac:dyDescent="0.25">
      <c r="A4279" t="s">
        <v>2984</v>
      </c>
      <c r="B4279" t="s">
        <v>2985</v>
      </c>
      <c r="I4279" t="s">
        <v>2986</v>
      </c>
      <c r="J4279" s="3">
        <v>-0.50496850000000004</v>
      </c>
      <c r="K4279" s="3">
        <v>-0.90817309999999996</v>
      </c>
      <c r="L4279" s="3">
        <v>-0.48520839999999998</v>
      </c>
    </row>
    <row r="4280" spans="1:12" x14ac:dyDescent="0.25">
      <c r="A4280" t="s">
        <v>2981</v>
      </c>
      <c r="B4280" t="s">
        <v>2982</v>
      </c>
      <c r="I4280" t="s">
        <v>2983</v>
      </c>
      <c r="J4280" s="3">
        <v>-8.6966680000000005E-2</v>
      </c>
      <c r="K4280" s="3">
        <v>0.87830799999999998</v>
      </c>
      <c r="L4280" s="3">
        <v>0.1885761</v>
      </c>
    </row>
    <row r="4281" spans="1:12" x14ac:dyDescent="0.25">
      <c r="A4281" t="s">
        <v>4015</v>
      </c>
      <c r="B4281" t="s">
        <v>4016</v>
      </c>
      <c r="I4281" t="s">
        <v>2980</v>
      </c>
      <c r="J4281" s="3">
        <v>-0.36184490000000002</v>
      </c>
      <c r="K4281" s="3">
        <v>-0.38361079999999997</v>
      </c>
      <c r="L4281" s="3">
        <v>-0.36037809999999998</v>
      </c>
    </row>
    <row r="4282" spans="1:12" x14ac:dyDescent="0.25">
      <c r="A4282" t="s">
        <v>4012</v>
      </c>
      <c r="B4282" t="s">
        <v>4013</v>
      </c>
      <c r="I4282" t="s">
        <v>4014</v>
      </c>
      <c r="J4282" s="3">
        <v>0.56905810000000001</v>
      </c>
      <c r="K4282" s="3">
        <v>0.69084060000000003</v>
      </c>
      <c r="L4282" s="3">
        <v>0.55686460000000004</v>
      </c>
    </row>
    <row r="4283" spans="1:12" x14ac:dyDescent="0.25">
      <c r="A4283" t="s">
        <v>4009</v>
      </c>
      <c r="B4283" t="s">
        <v>4010</v>
      </c>
      <c r="I4283" t="s">
        <v>4011</v>
      </c>
      <c r="J4283" s="3">
        <v>0.19687850000000001</v>
      </c>
      <c r="K4283" s="3">
        <v>-0.26010080000000002</v>
      </c>
      <c r="L4283" s="3">
        <v>0.4027347</v>
      </c>
    </row>
    <row r="4284" spans="1:12" x14ac:dyDescent="0.25">
      <c r="A4284" t="s">
        <v>4008</v>
      </c>
      <c r="B4284" t="s">
        <v>957</v>
      </c>
      <c r="I4284" t="s">
        <v>455</v>
      </c>
      <c r="J4284" s="3">
        <v>0.62665479999999996</v>
      </c>
      <c r="K4284" s="3">
        <v>0.33567370000000002</v>
      </c>
      <c r="L4284" s="3">
        <v>0.52164259999999996</v>
      </c>
    </row>
    <row r="4285" spans="1:12" x14ac:dyDescent="0.25">
      <c r="A4285" t="s">
        <v>4007</v>
      </c>
      <c r="B4285" t="s">
        <v>957</v>
      </c>
      <c r="I4285" t="s">
        <v>455</v>
      </c>
      <c r="J4285" s="3">
        <v>0.39841599999999999</v>
      </c>
      <c r="K4285" s="3">
        <v>0.14127110000000001</v>
      </c>
      <c r="L4285" s="3">
        <v>0.15996669999999999</v>
      </c>
    </row>
    <row r="4286" spans="1:12" x14ac:dyDescent="0.25">
      <c r="A4286" t="s">
        <v>4004</v>
      </c>
      <c r="B4286" t="s">
        <v>4005</v>
      </c>
      <c r="I4286" t="s">
        <v>4006</v>
      </c>
      <c r="J4286" s="3">
        <v>-0.36346309999999998</v>
      </c>
      <c r="K4286" s="3">
        <v>-0.94708079999999994</v>
      </c>
      <c r="L4286" s="3">
        <v>-0.54108860000000003</v>
      </c>
    </row>
    <row r="4287" spans="1:12" x14ac:dyDescent="0.25">
      <c r="A4287" t="s">
        <v>4001</v>
      </c>
      <c r="B4287" t="s">
        <v>4002</v>
      </c>
      <c r="I4287" t="s">
        <v>4003</v>
      </c>
      <c r="J4287" s="3">
        <v>0.18912200000000001</v>
      </c>
      <c r="K4287" s="3">
        <v>0.38084099999999999</v>
      </c>
      <c r="L4287" s="3">
        <v>-0.15454660000000001</v>
      </c>
    </row>
    <row r="4288" spans="1:12" x14ac:dyDescent="0.25">
      <c r="A4288" t="s">
        <v>3998</v>
      </c>
      <c r="B4288" t="s">
        <v>3999</v>
      </c>
      <c r="I4288" t="s">
        <v>4000</v>
      </c>
      <c r="J4288" s="3">
        <v>-0.97239529999999996</v>
      </c>
      <c r="K4288" s="3">
        <v>-1.4209540000000001</v>
      </c>
      <c r="L4288" s="3">
        <v>-1.121902</v>
      </c>
    </row>
    <row r="4289" spans="1:12" x14ac:dyDescent="0.25">
      <c r="A4289" t="s">
        <v>3995</v>
      </c>
      <c r="B4289" t="s">
        <v>3996</v>
      </c>
      <c r="I4289" t="s">
        <v>3997</v>
      </c>
      <c r="J4289" s="3">
        <v>-2.3068809999999999E-2</v>
      </c>
      <c r="K4289" s="3">
        <v>-0.28944239999999999</v>
      </c>
      <c r="L4289" s="3">
        <v>-2.1409910000000001E-2</v>
      </c>
    </row>
    <row r="4290" spans="1:12" x14ac:dyDescent="0.25">
      <c r="A4290" t="s">
        <v>3992</v>
      </c>
      <c r="B4290" t="s">
        <v>3993</v>
      </c>
      <c r="I4290" t="s">
        <v>3994</v>
      </c>
      <c r="J4290" s="3">
        <v>0.2811189</v>
      </c>
      <c r="K4290" s="3">
        <v>1.9039029999999998E-2</v>
      </c>
      <c r="L4290" s="3">
        <v>0.23073050000000001</v>
      </c>
    </row>
    <row r="4291" spans="1:12" x14ac:dyDescent="0.25">
      <c r="A4291" t="s">
        <v>3987</v>
      </c>
      <c r="B4291" t="s">
        <v>3988</v>
      </c>
      <c r="I4291" t="s">
        <v>3991</v>
      </c>
      <c r="J4291" s="3">
        <v>-0.32557469999999999</v>
      </c>
      <c r="K4291" s="3">
        <v>-0.29922260000000001</v>
      </c>
      <c r="L4291" s="3">
        <v>-0.29551230000000001</v>
      </c>
    </row>
    <row r="4292" spans="1:12" x14ac:dyDescent="0.25">
      <c r="A4292" t="s">
        <v>3985</v>
      </c>
      <c r="B4292" t="s">
        <v>3986</v>
      </c>
      <c r="I4292" t="s">
        <v>593</v>
      </c>
      <c r="J4292" s="3">
        <v>-0.6548003</v>
      </c>
      <c r="K4292" s="3">
        <v>-0.85264740000000006</v>
      </c>
      <c r="L4292" s="3">
        <v>-0.32951609999999998</v>
      </c>
    </row>
    <row r="4293" spans="1:12" x14ac:dyDescent="0.25">
      <c r="A4293" t="s">
        <v>3982</v>
      </c>
      <c r="B4293" t="s">
        <v>3983</v>
      </c>
      <c r="I4293" t="s">
        <v>3984</v>
      </c>
      <c r="J4293" s="3">
        <v>-0.33812979999999998</v>
      </c>
      <c r="K4293" s="3">
        <v>-0.54413800000000001</v>
      </c>
      <c r="L4293" s="3">
        <v>-0.5793353</v>
      </c>
    </row>
    <row r="4294" spans="1:12" x14ac:dyDescent="0.25">
      <c r="A4294" t="s">
        <v>3979</v>
      </c>
      <c r="B4294" t="s">
        <v>3980</v>
      </c>
      <c r="I4294" t="s">
        <v>3981</v>
      </c>
      <c r="J4294" s="3">
        <v>0.1345913</v>
      </c>
      <c r="K4294" s="3">
        <v>-0.24374309999999999</v>
      </c>
      <c r="L4294" s="3">
        <v>-0.10308929999999999</v>
      </c>
    </row>
    <row r="4295" spans="1:12" x14ac:dyDescent="0.25">
      <c r="A4295" t="s">
        <v>3977</v>
      </c>
      <c r="B4295" t="s">
        <v>957</v>
      </c>
      <c r="I4295" t="s">
        <v>3978</v>
      </c>
      <c r="J4295" s="3">
        <v>0.19836129999999999</v>
      </c>
      <c r="K4295" s="3">
        <v>-0.1640452</v>
      </c>
      <c r="L4295" s="3">
        <v>0.26737860000000002</v>
      </c>
    </row>
    <row r="4296" spans="1:12" x14ac:dyDescent="0.25">
      <c r="A4296" t="s">
        <v>3974</v>
      </c>
      <c r="B4296" t="s">
        <v>3975</v>
      </c>
      <c r="I4296" t="s">
        <v>3976</v>
      </c>
      <c r="J4296" s="3">
        <v>0.72416349999999996</v>
      </c>
      <c r="K4296" s="3">
        <v>0.95160469999999997</v>
      </c>
      <c r="L4296" s="3">
        <v>0.31419429999999998</v>
      </c>
    </row>
    <row r="4297" spans="1:12" x14ac:dyDescent="0.25">
      <c r="A4297" t="s">
        <v>3973</v>
      </c>
      <c r="B4297" t="s">
        <v>957</v>
      </c>
      <c r="I4297" t="s">
        <v>455</v>
      </c>
      <c r="J4297" s="3">
        <v>0.3542574</v>
      </c>
      <c r="K4297" s="3">
        <v>8.8588749999999994E-2</v>
      </c>
      <c r="L4297" s="3">
        <v>0.24577660000000001</v>
      </c>
    </row>
    <row r="4298" spans="1:12" x14ac:dyDescent="0.25">
      <c r="A4298" t="s">
        <v>3970</v>
      </c>
      <c r="B4298" t="s">
        <v>3971</v>
      </c>
      <c r="I4298" t="s">
        <v>3972</v>
      </c>
      <c r="J4298" s="3">
        <v>0.354271</v>
      </c>
      <c r="K4298" s="3">
        <v>0.48457519999999998</v>
      </c>
      <c r="L4298" s="3">
        <v>0.41423189999999999</v>
      </c>
    </row>
    <row r="4299" spans="1:12" x14ac:dyDescent="0.25">
      <c r="A4299" t="s">
        <v>3968</v>
      </c>
      <c r="B4299" t="s">
        <v>957</v>
      </c>
      <c r="I4299" t="s">
        <v>3969</v>
      </c>
      <c r="J4299" s="3">
        <v>0.26269599999999999</v>
      </c>
      <c r="K4299" s="3">
        <v>0.26147350000000003</v>
      </c>
      <c r="L4299" s="3">
        <v>0.14759639999999999</v>
      </c>
    </row>
    <row r="4300" spans="1:12" x14ac:dyDescent="0.25">
      <c r="A4300" t="s">
        <v>3965</v>
      </c>
      <c r="B4300" t="s">
        <v>3966</v>
      </c>
      <c r="I4300" t="s">
        <v>3967</v>
      </c>
      <c r="J4300" s="3">
        <v>-0.291603</v>
      </c>
      <c r="K4300" s="3">
        <v>-0.84296340000000003</v>
      </c>
      <c r="L4300" s="3">
        <v>-2.8800550000000001E-2</v>
      </c>
    </row>
    <row r="4301" spans="1:12" x14ac:dyDescent="0.25">
      <c r="A4301" t="s">
        <v>3963</v>
      </c>
      <c r="B4301" t="s">
        <v>957</v>
      </c>
      <c r="I4301" t="s">
        <v>3964</v>
      </c>
      <c r="J4301" s="3">
        <v>0.2367379</v>
      </c>
      <c r="K4301" s="3">
        <v>-8.5140600000000004E-3</v>
      </c>
      <c r="L4301" s="3">
        <v>8.8866929999999997E-2</v>
      </c>
    </row>
    <row r="4302" spans="1:12" x14ac:dyDescent="0.25">
      <c r="A4302" t="s">
        <v>3960</v>
      </c>
      <c r="B4302" t="s">
        <v>3961</v>
      </c>
      <c r="I4302" t="s">
        <v>3962</v>
      </c>
      <c r="J4302" s="3">
        <v>0.4926932</v>
      </c>
      <c r="K4302" s="3">
        <v>0.76300730000000005</v>
      </c>
      <c r="L4302" s="3">
        <v>0.34205429999999998</v>
      </c>
    </row>
    <row r="4303" spans="1:12" x14ac:dyDescent="0.25">
      <c r="A4303" t="s">
        <v>3957</v>
      </c>
      <c r="B4303" t="s">
        <v>3958</v>
      </c>
      <c r="I4303" t="s">
        <v>3959</v>
      </c>
      <c r="J4303" s="3">
        <v>-7.2017670000000006E-2</v>
      </c>
      <c r="K4303" s="3">
        <v>0.20468819999999999</v>
      </c>
      <c r="L4303" s="3">
        <v>5.2276099999999999E-2</v>
      </c>
    </row>
    <row r="4304" spans="1:12" x14ac:dyDescent="0.25">
      <c r="A4304" t="s">
        <v>3954</v>
      </c>
      <c r="B4304" t="s">
        <v>3955</v>
      </c>
      <c r="I4304" t="s">
        <v>3956</v>
      </c>
      <c r="J4304" s="3">
        <v>0.79627840000000005</v>
      </c>
      <c r="K4304" s="3">
        <v>0.36282759999999997</v>
      </c>
      <c r="L4304" s="3">
        <v>0.73273739999999998</v>
      </c>
    </row>
    <row r="4305" spans="1:12" x14ac:dyDescent="0.25">
      <c r="A4305" t="s">
        <v>3951</v>
      </c>
      <c r="B4305" t="s">
        <v>3952</v>
      </c>
      <c r="I4305" t="s">
        <v>3953</v>
      </c>
      <c r="J4305" s="3">
        <v>-7.1424959999999996E-2</v>
      </c>
      <c r="K4305" s="3">
        <v>-0.2315536</v>
      </c>
      <c r="L4305" s="3">
        <v>2.619208E-2</v>
      </c>
    </row>
    <row r="4306" spans="1:12" x14ac:dyDescent="0.25">
      <c r="A4306" t="s">
        <v>3948</v>
      </c>
      <c r="B4306" t="s">
        <v>3949</v>
      </c>
      <c r="I4306" t="s">
        <v>3950</v>
      </c>
      <c r="J4306" s="3">
        <v>-0.346638</v>
      </c>
      <c r="K4306" s="3">
        <v>-5.4654469999999997E-2</v>
      </c>
      <c r="L4306" s="3">
        <v>-0.7257091</v>
      </c>
    </row>
    <row r="4307" spans="1:12" x14ac:dyDescent="0.25">
      <c r="A4307" t="s">
        <v>3945</v>
      </c>
      <c r="B4307" t="s">
        <v>3946</v>
      </c>
      <c r="I4307" t="s">
        <v>3947</v>
      </c>
      <c r="J4307" s="3">
        <v>0.38572139999999999</v>
      </c>
      <c r="K4307" s="3">
        <v>0.70202149999999996</v>
      </c>
      <c r="L4307" s="3">
        <v>0.25457920000000001</v>
      </c>
    </row>
    <row r="4308" spans="1:12" x14ac:dyDescent="0.25">
      <c r="A4308" t="s">
        <v>3942</v>
      </c>
      <c r="B4308" t="s">
        <v>3943</v>
      </c>
      <c r="I4308" t="s">
        <v>3944</v>
      </c>
      <c r="J4308" s="3">
        <v>-0.35755360000000003</v>
      </c>
      <c r="K4308" s="3">
        <v>-0.82539850000000003</v>
      </c>
      <c r="L4308" s="3">
        <v>-0.29256349999999998</v>
      </c>
    </row>
    <row r="4309" spans="1:12" x14ac:dyDescent="0.25">
      <c r="A4309" t="s">
        <v>3939</v>
      </c>
      <c r="B4309" t="s">
        <v>3940</v>
      </c>
      <c r="I4309" t="s">
        <v>3941</v>
      </c>
      <c r="J4309" s="3">
        <v>-0.4380077</v>
      </c>
      <c r="K4309" s="3">
        <v>-0.85303340000000005</v>
      </c>
      <c r="L4309" s="3">
        <v>-0.65662540000000003</v>
      </c>
    </row>
    <row r="4310" spans="1:12" x14ac:dyDescent="0.25">
      <c r="A4310" t="s">
        <v>3936</v>
      </c>
      <c r="B4310" t="s">
        <v>3937</v>
      </c>
      <c r="I4310" t="s">
        <v>3938</v>
      </c>
      <c r="J4310" s="3">
        <v>-5.4317219999999999E-2</v>
      </c>
      <c r="K4310" s="3">
        <v>-0.25976630000000001</v>
      </c>
      <c r="L4310" s="3">
        <v>-0.19069659999999999</v>
      </c>
    </row>
    <row r="4311" spans="1:12" x14ac:dyDescent="0.25">
      <c r="A4311" t="s">
        <v>3933</v>
      </c>
      <c r="B4311" t="s">
        <v>3934</v>
      </c>
      <c r="I4311" t="s">
        <v>3935</v>
      </c>
      <c r="J4311" s="3">
        <v>-0.19997880000000001</v>
      </c>
      <c r="K4311" s="3">
        <v>-0.50458340000000002</v>
      </c>
      <c r="L4311" s="3">
        <v>0.64379649999999999</v>
      </c>
    </row>
    <row r="4312" spans="1:12" x14ac:dyDescent="0.25">
      <c r="A4312" t="s">
        <v>3930</v>
      </c>
      <c r="B4312" t="s">
        <v>3931</v>
      </c>
      <c r="I4312" t="s">
        <v>3932</v>
      </c>
      <c r="J4312" s="3">
        <v>0.66260589999999997</v>
      </c>
      <c r="K4312" s="3">
        <v>2.0906950000000002</v>
      </c>
      <c r="L4312" s="3">
        <v>0.83989040000000004</v>
      </c>
    </row>
    <row r="4313" spans="1:12" x14ac:dyDescent="0.25">
      <c r="A4313" t="s">
        <v>3927</v>
      </c>
      <c r="B4313" t="s">
        <v>3928</v>
      </c>
      <c r="I4313" t="s">
        <v>3929</v>
      </c>
      <c r="J4313" s="3">
        <v>-4.3495569999999997E-2</v>
      </c>
      <c r="K4313" s="3">
        <v>5.4613160000000001E-2</v>
      </c>
      <c r="L4313" s="3">
        <v>-0.22483120000000001</v>
      </c>
    </row>
    <row r="4314" spans="1:12" x14ac:dyDescent="0.25">
      <c r="A4314" t="s">
        <v>3924</v>
      </c>
      <c r="B4314" t="s">
        <v>3925</v>
      </c>
      <c r="I4314" t="s">
        <v>3926</v>
      </c>
      <c r="J4314" s="3">
        <v>-0.1114016</v>
      </c>
      <c r="K4314" s="3">
        <v>-2.3160529999999999E-2</v>
      </c>
      <c r="L4314" s="3">
        <v>-0.17048160000000001</v>
      </c>
    </row>
    <row r="4315" spans="1:12" x14ac:dyDescent="0.25">
      <c r="A4315" t="s">
        <v>3921</v>
      </c>
      <c r="B4315" t="s">
        <v>3922</v>
      </c>
      <c r="I4315" t="s">
        <v>3923</v>
      </c>
      <c r="J4315" s="3">
        <v>0.20691100000000001</v>
      </c>
      <c r="K4315" s="3">
        <v>2.64075E-2</v>
      </c>
      <c r="L4315" s="3">
        <v>-0.1299988</v>
      </c>
    </row>
    <row r="4316" spans="1:12" x14ac:dyDescent="0.25">
      <c r="A4316" t="s">
        <v>3920</v>
      </c>
      <c r="B4316" t="s">
        <v>957</v>
      </c>
      <c r="I4316" t="s">
        <v>455</v>
      </c>
      <c r="J4316" s="3">
        <v>7.8250840000000002E-2</v>
      </c>
      <c r="K4316" s="3">
        <v>0.72723760000000004</v>
      </c>
      <c r="L4316" s="3">
        <v>0.18403990000000001</v>
      </c>
    </row>
    <row r="4317" spans="1:12" x14ac:dyDescent="0.25">
      <c r="A4317" t="s">
        <v>3917</v>
      </c>
      <c r="B4317" t="s">
        <v>3918</v>
      </c>
      <c r="I4317" t="s">
        <v>3919</v>
      </c>
      <c r="J4317" s="3">
        <v>-0.47248059999999997</v>
      </c>
      <c r="K4317" s="3">
        <v>-1.326578</v>
      </c>
      <c r="L4317" s="3">
        <v>-0.22255440000000001</v>
      </c>
    </row>
    <row r="4318" spans="1:12" x14ac:dyDescent="0.25">
      <c r="A4318" t="s">
        <v>3915</v>
      </c>
      <c r="B4318" t="s">
        <v>3916</v>
      </c>
      <c r="I4318" t="s">
        <v>826</v>
      </c>
      <c r="J4318" s="3">
        <v>-0.12900429999999999</v>
      </c>
      <c r="K4318" s="3">
        <v>0.26985920000000002</v>
      </c>
      <c r="L4318" s="3">
        <v>0.31366949999999999</v>
      </c>
    </row>
    <row r="4319" spans="1:12" x14ac:dyDescent="0.25">
      <c r="A4319" t="s">
        <v>3912</v>
      </c>
      <c r="B4319" t="s">
        <v>3913</v>
      </c>
      <c r="I4319" t="s">
        <v>3914</v>
      </c>
      <c r="J4319" s="3">
        <v>0.33876030000000001</v>
      </c>
      <c r="K4319" s="3">
        <v>-0.28236689999999998</v>
      </c>
      <c r="L4319" s="3">
        <v>7.6618179999999994E-2</v>
      </c>
    </row>
    <row r="4320" spans="1:12" x14ac:dyDescent="0.25">
      <c r="A4320" t="s">
        <v>3910</v>
      </c>
      <c r="B4320" t="s">
        <v>3911</v>
      </c>
      <c r="I4320" t="s">
        <v>1565</v>
      </c>
      <c r="J4320" s="3">
        <v>-0.45091829999999999</v>
      </c>
      <c r="K4320" s="3">
        <v>-0.84401709999999996</v>
      </c>
      <c r="L4320" s="3">
        <v>-0.3928237</v>
      </c>
    </row>
    <row r="4321" spans="1:12" x14ac:dyDescent="0.25">
      <c r="A4321" t="s">
        <v>3909</v>
      </c>
      <c r="B4321" t="s">
        <v>957</v>
      </c>
      <c r="I4321" t="s">
        <v>455</v>
      </c>
      <c r="J4321" s="3">
        <v>0.43227009999999999</v>
      </c>
      <c r="K4321" s="3">
        <v>0.4655589</v>
      </c>
      <c r="L4321" s="3">
        <v>0.30162820000000001</v>
      </c>
    </row>
    <row r="4322" spans="1:12" x14ac:dyDescent="0.25">
      <c r="A4322" t="s">
        <v>3908</v>
      </c>
      <c r="B4322" t="s">
        <v>957</v>
      </c>
      <c r="I4322" t="s">
        <v>453</v>
      </c>
      <c r="J4322" s="3">
        <v>1.5815240000000001E-2</v>
      </c>
      <c r="K4322" s="3">
        <v>0.13934740000000001</v>
      </c>
      <c r="L4322" s="3">
        <v>8.0267400000000003E-2</v>
      </c>
    </row>
    <row r="4323" spans="1:12" x14ac:dyDescent="0.25">
      <c r="A4323" t="s">
        <v>3905</v>
      </c>
      <c r="B4323" t="s">
        <v>3906</v>
      </c>
      <c r="I4323" t="s">
        <v>3907</v>
      </c>
      <c r="J4323" s="3">
        <v>0.22227279999999999</v>
      </c>
      <c r="K4323" s="3">
        <v>-1.0481450000000001</v>
      </c>
      <c r="L4323" s="3">
        <v>-0.23199049999999999</v>
      </c>
    </row>
    <row r="4324" spans="1:12" x14ac:dyDescent="0.25">
      <c r="A4324" t="s">
        <v>3904</v>
      </c>
      <c r="B4324" t="s">
        <v>957</v>
      </c>
      <c r="I4324" t="s">
        <v>455</v>
      </c>
      <c r="J4324" s="3">
        <v>-0.49278050000000001</v>
      </c>
      <c r="K4324" s="3">
        <v>-0.31166850000000001</v>
      </c>
      <c r="L4324" s="3">
        <v>-0.2083758</v>
      </c>
    </row>
    <row r="4325" spans="1:12" x14ac:dyDescent="0.25">
      <c r="A4325" t="s">
        <v>3901</v>
      </c>
      <c r="B4325" t="s">
        <v>3902</v>
      </c>
      <c r="I4325" t="s">
        <v>3903</v>
      </c>
      <c r="J4325" s="3">
        <v>-0.91965770000000002</v>
      </c>
      <c r="K4325" s="3">
        <v>-0.37023519999999999</v>
      </c>
      <c r="L4325" s="3">
        <v>-0.1167609</v>
      </c>
    </row>
    <row r="4326" spans="1:12" x14ac:dyDescent="0.25">
      <c r="A4326" t="s">
        <v>3898</v>
      </c>
      <c r="B4326" t="s">
        <v>3899</v>
      </c>
      <c r="I4326" t="s">
        <v>3900</v>
      </c>
      <c r="J4326" s="3">
        <v>-1.295253</v>
      </c>
      <c r="K4326" s="3">
        <v>0.83425139999999998</v>
      </c>
      <c r="L4326" s="3">
        <v>0.15884409999999999</v>
      </c>
    </row>
    <row r="4327" spans="1:12" x14ac:dyDescent="0.25">
      <c r="A4327" t="s">
        <v>3897</v>
      </c>
      <c r="B4327" t="s">
        <v>212</v>
      </c>
      <c r="I4327" t="s">
        <v>213</v>
      </c>
      <c r="J4327" s="3">
        <v>-0.36011959999999998</v>
      </c>
      <c r="K4327" s="3">
        <v>-1.3001100000000001</v>
      </c>
      <c r="L4327" s="3">
        <v>-0.55178689999999997</v>
      </c>
    </row>
    <row r="4328" spans="1:12" x14ac:dyDescent="0.25">
      <c r="A4328" t="s">
        <v>3895</v>
      </c>
      <c r="B4328" t="s">
        <v>14238</v>
      </c>
      <c r="C4328" t="s">
        <v>14239</v>
      </c>
      <c r="D4328" t="s">
        <v>14240</v>
      </c>
      <c r="I4328" t="s">
        <v>3896</v>
      </c>
      <c r="J4328" s="3">
        <v>0.66446079999999996</v>
      </c>
      <c r="K4328" s="3">
        <v>0.56450650000000002</v>
      </c>
      <c r="L4328" s="3">
        <v>0.45629449999999999</v>
      </c>
    </row>
    <row r="4329" spans="1:12" x14ac:dyDescent="0.25">
      <c r="A4329" t="s">
        <v>3893</v>
      </c>
      <c r="B4329" t="s">
        <v>14241</v>
      </c>
      <c r="C4329" t="s">
        <v>14242</v>
      </c>
      <c r="D4329" t="s">
        <v>14243</v>
      </c>
      <c r="I4329" t="s">
        <v>3894</v>
      </c>
      <c r="J4329" s="3">
        <v>0.85960080000000005</v>
      </c>
      <c r="K4329" s="3">
        <v>2.569159</v>
      </c>
      <c r="L4329" s="3">
        <v>0.48312909999999998</v>
      </c>
    </row>
    <row r="4330" spans="1:12" x14ac:dyDescent="0.25">
      <c r="A4330" t="s">
        <v>3890</v>
      </c>
      <c r="B4330" t="s">
        <v>3891</v>
      </c>
      <c r="I4330" t="s">
        <v>3892</v>
      </c>
      <c r="J4330" s="3">
        <v>-0.30414010000000002</v>
      </c>
      <c r="K4330" s="3">
        <v>-0.45056299999999999</v>
      </c>
      <c r="L4330" s="3">
        <v>-0.1225796</v>
      </c>
    </row>
    <row r="4331" spans="1:12" x14ac:dyDescent="0.25">
      <c r="A4331" t="s">
        <v>3887</v>
      </c>
      <c r="B4331" t="s">
        <v>3888</v>
      </c>
      <c r="I4331" t="s">
        <v>3889</v>
      </c>
      <c r="J4331" s="3">
        <v>-0.2091828</v>
      </c>
      <c r="K4331" s="3">
        <v>-0.45467839999999998</v>
      </c>
      <c r="L4331" s="3">
        <v>-0.27873819999999999</v>
      </c>
    </row>
    <row r="4332" spans="1:12" x14ac:dyDescent="0.25">
      <c r="A4332" t="s">
        <v>3884</v>
      </c>
      <c r="B4332" t="s">
        <v>3885</v>
      </c>
      <c r="I4332" t="s">
        <v>3886</v>
      </c>
      <c r="J4332" s="3">
        <v>0.60371560000000002</v>
      </c>
      <c r="K4332" s="3">
        <v>0.88117279999999998</v>
      </c>
      <c r="L4332" s="3">
        <v>0.67587039999999998</v>
      </c>
    </row>
    <row r="4333" spans="1:12" x14ac:dyDescent="0.25">
      <c r="A4333" t="s">
        <v>3881</v>
      </c>
      <c r="B4333" t="s">
        <v>3882</v>
      </c>
      <c r="I4333" t="s">
        <v>3883</v>
      </c>
      <c r="J4333" s="3">
        <v>-5.5205700000000003E-2</v>
      </c>
      <c r="K4333" s="3">
        <v>9.0078399999999996E-4</v>
      </c>
      <c r="L4333" s="3">
        <v>-0.109585</v>
      </c>
    </row>
    <row r="4334" spans="1:12" x14ac:dyDescent="0.25">
      <c r="A4334" t="s">
        <v>3879</v>
      </c>
      <c r="B4334" t="s">
        <v>3880</v>
      </c>
      <c r="I4334" t="s">
        <v>593</v>
      </c>
      <c r="J4334" s="3">
        <v>-1.023382</v>
      </c>
      <c r="K4334" s="3">
        <v>-1.4349769999999999</v>
      </c>
      <c r="L4334" s="3">
        <v>-0.96475140000000004</v>
      </c>
    </row>
    <row r="4335" spans="1:12" x14ac:dyDescent="0.25">
      <c r="A4335" t="s">
        <v>3876</v>
      </c>
      <c r="B4335" t="s">
        <v>3877</v>
      </c>
      <c r="I4335" t="s">
        <v>3878</v>
      </c>
      <c r="J4335" s="3">
        <v>-0.39834449999999999</v>
      </c>
      <c r="K4335" s="3">
        <v>-0.72078489999999995</v>
      </c>
      <c r="L4335" s="3">
        <v>-0.1152903</v>
      </c>
    </row>
    <row r="4336" spans="1:12" x14ac:dyDescent="0.25">
      <c r="A4336" t="s">
        <v>3873</v>
      </c>
      <c r="B4336" t="s">
        <v>3874</v>
      </c>
      <c r="I4336" t="s">
        <v>3875</v>
      </c>
      <c r="J4336" s="3">
        <v>0.62766089999999997</v>
      </c>
      <c r="K4336" s="3">
        <v>0.49653979999999998</v>
      </c>
      <c r="L4336" s="3">
        <v>0.70039019999999996</v>
      </c>
    </row>
    <row r="4337" spans="1:12" x14ac:dyDescent="0.25">
      <c r="A4337" t="s">
        <v>3870</v>
      </c>
      <c r="B4337" t="s">
        <v>3871</v>
      </c>
      <c r="I4337" t="s">
        <v>3872</v>
      </c>
      <c r="J4337" s="3">
        <v>0.23233889999999999</v>
      </c>
      <c r="K4337" s="3">
        <v>0.31033909999999998</v>
      </c>
      <c r="L4337" s="3">
        <v>0.12660270000000001</v>
      </c>
    </row>
    <row r="4338" spans="1:12" x14ac:dyDescent="0.25">
      <c r="A4338" t="s">
        <v>3867</v>
      </c>
      <c r="B4338" t="s">
        <v>3868</v>
      </c>
      <c r="I4338" t="s">
        <v>3869</v>
      </c>
      <c r="J4338" s="3">
        <v>-0.80690850000000003</v>
      </c>
      <c r="K4338" s="3">
        <v>-0.65240469999999995</v>
      </c>
      <c r="L4338" s="3">
        <v>0.1349687</v>
      </c>
    </row>
    <row r="4339" spans="1:12" x14ac:dyDescent="0.25">
      <c r="A4339" t="s">
        <v>3866</v>
      </c>
      <c r="B4339" t="s">
        <v>957</v>
      </c>
      <c r="I4339" t="s">
        <v>455</v>
      </c>
      <c r="J4339" s="3">
        <v>-0.59240090000000001</v>
      </c>
      <c r="K4339" s="3">
        <v>-0.16593089999999999</v>
      </c>
      <c r="L4339" s="3">
        <v>-0.41142309999999999</v>
      </c>
    </row>
    <row r="4340" spans="1:12" x14ac:dyDescent="0.25">
      <c r="A4340" t="s">
        <v>3865</v>
      </c>
      <c r="B4340" t="s">
        <v>957</v>
      </c>
      <c r="I4340" t="s">
        <v>455</v>
      </c>
      <c r="J4340" s="3">
        <v>-0.38929570000000002</v>
      </c>
      <c r="K4340" s="3">
        <v>-2.8741360000000001E-2</v>
      </c>
      <c r="L4340" s="3">
        <v>-0.3437924</v>
      </c>
    </row>
    <row r="4341" spans="1:12" x14ac:dyDescent="0.25">
      <c r="A4341" t="s">
        <v>3862</v>
      </c>
      <c r="B4341" t="s">
        <v>3863</v>
      </c>
      <c r="I4341" t="s">
        <v>3864</v>
      </c>
      <c r="J4341" s="3">
        <v>0.51015770000000005</v>
      </c>
      <c r="K4341" s="3">
        <v>0.92627800000000005</v>
      </c>
      <c r="L4341" s="3">
        <v>0.66608679999999998</v>
      </c>
    </row>
    <row r="4342" spans="1:12" x14ac:dyDescent="0.25">
      <c r="A4342" t="s">
        <v>3859</v>
      </c>
      <c r="B4342" t="s">
        <v>3860</v>
      </c>
      <c r="I4342" t="s">
        <v>3861</v>
      </c>
      <c r="J4342" s="3">
        <v>-0.51258669999999995</v>
      </c>
      <c r="K4342" s="3">
        <v>-1.0195669999999999</v>
      </c>
      <c r="L4342" s="3">
        <v>-0.66618940000000004</v>
      </c>
    </row>
    <row r="4343" spans="1:12" x14ac:dyDescent="0.25">
      <c r="A4343" t="s">
        <v>2821</v>
      </c>
      <c r="B4343" t="s">
        <v>3857</v>
      </c>
      <c r="I4343" t="s">
        <v>3858</v>
      </c>
      <c r="J4343" s="3">
        <v>-1.7070209999999999E-2</v>
      </c>
      <c r="K4343" s="3">
        <v>-0.1803584</v>
      </c>
      <c r="L4343" s="3">
        <v>0.1221366</v>
      </c>
    </row>
    <row r="4344" spans="1:12" x14ac:dyDescent="0.25">
      <c r="A4344" t="s">
        <v>2818</v>
      </c>
      <c r="B4344" t="s">
        <v>2819</v>
      </c>
      <c r="I4344" t="s">
        <v>2820</v>
      </c>
      <c r="J4344" s="3">
        <v>0.21710940000000001</v>
      </c>
      <c r="K4344" s="3">
        <v>-0.46181240000000001</v>
      </c>
      <c r="L4344" s="3">
        <v>-0.11590499999999999</v>
      </c>
    </row>
    <row r="4345" spans="1:12" x14ac:dyDescent="0.25">
      <c r="A4345" t="s">
        <v>2817</v>
      </c>
      <c r="B4345" t="s">
        <v>957</v>
      </c>
      <c r="I4345" t="s">
        <v>205</v>
      </c>
      <c r="J4345" s="3">
        <v>-6.0980680000000002E-2</v>
      </c>
      <c r="K4345" s="3">
        <v>0.17277609999999999</v>
      </c>
      <c r="L4345" s="3">
        <v>3.3651010000000002E-2</v>
      </c>
    </row>
    <row r="4346" spans="1:12" x14ac:dyDescent="0.25">
      <c r="A4346" t="s">
        <v>2814</v>
      </c>
      <c r="B4346" t="s">
        <v>2815</v>
      </c>
      <c r="I4346" t="s">
        <v>2816</v>
      </c>
      <c r="J4346" s="3">
        <v>1.036762</v>
      </c>
      <c r="K4346" s="3">
        <v>-0.1175563</v>
      </c>
      <c r="L4346" s="3">
        <v>0.537968</v>
      </c>
    </row>
    <row r="4347" spans="1:12" x14ac:dyDescent="0.25">
      <c r="A4347" t="s">
        <v>2811</v>
      </c>
      <c r="B4347" t="s">
        <v>2812</v>
      </c>
      <c r="I4347" t="s">
        <v>2813</v>
      </c>
      <c r="J4347" s="3">
        <v>-0.75780150000000002</v>
      </c>
      <c r="K4347" s="3">
        <v>-0.74579519999999999</v>
      </c>
      <c r="L4347" s="3">
        <v>-0.94123190000000001</v>
      </c>
    </row>
    <row r="4348" spans="1:12" x14ac:dyDescent="0.25">
      <c r="A4348" t="s">
        <v>2809</v>
      </c>
      <c r="B4348" t="s">
        <v>957</v>
      </c>
      <c r="I4348" t="s">
        <v>2810</v>
      </c>
      <c r="J4348" s="3">
        <v>-0.66530259999999997</v>
      </c>
      <c r="K4348" s="3">
        <v>-0.69628429999999997</v>
      </c>
      <c r="L4348" s="3">
        <v>-0.48847200000000002</v>
      </c>
    </row>
    <row r="4349" spans="1:12" x14ac:dyDescent="0.25">
      <c r="A4349" t="s">
        <v>2806</v>
      </c>
      <c r="B4349" t="s">
        <v>2807</v>
      </c>
      <c r="I4349" t="s">
        <v>2808</v>
      </c>
      <c r="J4349" s="3">
        <v>-0.42458659999999998</v>
      </c>
      <c r="K4349" s="3">
        <v>-0.73306970000000005</v>
      </c>
      <c r="L4349" s="3">
        <v>-0.48156900000000002</v>
      </c>
    </row>
    <row r="4350" spans="1:12" x14ac:dyDescent="0.25">
      <c r="A4350" t="s">
        <v>2805</v>
      </c>
      <c r="B4350" t="s">
        <v>957</v>
      </c>
      <c r="I4350" t="s">
        <v>1059</v>
      </c>
      <c r="J4350" s="3">
        <v>0.26451950000000002</v>
      </c>
      <c r="K4350" s="3">
        <v>1.3686849999999999</v>
      </c>
      <c r="L4350" s="3">
        <v>0.3027493</v>
      </c>
    </row>
    <row r="4351" spans="1:12" x14ac:dyDescent="0.25">
      <c r="A4351" t="s">
        <v>2804</v>
      </c>
      <c r="B4351" t="s">
        <v>957</v>
      </c>
      <c r="I4351" t="s">
        <v>453</v>
      </c>
      <c r="J4351" s="3">
        <v>-0.45711410000000002</v>
      </c>
      <c r="K4351" s="3">
        <v>-0.10256460000000001</v>
      </c>
      <c r="L4351" s="3">
        <v>-0.30296620000000002</v>
      </c>
    </row>
    <row r="4352" spans="1:12" x14ac:dyDescent="0.25">
      <c r="A4352" t="s">
        <v>2802</v>
      </c>
      <c r="B4352" t="s">
        <v>2803</v>
      </c>
      <c r="I4352" t="s">
        <v>1000</v>
      </c>
      <c r="J4352" s="3">
        <v>0.31112790000000001</v>
      </c>
      <c r="K4352" s="3">
        <v>0.84614560000000005</v>
      </c>
      <c r="L4352" s="3">
        <v>0.34682980000000002</v>
      </c>
    </row>
    <row r="4353" spans="1:12" x14ac:dyDescent="0.25">
      <c r="A4353" t="s">
        <v>2799</v>
      </c>
      <c r="B4353" t="s">
        <v>2800</v>
      </c>
      <c r="I4353" t="s">
        <v>2801</v>
      </c>
      <c r="J4353" s="3">
        <v>-0.4661148</v>
      </c>
      <c r="K4353" s="3">
        <v>-0.14238619999999999</v>
      </c>
      <c r="L4353" s="3">
        <v>-8.7075280000000005E-2</v>
      </c>
    </row>
    <row r="4354" spans="1:12" x14ac:dyDescent="0.25">
      <c r="A4354" t="s">
        <v>2796</v>
      </c>
      <c r="B4354" t="s">
        <v>2797</v>
      </c>
      <c r="I4354" t="s">
        <v>2798</v>
      </c>
      <c r="J4354" s="3">
        <v>-0.11492280000000001</v>
      </c>
      <c r="K4354" s="3">
        <v>-0.69737510000000003</v>
      </c>
      <c r="L4354" s="3">
        <v>-0.35392040000000002</v>
      </c>
    </row>
    <row r="4355" spans="1:12" x14ac:dyDescent="0.25">
      <c r="A4355" t="s">
        <v>2793</v>
      </c>
      <c r="B4355" t="s">
        <v>2794</v>
      </c>
      <c r="I4355" t="s">
        <v>2795</v>
      </c>
      <c r="J4355" s="3">
        <v>-1.691951</v>
      </c>
      <c r="K4355" s="3">
        <v>-1.946518</v>
      </c>
      <c r="L4355" s="3">
        <v>-1.5794060000000001</v>
      </c>
    </row>
    <row r="4356" spans="1:12" x14ac:dyDescent="0.25">
      <c r="A4356" t="s">
        <v>2779</v>
      </c>
      <c r="B4356" t="s">
        <v>14111</v>
      </c>
      <c r="C4356" t="s">
        <v>14112</v>
      </c>
      <c r="I4356" t="s">
        <v>2792</v>
      </c>
      <c r="J4356" s="3">
        <v>-6.4771770000000006E-2</v>
      </c>
      <c r="K4356" s="3">
        <v>-0.37181069999999999</v>
      </c>
      <c r="L4356" s="3">
        <v>-6.069811E-2</v>
      </c>
    </row>
    <row r="4357" spans="1:12" x14ac:dyDescent="0.25">
      <c r="A4357" t="s">
        <v>2776</v>
      </c>
      <c r="B4357" t="s">
        <v>2777</v>
      </c>
      <c r="I4357" t="s">
        <v>2778</v>
      </c>
      <c r="J4357" s="3">
        <v>-0.25654250000000001</v>
      </c>
      <c r="K4357" s="3">
        <v>-0.59075259999999996</v>
      </c>
      <c r="L4357" s="3">
        <v>-2.4247520000000002E-2</v>
      </c>
    </row>
    <row r="4358" spans="1:12" x14ac:dyDescent="0.25">
      <c r="A4358" t="s">
        <v>2775</v>
      </c>
      <c r="B4358" t="s">
        <v>957</v>
      </c>
      <c r="I4358" t="s">
        <v>205</v>
      </c>
      <c r="J4358" s="3">
        <v>-0.26770840000000001</v>
      </c>
      <c r="K4358" s="3">
        <v>0.13375029999999999</v>
      </c>
      <c r="L4358" s="3">
        <v>-0.2438207</v>
      </c>
    </row>
    <row r="4359" spans="1:12" x14ac:dyDescent="0.25">
      <c r="A4359" t="s">
        <v>2774</v>
      </c>
      <c r="B4359" t="s">
        <v>957</v>
      </c>
      <c r="I4359" t="s">
        <v>205</v>
      </c>
      <c r="J4359" s="3">
        <v>-0.13683790000000001</v>
      </c>
      <c r="K4359" s="3">
        <v>0.21814310000000001</v>
      </c>
      <c r="L4359" s="3">
        <v>6.0453159999999999E-2</v>
      </c>
    </row>
    <row r="4360" spans="1:12" x14ac:dyDescent="0.25">
      <c r="A4360" t="s">
        <v>2773</v>
      </c>
      <c r="B4360" t="s">
        <v>957</v>
      </c>
      <c r="I4360" t="s">
        <v>455</v>
      </c>
      <c r="J4360" s="3">
        <v>-7.2685449999999999E-2</v>
      </c>
      <c r="K4360" s="3">
        <v>-0.2373149</v>
      </c>
      <c r="L4360" s="3">
        <v>-0.21242059999999999</v>
      </c>
    </row>
    <row r="4361" spans="1:12" x14ac:dyDescent="0.25">
      <c r="A4361" t="s">
        <v>2770</v>
      </c>
      <c r="B4361" t="s">
        <v>2771</v>
      </c>
      <c r="I4361" t="s">
        <v>2772</v>
      </c>
      <c r="J4361" s="3">
        <v>5.6376860000000001E-2</v>
      </c>
      <c r="K4361" s="3">
        <v>-0.26361240000000002</v>
      </c>
      <c r="L4361" s="3">
        <v>-0.232015</v>
      </c>
    </row>
    <row r="4362" spans="1:12" x14ac:dyDescent="0.25">
      <c r="A4362" t="s">
        <v>2768</v>
      </c>
      <c r="B4362" t="s">
        <v>2769</v>
      </c>
      <c r="I4362" t="s">
        <v>1667</v>
      </c>
      <c r="J4362" s="3">
        <v>-0.1150849</v>
      </c>
      <c r="K4362" s="3">
        <v>-8.1329810000000002E-2</v>
      </c>
      <c r="L4362" s="3">
        <v>-0.1618124</v>
      </c>
    </row>
    <row r="4363" spans="1:12" x14ac:dyDescent="0.25">
      <c r="A4363" t="s">
        <v>2765</v>
      </c>
      <c r="B4363" t="s">
        <v>2766</v>
      </c>
      <c r="I4363" t="s">
        <v>2767</v>
      </c>
      <c r="J4363" s="3">
        <v>-0.2312968</v>
      </c>
      <c r="K4363" s="3">
        <v>-0.49296139999999999</v>
      </c>
      <c r="L4363" s="3">
        <v>-9.4157359999999996E-2</v>
      </c>
    </row>
    <row r="4364" spans="1:12" x14ac:dyDescent="0.25">
      <c r="A4364" t="s">
        <v>2762</v>
      </c>
      <c r="B4364" t="s">
        <v>2763</v>
      </c>
      <c r="I4364" t="s">
        <v>2764</v>
      </c>
      <c r="J4364" s="3">
        <v>-0.2897883</v>
      </c>
      <c r="K4364" s="3">
        <v>-0.79731070000000004</v>
      </c>
      <c r="L4364" s="3">
        <v>-0.48565779999999997</v>
      </c>
    </row>
    <row r="4365" spans="1:12" x14ac:dyDescent="0.25">
      <c r="A4365" t="s">
        <v>2761</v>
      </c>
      <c r="B4365" t="s">
        <v>957</v>
      </c>
      <c r="I4365" t="s">
        <v>455</v>
      </c>
      <c r="J4365" s="3">
        <v>0.30744759999999999</v>
      </c>
      <c r="K4365" s="3">
        <v>0.30769869999999999</v>
      </c>
      <c r="L4365" s="3">
        <v>0.55930170000000001</v>
      </c>
    </row>
    <row r="4366" spans="1:12" x14ac:dyDescent="0.25">
      <c r="A4366" t="s">
        <v>2759</v>
      </c>
      <c r="B4366" t="s">
        <v>2760</v>
      </c>
      <c r="I4366" t="s">
        <v>2738</v>
      </c>
      <c r="J4366" s="3">
        <v>-0.21163299999999999</v>
      </c>
      <c r="K4366" s="3">
        <v>-0.4896838</v>
      </c>
      <c r="L4366" s="3">
        <v>-0.29011609999999999</v>
      </c>
    </row>
    <row r="4367" spans="1:12" x14ac:dyDescent="0.25">
      <c r="A4367" t="s">
        <v>2756</v>
      </c>
      <c r="B4367" t="s">
        <v>2757</v>
      </c>
      <c r="I4367" t="s">
        <v>2758</v>
      </c>
      <c r="J4367" s="3">
        <v>0.47280109999999997</v>
      </c>
      <c r="K4367" s="3">
        <v>1.227401E-2</v>
      </c>
      <c r="L4367" s="3">
        <v>9.0531039999999993E-2</v>
      </c>
    </row>
    <row r="4368" spans="1:12" x14ac:dyDescent="0.25">
      <c r="A4368" t="s">
        <v>2755</v>
      </c>
      <c r="B4368" t="s">
        <v>957</v>
      </c>
      <c r="I4368" t="s">
        <v>1207</v>
      </c>
      <c r="J4368" s="3">
        <v>-0.14724999999999999</v>
      </c>
      <c r="K4368" s="3">
        <v>0.16188379999999999</v>
      </c>
      <c r="L4368" s="3">
        <v>-8.4372050000000004E-2</v>
      </c>
    </row>
    <row r="4369" spans="1:12" x14ac:dyDescent="0.25">
      <c r="A4369" t="s">
        <v>2752</v>
      </c>
      <c r="B4369" t="s">
        <v>2753</v>
      </c>
      <c r="I4369" t="s">
        <v>2754</v>
      </c>
      <c r="J4369" s="3">
        <v>-0.2319367</v>
      </c>
      <c r="K4369" s="3">
        <v>-0.2696963</v>
      </c>
      <c r="L4369" s="3">
        <v>4.3160530000000003E-2</v>
      </c>
    </row>
    <row r="4370" spans="1:12" x14ac:dyDescent="0.25">
      <c r="A4370" t="s">
        <v>2750</v>
      </c>
      <c r="B4370" t="s">
        <v>957</v>
      </c>
      <c r="I4370" t="s">
        <v>2751</v>
      </c>
      <c r="J4370" s="3">
        <v>-0.1112271</v>
      </c>
      <c r="K4370" s="3">
        <v>0.36099589999999998</v>
      </c>
      <c r="L4370" s="3">
        <v>0.32261309999999999</v>
      </c>
    </row>
    <row r="4371" spans="1:12" x14ac:dyDescent="0.25">
      <c r="A4371" t="s">
        <v>2749</v>
      </c>
      <c r="B4371" t="s">
        <v>957</v>
      </c>
      <c r="I4371" t="s">
        <v>455</v>
      </c>
      <c r="J4371" s="3">
        <v>-0.27622059999999998</v>
      </c>
      <c r="K4371" s="3">
        <v>0.34410649999999998</v>
      </c>
      <c r="L4371" s="3">
        <v>0.25058429999999998</v>
      </c>
    </row>
    <row r="4372" spans="1:12" x14ac:dyDescent="0.25">
      <c r="A4372" t="s">
        <v>2746</v>
      </c>
      <c r="B4372" t="s">
        <v>2747</v>
      </c>
      <c r="I4372" t="s">
        <v>2748</v>
      </c>
      <c r="J4372" s="3">
        <v>4.1041260000000003E-2</v>
      </c>
      <c r="K4372" s="3">
        <v>-0.70025090000000001</v>
      </c>
      <c r="L4372" s="3">
        <v>-0.37718299999999999</v>
      </c>
    </row>
    <row r="4373" spans="1:12" x14ac:dyDescent="0.25">
      <c r="A4373" t="s">
        <v>2743</v>
      </c>
      <c r="B4373" t="s">
        <v>2744</v>
      </c>
      <c r="I4373" t="s">
        <v>2745</v>
      </c>
      <c r="J4373" s="3">
        <v>-8.22793E-2</v>
      </c>
      <c r="K4373" s="3">
        <v>-0.24433530000000001</v>
      </c>
      <c r="L4373" s="3">
        <v>-9.3957979999999997E-2</v>
      </c>
    </row>
    <row r="4374" spans="1:12" x14ac:dyDescent="0.25">
      <c r="A4374" t="s">
        <v>2740</v>
      </c>
      <c r="B4374" t="s">
        <v>2741</v>
      </c>
      <c r="I4374" t="s">
        <v>2742</v>
      </c>
      <c r="J4374" s="3">
        <v>-0.23854600000000001</v>
      </c>
      <c r="K4374" s="3">
        <v>8.2767460000000001E-2</v>
      </c>
      <c r="L4374" s="3">
        <v>-0.3333584</v>
      </c>
    </row>
    <row r="4375" spans="1:12" x14ac:dyDescent="0.25">
      <c r="A4375" t="s">
        <v>2739</v>
      </c>
      <c r="B4375" t="s">
        <v>957</v>
      </c>
      <c r="I4375" t="s">
        <v>455</v>
      </c>
      <c r="J4375" s="3">
        <v>-0.1790525</v>
      </c>
      <c r="K4375" s="3">
        <v>-0.80542000000000002</v>
      </c>
      <c r="L4375" s="3">
        <v>-0.26884219999999998</v>
      </c>
    </row>
    <row r="4376" spans="1:12" x14ac:dyDescent="0.25">
      <c r="A4376" t="s">
        <v>2736</v>
      </c>
      <c r="B4376" t="s">
        <v>2737</v>
      </c>
      <c r="I4376" t="s">
        <v>2738</v>
      </c>
      <c r="J4376" s="3">
        <v>-0.26549080000000003</v>
      </c>
      <c r="K4376" s="3">
        <v>-3.8545080000000002E-2</v>
      </c>
      <c r="L4376" s="3">
        <v>8.5506090000000007E-2</v>
      </c>
    </row>
    <row r="4377" spans="1:12" x14ac:dyDescent="0.25">
      <c r="A4377" t="s">
        <v>2733</v>
      </c>
      <c r="B4377" t="s">
        <v>2734</v>
      </c>
      <c r="I4377" t="s">
        <v>2735</v>
      </c>
      <c r="J4377" s="3">
        <v>-0.17184289999999999</v>
      </c>
      <c r="K4377" s="3">
        <v>-0.2780436</v>
      </c>
      <c r="L4377" s="3">
        <v>-0.25079790000000002</v>
      </c>
    </row>
    <row r="4378" spans="1:12" x14ac:dyDescent="0.25">
      <c r="A4378" t="s">
        <v>2730</v>
      </c>
      <c r="B4378" t="s">
        <v>2731</v>
      </c>
      <c r="I4378" t="s">
        <v>2732</v>
      </c>
      <c r="J4378" s="3">
        <v>-0.43852819999999998</v>
      </c>
      <c r="K4378" s="3">
        <v>-0.42125040000000002</v>
      </c>
      <c r="L4378" s="3">
        <v>-0.54175689999999999</v>
      </c>
    </row>
    <row r="4379" spans="1:12" x14ac:dyDescent="0.25">
      <c r="A4379" t="s">
        <v>2727</v>
      </c>
      <c r="B4379" t="s">
        <v>2728</v>
      </c>
      <c r="I4379" t="s">
        <v>2729</v>
      </c>
      <c r="J4379" s="3">
        <v>-0.1122575</v>
      </c>
      <c r="K4379" s="3">
        <v>-0.82472749999999995</v>
      </c>
      <c r="L4379" s="3">
        <v>-0.25941629999999999</v>
      </c>
    </row>
    <row r="4380" spans="1:12" x14ac:dyDescent="0.25">
      <c r="A4380" t="s">
        <v>2725</v>
      </c>
      <c r="B4380" t="s">
        <v>6958</v>
      </c>
      <c r="C4380" t="s">
        <v>14244</v>
      </c>
      <c r="I4380" t="s">
        <v>2726</v>
      </c>
      <c r="J4380" s="3">
        <v>-0.13809759999999999</v>
      </c>
      <c r="K4380" s="3">
        <v>-2.6226869999999999E-2</v>
      </c>
      <c r="L4380" s="3">
        <v>-0.13055739999999999</v>
      </c>
    </row>
    <row r="4381" spans="1:12" x14ac:dyDescent="0.25">
      <c r="A4381" t="s">
        <v>2723</v>
      </c>
      <c r="B4381" t="s">
        <v>957</v>
      </c>
      <c r="I4381" t="s">
        <v>2724</v>
      </c>
      <c r="J4381" s="3">
        <v>-6.5156939999999997E-2</v>
      </c>
      <c r="K4381" s="3">
        <v>-0.35546070000000002</v>
      </c>
      <c r="L4381" s="3">
        <v>0.18977859999999999</v>
      </c>
    </row>
    <row r="4382" spans="1:12" x14ac:dyDescent="0.25">
      <c r="A4382" t="s">
        <v>2721</v>
      </c>
      <c r="B4382" t="s">
        <v>957</v>
      </c>
      <c r="I4382" t="s">
        <v>2722</v>
      </c>
      <c r="J4382" s="3">
        <v>0.30977060000000001</v>
      </c>
      <c r="K4382" s="3">
        <v>1.2806569999999999</v>
      </c>
      <c r="L4382" s="3">
        <v>0.5834104</v>
      </c>
    </row>
    <row r="4383" spans="1:12" x14ac:dyDescent="0.25">
      <c r="A4383" t="s">
        <v>2719</v>
      </c>
      <c r="B4383" t="s">
        <v>2720</v>
      </c>
      <c r="I4383" t="s">
        <v>1657</v>
      </c>
      <c r="J4383" s="3">
        <v>-0.46810960000000001</v>
      </c>
      <c r="K4383" s="3">
        <v>-1.0280309999999999</v>
      </c>
      <c r="L4383" s="3">
        <v>-0.54024380000000005</v>
      </c>
    </row>
    <row r="4384" spans="1:12" x14ac:dyDescent="0.25">
      <c r="A4384" t="s">
        <v>2716</v>
      </c>
      <c r="B4384" t="s">
        <v>2717</v>
      </c>
      <c r="I4384" t="s">
        <v>2718</v>
      </c>
      <c r="J4384" s="3">
        <v>-0.25319570000000002</v>
      </c>
      <c r="K4384" s="3">
        <v>-0.25120609999999999</v>
      </c>
      <c r="L4384" s="3">
        <v>-0.37077329999999997</v>
      </c>
    </row>
    <row r="4385" spans="1:12" x14ac:dyDescent="0.25">
      <c r="A4385" t="s">
        <v>2713</v>
      </c>
      <c r="B4385" t="s">
        <v>2714</v>
      </c>
      <c r="I4385" t="s">
        <v>2715</v>
      </c>
      <c r="J4385" s="3">
        <v>-0.49542409999999998</v>
      </c>
      <c r="K4385" s="3">
        <v>-4.4994939999999997E-2</v>
      </c>
      <c r="L4385" s="3">
        <v>-1.8603939999999999E-2</v>
      </c>
    </row>
    <row r="4386" spans="1:12" x14ac:dyDescent="0.25">
      <c r="A4386" t="s">
        <v>2712</v>
      </c>
      <c r="B4386" t="s">
        <v>957</v>
      </c>
      <c r="I4386" t="s">
        <v>957</v>
      </c>
      <c r="J4386" s="3">
        <v>0.1086966</v>
      </c>
      <c r="K4386" s="3">
        <v>1.3180849999999999E-2</v>
      </c>
      <c r="L4386" s="3">
        <v>1.004567E-2</v>
      </c>
    </row>
    <row r="4387" spans="1:12" x14ac:dyDescent="0.25">
      <c r="A4387" t="s">
        <v>2709</v>
      </c>
      <c r="B4387" t="s">
        <v>2710</v>
      </c>
      <c r="I4387" t="s">
        <v>2711</v>
      </c>
      <c r="J4387" s="3">
        <v>0.56046240000000003</v>
      </c>
      <c r="K4387" s="3">
        <v>0.3938605</v>
      </c>
      <c r="L4387" s="3">
        <v>0.4641207</v>
      </c>
    </row>
    <row r="4388" spans="1:12" x14ac:dyDescent="0.25">
      <c r="A4388" t="s">
        <v>2706</v>
      </c>
      <c r="B4388" t="s">
        <v>2707</v>
      </c>
      <c r="I4388" t="s">
        <v>2708</v>
      </c>
      <c r="J4388" s="3">
        <v>1.0134890000000001</v>
      </c>
      <c r="K4388" s="3">
        <v>1.4183619999999999</v>
      </c>
      <c r="L4388" s="3">
        <v>0.67635310000000004</v>
      </c>
    </row>
    <row r="4389" spans="1:12" x14ac:dyDescent="0.25">
      <c r="A4389" t="s">
        <v>2703</v>
      </c>
      <c r="B4389" t="s">
        <v>2704</v>
      </c>
      <c r="I4389" t="s">
        <v>2705</v>
      </c>
      <c r="J4389" s="3">
        <v>-4.3043860000000003E-2</v>
      </c>
      <c r="K4389" s="3">
        <v>0.44163370000000002</v>
      </c>
      <c r="L4389" s="3">
        <v>0.61537260000000005</v>
      </c>
    </row>
    <row r="4390" spans="1:12" x14ac:dyDescent="0.25">
      <c r="A4390" t="s">
        <v>2701</v>
      </c>
      <c r="B4390" t="s">
        <v>14192</v>
      </c>
      <c r="C4390" t="s">
        <v>14193</v>
      </c>
      <c r="I4390" t="s">
        <v>2702</v>
      </c>
      <c r="J4390" s="3">
        <v>0.50149049999999995</v>
      </c>
      <c r="K4390" s="3">
        <v>0.69540449999999998</v>
      </c>
      <c r="L4390" s="3">
        <v>0.45729330000000001</v>
      </c>
    </row>
    <row r="4391" spans="1:12" x14ac:dyDescent="0.25">
      <c r="A4391" t="s">
        <v>2700</v>
      </c>
      <c r="B4391" t="s">
        <v>957</v>
      </c>
      <c r="I4391" t="s">
        <v>957</v>
      </c>
      <c r="J4391" s="3">
        <v>3.5361280000000002E-2</v>
      </c>
      <c r="K4391" s="3">
        <v>0.46881430000000002</v>
      </c>
      <c r="L4391" s="3">
        <v>8.6591150000000006E-2</v>
      </c>
    </row>
    <row r="4392" spans="1:12" x14ac:dyDescent="0.25">
      <c r="A4392" t="s">
        <v>2697</v>
      </c>
      <c r="B4392" t="s">
        <v>2698</v>
      </c>
      <c r="I4392" t="s">
        <v>2699</v>
      </c>
      <c r="J4392" s="3">
        <v>-2.1723449999999998E-2</v>
      </c>
      <c r="K4392" s="3">
        <v>-0.21317720000000001</v>
      </c>
      <c r="L4392" s="3">
        <v>-0.35436400000000001</v>
      </c>
    </row>
    <row r="4393" spans="1:12" x14ac:dyDescent="0.25">
      <c r="A4393" t="s">
        <v>2694</v>
      </c>
      <c r="B4393" t="s">
        <v>2695</v>
      </c>
      <c r="I4393" t="s">
        <v>2696</v>
      </c>
      <c r="J4393" s="3">
        <v>0.53899180000000002</v>
      </c>
      <c r="K4393" s="3">
        <v>0.83615899999999999</v>
      </c>
      <c r="L4393" s="3">
        <v>0.70397699999999996</v>
      </c>
    </row>
    <row r="4394" spans="1:12" x14ac:dyDescent="0.25">
      <c r="A4394" t="s">
        <v>2691</v>
      </c>
      <c r="B4394" t="s">
        <v>2692</v>
      </c>
      <c r="I4394" t="s">
        <v>2693</v>
      </c>
      <c r="J4394" s="3">
        <v>-0.32568330000000001</v>
      </c>
      <c r="K4394" s="3">
        <v>-0.14935390000000001</v>
      </c>
      <c r="L4394" s="3">
        <v>-0.26482879999999998</v>
      </c>
    </row>
    <row r="4395" spans="1:12" x14ac:dyDescent="0.25">
      <c r="A4395" t="s">
        <v>2688</v>
      </c>
      <c r="B4395" t="s">
        <v>2689</v>
      </c>
      <c r="I4395" t="s">
        <v>2690</v>
      </c>
      <c r="J4395" s="3">
        <v>0.18167810000000001</v>
      </c>
      <c r="K4395" s="3">
        <v>9.2671229999999993E-2</v>
      </c>
      <c r="L4395" s="3">
        <v>0.15968769999999999</v>
      </c>
    </row>
    <row r="4396" spans="1:12" x14ac:dyDescent="0.25">
      <c r="A4396" t="s">
        <v>3756</v>
      </c>
      <c r="B4396" t="s">
        <v>3757</v>
      </c>
      <c r="I4396" t="s">
        <v>2687</v>
      </c>
      <c r="J4396" s="3">
        <v>0.18708749999999999</v>
      </c>
      <c r="K4396" s="3">
        <v>3.8547930000000001E-2</v>
      </c>
      <c r="L4396" s="3">
        <v>0.34409289999999998</v>
      </c>
    </row>
    <row r="4397" spans="1:12" x14ac:dyDescent="0.25">
      <c r="A4397" t="s">
        <v>3753</v>
      </c>
      <c r="B4397" t="s">
        <v>3754</v>
      </c>
      <c r="I4397" t="s">
        <v>3755</v>
      </c>
      <c r="J4397" s="3">
        <v>-6.8321759999999995E-2</v>
      </c>
      <c r="K4397" s="3">
        <v>-0.25605329999999998</v>
      </c>
      <c r="L4397" s="3">
        <v>-0.33025359999999998</v>
      </c>
    </row>
    <row r="4398" spans="1:12" x14ac:dyDescent="0.25">
      <c r="A4398" t="s">
        <v>3750</v>
      </c>
      <c r="B4398" t="s">
        <v>3751</v>
      </c>
      <c r="I4398" t="s">
        <v>3752</v>
      </c>
      <c r="J4398" s="3">
        <v>7.4539849999999998E-3</v>
      </c>
      <c r="K4398" s="3">
        <v>0.1358926</v>
      </c>
      <c r="L4398" s="3">
        <v>-6.4830070000000004E-2</v>
      </c>
    </row>
    <row r="4399" spans="1:12" x14ac:dyDescent="0.25">
      <c r="A4399" t="s">
        <v>3747</v>
      </c>
      <c r="B4399" t="s">
        <v>3748</v>
      </c>
      <c r="I4399" t="s">
        <v>3749</v>
      </c>
      <c r="J4399" s="3">
        <v>-2.0024509999999999E-2</v>
      </c>
      <c r="K4399" s="3">
        <v>-0.29172769999999998</v>
      </c>
      <c r="L4399" s="3">
        <v>-0.30410009999999998</v>
      </c>
    </row>
    <row r="4400" spans="1:12" x14ac:dyDescent="0.25">
      <c r="A4400" t="s">
        <v>3744</v>
      </c>
      <c r="B4400" t="s">
        <v>3745</v>
      </c>
      <c r="I4400" t="s">
        <v>3746</v>
      </c>
      <c r="J4400" s="3">
        <v>-0.1405911</v>
      </c>
      <c r="K4400" s="3">
        <v>-0.53181290000000003</v>
      </c>
      <c r="L4400" s="3">
        <v>-0.25212040000000002</v>
      </c>
    </row>
    <row r="4401" spans="1:12" x14ac:dyDescent="0.25">
      <c r="A4401" t="s">
        <v>3741</v>
      </c>
      <c r="B4401" t="s">
        <v>3742</v>
      </c>
      <c r="I4401" t="s">
        <v>3743</v>
      </c>
      <c r="J4401" s="3">
        <v>-0.55523900000000004</v>
      </c>
      <c r="K4401" s="3">
        <v>-0.56941129999999995</v>
      </c>
      <c r="L4401" s="3">
        <v>0.1191478</v>
      </c>
    </row>
    <row r="4402" spans="1:12" x14ac:dyDescent="0.25">
      <c r="A4402" t="s">
        <v>3738</v>
      </c>
      <c r="B4402" t="s">
        <v>3739</v>
      </c>
      <c r="I4402" t="s">
        <v>3740</v>
      </c>
      <c r="J4402" s="3">
        <v>0.3209766</v>
      </c>
      <c r="K4402" s="3">
        <v>0.40297450000000001</v>
      </c>
      <c r="L4402" s="3">
        <v>0.31216939999999999</v>
      </c>
    </row>
    <row r="4403" spans="1:12" x14ac:dyDescent="0.25">
      <c r="A4403" t="s">
        <v>3735</v>
      </c>
      <c r="B4403" t="s">
        <v>3736</v>
      </c>
      <c r="I4403" t="s">
        <v>3737</v>
      </c>
      <c r="J4403" s="3">
        <v>-0.4412258</v>
      </c>
      <c r="K4403" s="3">
        <v>-0.97586799999999996</v>
      </c>
      <c r="L4403" s="3">
        <v>-0.14517430000000001</v>
      </c>
    </row>
    <row r="4404" spans="1:12" x14ac:dyDescent="0.25">
      <c r="A4404" t="s">
        <v>3733</v>
      </c>
      <c r="B4404" t="s">
        <v>957</v>
      </c>
      <c r="I4404" t="s">
        <v>3734</v>
      </c>
      <c r="J4404" s="3">
        <v>-0.26578390000000002</v>
      </c>
      <c r="K4404" s="3">
        <v>-0.12244530000000001</v>
      </c>
      <c r="L4404" s="3">
        <v>-0.453235</v>
      </c>
    </row>
    <row r="4405" spans="1:12" x14ac:dyDescent="0.25">
      <c r="A4405" t="s">
        <v>3730</v>
      </c>
      <c r="B4405" t="s">
        <v>3731</v>
      </c>
      <c r="I4405" t="s">
        <v>3732</v>
      </c>
      <c r="J4405" s="3">
        <v>-0.29108040000000002</v>
      </c>
      <c r="K4405" s="3">
        <v>-0.67063660000000003</v>
      </c>
      <c r="L4405" s="3">
        <v>-0.3550547</v>
      </c>
    </row>
    <row r="4406" spans="1:12" x14ac:dyDescent="0.25">
      <c r="A4406" t="s">
        <v>3727</v>
      </c>
      <c r="B4406" t="s">
        <v>3728</v>
      </c>
      <c r="I4406" t="s">
        <v>3729</v>
      </c>
      <c r="J4406" s="3">
        <v>-0.1653579</v>
      </c>
      <c r="K4406" s="3">
        <v>-0.4944134</v>
      </c>
      <c r="L4406" s="3">
        <v>-4.471021E-2</v>
      </c>
    </row>
    <row r="4407" spans="1:12" x14ac:dyDescent="0.25">
      <c r="A4407" t="s">
        <v>3724</v>
      </c>
      <c r="B4407" t="s">
        <v>3725</v>
      </c>
      <c r="I4407" t="s">
        <v>3726</v>
      </c>
      <c r="J4407" s="3">
        <v>-0.39200000000000002</v>
      </c>
      <c r="K4407" s="3">
        <v>-4.0148910000000003E-2</v>
      </c>
      <c r="L4407" s="3">
        <v>-0.30303910000000001</v>
      </c>
    </row>
    <row r="4408" spans="1:12" x14ac:dyDescent="0.25">
      <c r="A4408" t="s">
        <v>3721</v>
      </c>
      <c r="B4408" t="s">
        <v>3722</v>
      </c>
      <c r="I4408" t="s">
        <v>3723</v>
      </c>
      <c r="J4408" s="3">
        <v>-0.16646900000000001</v>
      </c>
      <c r="K4408" s="3">
        <v>-0.45487630000000001</v>
      </c>
      <c r="L4408" s="3">
        <v>9.6125180000000005E-2</v>
      </c>
    </row>
    <row r="4409" spans="1:12" x14ac:dyDescent="0.25">
      <c r="A4409" t="s">
        <v>3718</v>
      </c>
      <c r="B4409" t="s">
        <v>3719</v>
      </c>
      <c r="I4409" t="s">
        <v>3720</v>
      </c>
      <c r="J4409" s="3">
        <v>-0.56900589999999995</v>
      </c>
      <c r="K4409" s="3">
        <v>-0.73613620000000002</v>
      </c>
      <c r="L4409" s="3">
        <v>-0.70348299999999997</v>
      </c>
    </row>
    <row r="4410" spans="1:12" x14ac:dyDescent="0.25">
      <c r="A4410" t="s">
        <v>3717</v>
      </c>
      <c r="B4410" t="s">
        <v>957</v>
      </c>
      <c r="I4410" t="s">
        <v>455</v>
      </c>
      <c r="J4410" s="3">
        <v>0.19659260000000001</v>
      </c>
      <c r="K4410" s="3">
        <v>0.45778629999999998</v>
      </c>
      <c r="L4410" s="3">
        <v>0.54030889999999998</v>
      </c>
    </row>
    <row r="4411" spans="1:12" x14ac:dyDescent="0.25">
      <c r="A4411" t="s">
        <v>3714</v>
      </c>
      <c r="B4411" t="s">
        <v>3715</v>
      </c>
      <c r="I4411" t="s">
        <v>3716</v>
      </c>
      <c r="J4411" s="3">
        <v>-0.17378689999999999</v>
      </c>
      <c r="K4411" s="3">
        <v>-0.78724499999999997</v>
      </c>
      <c r="L4411" s="3">
        <v>-0.1109356</v>
      </c>
    </row>
    <row r="4412" spans="1:12" x14ac:dyDescent="0.25">
      <c r="A4412" t="s">
        <v>3711</v>
      </c>
      <c r="B4412" t="s">
        <v>3712</v>
      </c>
      <c r="I4412" t="s">
        <v>3713</v>
      </c>
      <c r="J4412" s="3">
        <v>-0.51745280000000005</v>
      </c>
      <c r="K4412" s="3">
        <v>-1.270276</v>
      </c>
      <c r="L4412" s="3">
        <v>-0.48062880000000002</v>
      </c>
    </row>
    <row r="4413" spans="1:12" x14ac:dyDescent="0.25">
      <c r="A4413" t="s">
        <v>3708</v>
      </c>
      <c r="B4413" t="s">
        <v>3709</v>
      </c>
      <c r="I4413" t="s">
        <v>3710</v>
      </c>
      <c r="J4413" s="3">
        <v>-1.6745360000000001E-2</v>
      </c>
      <c r="K4413" s="3">
        <v>-0.2490105</v>
      </c>
      <c r="L4413" s="3">
        <v>3.3102300000000001E-4</v>
      </c>
    </row>
    <row r="4414" spans="1:12" x14ac:dyDescent="0.25">
      <c r="A4414" t="s">
        <v>3705</v>
      </c>
      <c r="B4414" t="s">
        <v>3706</v>
      </c>
      <c r="I4414" t="s">
        <v>3707</v>
      </c>
      <c r="J4414" s="3">
        <v>0.3226019</v>
      </c>
      <c r="K4414" s="3">
        <v>0.5126849</v>
      </c>
      <c r="L4414" s="3">
        <v>0.35000550000000002</v>
      </c>
    </row>
    <row r="4415" spans="1:12" x14ac:dyDescent="0.25">
      <c r="A4415" t="s">
        <v>3704</v>
      </c>
      <c r="B4415" t="s">
        <v>957</v>
      </c>
      <c r="I4415" t="s">
        <v>1059</v>
      </c>
      <c r="J4415" s="3">
        <v>0.3598905</v>
      </c>
      <c r="K4415" s="3">
        <v>0.81613630000000004</v>
      </c>
      <c r="L4415" s="3">
        <v>0.54859749999999996</v>
      </c>
    </row>
    <row r="4416" spans="1:12" x14ac:dyDescent="0.25">
      <c r="A4416" t="s">
        <v>3701</v>
      </c>
      <c r="B4416" t="s">
        <v>3702</v>
      </c>
      <c r="I4416" t="s">
        <v>3703</v>
      </c>
      <c r="J4416" s="3">
        <v>0.1772801</v>
      </c>
      <c r="K4416" s="3">
        <v>-0.59640539999999997</v>
      </c>
      <c r="L4416" s="3">
        <v>0.16109689999999999</v>
      </c>
    </row>
    <row r="4417" spans="1:12" x14ac:dyDescent="0.25">
      <c r="A4417" t="s">
        <v>2636</v>
      </c>
      <c r="B4417" t="s">
        <v>2637</v>
      </c>
      <c r="I4417" t="s">
        <v>3700</v>
      </c>
      <c r="J4417" s="3">
        <v>-5.8717229999999997E-3</v>
      </c>
      <c r="K4417" s="3">
        <v>-0.37095929999999999</v>
      </c>
      <c r="L4417" s="3">
        <v>-0.21425140000000001</v>
      </c>
    </row>
    <row r="4418" spans="1:12" x14ac:dyDescent="0.25">
      <c r="A4418" t="s">
        <v>2635</v>
      </c>
      <c r="B4418" t="s">
        <v>957</v>
      </c>
      <c r="I4418" t="s">
        <v>455</v>
      </c>
      <c r="J4418" s="3">
        <v>0.45473429999999998</v>
      </c>
      <c r="K4418" s="3">
        <v>0.72987769999999996</v>
      </c>
      <c r="L4418" s="3">
        <v>0.2902747</v>
      </c>
    </row>
    <row r="4419" spans="1:12" x14ac:dyDescent="0.25">
      <c r="A4419" t="s">
        <v>2632</v>
      </c>
      <c r="B4419" t="s">
        <v>2633</v>
      </c>
      <c r="I4419" t="s">
        <v>2634</v>
      </c>
      <c r="J4419" s="3">
        <v>0.62506539999999999</v>
      </c>
      <c r="K4419" s="3">
        <v>-0.1171054</v>
      </c>
      <c r="L4419" s="3">
        <v>0.58099310000000004</v>
      </c>
    </row>
    <row r="4420" spans="1:12" x14ac:dyDescent="0.25">
      <c r="A4420" t="s">
        <v>2629</v>
      </c>
      <c r="B4420" t="s">
        <v>2630</v>
      </c>
      <c r="I4420" t="s">
        <v>2631</v>
      </c>
      <c r="J4420" s="3">
        <v>-0.57310119999999998</v>
      </c>
      <c r="K4420" s="3">
        <v>-0.96977139999999995</v>
      </c>
      <c r="L4420" s="3">
        <v>-3.814422E-2</v>
      </c>
    </row>
    <row r="4421" spans="1:12" x14ac:dyDescent="0.25">
      <c r="A4421" t="s">
        <v>2628</v>
      </c>
      <c r="B4421" t="s">
        <v>957</v>
      </c>
      <c r="I4421" t="s">
        <v>453</v>
      </c>
      <c r="J4421" s="3">
        <v>1.3242149999999999E-2</v>
      </c>
      <c r="K4421" s="3">
        <v>1.221851E-2</v>
      </c>
      <c r="L4421" s="3">
        <v>-4.6200560000000002E-2</v>
      </c>
    </row>
    <row r="4422" spans="1:12" x14ac:dyDescent="0.25">
      <c r="A4422" t="s">
        <v>2625</v>
      </c>
      <c r="B4422" t="s">
        <v>2626</v>
      </c>
      <c r="I4422" t="s">
        <v>2627</v>
      </c>
      <c r="J4422" s="3">
        <v>-0.4259406</v>
      </c>
      <c r="K4422" s="3">
        <v>-2.899743</v>
      </c>
      <c r="L4422" s="3">
        <v>4.63446E-2</v>
      </c>
    </row>
    <row r="4423" spans="1:12" x14ac:dyDescent="0.25">
      <c r="A4423" t="s">
        <v>3673</v>
      </c>
      <c r="B4423" t="s">
        <v>3674</v>
      </c>
      <c r="I4423" t="s">
        <v>2624</v>
      </c>
      <c r="J4423" s="3">
        <v>-6.5268270000000003E-2</v>
      </c>
      <c r="K4423" s="3">
        <v>-0.73469289999999998</v>
      </c>
      <c r="L4423" s="3">
        <v>-0.2460531</v>
      </c>
    </row>
    <row r="4424" spans="1:12" x14ac:dyDescent="0.25">
      <c r="A4424" t="s">
        <v>3672</v>
      </c>
      <c r="B4424" t="s">
        <v>957</v>
      </c>
      <c r="I4424" t="s">
        <v>455</v>
      </c>
      <c r="J4424" s="3">
        <v>-0.17574239999999999</v>
      </c>
      <c r="K4424" s="3">
        <v>-0.75643550000000004</v>
      </c>
      <c r="L4424" s="3">
        <v>-0.15303030000000001</v>
      </c>
    </row>
    <row r="4425" spans="1:12" x14ac:dyDescent="0.25">
      <c r="A4425" t="s">
        <v>3669</v>
      </c>
      <c r="B4425" t="s">
        <v>3670</v>
      </c>
      <c r="I4425" t="s">
        <v>3671</v>
      </c>
      <c r="J4425" s="3">
        <v>-0.7010516</v>
      </c>
      <c r="K4425" s="3">
        <v>-0.37071080000000001</v>
      </c>
      <c r="L4425" s="3">
        <v>-0.57983949999999995</v>
      </c>
    </row>
    <row r="4426" spans="1:12" x14ac:dyDescent="0.25">
      <c r="A4426" t="s">
        <v>3666</v>
      </c>
      <c r="B4426" t="s">
        <v>3667</v>
      </c>
      <c r="I4426" t="s">
        <v>3668</v>
      </c>
      <c r="J4426" s="3">
        <v>0.23773079999999999</v>
      </c>
      <c r="K4426" s="3">
        <v>-0.71058339999999998</v>
      </c>
      <c r="L4426" s="3">
        <v>0.56173779999999995</v>
      </c>
    </row>
    <row r="4427" spans="1:12" x14ac:dyDescent="0.25">
      <c r="A4427" t="s">
        <v>3663</v>
      </c>
      <c r="B4427" t="s">
        <v>3664</v>
      </c>
      <c r="I4427" t="s">
        <v>3665</v>
      </c>
      <c r="J4427" s="3">
        <v>-0.27444600000000002</v>
      </c>
      <c r="K4427" s="3">
        <v>-1.1295980000000001</v>
      </c>
      <c r="L4427" s="3">
        <v>-0.58407030000000004</v>
      </c>
    </row>
    <row r="4428" spans="1:12" x14ac:dyDescent="0.25">
      <c r="A4428" t="s">
        <v>3660</v>
      </c>
      <c r="B4428" t="s">
        <v>3661</v>
      </c>
      <c r="I4428" t="s">
        <v>3662</v>
      </c>
      <c r="J4428" s="3">
        <v>-0.1286495</v>
      </c>
      <c r="K4428" s="3">
        <v>-0.40285749999999998</v>
      </c>
      <c r="L4428" s="3">
        <v>-0.34208349999999998</v>
      </c>
    </row>
    <row r="4429" spans="1:12" x14ac:dyDescent="0.25">
      <c r="A4429" t="s">
        <v>3657</v>
      </c>
      <c r="B4429" t="s">
        <v>3658</v>
      </c>
      <c r="I4429" t="s">
        <v>3659</v>
      </c>
      <c r="J4429" s="3">
        <v>0.61802349999999995</v>
      </c>
      <c r="K4429" s="3">
        <v>0.9317974</v>
      </c>
      <c r="L4429" s="3">
        <v>0.31880900000000001</v>
      </c>
    </row>
    <row r="4430" spans="1:12" x14ac:dyDescent="0.25">
      <c r="A4430" t="s">
        <v>3654</v>
      </c>
      <c r="B4430" t="s">
        <v>3655</v>
      </c>
      <c r="I4430" t="s">
        <v>3656</v>
      </c>
      <c r="J4430" s="3">
        <v>-8.8921699999999998E-4</v>
      </c>
      <c r="K4430" s="3">
        <v>-0.66586000000000001</v>
      </c>
      <c r="L4430" s="3">
        <v>4.1678169999999999E-3</v>
      </c>
    </row>
    <row r="4431" spans="1:12" x14ac:dyDescent="0.25">
      <c r="A4431" t="s">
        <v>3653</v>
      </c>
      <c r="B4431" t="s">
        <v>957</v>
      </c>
      <c r="I4431" t="s">
        <v>455</v>
      </c>
      <c r="J4431" s="3">
        <v>9.9868940000000003E-2</v>
      </c>
      <c r="K4431" s="3">
        <v>-9.6675520000000001E-2</v>
      </c>
      <c r="L4431" s="3">
        <v>-5.814097E-2</v>
      </c>
    </row>
    <row r="4432" spans="1:12" x14ac:dyDescent="0.25">
      <c r="A4432" t="s">
        <v>3650</v>
      </c>
      <c r="B4432" t="s">
        <v>3651</v>
      </c>
      <c r="I4432" t="s">
        <v>3652</v>
      </c>
      <c r="J4432" s="3">
        <v>-6.740053E-2</v>
      </c>
      <c r="K4432" s="3">
        <v>-0.48322949999999998</v>
      </c>
      <c r="L4432" s="3">
        <v>2.4408559999999999E-2</v>
      </c>
    </row>
    <row r="4433" spans="1:12" x14ac:dyDescent="0.25">
      <c r="A4433" t="s">
        <v>3647</v>
      </c>
      <c r="B4433" t="s">
        <v>3648</v>
      </c>
      <c r="I4433" t="s">
        <v>3649</v>
      </c>
      <c r="J4433" s="3">
        <v>0.22324830000000001</v>
      </c>
      <c r="K4433" s="3">
        <v>0.85998110000000005</v>
      </c>
      <c r="L4433" s="3">
        <v>0.27112439999999999</v>
      </c>
    </row>
    <row r="4434" spans="1:12" x14ac:dyDescent="0.25">
      <c r="A4434" t="s">
        <v>3644</v>
      </c>
      <c r="B4434" t="s">
        <v>3645</v>
      </c>
      <c r="I4434" t="s">
        <v>3646</v>
      </c>
      <c r="J4434" s="3">
        <v>0.523424</v>
      </c>
      <c r="K4434" s="3">
        <v>0.50309530000000002</v>
      </c>
      <c r="L4434" s="3">
        <v>-0.1500908</v>
      </c>
    </row>
    <row r="4435" spans="1:12" x14ac:dyDescent="0.25">
      <c r="A4435" t="s">
        <v>3641</v>
      </c>
      <c r="B4435" t="s">
        <v>3642</v>
      </c>
      <c r="I4435" t="s">
        <v>3643</v>
      </c>
      <c r="J4435" s="3">
        <v>8.5343600000000006E-2</v>
      </c>
      <c r="K4435" s="3">
        <v>-2.5076230000000001E-2</v>
      </c>
      <c r="L4435" s="3">
        <v>0.14985329999999999</v>
      </c>
    </row>
    <row r="4436" spans="1:12" x14ac:dyDescent="0.25">
      <c r="A4436" t="s">
        <v>3640</v>
      </c>
      <c r="B4436" t="s">
        <v>957</v>
      </c>
      <c r="I4436" t="s">
        <v>455</v>
      </c>
      <c r="J4436" s="3">
        <v>0.88344400000000001</v>
      </c>
      <c r="K4436" s="3">
        <v>0.52124369999999998</v>
      </c>
      <c r="L4436" s="3">
        <v>0.50176710000000002</v>
      </c>
    </row>
    <row r="4437" spans="1:12" x14ac:dyDescent="0.25">
      <c r="A4437" t="s">
        <v>3637</v>
      </c>
      <c r="B4437" t="s">
        <v>3638</v>
      </c>
      <c r="I4437" t="s">
        <v>3639</v>
      </c>
      <c r="J4437" s="3">
        <v>-8.3654419999999993E-2</v>
      </c>
      <c r="K4437" s="3">
        <v>-0.12916859999999999</v>
      </c>
      <c r="L4437" s="3">
        <v>-0.3309029</v>
      </c>
    </row>
    <row r="4438" spans="1:12" x14ac:dyDescent="0.25">
      <c r="A4438" t="s">
        <v>3634</v>
      </c>
      <c r="B4438" t="s">
        <v>3635</v>
      </c>
      <c r="I4438" t="s">
        <v>3636</v>
      </c>
      <c r="J4438" s="3">
        <v>-0.41080489999999997</v>
      </c>
      <c r="K4438" s="3">
        <v>-0.76398569999999999</v>
      </c>
      <c r="L4438" s="3">
        <v>-0.55698380000000003</v>
      </c>
    </row>
    <row r="4439" spans="1:12" x14ac:dyDescent="0.25">
      <c r="A4439" t="s">
        <v>3631</v>
      </c>
      <c r="B4439" t="s">
        <v>3632</v>
      </c>
      <c r="I4439" t="s">
        <v>3633</v>
      </c>
      <c r="J4439" s="3">
        <v>-0.1986233</v>
      </c>
      <c r="K4439" s="3">
        <v>-1.063185</v>
      </c>
      <c r="L4439" s="3">
        <v>-0.2383779</v>
      </c>
    </row>
    <row r="4440" spans="1:12" x14ac:dyDescent="0.25">
      <c r="A4440" t="s">
        <v>3628</v>
      </c>
      <c r="B4440" t="s">
        <v>3629</v>
      </c>
      <c r="I4440" t="s">
        <v>3630</v>
      </c>
      <c r="J4440" s="3">
        <v>-0.59594919999999996</v>
      </c>
      <c r="K4440" s="3">
        <v>-0.79361950000000003</v>
      </c>
      <c r="L4440" s="3">
        <v>-0.75103980000000004</v>
      </c>
    </row>
    <row r="4441" spans="1:12" x14ac:dyDescent="0.25">
      <c r="A4441" t="s">
        <v>3625</v>
      </c>
      <c r="B4441" t="s">
        <v>3626</v>
      </c>
      <c r="I4441" t="s">
        <v>3627</v>
      </c>
      <c r="J4441" s="3">
        <v>-0.2284446</v>
      </c>
      <c r="K4441" s="3">
        <v>-0.82298550000000004</v>
      </c>
      <c r="L4441" s="3">
        <v>-0.33274100000000001</v>
      </c>
    </row>
    <row r="4442" spans="1:12" x14ac:dyDescent="0.25">
      <c r="A4442" t="s">
        <v>3624</v>
      </c>
      <c r="B4442" t="s">
        <v>957</v>
      </c>
      <c r="I4442" t="s">
        <v>455</v>
      </c>
      <c r="J4442" s="3">
        <v>-0.88644020000000001</v>
      </c>
      <c r="K4442" s="3">
        <v>-1.5004459999999999</v>
      </c>
      <c r="L4442" s="3">
        <v>-0.52747160000000004</v>
      </c>
    </row>
    <row r="4443" spans="1:12" x14ac:dyDescent="0.25">
      <c r="A4443" t="s">
        <v>3622</v>
      </c>
      <c r="B4443" t="s">
        <v>957</v>
      </c>
      <c r="I4443" t="s">
        <v>3623</v>
      </c>
      <c r="J4443" s="3">
        <v>-4.3716140000000001E-2</v>
      </c>
      <c r="K4443" s="3">
        <v>1.3628090000000001E-2</v>
      </c>
      <c r="L4443" s="3">
        <v>-0.25551020000000002</v>
      </c>
    </row>
    <row r="4444" spans="1:12" x14ac:dyDescent="0.25">
      <c r="A4444" t="s">
        <v>2576</v>
      </c>
      <c r="B4444" t="s">
        <v>2577</v>
      </c>
      <c r="I4444" t="s">
        <v>3621</v>
      </c>
      <c r="J4444" s="3">
        <v>-0.1160897</v>
      </c>
      <c r="K4444" s="3">
        <v>-4.3594849999999997E-2</v>
      </c>
      <c r="L4444" s="3">
        <v>-0.23005320000000001</v>
      </c>
    </row>
    <row r="4445" spans="1:12" x14ac:dyDescent="0.25">
      <c r="A4445" t="s">
        <v>2573</v>
      </c>
      <c r="B4445" t="s">
        <v>2574</v>
      </c>
      <c r="I4445" t="s">
        <v>2575</v>
      </c>
      <c r="J4445" s="3">
        <v>-0.38459260000000001</v>
      </c>
      <c r="K4445" s="3">
        <v>0.1236498</v>
      </c>
      <c r="L4445" s="3">
        <v>-0.36981989999999998</v>
      </c>
    </row>
    <row r="4446" spans="1:12" x14ac:dyDescent="0.25">
      <c r="A4446" t="s">
        <v>2570</v>
      </c>
      <c r="B4446" t="s">
        <v>2571</v>
      </c>
      <c r="I4446" t="s">
        <v>2572</v>
      </c>
      <c r="J4446" s="3">
        <v>0.3415957</v>
      </c>
      <c r="K4446" s="3">
        <v>0.76625299999999996</v>
      </c>
      <c r="L4446" s="3">
        <v>0.49304520000000002</v>
      </c>
    </row>
    <row r="4447" spans="1:12" x14ac:dyDescent="0.25">
      <c r="A4447" t="s">
        <v>2567</v>
      </c>
      <c r="B4447" t="s">
        <v>2568</v>
      </c>
      <c r="I4447" t="s">
        <v>2569</v>
      </c>
      <c r="J4447" s="3">
        <v>0.41831629999999997</v>
      </c>
      <c r="K4447" s="3">
        <v>0.32374969999999997</v>
      </c>
      <c r="L4447" s="3">
        <v>0.37187179999999997</v>
      </c>
    </row>
    <row r="4448" spans="1:12" x14ac:dyDescent="0.25">
      <c r="A4448" t="s">
        <v>2564</v>
      </c>
      <c r="B4448" t="s">
        <v>2565</v>
      </c>
      <c r="I4448" t="s">
        <v>2566</v>
      </c>
      <c r="J4448" s="3">
        <v>0.25236429999999999</v>
      </c>
      <c r="K4448" s="3">
        <v>0.74040680000000003</v>
      </c>
      <c r="L4448" s="3">
        <v>0.45939960000000002</v>
      </c>
    </row>
    <row r="4449" spans="1:12" x14ac:dyDescent="0.25">
      <c r="A4449" t="s">
        <v>2561</v>
      </c>
      <c r="B4449" t="s">
        <v>2562</v>
      </c>
      <c r="I4449" t="s">
        <v>2563</v>
      </c>
      <c r="J4449" s="3">
        <v>-0.79879699999999998</v>
      </c>
      <c r="K4449" s="3">
        <v>-0.90219700000000003</v>
      </c>
      <c r="L4449" s="3">
        <v>-0.284443</v>
      </c>
    </row>
    <row r="4450" spans="1:12" x14ac:dyDescent="0.25">
      <c r="A4450" t="s">
        <v>2558</v>
      </c>
      <c r="B4450" t="s">
        <v>2559</v>
      </c>
      <c r="I4450" t="s">
        <v>2560</v>
      </c>
      <c r="J4450" s="3">
        <v>-0.50321769999999999</v>
      </c>
      <c r="K4450" s="3">
        <v>-0.24324950000000001</v>
      </c>
      <c r="L4450" s="3">
        <v>-5.8983120000000002E-3</v>
      </c>
    </row>
    <row r="4451" spans="1:12" x14ac:dyDescent="0.25">
      <c r="A4451" t="s">
        <v>2557</v>
      </c>
      <c r="B4451" t="s">
        <v>957</v>
      </c>
      <c r="I4451" t="s">
        <v>156</v>
      </c>
      <c r="J4451" s="3">
        <v>-0.1174048</v>
      </c>
      <c r="K4451" s="3">
        <v>0.47078900000000001</v>
      </c>
      <c r="L4451" s="3">
        <v>7.470504E-2</v>
      </c>
    </row>
    <row r="4452" spans="1:12" x14ac:dyDescent="0.25">
      <c r="A4452" t="s">
        <v>2554</v>
      </c>
      <c r="B4452" t="s">
        <v>2555</v>
      </c>
      <c r="I4452" t="s">
        <v>2556</v>
      </c>
      <c r="J4452" s="3">
        <v>-0.52385380000000004</v>
      </c>
      <c r="K4452" s="3">
        <v>-0.45121800000000001</v>
      </c>
      <c r="L4452" s="3">
        <v>-0.4026902</v>
      </c>
    </row>
    <row r="4453" spans="1:12" x14ac:dyDescent="0.25">
      <c r="A4453" t="s">
        <v>2551</v>
      </c>
      <c r="B4453" t="s">
        <v>2552</v>
      </c>
      <c r="I4453" t="s">
        <v>2553</v>
      </c>
      <c r="J4453" s="3">
        <v>-6.0169479999999997E-2</v>
      </c>
      <c r="K4453" s="3">
        <v>0.1101984</v>
      </c>
      <c r="L4453" s="3">
        <v>5.5704789999999997E-2</v>
      </c>
    </row>
    <row r="4454" spans="1:12" x14ac:dyDescent="0.25">
      <c r="A4454" t="s">
        <v>2548</v>
      </c>
      <c r="B4454" t="s">
        <v>2549</v>
      </c>
      <c r="I4454" t="s">
        <v>2550</v>
      </c>
      <c r="J4454" s="3">
        <v>-0.4831995</v>
      </c>
      <c r="K4454" s="3">
        <v>-1.011614</v>
      </c>
      <c r="L4454" s="3">
        <v>-4.2321399999999999E-4</v>
      </c>
    </row>
    <row r="4455" spans="1:12" x14ac:dyDescent="0.25">
      <c r="A4455" t="s">
        <v>2547</v>
      </c>
      <c r="B4455" t="s">
        <v>957</v>
      </c>
      <c r="I4455" t="s">
        <v>957</v>
      </c>
      <c r="J4455" s="3">
        <v>-0.65093789999999996</v>
      </c>
      <c r="K4455" s="3">
        <v>0.17335049999999999</v>
      </c>
      <c r="L4455" s="3">
        <v>-0.167934</v>
      </c>
    </row>
    <row r="4456" spans="1:12" x14ac:dyDescent="0.25">
      <c r="A4456" t="s">
        <v>2544</v>
      </c>
      <c r="B4456" t="s">
        <v>2545</v>
      </c>
      <c r="I4456" t="s">
        <v>2546</v>
      </c>
      <c r="J4456" s="3">
        <v>-4.8710040000000003E-2</v>
      </c>
      <c r="K4456" s="3">
        <v>6.2692689999999995E-2</v>
      </c>
      <c r="L4456" s="3">
        <v>0.1011167</v>
      </c>
    </row>
    <row r="4457" spans="1:12" x14ac:dyDescent="0.25">
      <c r="A4457" t="s">
        <v>2541</v>
      </c>
      <c r="B4457" t="s">
        <v>2542</v>
      </c>
      <c r="I4457" t="s">
        <v>2543</v>
      </c>
      <c r="J4457" s="3">
        <v>-0.16451479999999999</v>
      </c>
      <c r="K4457" s="3">
        <v>-0.28693210000000002</v>
      </c>
      <c r="L4457" s="3">
        <v>0.1962274</v>
      </c>
    </row>
    <row r="4458" spans="1:12" x14ac:dyDescent="0.25">
      <c r="A4458" t="s">
        <v>2538</v>
      </c>
      <c r="B4458" t="s">
        <v>2539</v>
      </c>
      <c r="I4458" t="s">
        <v>2540</v>
      </c>
      <c r="J4458" s="3">
        <v>-0.63918160000000002</v>
      </c>
      <c r="K4458" s="3">
        <v>-0.95057349999999996</v>
      </c>
      <c r="L4458" s="3">
        <v>-0.72550990000000004</v>
      </c>
    </row>
    <row r="4459" spans="1:12" x14ac:dyDescent="0.25">
      <c r="A4459" t="s">
        <v>2535</v>
      </c>
      <c r="B4459" t="s">
        <v>2536</v>
      </c>
      <c r="I4459" t="s">
        <v>2537</v>
      </c>
      <c r="J4459" s="3">
        <v>0.31175530000000001</v>
      </c>
      <c r="K4459" s="3">
        <v>0.22113150000000001</v>
      </c>
      <c r="L4459" s="3">
        <v>0.29018519999999998</v>
      </c>
    </row>
    <row r="4460" spans="1:12" x14ac:dyDescent="0.25">
      <c r="A4460" t="s">
        <v>2533</v>
      </c>
      <c r="B4460" t="s">
        <v>957</v>
      </c>
      <c r="I4460" t="s">
        <v>2534</v>
      </c>
      <c r="J4460" s="3">
        <v>-0.1318349</v>
      </c>
      <c r="K4460" s="3">
        <v>-0.70504579999999994</v>
      </c>
      <c r="L4460" s="3">
        <v>0.28796379999999999</v>
      </c>
    </row>
    <row r="4461" spans="1:12" x14ac:dyDescent="0.25">
      <c r="A4461" t="s">
        <v>2530</v>
      </c>
      <c r="B4461" t="s">
        <v>2531</v>
      </c>
      <c r="I4461" t="s">
        <v>2532</v>
      </c>
      <c r="J4461" s="3">
        <v>-0.20764650000000001</v>
      </c>
      <c r="K4461" s="3">
        <v>-0.69408879999999995</v>
      </c>
      <c r="L4461" s="3">
        <v>-0.17538290000000001</v>
      </c>
    </row>
    <row r="4462" spans="1:12" x14ac:dyDescent="0.25">
      <c r="A4462" t="s">
        <v>2527</v>
      </c>
      <c r="B4462" t="s">
        <v>2528</v>
      </c>
      <c r="I4462" t="s">
        <v>2529</v>
      </c>
      <c r="J4462" s="3">
        <v>0.47889989999999999</v>
      </c>
      <c r="K4462" s="3">
        <v>1.033298</v>
      </c>
      <c r="L4462" s="3">
        <v>0.26563209999999998</v>
      </c>
    </row>
    <row r="4463" spans="1:12" x14ac:dyDescent="0.25">
      <c r="A4463" t="s">
        <v>2524</v>
      </c>
      <c r="B4463" t="s">
        <v>2525</v>
      </c>
      <c r="I4463" t="s">
        <v>2526</v>
      </c>
      <c r="J4463" s="3">
        <v>-0.15044109999999999</v>
      </c>
      <c r="K4463" s="3">
        <v>0.53345419999999999</v>
      </c>
      <c r="L4463" s="3">
        <v>0.1043063</v>
      </c>
    </row>
    <row r="4464" spans="1:12" x14ac:dyDescent="0.25">
      <c r="A4464" t="s">
        <v>2523</v>
      </c>
      <c r="B4464" t="s">
        <v>957</v>
      </c>
      <c r="I4464" t="s">
        <v>455</v>
      </c>
      <c r="J4464" s="3">
        <v>3.4669409999999998E-2</v>
      </c>
      <c r="K4464" s="3">
        <v>-7.5628870000000001E-2</v>
      </c>
      <c r="L4464" s="3">
        <v>-0.2166189</v>
      </c>
    </row>
    <row r="4465" spans="1:12" x14ac:dyDescent="0.25">
      <c r="A4465" t="s">
        <v>2520</v>
      </c>
      <c r="B4465" t="s">
        <v>2521</v>
      </c>
      <c r="I4465" t="s">
        <v>2522</v>
      </c>
      <c r="J4465" s="3">
        <v>1.060492</v>
      </c>
      <c r="K4465" s="3">
        <v>1.328082</v>
      </c>
      <c r="L4465" s="3">
        <v>1.2336100000000001</v>
      </c>
    </row>
    <row r="4466" spans="1:12" x14ac:dyDescent="0.25">
      <c r="A4466" t="s">
        <v>2519</v>
      </c>
      <c r="B4466" t="s">
        <v>957</v>
      </c>
      <c r="I4466" t="s">
        <v>1207</v>
      </c>
      <c r="J4466" s="3">
        <v>0.33318530000000002</v>
      </c>
      <c r="K4466" s="3">
        <v>2.853963E-2</v>
      </c>
      <c r="L4466" s="3">
        <v>-0.1645325</v>
      </c>
    </row>
    <row r="4467" spans="1:12" x14ac:dyDescent="0.25">
      <c r="A4467" t="s">
        <v>2518</v>
      </c>
      <c r="B4467" t="s">
        <v>957</v>
      </c>
      <c r="I4467" t="s">
        <v>455</v>
      </c>
      <c r="J4467" s="3">
        <v>0.52849279999999998</v>
      </c>
      <c r="K4467" s="3">
        <v>0.86058950000000001</v>
      </c>
      <c r="L4467" s="3">
        <v>0.40762320000000002</v>
      </c>
    </row>
    <row r="4468" spans="1:12" x14ac:dyDescent="0.25">
      <c r="A4468" t="s">
        <v>2515</v>
      </c>
      <c r="B4468" t="s">
        <v>2516</v>
      </c>
      <c r="I4468" t="s">
        <v>2517</v>
      </c>
      <c r="J4468" s="3">
        <v>-0.66529269999999996</v>
      </c>
      <c r="K4468" s="3">
        <v>-0.85105929999999996</v>
      </c>
      <c r="L4468" s="3">
        <v>-0.35637350000000001</v>
      </c>
    </row>
    <row r="4469" spans="1:12" x14ac:dyDescent="0.25">
      <c r="A4469" t="s">
        <v>2512</v>
      </c>
      <c r="B4469" t="s">
        <v>2513</v>
      </c>
      <c r="I4469" t="s">
        <v>2514</v>
      </c>
      <c r="J4469" s="3">
        <v>0.35075529999999999</v>
      </c>
      <c r="K4469" s="3">
        <v>0.24539440000000001</v>
      </c>
      <c r="L4469" s="3">
        <v>0.33088089999999998</v>
      </c>
    </row>
    <row r="4470" spans="1:12" x14ac:dyDescent="0.25">
      <c r="A4470" t="s">
        <v>2511</v>
      </c>
      <c r="B4470" t="s">
        <v>957</v>
      </c>
      <c r="I4470" t="s">
        <v>2</v>
      </c>
      <c r="J4470" s="3">
        <v>-0.40947149999999999</v>
      </c>
      <c r="K4470" s="3">
        <v>-0.51213580000000003</v>
      </c>
      <c r="L4470" s="3">
        <v>-0.20557139999999999</v>
      </c>
    </row>
    <row r="4471" spans="1:12" x14ac:dyDescent="0.25">
      <c r="A4471" t="s">
        <v>2508</v>
      </c>
      <c r="B4471" t="s">
        <v>2509</v>
      </c>
      <c r="I4471" t="s">
        <v>2510</v>
      </c>
      <c r="J4471" s="3">
        <v>-0.54728560000000004</v>
      </c>
      <c r="K4471" s="3">
        <v>-0.83503559999999999</v>
      </c>
      <c r="L4471" s="3">
        <v>-0.41765799999999997</v>
      </c>
    </row>
    <row r="4472" spans="1:12" x14ac:dyDescent="0.25">
      <c r="A4472" t="s">
        <v>2507</v>
      </c>
      <c r="B4472" t="s">
        <v>957</v>
      </c>
      <c r="I4472" t="s">
        <v>2</v>
      </c>
      <c r="J4472" s="3">
        <v>0.3078032</v>
      </c>
      <c r="K4472" s="3">
        <v>-2.0318619999999999E-2</v>
      </c>
      <c r="L4472" s="3">
        <v>0.23580699999999999</v>
      </c>
    </row>
    <row r="4473" spans="1:12" x14ac:dyDescent="0.25">
      <c r="A4473" t="s">
        <v>2504</v>
      </c>
      <c r="B4473" t="s">
        <v>2505</v>
      </c>
      <c r="I4473" t="s">
        <v>2506</v>
      </c>
      <c r="J4473" s="3">
        <v>-0.26070759999999998</v>
      </c>
      <c r="K4473" s="3">
        <v>-0.45856209999999997</v>
      </c>
      <c r="L4473" s="3">
        <v>-8.9281840000000001E-2</v>
      </c>
    </row>
    <row r="4474" spans="1:12" x14ac:dyDescent="0.25">
      <c r="A4474" t="s">
        <v>2501</v>
      </c>
      <c r="B4474" t="s">
        <v>2502</v>
      </c>
      <c r="I4474" t="s">
        <v>2503</v>
      </c>
      <c r="J4474" s="3">
        <v>0.1147305</v>
      </c>
      <c r="K4474" s="3">
        <v>-0.38770100000000002</v>
      </c>
      <c r="L4474" s="3">
        <v>-0.29336139999999999</v>
      </c>
    </row>
    <row r="4475" spans="1:12" x14ac:dyDescent="0.25">
      <c r="A4475" t="s">
        <v>2500</v>
      </c>
      <c r="B4475" t="s">
        <v>957</v>
      </c>
      <c r="I4475" t="s">
        <v>455</v>
      </c>
      <c r="J4475" s="3">
        <v>-0.69234609999999996</v>
      </c>
      <c r="K4475" s="3">
        <v>-0.9175584</v>
      </c>
      <c r="L4475" s="3">
        <v>-0.70110269999999997</v>
      </c>
    </row>
    <row r="4476" spans="1:12" x14ac:dyDescent="0.25">
      <c r="A4476" t="s">
        <v>2498</v>
      </c>
      <c r="B4476" t="s">
        <v>957</v>
      </c>
      <c r="I4476" t="s">
        <v>2499</v>
      </c>
      <c r="J4476" s="3">
        <v>-2.6053880000000001E-2</v>
      </c>
      <c r="K4476" s="3">
        <v>-0.22512850000000001</v>
      </c>
      <c r="L4476" s="3">
        <v>-0.1224384</v>
      </c>
    </row>
    <row r="4477" spans="1:12" x14ac:dyDescent="0.25">
      <c r="A4477" t="s">
        <v>2497</v>
      </c>
      <c r="B4477" t="s">
        <v>957</v>
      </c>
      <c r="I4477" t="s">
        <v>455</v>
      </c>
      <c r="J4477" s="3">
        <v>-0.10350810000000001</v>
      </c>
      <c r="K4477" s="3">
        <v>-0.80397059999999998</v>
      </c>
      <c r="L4477" s="3">
        <v>-9.754792E-3</v>
      </c>
    </row>
    <row r="4478" spans="1:12" x14ac:dyDescent="0.25">
      <c r="A4478" t="s">
        <v>2495</v>
      </c>
      <c r="B4478" t="s">
        <v>957</v>
      </c>
      <c r="I4478" t="s">
        <v>2496</v>
      </c>
      <c r="J4478" s="3">
        <v>2.2924440000000001E-2</v>
      </c>
      <c r="K4478" s="3">
        <v>-0.27426719999999999</v>
      </c>
      <c r="L4478" s="3">
        <v>-0.27947850000000002</v>
      </c>
    </row>
    <row r="4479" spans="1:12" x14ac:dyDescent="0.25">
      <c r="A4479" t="s">
        <v>2492</v>
      </c>
      <c r="B4479" t="s">
        <v>2493</v>
      </c>
      <c r="I4479" t="s">
        <v>2494</v>
      </c>
      <c r="J4479" s="3">
        <v>0.35650999999999999</v>
      </c>
      <c r="K4479" s="3">
        <v>0.53873349999999998</v>
      </c>
      <c r="L4479" s="3">
        <v>0.24194869999999999</v>
      </c>
    </row>
    <row r="4480" spans="1:12" x14ac:dyDescent="0.25">
      <c r="A4480" t="s">
        <v>2489</v>
      </c>
      <c r="B4480" t="s">
        <v>2490</v>
      </c>
      <c r="I4480" t="s">
        <v>2491</v>
      </c>
      <c r="J4480" s="3">
        <v>0.1523322</v>
      </c>
      <c r="K4480" s="3">
        <v>0.27797080000000002</v>
      </c>
      <c r="L4480" s="3">
        <v>4.6332350000000001E-2</v>
      </c>
    </row>
    <row r="4481" spans="1:12" x14ac:dyDescent="0.25">
      <c r="A4481" t="s">
        <v>2486</v>
      </c>
      <c r="B4481" t="s">
        <v>2487</v>
      </c>
      <c r="I4481" t="s">
        <v>2488</v>
      </c>
      <c r="J4481" s="3">
        <v>-0.3286618</v>
      </c>
      <c r="K4481" s="3">
        <v>-0.67312179999999999</v>
      </c>
      <c r="L4481" s="3">
        <v>-0.25919890000000001</v>
      </c>
    </row>
    <row r="4482" spans="1:12" x14ac:dyDescent="0.25">
      <c r="A4482" t="s">
        <v>2485</v>
      </c>
      <c r="B4482" t="s">
        <v>957</v>
      </c>
      <c r="I4482" t="s">
        <v>1973</v>
      </c>
      <c r="J4482" s="3">
        <v>-5.8451379999999997E-2</v>
      </c>
      <c r="K4482" s="3">
        <v>0.21923960000000001</v>
      </c>
      <c r="L4482" s="3">
        <v>8.9563400000000001E-2</v>
      </c>
    </row>
    <row r="4483" spans="1:12" x14ac:dyDescent="0.25">
      <c r="A4483" t="s">
        <v>2482</v>
      </c>
      <c r="B4483" t="s">
        <v>2483</v>
      </c>
      <c r="I4483" t="s">
        <v>2484</v>
      </c>
      <c r="J4483" s="3">
        <v>0.5182158</v>
      </c>
      <c r="K4483" s="3">
        <v>5.7405779999999997E-2</v>
      </c>
      <c r="L4483" s="3">
        <v>0.28204879999999999</v>
      </c>
    </row>
    <row r="4484" spans="1:12" x14ac:dyDescent="0.25">
      <c r="A4484" t="s">
        <v>2479</v>
      </c>
      <c r="B4484" t="s">
        <v>2480</v>
      </c>
      <c r="I4484" t="s">
        <v>2481</v>
      </c>
      <c r="J4484" s="3">
        <v>-8.8319999999999996E-2</v>
      </c>
      <c r="K4484" s="3">
        <v>-0.4929655</v>
      </c>
      <c r="L4484" s="3">
        <v>-0.1333183</v>
      </c>
    </row>
    <row r="4485" spans="1:12" x14ac:dyDescent="0.25">
      <c r="A4485" t="s">
        <v>2478</v>
      </c>
      <c r="B4485" t="s">
        <v>957</v>
      </c>
      <c r="I4485" t="s">
        <v>455</v>
      </c>
      <c r="J4485" s="3">
        <v>0.51975079999999996</v>
      </c>
      <c r="K4485" s="3">
        <v>0.44231280000000001</v>
      </c>
      <c r="L4485" s="3">
        <v>0.28893940000000001</v>
      </c>
    </row>
    <row r="4486" spans="1:12" x14ac:dyDescent="0.25">
      <c r="A4486" t="s">
        <v>2475</v>
      </c>
      <c r="B4486" t="s">
        <v>2476</v>
      </c>
      <c r="I4486" t="s">
        <v>2477</v>
      </c>
      <c r="J4486" s="3">
        <v>-0.20406179999999999</v>
      </c>
      <c r="K4486" s="3">
        <v>-0.7046694</v>
      </c>
      <c r="L4486" s="3">
        <v>-0.3205131</v>
      </c>
    </row>
    <row r="4487" spans="1:12" x14ac:dyDescent="0.25">
      <c r="A4487" t="s">
        <v>2472</v>
      </c>
      <c r="B4487" t="s">
        <v>2473</v>
      </c>
      <c r="I4487" t="s">
        <v>2474</v>
      </c>
      <c r="J4487" s="3">
        <v>8.8059070000000003E-2</v>
      </c>
      <c r="K4487" s="3">
        <v>-0.15835879999999999</v>
      </c>
      <c r="L4487" s="3">
        <v>0.16233230000000001</v>
      </c>
    </row>
    <row r="4488" spans="1:12" x14ac:dyDescent="0.25">
      <c r="A4488" t="s">
        <v>3527</v>
      </c>
      <c r="B4488" t="s">
        <v>957</v>
      </c>
      <c r="I4488" t="s">
        <v>2471</v>
      </c>
      <c r="J4488" s="3">
        <v>-0.40524149999999998</v>
      </c>
      <c r="K4488" s="3">
        <v>0.29277049999999999</v>
      </c>
      <c r="L4488" s="3">
        <v>0.16751389999999999</v>
      </c>
    </row>
    <row r="4489" spans="1:12" x14ac:dyDescent="0.25">
      <c r="A4489" t="s">
        <v>3524</v>
      </c>
      <c r="B4489" t="s">
        <v>3525</v>
      </c>
      <c r="I4489" t="s">
        <v>3526</v>
      </c>
      <c r="J4489" s="3">
        <v>-1.044702</v>
      </c>
      <c r="K4489" s="3">
        <v>-0.23305609999999999</v>
      </c>
      <c r="L4489" s="3">
        <v>-0.5191443</v>
      </c>
    </row>
    <row r="4490" spans="1:12" x14ac:dyDescent="0.25">
      <c r="A4490" t="s">
        <v>3521</v>
      </c>
      <c r="B4490" t="s">
        <v>3522</v>
      </c>
      <c r="I4490" t="s">
        <v>3523</v>
      </c>
      <c r="J4490" s="3">
        <v>0.5720961</v>
      </c>
      <c r="K4490" s="3">
        <v>0.40278890000000001</v>
      </c>
      <c r="L4490" s="3">
        <v>0.25636209999999998</v>
      </c>
    </row>
    <row r="4491" spans="1:12" x14ac:dyDescent="0.25">
      <c r="A4491" t="s">
        <v>3518</v>
      </c>
      <c r="B4491" t="s">
        <v>3519</v>
      </c>
      <c r="I4491" t="s">
        <v>3520</v>
      </c>
      <c r="J4491" s="3">
        <v>-6.6783410000000001E-2</v>
      </c>
      <c r="K4491" s="3">
        <v>-0.87649489999999997</v>
      </c>
      <c r="L4491" s="3">
        <v>0.1209551</v>
      </c>
    </row>
    <row r="4492" spans="1:12" x14ac:dyDescent="0.25">
      <c r="A4492" t="s">
        <v>3515</v>
      </c>
      <c r="B4492" t="s">
        <v>3516</v>
      </c>
      <c r="I4492" t="s">
        <v>3517</v>
      </c>
      <c r="J4492" s="3">
        <v>-0.65791350000000004</v>
      </c>
      <c r="K4492" s="3">
        <v>-0.41248319999999999</v>
      </c>
      <c r="L4492" s="3">
        <v>-0.4837417</v>
      </c>
    </row>
    <row r="4493" spans="1:12" x14ac:dyDescent="0.25">
      <c r="A4493" t="s">
        <v>3514</v>
      </c>
      <c r="B4493" t="s">
        <v>957</v>
      </c>
      <c r="I4493" t="s">
        <v>455</v>
      </c>
      <c r="J4493" s="3">
        <v>-0.35885929999999999</v>
      </c>
      <c r="K4493" s="3">
        <v>-0.34793069999999998</v>
      </c>
      <c r="L4493" s="3">
        <v>-0.60901660000000002</v>
      </c>
    </row>
    <row r="4494" spans="1:12" x14ac:dyDescent="0.25">
      <c r="A4494" t="s">
        <v>3512</v>
      </c>
      <c r="B4494" t="s">
        <v>3513</v>
      </c>
      <c r="I4494" t="s">
        <v>593</v>
      </c>
      <c r="J4494" s="3">
        <v>-0.88601719999999995</v>
      </c>
      <c r="K4494" s="3">
        <v>-1.5644560000000001</v>
      </c>
      <c r="L4494" s="3">
        <v>-0.8693071</v>
      </c>
    </row>
    <row r="4495" spans="1:12" x14ac:dyDescent="0.25">
      <c r="A4495" t="s">
        <v>3509</v>
      </c>
      <c r="B4495" t="s">
        <v>3510</v>
      </c>
      <c r="I4495" t="s">
        <v>3511</v>
      </c>
      <c r="J4495" s="3">
        <v>0.38135940000000002</v>
      </c>
      <c r="K4495" s="3">
        <v>0.11416750000000001</v>
      </c>
      <c r="L4495" s="3">
        <v>0.44642280000000001</v>
      </c>
    </row>
    <row r="4496" spans="1:12" x14ac:dyDescent="0.25">
      <c r="A4496" t="s">
        <v>3506</v>
      </c>
      <c r="B4496" t="s">
        <v>3507</v>
      </c>
      <c r="I4496" t="s">
        <v>3508</v>
      </c>
      <c r="J4496" s="3">
        <v>-0.21550859999999999</v>
      </c>
      <c r="K4496" s="3">
        <v>-1.1456010000000001</v>
      </c>
      <c r="L4496" s="3">
        <v>-0.50990480000000005</v>
      </c>
    </row>
    <row r="4497" spans="1:12" x14ac:dyDescent="0.25">
      <c r="A4497" t="s">
        <v>3505</v>
      </c>
      <c r="B4497" t="s">
        <v>957</v>
      </c>
      <c r="I4497" t="s">
        <v>2</v>
      </c>
      <c r="J4497" s="3">
        <v>-0.91851430000000001</v>
      </c>
      <c r="K4497" s="3">
        <v>-1.446107</v>
      </c>
      <c r="L4497" s="3">
        <v>-0.50159509999999996</v>
      </c>
    </row>
    <row r="4498" spans="1:12" x14ac:dyDescent="0.25">
      <c r="A4498" t="s">
        <v>3502</v>
      </c>
      <c r="B4498" t="s">
        <v>3503</v>
      </c>
      <c r="I4498" t="s">
        <v>3504</v>
      </c>
      <c r="J4498" s="3">
        <v>-0.36095189999999999</v>
      </c>
      <c r="K4498" s="3">
        <v>-0.22257650000000001</v>
      </c>
      <c r="L4498" s="3">
        <v>-0.60965820000000004</v>
      </c>
    </row>
    <row r="4499" spans="1:12" x14ac:dyDescent="0.25">
      <c r="A4499" t="s">
        <v>3499</v>
      </c>
      <c r="B4499" t="s">
        <v>3500</v>
      </c>
      <c r="I4499" t="s">
        <v>3501</v>
      </c>
      <c r="J4499" s="3">
        <v>0.29802780000000001</v>
      </c>
      <c r="K4499" s="3">
        <v>0.4037713</v>
      </c>
      <c r="L4499" s="3">
        <v>6.1073679999999998E-2</v>
      </c>
    </row>
    <row r="4500" spans="1:12" x14ac:dyDescent="0.25">
      <c r="A4500" t="s">
        <v>3497</v>
      </c>
      <c r="B4500" t="s">
        <v>3498</v>
      </c>
      <c r="I4500" t="s">
        <v>593</v>
      </c>
      <c r="J4500" s="3">
        <v>-7.9754350000000002E-2</v>
      </c>
      <c r="K4500" s="3">
        <v>-0.18792829999999999</v>
      </c>
      <c r="L4500" s="3">
        <v>-0.47625840000000003</v>
      </c>
    </row>
    <row r="4501" spans="1:12" x14ac:dyDescent="0.25">
      <c r="A4501" t="s">
        <v>3494</v>
      </c>
      <c r="B4501" t="s">
        <v>3495</v>
      </c>
      <c r="I4501" t="s">
        <v>3496</v>
      </c>
      <c r="J4501" s="3">
        <v>-0.1305028</v>
      </c>
      <c r="K4501" s="3">
        <v>-0.55112280000000002</v>
      </c>
      <c r="L4501" s="3">
        <v>-0.62235689999999999</v>
      </c>
    </row>
    <row r="4502" spans="1:12" x14ac:dyDescent="0.25">
      <c r="A4502" t="s">
        <v>3480</v>
      </c>
      <c r="B4502" t="s">
        <v>957</v>
      </c>
      <c r="I4502" t="s">
        <v>3493</v>
      </c>
      <c r="J4502" s="3">
        <v>0.7533898</v>
      </c>
      <c r="K4502" s="3">
        <v>0.78432860000000004</v>
      </c>
      <c r="L4502" s="3">
        <v>0.62675139999999996</v>
      </c>
    </row>
    <row r="4503" spans="1:12" x14ac:dyDescent="0.25">
      <c r="A4503" t="s">
        <v>3477</v>
      </c>
      <c r="B4503" t="s">
        <v>3478</v>
      </c>
      <c r="I4503" t="s">
        <v>3479</v>
      </c>
      <c r="J4503" s="3">
        <v>-0.28583589999999998</v>
      </c>
      <c r="K4503" s="3">
        <v>-0.35660029999999998</v>
      </c>
      <c r="L4503" s="3">
        <v>-9.0641429999999995E-2</v>
      </c>
    </row>
    <row r="4504" spans="1:12" x14ac:dyDescent="0.25">
      <c r="A4504" t="s">
        <v>3474</v>
      </c>
      <c r="B4504" t="s">
        <v>3475</v>
      </c>
      <c r="I4504" t="s">
        <v>3476</v>
      </c>
      <c r="J4504" s="3">
        <v>-0.16609460000000001</v>
      </c>
      <c r="K4504" s="3">
        <v>-0.41724899999999998</v>
      </c>
      <c r="L4504" s="3">
        <v>-0.28613569999999999</v>
      </c>
    </row>
    <row r="4505" spans="1:12" x14ac:dyDescent="0.25">
      <c r="A4505" t="s">
        <v>3473</v>
      </c>
      <c r="B4505" t="s">
        <v>957</v>
      </c>
      <c r="I4505" t="s">
        <v>455</v>
      </c>
      <c r="J4505" s="3">
        <v>4.8694979999999999E-3</v>
      </c>
      <c r="K4505" s="3">
        <v>0.1080636</v>
      </c>
      <c r="L4505" s="3">
        <v>-0.1534238</v>
      </c>
    </row>
    <row r="4506" spans="1:12" x14ac:dyDescent="0.25">
      <c r="A4506" t="s">
        <v>3472</v>
      </c>
      <c r="B4506" t="s">
        <v>957</v>
      </c>
      <c r="I4506" t="s">
        <v>455</v>
      </c>
      <c r="J4506" s="3">
        <v>-0.20004569999999999</v>
      </c>
      <c r="K4506" s="3">
        <v>-1.993777E-2</v>
      </c>
      <c r="L4506" s="3">
        <v>-0.13615269999999999</v>
      </c>
    </row>
    <row r="4507" spans="1:12" x14ac:dyDescent="0.25">
      <c r="A4507" t="s">
        <v>3469</v>
      </c>
      <c r="B4507" t="s">
        <v>3470</v>
      </c>
      <c r="I4507" t="s">
        <v>3471</v>
      </c>
      <c r="J4507" s="3">
        <v>0.50467680000000004</v>
      </c>
      <c r="K4507" s="3">
        <v>1.9991829999999999E-2</v>
      </c>
      <c r="L4507" s="3">
        <v>0.1204274</v>
      </c>
    </row>
    <row r="4508" spans="1:12" x14ac:dyDescent="0.25">
      <c r="A4508" t="s">
        <v>3468</v>
      </c>
      <c r="B4508" t="s">
        <v>957</v>
      </c>
      <c r="I4508" t="s">
        <v>455</v>
      </c>
      <c r="J4508" s="3">
        <v>-0.13561280000000001</v>
      </c>
      <c r="K4508" s="3">
        <v>-0.70165449999999996</v>
      </c>
      <c r="L4508" s="3">
        <v>-0.52319939999999998</v>
      </c>
    </row>
    <row r="4509" spans="1:12" x14ac:dyDescent="0.25">
      <c r="A4509" t="s">
        <v>3467</v>
      </c>
      <c r="B4509" t="s">
        <v>957</v>
      </c>
      <c r="I4509" t="s">
        <v>455</v>
      </c>
      <c r="J4509" s="3">
        <v>-0.19747680000000001</v>
      </c>
      <c r="K4509" s="3">
        <v>4.4469719999999997E-2</v>
      </c>
      <c r="L4509" s="3">
        <v>-3.7918380000000002E-2</v>
      </c>
    </row>
    <row r="4510" spans="1:12" x14ac:dyDescent="0.25">
      <c r="A4510" t="s">
        <v>3466</v>
      </c>
      <c r="B4510" t="s">
        <v>957</v>
      </c>
      <c r="I4510" t="s">
        <v>455</v>
      </c>
      <c r="J4510" s="3">
        <v>0.24495790000000001</v>
      </c>
      <c r="K4510" s="3">
        <v>0.32202399999999998</v>
      </c>
      <c r="L4510" s="3">
        <v>9.2234360000000001E-2</v>
      </c>
    </row>
    <row r="4511" spans="1:12" x14ac:dyDescent="0.25">
      <c r="A4511" t="s">
        <v>3464</v>
      </c>
      <c r="B4511" t="s">
        <v>957</v>
      </c>
      <c r="I4511" t="s">
        <v>3465</v>
      </c>
      <c r="J4511" s="3">
        <v>-0.35290270000000001</v>
      </c>
      <c r="K4511" s="3">
        <v>-9.8286540000000006E-2</v>
      </c>
      <c r="L4511" s="3">
        <v>-4.3183550000000001E-2</v>
      </c>
    </row>
    <row r="4512" spans="1:12" x14ac:dyDescent="0.25">
      <c r="A4512" t="s">
        <v>3461</v>
      </c>
      <c r="B4512" t="s">
        <v>3462</v>
      </c>
      <c r="I4512" t="s">
        <v>3463</v>
      </c>
      <c r="J4512" s="3">
        <v>-3.5369600000000001E-2</v>
      </c>
      <c r="K4512" s="3">
        <v>-4.487083E-2</v>
      </c>
      <c r="L4512" s="3">
        <v>-0.18146039999999999</v>
      </c>
    </row>
    <row r="4513" spans="1:12" x14ac:dyDescent="0.25">
      <c r="A4513" t="s">
        <v>3458</v>
      </c>
      <c r="B4513" t="s">
        <v>3459</v>
      </c>
      <c r="I4513" t="s">
        <v>3460</v>
      </c>
      <c r="J4513" s="3">
        <v>-0.14542820000000001</v>
      </c>
      <c r="K4513" s="3">
        <v>-0.74096359999999994</v>
      </c>
      <c r="L4513" s="3">
        <v>-0.1867441</v>
      </c>
    </row>
    <row r="4514" spans="1:12" x14ac:dyDescent="0.25">
      <c r="A4514" t="s">
        <v>3456</v>
      </c>
      <c r="B4514" t="s">
        <v>957</v>
      </c>
      <c r="I4514" t="s">
        <v>3457</v>
      </c>
      <c r="J4514" s="3">
        <v>0.23144729999999999</v>
      </c>
      <c r="K4514" s="3">
        <v>0.63691399999999998</v>
      </c>
      <c r="L4514" s="3">
        <v>0.4888189</v>
      </c>
    </row>
    <row r="4515" spans="1:12" x14ac:dyDescent="0.25">
      <c r="A4515" t="s">
        <v>3453</v>
      </c>
      <c r="B4515" t="s">
        <v>3454</v>
      </c>
      <c r="I4515" t="s">
        <v>3455</v>
      </c>
      <c r="J4515" s="3">
        <v>-0.38334839999999998</v>
      </c>
      <c r="K4515" s="3">
        <v>-1.2698430000000001</v>
      </c>
      <c r="L4515" s="3">
        <v>-0.95714840000000001</v>
      </c>
    </row>
    <row r="4516" spans="1:12" x14ac:dyDescent="0.25">
      <c r="A4516" t="s">
        <v>3450</v>
      </c>
      <c r="B4516" t="s">
        <v>3451</v>
      </c>
      <c r="I4516" t="s">
        <v>3452</v>
      </c>
      <c r="J4516" s="3">
        <v>0.25845220000000002</v>
      </c>
      <c r="K4516" s="3">
        <v>0.81208449999999999</v>
      </c>
      <c r="L4516" s="3">
        <v>0.60536080000000003</v>
      </c>
    </row>
    <row r="4517" spans="1:12" x14ac:dyDescent="0.25">
      <c r="A4517" t="s">
        <v>3447</v>
      </c>
      <c r="B4517" t="s">
        <v>3448</v>
      </c>
      <c r="I4517" t="s">
        <v>3449</v>
      </c>
      <c r="J4517" s="3">
        <v>5.9941090000000002E-2</v>
      </c>
      <c r="K4517" s="3">
        <v>-0.24409719999999999</v>
      </c>
      <c r="L4517" s="3">
        <v>-0.2092437</v>
      </c>
    </row>
    <row r="4518" spans="1:12" x14ac:dyDescent="0.25">
      <c r="A4518" t="s">
        <v>3444</v>
      </c>
      <c r="B4518" t="s">
        <v>3445</v>
      </c>
      <c r="I4518" t="s">
        <v>3446</v>
      </c>
      <c r="J4518" s="3">
        <v>-0.31513859999999999</v>
      </c>
      <c r="K4518" s="3">
        <v>-0.52233660000000004</v>
      </c>
      <c r="L4518" s="3">
        <v>4.383281E-2</v>
      </c>
    </row>
    <row r="4519" spans="1:12" x14ac:dyDescent="0.25">
      <c r="A4519" t="s">
        <v>3441</v>
      </c>
      <c r="B4519" t="s">
        <v>3442</v>
      </c>
      <c r="I4519" t="s">
        <v>3443</v>
      </c>
      <c r="J4519" s="3">
        <v>-0.55781700000000001</v>
      </c>
      <c r="K4519" s="3">
        <v>-0.63693239999999995</v>
      </c>
      <c r="L4519" s="3">
        <v>-0.48743760000000003</v>
      </c>
    </row>
    <row r="4520" spans="1:12" x14ac:dyDescent="0.25">
      <c r="A4520" t="s">
        <v>3440</v>
      </c>
      <c r="B4520" t="s">
        <v>957</v>
      </c>
      <c r="I4520" t="s">
        <v>455</v>
      </c>
      <c r="J4520" s="3">
        <v>0.26245410000000002</v>
      </c>
      <c r="K4520" s="3">
        <v>-0.1622615</v>
      </c>
      <c r="L4520" s="3">
        <v>0.18139949999999999</v>
      </c>
    </row>
    <row r="4521" spans="1:12" x14ac:dyDescent="0.25">
      <c r="A4521" t="s">
        <v>3438</v>
      </c>
      <c r="B4521" t="s">
        <v>14145</v>
      </c>
      <c r="C4521" t="s">
        <v>14146</v>
      </c>
      <c r="I4521" t="s">
        <v>3439</v>
      </c>
      <c r="J4521" s="3">
        <v>0.22056529999999999</v>
      </c>
      <c r="K4521" s="3">
        <v>0.26335459999999999</v>
      </c>
      <c r="L4521" s="3">
        <v>0.2403216</v>
      </c>
    </row>
    <row r="4522" spans="1:12" x14ac:dyDescent="0.25">
      <c r="A4522" t="s">
        <v>3435</v>
      </c>
      <c r="B4522" t="s">
        <v>3436</v>
      </c>
      <c r="I4522" t="s">
        <v>3437</v>
      </c>
      <c r="J4522" s="3">
        <v>4.9563089999999997E-2</v>
      </c>
      <c r="K4522" s="3">
        <v>0.30893500000000002</v>
      </c>
      <c r="L4522" s="3">
        <v>0.2356375</v>
      </c>
    </row>
    <row r="4523" spans="1:12" x14ac:dyDescent="0.25">
      <c r="A4523" t="s">
        <v>3434</v>
      </c>
      <c r="B4523" t="s">
        <v>957</v>
      </c>
      <c r="I4523" t="s">
        <v>455</v>
      </c>
      <c r="J4523" s="3">
        <v>-0.6014311</v>
      </c>
      <c r="K4523" s="3">
        <v>-0.31829190000000002</v>
      </c>
      <c r="L4523" s="3">
        <v>-0.38944790000000001</v>
      </c>
    </row>
    <row r="4524" spans="1:12" x14ac:dyDescent="0.25">
      <c r="A4524" t="s">
        <v>3431</v>
      </c>
      <c r="B4524" t="s">
        <v>3432</v>
      </c>
      <c r="I4524" t="s">
        <v>3433</v>
      </c>
      <c r="J4524" s="3">
        <v>0.26265660000000002</v>
      </c>
      <c r="K4524" s="3">
        <v>0.12642880000000001</v>
      </c>
      <c r="L4524" s="3">
        <v>0.2491942</v>
      </c>
    </row>
    <row r="4525" spans="1:12" x14ac:dyDescent="0.25">
      <c r="A4525" t="s">
        <v>3430</v>
      </c>
      <c r="B4525" t="s">
        <v>957</v>
      </c>
      <c r="I4525" t="s">
        <v>455</v>
      </c>
      <c r="J4525" s="3">
        <v>-0.62304420000000005</v>
      </c>
      <c r="K4525" s="3">
        <v>-0.95863799999999999</v>
      </c>
      <c r="L4525" s="3">
        <v>-0.52313200000000004</v>
      </c>
    </row>
    <row r="4526" spans="1:12" x14ac:dyDescent="0.25">
      <c r="A4526" t="s">
        <v>3427</v>
      </c>
      <c r="B4526" t="s">
        <v>3428</v>
      </c>
      <c r="I4526" t="s">
        <v>3429</v>
      </c>
      <c r="J4526" s="3">
        <v>0.43681389999999998</v>
      </c>
      <c r="K4526" s="3">
        <v>0.28184379999999998</v>
      </c>
      <c r="L4526" s="3">
        <v>0.62305750000000004</v>
      </c>
    </row>
    <row r="4527" spans="1:12" x14ac:dyDescent="0.25">
      <c r="A4527" t="s">
        <v>3425</v>
      </c>
      <c r="B4527" t="s">
        <v>3426</v>
      </c>
      <c r="I4527" t="s">
        <v>2402</v>
      </c>
      <c r="J4527" s="3">
        <v>-0.52046289999999995</v>
      </c>
      <c r="K4527" s="3">
        <v>-1.014327</v>
      </c>
      <c r="L4527" s="3">
        <v>4.4722999999999999E-2</v>
      </c>
    </row>
    <row r="4528" spans="1:12" x14ac:dyDescent="0.25">
      <c r="A4528" t="s">
        <v>3422</v>
      </c>
      <c r="B4528" t="s">
        <v>3423</v>
      </c>
      <c r="I4528" t="s">
        <v>3424</v>
      </c>
      <c r="J4528" s="3">
        <v>0.1895858</v>
      </c>
      <c r="K4528" s="3">
        <v>0.21953839999999999</v>
      </c>
      <c r="L4528" s="3">
        <v>3.8264619999999999E-2</v>
      </c>
    </row>
    <row r="4529" spans="1:12" x14ac:dyDescent="0.25">
      <c r="A4529" t="s">
        <v>3421</v>
      </c>
      <c r="B4529" t="s">
        <v>957</v>
      </c>
      <c r="I4529" t="s">
        <v>455</v>
      </c>
      <c r="J4529" s="3">
        <v>5.5917090000000003E-2</v>
      </c>
      <c r="K4529" s="3">
        <v>5.2993360000000003E-2</v>
      </c>
      <c r="L4529" s="3">
        <v>0.13048190000000001</v>
      </c>
    </row>
    <row r="4530" spans="1:12" x14ac:dyDescent="0.25">
      <c r="A4530" t="s">
        <v>3418</v>
      </c>
      <c r="B4530" t="s">
        <v>3419</v>
      </c>
      <c r="I4530" t="s">
        <v>3420</v>
      </c>
      <c r="J4530" s="3">
        <v>0.36339440000000001</v>
      </c>
      <c r="K4530" s="3">
        <v>2.0570350000000001E-2</v>
      </c>
      <c r="L4530" s="3">
        <v>0.38191750000000002</v>
      </c>
    </row>
    <row r="4531" spans="1:12" x14ac:dyDescent="0.25">
      <c r="A4531" t="s">
        <v>3415</v>
      </c>
      <c r="B4531" t="s">
        <v>3416</v>
      </c>
      <c r="I4531" t="s">
        <v>3417</v>
      </c>
      <c r="J4531" s="3">
        <v>0.33659660000000002</v>
      </c>
      <c r="K4531" s="3">
        <v>0.62538190000000005</v>
      </c>
      <c r="L4531" s="3">
        <v>0.33935589999999999</v>
      </c>
    </row>
    <row r="4532" spans="1:12" x14ac:dyDescent="0.25">
      <c r="A4532" t="s">
        <v>3412</v>
      </c>
      <c r="B4532" t="s">
        <v>3413</v>
      </c>
      <c r="I4532" t="s">
        <v>3414</v>
      </c>
      <c r="J4532" s="3">
        <v>8.8914610000000005E-2</v>
      </c>
      <c r="K4532" s="3">
        <v>4.3031850000000003E-2</v>
      </c>
      <c r="L4532" s="3">
        <v>-0.12632930000000001</v>
      </c>
    </row>
    <row r="4533" spans="1:12" x14ac:dyDescent="0.25">
      <c r="A4533" t="s">
        <v>3409</v>
      </c>
      <c r="B4533" t="s">
        <v>3410</v>
      </c>
      <c r="I4533" t="s">
        <v>3411</v>
      </c>
      <c r="J4533" s="3">
        <v>4.797916E-2</v>
      </c>
      <c r="K4533" s="3">
        <v>-0.1683644</v>
      </c>
      <c r="L4533" s="3">
        <v>-0.21901019999999999</v>
      </c>
    </row>
    <row r="4534" spans="1:12" x14ac:dyDescent="0.25">
      <c r="A4534" t="s">
        <v>3406</v>
      </c>
      <c r="B4534" t="s">
        <v>3407</v>
      </c>
      <c r="I4534" t="s">
        <v>3408</v>
      </c>
      <c r="J4534" s="3">
        <v>-0.2854833</v>
      </c>
      <c r="K4534" s="3">
        <v>5.704037E-2</v>
      </c>
      <c r="L4534" s="3">
        <v>0.12001439999999999</v>
      </c>
    </row>
    <row r="4535" spans="1:12" x14ac:dyDescent="0.25">
      <c r="A4535" t="s">
        <v>3403</v>
      </c>
      <c r="B4535" t="s">
        <v>3404</v>
      </c>
      <c r="I4535" t="s">
        <v>3405</v>
      </c>
      <c r="J4535" s="3">
        <v>0.1231508</v>
      </c>
      <c r="K4535" s="3">
        <v>-0.5498326</v>
      </c>
      <c r="L4535" s="3">
        <v>-3.2261339999999999E-2</v>
      </c>
    </row>
    <row r="4536" spans="1:12" x14ac:dyDescent="0.25">
      <c r="A4536" t="s">
        <v>3402</v>
      </c>
      <c r="B4536" t="s">
        <v>957</v>
      </c>
      <c r="I4536" t="s">
        <v>455</v>
      </c>
      <c r="J4536" s="3">
        <v>-1.958267E-2</v>
      </c>
      <c r="K4536" s="3">
        <v>-0.65673179999999998</v>
      </c>
      <c r="L4536" s="3">
        <v>-0.17788979999999999</v>
      </c>
    </row>
    <row r="4537" spans="1:12" x14ac:dyDescent="0.25">
      <c r="A4537" t="s">
        <v>3399</v>
      </c>
      <c r="B4537" t="s">
        <v>3400</v>
      </c>
      <c r="I4537" t="s">
        <v>3401</v>
      </c>
      <c r="J4537" s="3">
        <v>-0.53300190000000003</v>
      </c>
      <c r="K4537" s="3">
        <v>-0.86255389999999998</v>
      </c>
      <c r="L4537" s="3">
        <v>-0.70481709999999997</v>
      </c>
    </row>
    <row r="4538" spans="1:12" x14ac:dyDescent="0.25">
      <c r="A4538" t="s">
        <v>3396</v>
      </c>
      <c r="B4538" t="s">
        <v>3397</v>
      </c>
      <c r="I4538" t="s">
        <v>3398</v>
      </c>
      <c r="J4538" s="3">
        <v>-0.63871169999999999</v>
      </c>
      <c r="K4538" s="3">
        <v>-1.2073700000000001</v>
      </c>
      <c r="L4538" s="3">
        <v>-0.39999030000000002</v>
      </c>
    </row>
    <row r="4539" spans="1:12" x14ac:dyDescent="0.25">
      <c r="A4539" t="s">
        <v>3393</v>
      </c>
      <c r="B4539" t="s">
        <v>3394</v>
      </c>
      <c r="I4539" t="s">
        <v>3395</v>
      </c>
      <c r="J4539" s="3">
        <v>-0.1936687</v>
      </c>
      <c r="K4539" s="3">
        <v>-1.0719160000000001</v>
      </c>
      <c r="L4539" s="3">
        <v>-0.74802800000000003</v>
      </c>
    </row>
    <row r="4540" spans="1:12" x14ac:dyDescent="0.25">
      <c r="A4540" t="s">
        <v>3390</v>
      </c>
      <c r="B4540" t="s">
        <v>3391</v>
      </c>
      <c r="I4540" t="s">
        <v>3392</v>
      </c>
      <c r="J4540" s="3">
        <v>0.79622630000000005</v>
      </c>
      <c r="K4540" s="3">
        <v>0.77958590000000005</v>
      </c>
      <c r="L4540" s="3">
        <v>0.52646420000000005</v>
      </c>
    </row>
    <row r="4541" spans="1:12" x14ac:dyDescent="0.25">
      <c r="A4541" t="s">
        <v>3387</v>
      </c>
      <c r="B4541" t="s">
        <v>3388</v>
      </c>
      <c r="I4541" t="s">
        <v>3389</v>
      </c>
      <c r="J4541" s="3">
        <v>-0.1620153</v>
      </c>
      <c r="K4541" s="3">
        <v>-0.40188410000000002</v>
      </c>
      <c r="L4541" s="3">
        <v>-0.40905259999999999</v>
      </c>
    </row>
    <row r="4542" spans="1:12" x14ac:dyDescent="0.25">
      <c r="A4542" t="s">
        <v>3384</v>
      </c>
      <c r="B4542" t="s">
        <v>3385</v>
      </c>
      <c r="I4542" t="s">
        <v>3386</v>
      </c>
      <c r="J4542" s="3">
        <v>2.1654739999999999E-2</v>
      </c>
      <c r="K4542" s="3">
        <v>-0.71874190000000004</v>
      </c>
      <c r="L4542" s="3">
        <v>-0.17541570000000001</v>
      </c>
    </row>
    <row r="4543" spans="1:12" x14ac:dyDescent="0.25">
      <c r="A4543" t="s">
        <v>3381</v>
      </c>
      <c r="B4543" t="s">
        <v>3382</v>
      </c>
      <c r="I4543" t="s">
        <v>3383</v>
      </c>
      <c r="J4543" s="3">
        <v>-0.45259939999999999</v>
      </c>
      <c r="K4543" s="3">
        <v>-1.0025740000000001</v>
      </c>
      <c r="L4543" s="3">
        <v>-0.43543779999999999</v>
      </c>
    </row>
    <row r="4544" spans="1:12" x14ac:dyDescent="0.25">
      <c r="A4544" t="s">
        <v>3379</v>
      </c>
      <c r="B4544" t="s">
        <v>957</v>
      </c>
      <c r="I4544" t="s">
        <v>3380</v>
      </c>
      <c r="J4544" s="3">
        <v>-5.8372269999999997E-2</v>
      </c>
      <c r="K4544" s="3">
        <v>-0.36156300000000002</v>
      </c>
      <c r="L4544" s="3">
        <v>-0.46171830000000003</v>
      </c>
    </row>
    <row r="4545" spans="1:12" x14ac:dyDescent="0.25">
      <c r="A4545" t="s">
        <v>3376</v>
      </c>
      <c r="B4545" t="s">
        <v>3377</v>
      </c>
      <c r="I4545" t="s">
        <v>3378</v>
      </c>
      <c r="J4545" s="3">
        <v>-5.6679790000000001E-2</v>
      </c>
      <c r="K4545" s="3">
        <v>-0.37582169999999998</v>
      </c>
      <c r="L4545" s="3">
        <v>-7.6670909999999995E-2</v>
      </c>
    </row>
    <row r="4546" spans="1:12" x14ac:dyDescent="0.25">
      <c r="A4546" t="s">
        <v>3373</v>
      </c>
      <c r="B4546" t="s">
        <v>3374</v>
      </c>
      <c r="I4546" t="s">
        <v>3375</v>
      </c>
      <c r="J4546" s="3">
        <v>-2.475888E-2</v>
      </c>
      <c r="K4546" s="3">
        <v>6.2583810000000004E-2</v>
      </c>
      <c r="L4546" s="3">
        <v>-0.13660559999999999</v>
      </c>
    </row>
    <row r="4547" spans="1:12" x14ac:dyDescent="0.25">
      <c r="A4547" t="s">
        <v>3370</v>
      </c>
      <c r="B4547" t="s">
        <v>3371</v>
      </c>
      <c r="I4547" t="s">
        <v>3372</v>
      </c>
      <c r="J4547" s="3">
        <v>0.42146030000000001</v>
      </c>
      <c r="K4547" s="3">
        <v>0.59528930000000002</v>
      </c>
      <c r="L4547" s="3">
        <v>0.33453090000000002</v>
      </c>
    </row>
    <row r="4548" spans="1:12" x14ac:dyDescent="0.25">
      <c r="A4548" t="s">
        <v>3367</v>
      </c>
      <c r="B4548" t="s">
        <v>3368</v>
      </c>
      <c r="I4548" t="s">
        <v>3369</v>
      </c>
      <c r="J4548" s="3">
        <v>2.7256929999999999E-2</v>
      </c>
      <c r="K4548" s="3">
        <v>0.37329990000000002</v>
      </c>
      <c r="L4548" s="3">
        <v>0.21459900000000001</v>
      </c>
    </row>
    <row r="4549" spans="1:12" x14ac:dyDescent="0.25">
      <c r="A4549" t="s">
        <v>3364</v>
      </c>
      <c r="B4549" t="s">
        <v>3365</v>
      </c>
      <c r="I4549" t="s">
        <v>3366</v>
      </c>
      <c r="J4549" s="3">
        <v>-5.2683239999999999E-2</v>
      </c>
      <c r="K4549" s="3">
        <v>0.12798039999999999</v>
      </c>
      <c r="L4549" s="3">
        <v>-1.349655E-2</v>
      </c>
    </row>
    <row r="4550" spans="1:12" x14ac:dyDescent="0.25">
      <c r="A4550" t="s">
        <v>3361</v>
      </c>
      <c r="B4550" t="s">
        <v>3362</v>
      </c>
      <c r="I4550" t="s">
        <v>3363</v>
      </c>
      <c r="J4550" s="3">
        <v>-0.33188220000000002</v>
      </c>
      <c r="K4550" s="3">
        <v>-0.2166796</v>
      </c>
      <c r="L4550" s="3">
        <v>-0.3133996</v>
      </c>
    </row>
    <row r="4551" spans="1:12" x14ac:dyDescent="0.25">
      <c r="A4551" t="s">
        <v>3358</v>
      </c>
      <c r="B4551" t="s">
        <v>3359</v>
      </c>
      <c r="I4551" t="s">
        <v>3360</v>
      </c>
      <c r="J4551" s="3">
        <v>9.1710089999999994E-2</v>
      </c>
      <c r="K4551" s="3">
        <v>-0.19944519999999999</v>
      </c>
      <c r="L4551" s="3">
        <v>-0.1503005</v>
      </c>
    </row>
    <row r="4552" spans="1:12" x14ac:dyDescent="0.25">
      <c r="A4552" t="s">
        <v>1652</v>
      </c>
      <c r="B4552" t="s">
        <v>1653</v>
      </c>
      <c r="I4552" t="s">
        <v>3357</v>
      </c>
      <c r="J4552" s="3">
        <v>-0.14178360000000001</v>
      </c>
      <c r="K4552" s="3">
        <v>-0.6570066</v>
      </c>
      <c r="L4552" s="3">
        <v>-0.38585000000000003</v>
      </c>
    </row>
    <row r="4553" spans="1:12" x14ac:dyDescent="0.25">
      <c r="A4553" t="s">
        <v>1649</v>
      </c>
      <c r="B4553" t="s">
        <v>1650</v>
      </c>
      <c r="I4553" t="s">
        <v>1651</v>
      </c>
      <c r="J4553" s="3">
        <v>-0.21292649999999999</v>
      </c>
      <c r="K4553" s="3">
        <v>-0.30606699999999998</v>
      </c>
      <c r="L4553" s="3">
        <v>-0.1234826</v>
      </c>
    </row>
    <row r="4554" spans="1:12" x14ac:dyDescent="0.25">
      <c r="A4554" t="s">
        <v>1646</v>
      </c>
      <c r="B4554" t="s">
        <v>1647</v>
      </c>
      <c r="I4554" t="s">
        <v>1648</v>
      </c>
      <c r="J4554" s="3">
        <v>0.15770000000000001</v>
      </c>
      <c r="K4554" s="3">
        <v>9.0664930000000005E-2</v>
      </c>
      <c r="L4554" s="3">
        <v>-0.1054875</v>
      </c>
    </row>
    <row r="4555" spans="1:12" x14ac:dyDescent="0.25">
      <c r="A4555" t="s">
        <v>1643</v>
      </c>
      <c r="B4555" t="s">
        <v>1644</v>
      </c>
      <c r="I4555" t="s">
        <v>1645</v>
      </c>
      <c r="J4555" s="3">
        <v>0.1037399</v>
      </c>
      <c r="K4555" s="3">
        <v>0.31485069999999998</v>
      </c>
      <c r="L4555" s="3">
        <v>0.36770510000000001</v>
      </c>
    </row>
    <row r="4556" spans="1:12" x14ac:dyDescent="0.25">
      <c r="A4556" t="s">
        <v>1642</v>
      </c>
      <c r="B4556" t="s">
        <v>957</v>
      </c>
      <c r="I4556" t="s">
        <v>2</v>
      </c>
      <c r="J4556" s="3">
        <v>-0.26480379999999998</v>
      </c>
      <c r="K4556" s="3">
        <v>-0.39538770000000001</v>
      </c>
      <c r="L4556" s="3">
        <v>-0.4045916</v>
      </c>
    </row>
    <row r="4557" spans="1:12" x14ac:dyDescent="0.25">
      <c r="A4557" t="s">
        <v>1639</v>
      </c>
      <c r="B4557" t="s">
        <v>1640</v>
      </c>
      <c r="I4557" t="s">
        <v>1641</v>
      </c>
      <c r="J4557" s="3">
        <v>0.49160160000000003</v>
      </c>
      <c r="K4557" s="3">
        <v>0.91024050000000001</v>
      </c>
      <c r="L4557" s="3">
        <v>0.1874741</v>
      </c>
    </row>
    <row r="4558" spans="1:12" x14ac:dyDescent="0.25">
      <c r="A4558" t="s">
        <v>1636</v>
      </c>
      <c r="B4558" t="s">
        <v>1637</v>
      </c>
      <c r="I4558" t="s">
        <v>1638</v>
      </c>
      <c r="J4558" s="3">
        <v>2.2927070000000001E-2</v>
      </c>
      <c r="K4558" s="3">
        <v>0.56609710000000002</v>
      </c>
      <c r="L4558" s="3">
        <v>0.1357003</v>
      </c>
    </row>
    <row r="4559" spans="1:12" x14ac:dyDescent="0.25">
      <c r="A4559" t="s">
        <v>1633</v>
      </c>
      <c r="B4559" t="s">
        <v>1634</v>
      </c>
      <c r="I4559" t="s">
        <v>1635</v>
      </c>
      <c r="J4559" s="3">
        <v>4.104124E-2</v>
      </c>
      <c r="K4559" s="3">
        <v>-7.5536179999999994E-2</v>
      </c>
      <c r="L4559" s="3">
        <v>0.22681319999999999</v>
      </c>
    </row>
    <row r="4560" spans="1:12" x14ac:dyDescent="0.25">
      <c r="A4560" t="s">
        <v>1630</v>
      </c>
      <c r="B4560" t="s">
        <v>1631</v>
      </c>
      <c r="I4560" t="s">
        <v>1632</v>
      </c>
      <c r="J4560" s="3">
        <v>1.200115E-2</v>
      </c>
      <c r="K4560" s="3">
        <v>0.31461280000000003</v>
      </c>
      <c r="L4560" s="3">
        <v>0.17864910000000001</v>
      </c>
    </row>
    <row r="4561" spans="1:12" x14ac:dyDescent="0.25">
      <c r="A4561" t="s">
        <v>1628</v>
      </c>
      <c r="B4561" t="s">
        <v>1629</v>
      </c>
      <c r="I4561" t="s">
        <v>593</v>
      </c>
      <c r="J4561" s="3">
        <v>-1.0826519999999999</v>
      </c>
      <c r="K4561" s="3">
        <v>-1.108568</v>
      </c>
      <c r="L4561" s="3">
        <v>-0.9546964</v>
      </c>
    </row>
    <row r="4562" spans="1:12" x14ac:dyDescent="0.25">
      <c r="A4562" t="s">
        <v>1625</v>
      </c>
      <c r="B4562" t="s">
        <v>1626</v>
      </c>
      <c r="I4562" t="s">
        <v>1627</v>
      </c>
      <c r="J4562" s="3">
        <v>0.20486550000000001</v>
      </c>
      <c r="K4562" s="3">
        <v>-2.4494320000000001E-3</v>
      </c>
      <c r="L4562" s="3">
        <v>0.1212057</v>
      </c>
    </row>
    <row r="4563" spans="1:12" x14ac:dyDescent="0.25">
      <c r="A4563" t="s">
        <v>1624</v>
      </c>
      <c r="B4563" t="s">
        <v>957</v>
      </c>
      <c r="I4563" t="s">
        <v>455</v>
      </c>
      <c r="J4563" s="3">
        <v>0.33000679999999999</v>
      </c>
      <c r="K4563" s="3">
        <v>0.82235659999999999</v>
      </c>
      <c r="L4563" s="3">
        <v>0.37220969999999998</v>
      </c>
    </row>
    <row r="4564" spans="1:12" x14ac:dyDescent="0.25">
      <c r="A4564" t="s">
        <v>1621</v>
      </c>
      <c r="B4564" t="s">
        <v>1622</v>
      </c>
      <c r="I4564" t="s">
        <v>1623</v>
      </c>
      <c r="J4564" s="3">
        <v>-0.34451599999999999</v>
      </c>
      <c r="K4564" s="3">
        <v>-1.0148630000000001</v>
      </c>
      <c r="L4564" s="3">
        <v>-0.45838190000000001</v>
      </c>
    </row>
    <row r="4565" spans="1:12" x14ac:dyDescent="0.25">
      <c r="A4565" t="s">
        <v>1618</v>
      </c>
      <c r="B4565" t="s">
        <v>1619</v>
      </c>
      <c r="I4565" t="s">
        <v>1620</v>
      </c>
      <c r="J4565" s="3">
        <v>-0.31120520000000002</v>
      </c>
      <c r="K4565" s="3">
        <v>0.1569016</v>
      </c>
      <c r="L4565" s="3">
        <v>-0.12873780000000001</v>
      </c>
    </row>
    <row r="4566" spans="1:12" x14ac:dyDescent="0.25">
      <c r="A4566" t="s">
        <v>1615</v>
      </c>
      <c r="B4566" t="s">
        <v>1616</v>
      </c>
      <c r="I4566" t="s">
        <v>1617</v>
      </c>
      <c r="J4566" s="3">
        <v>8.3581420000000003E-2</v>
      </c>
      <c r="K4566" s="3">
        <v>-0.18937039999999999</v>
      </c>
      <c r="L4566" s="3">
        <v>0.38582100000000003</v>
      </c>
    </row>
    <row r="4567" spans="1:12" x14ac:dyDescent="0.25">
      <c r="A4567" t="s">
        <v>2284</v>
      </c>
      <c r="B4567" t="s">
        <v>2285</v>
      </c>
      <c r="I4567" t="s">
        <v>1614</v>
      </c>
      <c r="J4567" s="3">
        <v>-0.47229900000000002</v>
      </c>
      <c r="K4567" s="3">
        <v>-0.73345769999999999</v>
      </c>
      <c r="L4567" s="3">
        <v>-0.2203745</v>
      </c>
    </row>
    <row r="4568" spans="1:12" x14ac:dyDescent="0.25">
      <c r="A4568" t="s">
        <v>2281</v>
      </c>
      <c r="B4568" t="s">
        <v>2282</v>
      </c>
      <c r="I4568" t="s">
        <v>2283</v>
      </c>
      <c r="J4568" s="3">
        <v>5.3827029999999998E-2</v>
      </c>
      <c r="K4568" s="3">
        <v>0.2559999</v>
      </c>
      <c r="L4568" s="3">
        <v>0.46652349999999998</v>
      </c>
    </row>
    <row r="4569" spans="1:12" x14ac:dyDescent="0.25">
      <c r="A4569" t="s">
        <v>2280</v>
      </c>
      <c r="B4569" t="s">
        <v>957</v>
      </c>
      <c r="I4569" t="s">
        <v>2</v>
      </c>
      <c r="J4569" s="3">
        <v>-0.2543899</v>
      </c>
      <c r="K4569" s="3">
        <v>-0.20041539999999999</v>
      </c>
      <c r="L4569" s="3">
        <v>-4.0960219999999999E-2</v>
      </c>
    </row>
    <row r="4570" spans="1:12" x14ac:dyDescent="0.25">
      <c r="A4570" t="s">
        <v>2278</v>
      </c>
      <c r="B4570" t="s">
        <v>2279</v>
      </c>
      <c r="I4570" t="s">
        <v>442</v>
      </c>
      <c r="J4570" s="3">
        <v>0.2722214</v>
      </c>
      <c r="K4570" s="3">
        <v>0.36208620000000002</v>
      </c>
      <c r="L4570" s="3">
        <v>6.4290199999999999E-4</v>
      </c>
    </row>
    <row r="4571" spans="1:12" x14ac:dyDescent="0.25">
      <c r="A4571" t="s">
        <v>2275</v>
      </c>
      <c r="B4571" t="s">
        <v>2276</v>
      </c>
      <c r="I4571" t="s">
        <v>2277</v>
      </c>
      <c r="J4571" s="3">
        <v>0.51804209999999995</v>
      </c>
      <c r="K4571" s="3">
        <v>-7.846583E-2</v>
      </c>
      <c r="L4571" s="3">
        <v>0.82623120000000005</v>
      </c>
    </row>
    <row r="4572" spans="1:12" x14ac:dyDescent="0.25">
      <c r="A4572" t="s">
        <v>2272</v>
      </c>
      <c r="B4572" t="s">
        <v>2273</v>
      </c>
      <c r="I4572" t="s">
        <v>2274</v>
      </c>
      <c r="J4572" s="3">
        <v>-2.6485470000000001E-2</v>
      </c>
      <c r="K4572" s="3">
        <v>0.32530439999999999</v>
      </c>
      <c r="L4572" s="3">
        <v>-0.1346019</v>
      </c>
    </row>
    <row r="4573" spans="1:12" x14ac:dyDescent="0.25">
      <c r="A4573" t="s">
        <v>2269</v>
      </c>
      <c r="B4573" t="s">
        <v>2270</v>
      </c>
      <c r="I4573" t="s">
        <v>2271</v>
      </c>
      <c r="J4573" s="3">
        <v>0.62906169999999995</v>
      </c>
      <c r="K4573" s="3">
        <v>0.69184900000000005</v>
      </c>
      <c r="L4573" s="3">
        <v>0.23259450000000001</v>
      </c>
    </row>
    <row r="4574" spans="1:12" x14ac:dyDescent="0.25">
      <c r="A4574" t="s">
        <v>2266</v>
      </c>
      <c r="B4574" t="s">
        <v>2267</v>
      </c>
      <c r="I4574" t="s">
        <v>2268</v>
      </c>
      <c r="J4574" s="3">
        <v>-0.24999189999999999</v>
      </c>
      <c r="K4574" s="3">
        <v>-0.68563070000000004</v>
      </c>
      <c r="L4574" s="3">
        <v>0.17397029999999999</v>
      </c>
    </row>
    <row r="4575" spans="1:12" x14ac:dyDescent="0.25">
      <c r="A4575" t="s">
        <v>2263</v>
      </c>
      <c r="B4575" t="s">
        <v>2264</v>
      </c>
      <c r="I4575" t="s">
        <v>2265</v>
      </c>
      <c r="J4575" s="3">
        <v>-0.12535940000000001</v>
      </c>
      <c r="K4575" s="3">
        <v>-0.7314889</v>
      </c>
      <c r="L4575" s="3">
        <v>-0.37766060000000001</v>
      </c>
    </row>
    <row r="4576" spans="1:12" x14ac:dyDescent="0.25">
      <c r="A4576" t="s">
        <v>2260</v>
      </c>
      <c r="B4576" t="s">
        <v>2261</v>
      </c>
      <c r="I4576" t="s">
        <v>2262</v>
      </c>
      <c r="J4576" s="3">
        <v>-0.1696366</v>
      </c>
      <c r="K4576" s="3">
        <v>-0.17505180000000001</v>
      </c>
      <c r="L4576" s="3">
        <v>-0.38059270000000001</v>
      </c>
    </row>
    <row r="4577" spans="1:12" x14ac:dyDescent="0.25">
      <c r="A4577" t="s">
        <v>2257</v>
      </c>
      <c r="B4577" t="s">
        <v>2258</v>
      </c>
      <c r="I4577" t="s">
        <v>2259</v>
      </c>
      <c r="J4577" s="3">
        <v>-0.3154573</v>
      </c>
      <c r="K4577" s="3">
        <v>0.4560574</v>
      </c>
      <c r="L4577" s="3">
        <v>-0.2839103</v>
      </c>
    </row>
    <row r="4578" spans="1:12" x14ac:dyDescent="0.25">
      <c r="A4578" t="s">
        <v>2254</v>
      </c>
      <c r="B4578" t="s">
        <v>2255</v>
      </c>
      <c r="I4578" t="s">
        <v>2256</v>
      </c>
      <c r="J4578" s="3">
        <v>0.53047500000000003</v>
      </c>
      <c r="K4578" s="3">
        <v>-8.4175749999999994E-2</v>
      </c>
      <c r="L4578" s="3">
        <v>0.36385650000000003</v>
      </c>
    </row>
    <row r="4579" spans="1:12" x14ac:dyDescent="0.25">
      <c r="A4579" t="s">
        <v>2251</v>
      </c>
      <c r="B4579" t="s">
        <v>2252</v>
      </c>
      <c r="I4579" t="s">
        <v>2253</v>
      </c>
      <c r="J4579" s="3">
        <v>2.3172740000000001E-2</v>
      </c>
      <c r="K4579" s="3">
        <v>-0.48518840000000002</v>
      </c>
      <c r="L4579" s="3">
        <v>-8.1603700000000001E-2</v>
      </c>
    </row>
    <row r="4580" spans="1:12" x14ac:dyDescent="0.25">
      <c r="A4580" t="s">
        <v>2248</v>
      </c>
      <c r="B4580" t="s">
        <v>2249</v>
      </c>
      <c r="I4580" t="s">
        <v>2250</v>
      </c>
      <c r="J4580" s="3">
        <v>-0.1155197</v>
      </c>
      <c r="K4580" s="3">
        <v>-0.89979390000000004</v>
      </c>
      <c r="L4580" s="3">
        <v>-8.1856600000000002E-2</v>
      </c>
    </row>
    <row r="4581" spans="1:12" x14ac:dyDescent="0.25">
      <c r="A4581" t="s">
        <v>2245</v>
      </c>
      <c r="B4581" t="s">
        <v>2246</v>
      </c>
      <c r="I4581" t="s">
        <v>2247</v>
      </c>
      <c r="J4581" s="3">
        <v>0.14224249999999999</v>
      </c>
      <c r="K4581" s="3">
        <v>0.129028</v>
      </c>
      <c r="L4581" s="3">
        <v>0.44775890000000002</v>
      </c>
    </row>
    <row r="4582" spans="1:12" x14ac:dyDescent="0.25">
      <c r="A4582" t="s">
        <v>2243</v>
      </c>
      <c r="B4582" t="s">
        <v>957</v>
      </c>
      <c r="I4582" t="s">
        <v>2244</v>
      </c>
      <c r="J4582" s="3">
        <v>6.9952299999999995E-2</v>
      </c>
      <c r="K4582" s="3">
        <v>0.24595980000000001</v>
      </c>
      <c r="L4582" s="3">
        <v>0.53601580000000004</v>
      </c>
    </row>
    <row r="4583" spans="1:12" x14ac:dyDescent="0.25">
      <c r="A4583" t="s">
        <v>2241</v>
      </c>
      <c r="B4583" t="s">
        <v>957</v>
      </c>
      <c r="I4583" t="s">
        <v>2242</v>
      </c>
      <c r="J4583" s="3">
        <v>-3.4603580000000002E-2</v>
      </c>
      <c r="K4583" s="3">
        <v>0.55257719999999999</v>
      </c>
      <c r="L4583" s="3">
        <v>-9.1911439999999997E-2</v>
      </c>
    </row>
    <row r="4584" spans="1:12" x14ac:dyDescent="0.25">
      <c r="A4584" t="s">
        <v>2238</v>
      </c>
      <c r="B4584" t="s">
        <v>2239</v>
      </c>
      <c r="I4584" t="s">
        <v>2240</v>
      </c>
      <c r="J4584" s="3">
        <v>-0.2126304</v>
      </c>
      <c r="K4584" s="3">
        <v>0.74853190000000003</v>
      </c>
      <c r="L4584" s="3">
        <v>-0.25902389999999997</v>
      </c>
    </row>
    <row r="4585" spans="1:12" x14ac:dyDescent="0.25">
      <c r="A4585" t="s">
        <v>2237</v>
      </c>
      <c r="B4585" t="s">
        <v>957</v>
      </c>
      <c r="I4585" t="s">
        <v>1207</v>
      </c>
      <c r="J4585" s="3">
        <v>0.76949129999999999</v>
      </c>
      <c r="K4585" s="3">
        <v>1.6836139999999999</v>
      </c>
      <c r="L4585" s="3">
        <v>0.7418652</v>
      </c>
    </row>
    <row r="4586" spans="1:12" x14ac:dyDescent="0.25">
      <c r="A4586" t="s">
        <v>2234</v>
      </c>
      <c r="B4586" t="s">
        <v>2235</v>
      </c>
      <c r="I4586" t="s">
        <v>2236</v>
      </c>
      <c r="J4586" s="3">
        <v>0.654833</v>
      </c>
      <c r="K4586" s="3">
        <v>0.75828569999999995</v>
      </c>
      <c r="L4586" s="3">
        <v>0.57741730000000002</v>
      </c>
    </row>
    <row r="4587" spans="1:12" x14ac:dyDescent="0.25">
      <c r="A4587" t="s">
        <v>2231</v>
      </c>
      <c r="B4587" t="s">
        <v>2232</v>
      </c>
      <c r="I4587" t="s">
        <v>2233</v>
      </c>
      <c r="J4587" s="3">
        <v>0.1075142</v>
      </c>
      <c r="K4587" s="3">
        <v>0.17192579999999999</v>
      </c>
      <c r="L4587" s="3">
        <v>4.2441E-2</v>
      </c>
    </row>
    <row r="4588" spans="1:12" x14ac:dyDescent="0.25">
      <c r="A4588" t="s">
        <v>2228</v>
      </c>
      <c r="B4588" t="s">
        <v>2229</v>
      </c>
      <c r="I4588" t="s">
        <v>2230</v>
      </c>
      <c r="J4588" s="3">
        <v>0.60886700000000005</v>
      </c>
      <c r="K4588" s="3">
        <v>0.89804580000000001</v>
      </c>
      <c r="L4588" s="3">
        <v>0.88823629999999998</v>
      </c>
    </row>
    <row r="4589" spans="1:12" x14ac:dyDescent="0.25">
      <c r="A4589" t="s">
        <v>2225</v>
      </c>
      <c r="B4589" t="s">
        <v>2226</v>
      </c>
      <c r="I4589" t="s">
        <v>2227</v>
      </c>
      <c r="J4589" s="3">
        <v>0.44015520000000002</v>
      </c>
      <c r="K4589" s="3">
        <v>0.62726820000000005</v>
      </c>
      <c r="L4589" s="3">
        <v>0.46384330000000001</v>
      </c>
    </row>
    <row r="4590" spans="1:12" x14ac:dyDescent="0.25">
      <c r="A4590" t="s">
        <v>2222</v>
      </c>
      <c r="B4590" t="s">
        <v>2223</v>
      </c>
      <c r="I4590" t="s">
        <v>2224</v>
      </c>
      <c r="J4590" s="3">
        <v>0.3633479</v>
      </c>
      <c r="K4590" s="3">
        <v>-0.10509540000000001</v>
      </c>
      <c r="L4590" s="3">
        <v>0.1036237</v>
      </c>
    </row>
    <row r="4591" spans="1:12" x14ac:dyDescent="0.25">
      <c r="A4591" t="s">
        <v>2219</v>
      </c>
      <c r="B4591" t="s">
        <v>2220</v>
      </c>
      <c r="I4591" t="s">
        <v>2221</v>
      </c>
      <c r="J4591" s="3">
        <v>-0.56483629999999996</v>
      </c>
      <c r="K4591" s="3">
        <v>0.34088679999999999</v>
      </c>
      <c r="L4591" s="3">
        <v>0.92500349999999998</v>
      </c>
    </row>
    <row r="4592" spans="1:12" x14ac:dyDescent="0.25">
      <c r="A4592" t="s">
        <v>2216</v>
      </c>
      <c r="B4592" t="s">
        <v>2217</v>
      </c>
      <c r="I4592" t="s">
        <v>2218</v>
      </c>
      <c r="J4592" s="3">
        <v>-0.82322919999999999</v>
      </c>
      <c r="K4592" s="3">
        <v>-1.4441949999999999</v>
      </c>
      <c r="L4592" s="3">
        <v>-0.81712700000000005</v>
      </c>
    </row>
    <row r="4593" spans="1:12" x14ac:dyDescent="0.25">
      <c r="A4593" t="s">
        <v>2213</v>
      </c>
      <c r="B4593" t="s">
        <v>2214</v>
      </c>
      <c r="I4593" t="s">
        <v>2215</v>
      </c>
      <c r="J4593" s="3">
        <v>-7.9503249999999998E-2</v>
      </c>
      <c r="K4593" s="3">
        <v>-0.36324279999999998</v>
      </c>
      <c r="L4593" s="3">
        <v>0.1003875</v>
      </c>
    </row>
    <row r="4594" spans="1:12" x14ac:dyDescent="0.25">
      <c r="A4594" t="s">
        <v>2210</v>
      </c>
      <c r="B4594" t="s">
        <v>2211</v>
      </c>
      <c r="I4594" t="s">
        <v>2212</v>
      </c>
      <c r="J4594" s="3">
        <v>-0.20013149999999999</v>
      </c>
      <c r="K4594" s="3">
        <v>-0.49174200000000001</v>
      </c>
      <c r="L4594" s="3">
        <v>-0.29596289999999997</v>
      </c>
    </row>
    <row r="4595" spans="1:12" x14ac:dyDescent="0.25">
      <c r="A4595" t="s">
        <v>2207</v>
      </c>
      <c r="B4595" t="s">
        <v>2208</v>
      </c>
      <c r="I4595" t="s">
        <v>2209</v>
      </c>
      <c r="J4595" s="3">
        <v>0.5841248</v>
      </c>
      <c r="K4595" s="3">
        <v>0.86002889999999999</v>
      </c>
      <c r="L4595" s="3">
        <v>0.5156657</v>
      </c>
    </row>
    <row r="4596" spans="1:12" x14ac:dyDescent="0.25">
      <c r="A4596" t="s">
        <v>2204</v>
      </c>
      <c r="B4596" t="s">
        <v>2205</v>
      </c>
      <c r="I4596" t="s">
        <v>2206</v>
      </c>
      <c r="J4596" s="3">
        <v>0.30032049999999999</v>
      </c>
      <c r="K4596" s="3">
        <v>-0.1652121</v>
      </c>
      <c r="L4596" s="3">
        <v>1.3221270000000001</v>
      </c>
    </row>
    <row r="4597" spans="1:12" x14ac:dyDescent="0.25">
      <c r="A4597" t="s">
        <v>2202</v>
      </c>
      <c r="B4597" t="s">
        <v>2203</v>
      </c>
      <c r="I4597" t="s">
        <v>1317</v>
      </c>
      <c r="J4597" s="3">
        <v>-0.20198559999999999</v>
      </c>
      <c r="K4597" s="3">
        <v>-0.52662589999999998</v>
      </c>
      <c r="L4597" s="3">
        <v>-3.3208069999999999E-2</v>
      </c>
    </row>
    <row r="4598" spans="1:12" x14ac:dyDescent="0.25">
      <c r="A4598" t="s">
        <v>2199</v>
      </c>
      <c r="B4598" t="s">
        <v>2200</v>
      </c>
      <c r="I4598" t="s">
        <v>2201</v>
      </c>
      <c r="J4598" s="3">
        <v>-3.0203299999999999E-2</v>
      </c>
      <c r="K4598" s="3">
        <v>0.2850261</v>
      </c>
      <c r="L4598" s="3">
        <v>3.9882750000000002E-2</v>
      </c>
    </row>
    <row r="4599" spans="1:12" x14ac:dyDescent="0.25">
      <c r="A4599" t="s">
        <v>2196</v>
      </c>
      <c r="B4599" t="s">
        <v>2197</v>
      </c>
      <c r="I4599" t="s">
        <v>2198</v>
      </c>
      <c r="J4599" s="3">
        <v>-0.23980940000000001</v>
      </c>
      <c r="K4599" s="3">
        <v>-0.40568070000000001</v>
      </c>
      <c r="L4599" s="3">
        <v>-6.4711359999999996E-2</v>
      </c>
    </row>
    <row r="4600" spans="1:12" x14ac:dyDescent="0.25">
      <c r="A4600" t="s">
        <v>3238</v>
      </c>
      <c r="B4600" t="s">
        <v>3239</v>
      </c>
      <c r="I4600" t="s">
        <v>2195</v>
      </c>
      <c r="J4600" s="3">
        <v>0.11085730000000001</v>
      </c>
      <c r="K4600" s="3">
        <v>-0.2680942</v>
      </c>
      <c r="L4600" s="3">
        <v>-0.1017438</v>
      </c>
    </row>
    <row r="4601" spans="1:12" x14ac:dyDescent="0.25">
      <c r="A4601" t="s">
        <v>3235</v>
      </c>
      <c r="B4601" t="s">
        <v>3236</v>
      </c>
      <c r="I4601" t="s">
        <v>3237</v>
      </c>
      <c r="J4601" s="3">
        <v>0.3501823</v>
      </c>
      <c r="K4601" s="3">
        <v>-0.41696440000000001</v>
      </c>
      <c r="L4601" s="3">
        <v>0.1000558</v>
      </c>
    </row>
    <row r="4602" spans="1:12" x14ac:dyDescent="0.25">
      <c r="A4602" t="s">
        <v>3234</v>
      </c>
      <c r="B4602" t="s">
        <v>957</v>
      </c>
      <c r="I4602" t="s">
        <v>455</v>
      </c>
      <c r="J4602" s="3">
        <v>-0.95312770000000002</v>
      </c>
      <c r="K4602" s="3">
        <v>-1.7156530000000001</v>
      </c>
      <c r="L4602" s="3">
        <v>-1.181386</v>
      </c>
    </row>
    <row r="4603" spans="1:12" x14ac:dyDescent="0.25">
      <c r="A4603" t="s">
        <v>3231</v>
      </c>
      <c r="B4603" t="s">
        <v>3232</v>
      </c>
      <c r="I4603" t="s">
        <v>3233</v>
      </c>
      <c r="J4603" s="3">
        <v>3.683985E-2</v>
      </c>
      <c r="K4603" s="3">
        <v>-0.47834480000000001</v>
      </c>
      <c r="L4603" s="3">
        <v>-8.6241079999999998E-2</v>
      </c>
    </row>
    <row r="4604" spans="1:12" x14ac:dyDescent="0.25">
      <c r="A4604" t="s">
        <v>3228</v>
      </c>
      <c r="B4604" t="s">
        <v>3229</v>
      </c>
      <c r="I4604" t="s">
        <v>3230</v>
      </c>
      <c r="J4604" s="3">
        <v>-0.577766</v>
      </c>
      <c r="K4604" s="3">
        <v>-0.73031380000000001</v>
      </c>
      <c r="L4604" s="3">
        <v>-0.68936869999999995</v>
      </c>
    </row>
    <row r="4605" spans="1:12" x14ac:dyDescent="0.25">
      <c r="A4605" t="s">
        <v>3225</v>
      </c>
      <c r="B4605" t="s">
        <v>3226</v>
      </c>
      <c r="I4605" t="s">
        <v>3227</v>
      </c>
      <c r="J4605" s="3">
        <v>-0.79640809999999995</v>
      </c>
      <c r="K4605" s="3">
        <v>-0.85272780000000004</v>
      </c>
      <c r="L4605" s="3">
        <v>-0.8471168</v>
      </c>
    </row>
    <row r="4606" spans="1:12" x14ac:dyDescent="0.25">
      <c r="A4606" t="s">
        <v>3224</v>
      </c>
      <c r="B4606" t="s">
        <v>957</v>
      </c>
      <c r="I4606" t="s">
        <v>455</v>
      </c>
      <c r="J4606" s="3">
        <v>-0.6925848</v>
      </c>
      <c r="K4606" s="3">
        <v>0.338196</v>
      </c>
      <c r="L4606" s="3">
        <v>2.348735</v>
      </c>
    </row>
    <row r="4607" spans="1:12" x14ac:dyDescent="0.25">
      <c r="A4607" t="s">
        <v>3223</v>
      </c>
      <c r="B4607" t="s">
        <v>14245</v>
      </c>
      <c r="C4607" t="s">
        <v>14246</v>
      </c>
      <c r="I4607" t="s">
        <v>2640</v>
      </c>
      <c r="J4607" s="3">
        <v>0.6929862</v>
      </c>
      <c r="K4607" s="3">
        <v>0.91198900000000005</v>
      </c>
      <c r="L4607" s="3">
        <v>0.98149770000000003</v>
      </c>
    </row>
    <row r="4608" spans="1:12" x14ac:dyDescent="0.25">
      <c r="A4608" t="s">
        <v>3222</v>
      </c>
      <c r="B4608" t="s">
        <v>14247</v>
      </c>
      <c r="C4608" t="s">
        <v>14248</v>
      </c>
      <c r="I4608" t="s">
        <v>2638</v>
      </c>
      <c r="J4608" s="3">
        <v>0.29456919999999998</v>
      </c>
      <c r="K4608" s="3">
        <v>7.5760240000000006E-2</v>
      </c>
      <c r="L4608" s="3">
        <v>0.3148725</v>
      </c>
    </row>
    <row r="4609" spans="1:12" x14ac:dyDescent="0.25">
      <c r="A4609" t="s">
        <v>3219</v>
      </c>
      <c r="B4609" t="s">
        <v>3220</v>
      </c>
      <c r="I4609" t="s">
        <v>3221</v>
      </c>
      <c r="J4609" s="3">
        <v>-0.20102809999999999</v>
      </c>
      <c r="K4609" s="3">
        <v>-0.87674090000000005</v>
      </c>
      <c r="L4609" s="3">
        <v>-0.3655139</v>
      </c>
    </row>
    <row r="4610" spans="1:12" x14ac:dyDescent="0.25">
      <c r="A4610" t="s">
        <v>3218</v>
      </c>
      <c r="B4610" t="s">
        <v>957</v>
      </c>
      <c r="I4610" t="s">
        <v>455</v>
      </c>
      <c r="J4610" s="3">
        <v>-4.1018930000000002E-2</v>
      </c>
      <c r="K4610" s="3">
        <v>0.13019020000000001</v>
      </c>
      <c r="L4610" s="3">
        <v>3.6553990000000001E-2</v>
      </c>
    </row>
    <row r="4611" spans="1:12" x14ac:dyDescent="0.25">
      <c r="A4611" t="s">
        <v>3215</v>
      </c>
      <c r="B4611" t="s">
        <v>3216</v>
      </c>
      <c r="I4611" t="s">
        <v>3217</v>
      </c>
      <c r="J4611" s="3">
        <v>-0.53513790000000006</v>
      </c>
      <c r="K4611" s="3">
        <v>-0.66089710000000002</v>
      </c>
      <c r="L4611" s="3">
        <v>-0.57520660000000001</v>
      </c>
    </row>
    <row r="4612" spans="1:12" x14ac:dyDescent="0.25">
      <c r="A4612" t="s">
        <v>3212</v>
      </c>
      <c r="B4612" t="s">
        <v>3213</v>
      </c>
      <c r="I4612" t="s">
        <v>3214</v>
      </c>
      <c r="J4612" s="3">
        <v>0.26399929999999999</v>
      </c>
      <c r="K4612" s="3">
        <v>0.42785050000000002</v>
      </c>
      <c r="L4612" s="3">
        <v>0.24928330000000001</v>
      </c>
    </row>
    <row r="4613" spans="1:12" x14ac:dyDescent="0.25">
      <c r="A4613" t="s">
        <v>3209</v>
      </c>
      <c r="B4613" t="s">
        <v>3210</v>
      </c>
      <c r="I4613" t="s">
        <v>3211</v>
      </c>
      <c r="J4613" s="3">
        <v>-0.77879659999999995</v>
      </c>
      <c r="K4613" s="3">
        <v>-1.2628950000000001</v>
      </c>
      <c r="L4613" s="3">
        <v>-0.66254400000000002</v>
      </c>
    </row>
    <row r="4614" spans="1:12" x14ac:dyDescent="0.25">
      <c r="A4614" t="s">
        <v>3206</v>
      </c>
      <c r="B4614" t="s">
        <v>3207</v>
      </c>
      <c r="I4614" t="s">
        <v>3208</v>
      </c>
      <c r="J4614" s="3">
        <v>0.25650509999999999</v>
      </c>
      <c r="K4614" s="3">
        <v>0.13805229999999999</v>
      </c>
      <c r="L4614" s="3">
        <v>5.6780110000000002E-2</v>
      </c>
    </row>
    <row r="4615" spans="1:12" x14ac:dyDescent="0.25">
      <c r="A4615" t="s">
        <v>3203</v>
      </c>
      <c r="B4615" t="s">
        <v>3204</v>
      </c>
      <c r="I4615" t="s">
        <v>3205</v>
      </c>
      <c r="J4615" s="3">
        <v>-0.1675574</v>
      </c>
      <c r="K4615" s="3">
        <v>-0.57929989999999998</v>
      </c>
      <c r="L4615" s="3">
        <v>-0.12534619999999999</v>
      </c>
    </row>
    <row r="4616" spans="1:12" x14ac:dyDescent="0.25">
      <c r="A4616" t="s">
        <v>3201</v>
      </c>
      <c r="B4616" t="s">
        <v>957</v>
      </c>
      <c r="I4616" t="s">
        <v>3202</v>
      </c>
      <c r="J4616" s="3">
        <v>0.51545870000000005</v>
      </c>
      <c r="K4616" s="3">
        <v>-0.14656440000000001</v>
      </c>
      <c r="L4616" s="3">
        <v>0.1141698</v>
      </c>
    </row>
    <row r="4617" spans="1:12" x14ac:dyDescent="0.25">
      <c r="A4617" t="s">
        <v>3198</v>
      </c>
      <c r="B4617" t="s">
        <v>3199</v>
      </c>
      <c r="I4617" t="s">
        <v>3200</v>
      </c>
      <c r="J4617" s="3">
        <v>1.8450390000000001E-2</v>
      </c>
      <c r="K4617" s="3">
        <v>-6.2839019999999995E-2</v>
      </c>
      <c r="L4617" s="3">
        <v>3.8159989999999998E-2</v>
      </c>
    </row>
    <row r="4618" spans="1:12" x14ac:dyDescent="0.25">
      <c r="A4618" t="s">
        <v>3197</v>
      </c>
      <c r="B4618" t="s">
        <v>957</v>
      </c>
      <c r="I4618" t="s">
        <v>2</v>
      </c>
      <c r="J4618" s="3">
        <v>1.0528829999999999E-2</v>
      </c>
      <c r="K4618" s="3">
        <v>-0.17519080000000001</v>
      </c>
      <c r="L4618" s="3">
        <v>-0.1918028</v>
      </c>
    </row>
    <row r="4619" spans="1:12" x14ac:dyDescent="0.25">
      <c r="A4619" t="s">
        <v>3194</v>
      </c>
      <c r="B4619" t="s">
        <v>3195</v>
      </c>
      <c r="I4619" t="s">
        <v>3196</v>
      </c>
      <c r="J4619" s="3">
        <v>-0.15672240000000001</v>
      </c>
      <c r="K4619" s="3">
        <v>-0.63434210000000002</v>
      </c>
      <c r="L4619" s="3">
        <v>-0.25567440000000002</v>
      </c>
    </row>
    <row r="4620" spans="1:12" x14ac:dyDescent="0.25">
      <c r="A4620" t="s">
        <v>3191</v>
      </c>
      <c r="B4620" t="s">
        <v>3192</v>
      </c>
      <c r="I4620" t="s">
        <v>3193</v>
      </c>
      <c r="J4620" s="3">
        <v>-0.90243050000000002</v>
      </c>
      <c r="K4620" s="3">
        <v>-1.4472</v>
      </c>
      <c r="L4620" s="3">
        <v>-0.76929219999999998</v>
      </c>
    </row>
    <row r="4621" spans="1:12" x14ac:dyDescent="0.25">
      <c r="A4621" t="s">
        <v>3188</v>
      </c>
      <c r="B4621" t="s">
        <v>3189</v>
      </c>
      <c r="I4621" t="s">
        <v>3190</v>
      </c>
      <c r="J4621" s="3">
        <v>0.433228</v>
      </c>
      <c r="K4621" s="3">
        <v>0.44971339999999999</v>
      </c>
      <c r="L4621" s="3">
        <v>0.194524</v>
      </c>
    </row>
    <row r="4622" spans="1:12" x14ac:dyDescent="0.25">
      <c r="A4622" t="s">
        <v>3185</v>
      </c>
      <c r="B4622" t="s">
        <v>3186</v>
      </c>
      <c r="I4622" t="s">
        <v>3187</v>
      </c>
      <c r="J4622" s="3">
        <v>-1.777128E-2</v>
      </c>
      <c r="K4622" s="3">
        <v>-0.40248020000000001</v>
      </c>
      <c r="L4622" s="3">
        <v>6.879151E-2</v>
      </c>
    </row>
    <row r="4623" spans="1:12" x14ac:dyDescent="0.25">
      <c r="A4623" t="s">
        <v>3182</v>
      </c>
      <c r="B4623" t="s">
        <v>3183</v>
      </c>
      <c r="I4623" t="s">
        <v>3184</v>
      </c>
      <c r="J4623" s="3">
        <v>-0.35434480000000002</v>
      </c>
      <c r="K4623" s="3">
        <v>-0.19966300000000001</v>
      </c>
      <c r="L4623" s="3">
        <v>7.9936359999999998E-2</v>
      </c>
    </row>
    <row r="4624" spans="1:12" x14ac:dyDescent="0.25">
      <c r="A4624" t="s">
        <v>3181</v>
      </c>
      <c r="B4624" t="s">
        <v>957</v>
      </c>
      <c r="I4624" t="s">
        <v>455</v>
      </c>
      <c r="J4624" s="3">
        <v>0.25057370000000001</v>
      </c>
      <c r="K4624" s="3">
        <v>0.92091630000000002</v>
      </c>
      <c r="L4624" s="3">
        <v>0.10245559999999999</v>
      </c>
    </row>
    <row r="4625" spans="1:12" x14ac:dyDescent="0.25">
      <c r="A4625" t="s">
        <v>3180</v>
      </c>
      <c r="B4625" t="s">
        <v>957</v>
      </c>
      <c r="I4625" t="s">
        <v>228</v>
      </c>
      <c r="J4625" s="3">
        <v>-0.19227459999999999</v>
      </c>
      <c r="K4625" s="3">
        <v>0.49924269999999998</v>
      </c>
      <c r="L4625" s="3">
        <v>0.20742910000000001</v>
      </c>
    </row>
    <row r="4626" spans="1:12" x14ac:dyDescent="0.25">
      <c r="A4626" t="s">
        <v>3177</v>
      </c>
      <c r="B4626" t="s">
        <v>3178</v>
      </c>
      <c r="I4626" t="s">
        <v>3179</v>
      </c>
      <c r="J4626" s="3">
        <v>0.17490069999999999</v>
      </c>
      <c r="K4626" s="3">
        <v>0.2366634</v>
      </c>
      <c r="L4626" s="3">
        <v>0.1007152</v>
      </c>
    </row>
    <row r="4627" spans="1:12" x14ac:dyDescent="0.25">
      <c r="A4627" t="s">
        <v>3174</v>
      </c>
      <c r="B4627" t="s">
        <v>3175</v>
      </c>
      <c r="I4627" t="s">
        <v>3176</v>
      </c>
      <c r="J4627" s="3">
        <v>0.3585392</v>
      </c>
      <c r="K4627" s="3">
        <v>-9.0786689999999993E-3</v>
      </c>
      <c r="L4627" s="3">
        <v>0.28906700000000002</v>
      </c>
    </row>
    <row r="4628" spans="1:12" x14ac:dyDescent="0.25">
      <c r="A4628" t="s">
        <v>3171</v>
      </c>
      <c r="B4628" t="s">
        <v>3172</v>
      </c>
      <c r="I4628" t="s">
        <v>3173</v>
      </c>
      <c r="J4628" s="3">
        <v>3.9788419999999998E-2</v>
      </c>
      <c r="K4628" s="3">
        <v>0.22150239999999999</v>
      </c>
      <c r="L4628" s="3">
        <v>0.23606769999999999</v>
      </c>
    </row>
    <row r="4629" spans="1:12" x14ac:dyDescent="0.25">
      <c r="A4629" t="s">
        <v>2130</v>
      </c>
      <c r="B4629" t="s">
        <v>957</v>
      </c>
      <c r="I4629" t="s">
        <v>3170</v>
      </c>
      <c r="J4629" s="3">
        <v>0.30749520000000002</v>
      </c>
      <c r="K4629" s="3">
        <v>0.27659990000000001</v>
      </c>
      <c r="L4629" s="3">
        <v>3.1083469999999998E-2</v>
      </c>
    </row>
    <row r="4630" spans="1:12" x14ac:dyDescent="0.25">
      <c r="A4630" t="s">
        <v>2127</v>
      </c>
      <c r="B4630" t="s">
        <v>2128</v>
      </c>
      <c r="I4630" t="s">
        <v>2129</v>
      </c>
      <c r="J4630" s="3">
        <v>-0.53271409999999997</v>
      </c>
      <c r="K4630" s="3">
        <v>1.102986</v>
      </c>
      <c r="L4630" s="3">
        <v>1.1920729999999999</v>
      </c>
    </row>
    <row r="4631" spans="1:12" x14ac:dyDescent="0.25">
      <c r="A4631" t="s">
        <v>2124</v>
      </c>
      <c r="B4631" t="s">
        <v>2125</v>
      </c>
      <c r="I4631" t="s">
        <v>2126</v>
      </c>
      <c r="J4631" s="3">
        <v>-0.1364195</v>
      </c>
      <c r="K4631" s="3">
        <v>-0.13481689999999999</v>
      </c>
      <c r="L4631" s="3">
        <v>6.2033430000000001E-2</v>
      </c>
    </row>
    <row r="4632" spans="1:12" x14ac:dyDescent="0.25">
      <c r="A4632" t="s">
        <v>2121</v>
      </c>
      <c r="B4632" t="s">
        <v>2122</v>
      </c>
      <c r="I4632" t="s">
        <v>2123</v>
      </c>
      <c r="J4632" s="3">
        <v>-0.67364120000000005</v>
      </c>
      <c r="K4632" s="3">
        <v>-0.73969549999999995</v>
      </c>
      <c r="L4632" s="3">
        <v>-0.59766909999999995</v>
      </c>
    </row>
    <row r="4633" spans="1:12" x14ac:dyDescent="0.25">
      <c r="A4633" t="s">
        <v>2118</v>
      </c>
      <c r="B4633" t="s">
        <v>2119</v>
      </c>
      <c r="I4633" t="s">
        <v>2120</v>
      </c>
      <c r="J4633" s="3">
        <v>4.3339850000000003E-3</v>
      </c>
      <c r="K4633" s="3">
        <v>-0.21348700000000001</v>
      </c>
      <c r="L4633" s="3">
        <v>-6.2221690000000003E-2</v>
      </c>
    </row>
    <row r="4634" spans="1:12" x14ac:dyDescent="0.25">
      <c r="A4634" t="s">
        <v>3143</v>
      </c>
      <c r="B4634" t="s">
        <v>3144</v>
      </c>
      <c r="I4634" t="s">
        <v>3145</v>
      </c>
      <c r="J4634" s="3">
        <v>4.31946E-2</v>
      </c>
      <c r="K4634" s="3">
        <v>0.39734809999999998</v>
      </c>
      <c r="L4634" s="3">
        <v>0.3801677</v>
      </c>
    </row>
    <row r="4635" spans="1:12" x14ac:dyDescent="0.25">
      <c r="A4635" t="s">
        <v>3140</v>
      </c>
      <c r="B4635" t="s">
        <v>3141</v>
      </c>
      <c r="I4635" t="s">
        <v>3142</v>
      </c>
      <c r="J4635" s="3">
        <v>-0.1472048</v>
      </c>
      <c r="K4635" s="3">
        <v>-0.12713540000000001</v>
      </c>
      <c r="L4635" s="3">
        <v>-0.2419356</v>
      </c>
    </row>
    <row r="4636" spans="1:12" x14ac:dyDescent="0.25">
      <c r="A4636" t="s">
        <v>3137</v>
      </c>
      <c r="B4636" t="s">
        <v>3138</v>
      </c>
      <c r="I4636" t="s">
        <v>3139</v>
      </c>
      <c r="J4636" s="3">
        <v>-0.71637300000000004</v>
      </c>
      <c r="K4636" s="3">
        <v>-7.5015819999999997E-2</v>
      </c>
      <c r="L4636" s="3">
        <v>-0.58443679999999998</v>
      </c>
    </row>
    <row r="4637" spans="1:12" x14ac:dyDescent="0.25">
      <c r="A4637" t="s">
        <v>3134</v>
      </c>
      <c r="B4637" t="s">
        <v>3135</v>
      </c>
      <c r="I4637" t="s">
        <v>3136</v>
      </c>
      <c r="J4637" s="3">
        <v>0.1764471</v>
      </c>
      <c r="K4637" s="3">
        <v>-0.26569019999999999</v>
      </c>
      <c r="L4637" s="3">
        <v>0.48306660000000001</v>
      </c>
    </row>
    <row r="4638" spans="1:12" x14ac:dyDescent="0.25">
      <c r="A4638" t="s">
        <v>3133</v>
      </c>
      <c r="B4638" t="s">
        <v>957</v>
      </c>
      <c r="I4638" t="s">
        <v>455</v>
      </c>
      <c r="J4638" s="3">
        <v>-0.29232259999999999</v>
      </c>
      <c r="K4638" s="3">
        <v>-6.3591300000000003E-2</v>
      </c>
      <c r="L4638" s="3">
        <v>-0.244562</v>
      </c>
    </row>
    <row r="4639" spans="1:12" x14ac:dyDescent="0.25">
      <c r="A4639" t="s">
        <v>3130</v>
      </c>
      <c r="B4639" t="s">
        <v>3131</v>
      </c>
      <c r="I4639" t="s">
        <v>3132</v>
      </c>
      <c r="J4639" s="3">
        <v>0.3888527</v>
      </c>
      <c r="K4639" s="3">
        <v>-0.26943460000000002</v>
      </c>
      <c r="L4639" s="3">
        <v>0.26883839999999998</v>
      </c>
    </row>
    <row r="4640" spans="1:12" x14ac:dyDescent="0.25">
      <c r="A4640" t="s">
        <v>3127</v>
      </c>
      <c r="B4640" t="s">
        <v>3128</v>
      </c>
      <c r="I4640" t="s">
        <v>3129</v>
      </c>
      <c r="J4640" s="3">
        <v>-0.1116457</v>
      </c>
      <c r="K4640" s="3">
        <v>-0.72420019999999996</v>
      </c>
      <c r="L4640" s="3">
        <v>4.3729179999999999E-2</v>
      </c>
    </row>
    <row r="4641" spans="1:12" x14ac:dyDescent="0.25">
      <c r="A4641" t="s">
        <v>3124</v>
      </c>
      <c r="B4641" t="s">
        <v>3125</v>
      </c>
      <c r="I4641" t="s">
        <v>3126</v>
      </c>
      <c r="J4641" s="3">
        <v>0.50958150000000002</v>
      </c>
      <c r="K4641" s="3">
        <v>0.59733860000000005</v>
      </c>
      <c r="L4641" s="3">
        <v>0.33084849999999999</v>
      </c>
    </row>
    <row r="4642" spans="1:12" x14ac:dyDescent="0.25">
      <c r="A4642" t="s">
        <v>3123</v>
      </c>
      <c r="B4642" t="s">
        <v>957</v>
      </c>
      <c r="I4642" t="s">
        <v>455</v>
      </c>
      <c r="J4642" s="3">
        <v>-7.0565340000000004E-2</v>
      </c>
      <c r="K4642" s="3">
        <v>0.2382669</v>
      </c>
      <c r="L4642" s="3">
        <v>0.2733737</v>
      </c>
    </row>
    <row r="4643" spans="1:12" x14ac:dyDescent="0.25">
      <c r="A4643" t="s">
        <v>3120</v>
      </c>
      <c r="B4643" t="s">
        <v>3121</v>
      </c>
      <c r="I4643" t="s">
        <v>3122</v>
      </c>
      <c r="J4643" s="3">
        <v>0.45777640000000003</v>
      </c>
      <c r="K4643" s="3">
        <v>0.19521060000000001</v>
      </c>
      <c r="L4643" s="3">
        <v>0.47957709999999998</v>
      </c>
    </row>
    <row r="4644" spans="1:12" x14ac:dyDescent="0.25">
      <c r="A4644" t="s">
        <v>3117</v>
      </c>
      <c r="B4644" t="s">
        <v>3118</v>
      </c>
      <c r="I4644" t="s">
        <v>3119</v>
      </c>
      <c r="J4644" s="3">
        <v>0.24929200000000001</v>
      </c>
      <c r="K4644" s="3">
        <v>0.2214817</v>
      </c>
      <c r="L4644" s="3">
        <v>8.6276599999999995E-2</v>
      </c>
    </row>
    <row r="4645" spans="1:12" x14ac:dyDescent="0.25">
      <c r="A4645" t="s">
        <v>3114</v>
      </c>
      <c r="B4645" t="s">
        <v>3115</v>
      </c>
      <c r="I4645" t="s">
        <v>3116</v>
      </c>
      <c r="J4645" s="3">
        <v>-0.49265740000000002</v>
      </c>
      <c r="K4645" s="3">
        <v>0.1009468</v>
      </c>
      <c r="L4645" s="3">
        <v>-0.38039980000000001</v>
      </c>
    </row>
    <row r="4646" spans="1:12" x14ac:dyDescent="0.25">
      <c r="A4646" t="s">
        <v>3111</v>
      </c>
      <c r="B4646" t="s">
        <v>3112</v>
      </c>
      <c r="I4646" t="s">
        <v>3113</v>
      </c>
      <c r="J4646" s="3">
        <v>0.2360689</v>
      </c>
      <c r="K4646" s="3">
        <v>1.073591</v>
      </c>
      <c r="L4646" s="3">
        <v>0.3779691</v>
      </c>
    </row>
    <row r="4647" spans="1:12" x14ac:dyDescent="0.25">
      <c r="A4647" t="s">
        <v>3110</v>
      </c>
      <c r="B4647" t="s">
        <v>957</v>
      </c>
      <c r="I4647" t="s">
        <v>455</v>
      </c>
      <c r="J4647" s="3">
        <v>0.1351648</v>
      </c>
      <c r="K4647" s="3">
        <v>0.49043720000000002</v>
      </c>
      <c r="L4647" s="3">
        <v>0.1139662</v>
      </c>
    </row>
    <row r="4648" spans="1:12" x14ac:dyDescent="0.25">
      <c r="A4648" t="s">
        <v>3107</v>
      </c>
      <c r="B4648" t="s">
        <v>3108</v>
      </c>
      <c r="I4648" t="s">
        <v>3109</v>
      </c>
      <c r="J4648" s="3">
        <v>-2.9526279999999998E-2</v>
      </c>
      <c r="K4648" s="3">
        <v>-0.32945269999999999</v>
      </c>
      <c r="L4648" s="3">
        <v>-0.15273300000000001</v>
      </c>
    </row>
    <row r="4649" spans="1:12" x14ac:dyDescent="0.25">
      <c r="A4649" t="s">
        <v>3104</v>
      </c>
      <c r="B4649" t="s">
        <v>3105</v>
      </c>
      <c r="I4649" t="s">
        <v>3106</v>
      </c>
      <c r="J4649" s="3">
        <v>-0.66916359999999997</v>
      </c>
      <c r="K4649" s="3">
        <v>-1.066684</v>
      </c>
      <c r="L4649" s="3">
        <v>-0.42435509999999999</v>
      </c>
    </row>
    <row r="4650" spans="1:12" x14ac:dyDescent="0.25">
      <c r="A4650" t="s">
        <v>3101</v>
      </c>
      <c r="B4650" t="s">
        <v>3102</v>
      </c>
      <c r="I4650" t="s">
        <v>3103</v>
      </c>
      <c r="J4650" s="3">
        <v>-0.40975699999999998</v>
      </c>
      <c r="K4650" s="3">
        <v>-0.17665040000000001</v>
      </c>
      <c r="L4650" s="3">
        <v>-0.49792459999999999</v>
      </c>
    </row>
    <row r="4651" spans="1:12" x14ac:dyDescent="0.25">
      <c r="A4651" t="s">
        <v>3100</v>
      </c>
      <c r="B4651" t="s">
        <v>957</v>
      </c>
      <c r="I4651" t="s">
        <v>455</v>
      </c>
      <c r="J4651" s="3">
        <v>-0.1312924</v>
      </c>
      <c r="K4651" s="3">
        <v>-0.59930499999999998</v>
      </c>
      <c r="L4651" s="3">
        <v>-0.34265709999999999</v>
      </c>
    </row>
    <row r="4652" spans="1:12" x14ac:dyDescent="0.25">
      <c r="A4652" t="s">
        <v>3097</v>
      </c>
      <c r="B4652" t="s">
        <v>3098</v>
      </c>
      <c r="I4652" t="s">
        <v>3099</v>
      </c>
      <c r="J4652" s="3">
        <v>0.3366904</v>
      </c>
      <c r="K4652" s="3">
        <v>1.0055480000000001</v>
      </c>
      <c r="L4652" s="3">
        <v>0.2214824</v>
      </c>
    </row>
    <row r="4653" spans="1:12" x14ac:dyDescent="0.25">
      <c r="A4653" t="s">
        <v>3096</v>
      </c>
      <c r="B4653" t="s">
        <v>957</v>
      </c>
      <c r="I4653" t="s">
        <v>455</v>
      </c>
      <c r="J4653" s="3">
        <v>-0.88542330000000002</v>
      </c>
      <c r="K4653" s="3">
        <v>-1.192455</v>
      </c>
      <c r="L4653" s="3">
        <v>-0.91144879999999995</v>
      </c>
    </row>
    <row r="4654" spans="1:12" x14ac:dyDescent="0.25">
      <c r="A4654" t="s">
        <v>3095</v>
      </c>
      <c r="B4654" t="s">
        <v>957</v>
      </c>
      <c r="I4654" t="s">
        <v>455</v>
      </c>
      <c r="J4654" s="3">
        <v>0.76334979999999997</v>
      </c>
      <c r="K4654" s="3">
        <v>1.014427</v>
      </c>
      <c r="L4654" s="3">
        <v>0.65836329999999998</v>
      </c>
    </row>
    <row r="4655" spans="1:12" x14ac:dyDescent="0.25">
      <c r="A4655" t="s">
        <v>2391</v>
      </c>
      <c r="B4655" t="s">
        <v>2392</v>
      </c>
      <c r="I4655" t="s">
        <v>3094</v>
      </c>
      <c r="J4655" s="3">
        <v>-1.5382979999999999</v>
      </c>
      <c r="K4655" s="3">
        <v>-1.71123</v>
      </c>
      <c r="L4655" s="3">
        <v>-1.0115479999999999</v>
      </c>
    </row>
    <row r="4656" spans="1:12" x14ac:dyDescent="0.25">
      <c r="A4656" t="s">
        <v>2388</v>
      </c>
      <c r="B4656" t="s">
        <v>2389</v>
      </c>
      <c r="I4656" t="s">
        <v>2390</v>
      </c>
      <c r="J4656" s="3">
        <v>-0.27631519999999998</v>
      </c>
      <c r="K4656" s="3">
        <v>-0.75665260000000001</v>
      </c>
      <c r="L4656" s="3">
        <v>-0.44687080000000001</v>
      </c>
    </row>
    <row r="4657" spans="1:12" x14ac:dyDescent="0.25">
      <c r="A4657" t="s">
        <v>2387</v>
      </c>
      <c r="B4657" t="s">
        <v>957</v>
      </c>
      <c r="I4657" t="s">
        <v>455</v>
      </c>
      <c r="J4657" s="3">
        <v>-0.57637210000000005</v>
      </c>
      <c r="K4657" s="3">
        <v>-0.50587819999999994</v>
      </c>
      <c r="L4657" s="3">
        <v>-0.2297669</v>
      </c>
    </row>
    <row r="4658" spans="1:12" x14ac:dyDescent="0.25">
      <c r="A4658" t="s">
        <v>2384</v>
      </c>
      <c r="B4658" t="s">
        <v>2385</v>
      </c>
      <c r="I4658" t="s">
        <v>2386</v>
      </c>
      <c r="J4658" s="3">
        <v>0.11104029999999999</v>
      </c>
      <c r="K4658" s="3">
        <v>-9.2448790000000003E-2</v>
      </c>
      <c r="L4658" s="3">
        <v>5.8753670000000001E-2</v>
      </c>
    </row>
    <row r="4659" spans="1:12" x14ac:dyDescent="0.25">
      <c r="A4659" t="s">
        <v>2381</v>
      </c>
      <c r="B4659" t="s">
        <v>2382</v>
      </c>
      <c r="I4659" t="s">
        <v>2383</v>
      </c>
      <c r="J4659" s="3">
        <v>0.45498</v>
      </c>
      <c r="K4659" s="3">
        <v>0.3267929</v>
      </c>
      <c r="L4659" s="3">
        <v>0.13939180000000001</v>
      </c>
    </row>
    <row r="4660" spans="1:12" x14ac:dyDescent="0.25">
      <c r="A4660" t="s">
        <v>2378</v>
      </c>
      <c r="B4660" t="s">
        <v>2379</v>
      </c>
      <c r="I4660" t="s">
        <v>2380</v>
      </c>
      <c r="J4660" s="3">
        <v>0.48763139999999999</v>
      </c>
      <c r="K4660" s="3">
        <v>0.34033859999999999</v>
      </c>
      <c r="L4660" s="3">
        <v>0.29324</v>
      </c>
    </row>
    <row r="4661" spans="1:12" x14ac:dyDescent="0.25">
      <c r="A4661" t="s">
        <v>2377</v>
      </c>
      <c r="B4661" t="s">
        <v>957</v>
      </c>
      <c r="I4661" t="s">
        <v>455</v>
      </c>
      <c r="J4661" s="3">
        <v>-0.36867840000000002</v>
      </c>
      <c r="K4661" s="3">
        <v>-0.4284905</v>
      </c>
      <c r="L4661" s="3">
        <v>-0.23699500000000001</v>
      </c>
    </row>
    <row r="4662" spans="1:12" x14ac:dyDescent="0.25">
      <c r="A4662" t="s">
        <v>2374</v>
      </c>
      <c r="B4662" t="s">
        <v>2375</v>
      </c>
      <c r="I4662" t="s">
        <v>2376</v>
      </c>
      <c r="J4662" s="3">
        <v>0.53267759999999997</v>
      </c>
      <c r="K4662" s="3">
        <v>1.8063100000000001</v>
      </c>
      <c r="L4662" s="3">
        <v>0.61511709999999997</v>
      </c>
    </row>
    <row r="4663" spans="1:12" x14ac:dyDescent="0.25">
      <c r="A4663" t="s">
        <v>2371</v>
      </c>
      <c r="B4663" t="s">
        <v>2372</v>
      </c>
      <c r="I4663" t="s">
        <v>2373</v>
      </c>
      <c r="J4663" s="3">
        <v>6.645268E-2</v>
      </c>
      <c r="K4663" s="3">
        <v>-0.39989960000000002</v>
      </c>
      <c r="L4663" s="3">
        <v>2.5575830000000001E-2</v>
      </c>
    </row>
    <row r="4664" spans="1:12" x14ac:dyDescent="0.25">
      <c r="A4664" t="s">
        <v>2368</v>
      </c>
      <c r="B4664" t="s">
        <v>2369</v>
      </c>
      <c r="I4664" t="s">
        <v>2370</v>
      </c>
      <c r="J4664" s="3">
        <v>-0.24632789999999999</v>
      </c>
      <c r="K4664" s="3">
        <v>-0.37990930000000001</v>
      </c>
      <c r="L4664" s="3">
        <v>5.4909140000000002E-2</v>
      </c>
    </row>
    <row r="4665" spans="1:12" x14ac:dyDescent="0.25">
      <c r="A4665" t="s">
        <v>2365</v>
      </c>
      <c r="B4665" t="s">
        <v>2366</v>
      </c>
      <c r="I4665" t="s">
        <v>2367</v>
      </c>
      <c r="J4665" s="3">
        <v>-0.10158739999999999</v>
      </c>
      <c r="K4665" s="3">
        <v>2.841084E-2</v>
      </c>
      <c r="L4665" s="3">
        <v>-8.5863629999999996E-2</v>
      </c>
    </row>
    <row r="4666" spans="1:12" x14ac:dyDescent="0.25">
      <c r="A4666" t="s">
        <v>2362</v>
      </c>
      <c r="B4666" t="s">
        <v>2363</v>
      </c>
      <c r="I4666" t="s">
        <v>2364</v>
      </c>
      <c r="J4666" s="3">
        <v>0.16885439999999999</v>
      </c>
      <c r="K4666" s="3">
        <v>6.478304E-2</v>
      </c>
      <c r="L4666" s="3">
        <v>-0.1417187</v>
      </c>
    </row>
    <row r="4667" spans="1:12" x14ac:dyDescent="0.25">
      <c r="A4667" t="s">
        <v>2359</v>
      </c>
      <c r="B4667" t="s">
        <v>2360</v>
      </c>
      <c r="I4667" t="s">
        <v>2361</v>
      </c>
      <c r="J4667" s="3">
        <v>0.33686929999999998</v>
      </c>
      <c r="K4667" s="3">
        <v>0.54861289999999996</v>
      </c>
      <c r="L4667" s="3">
        <v>0.1204012</v>
      </c>
    </row>
    <row r="4668" spans="1:12" x14ac:dyDescent="0.25">
      <c r="A4668" t="s">
        <v>2358</v>
      </c>
      <c r="B4668" t="s">
        <v>957</v>
      </c>
      <c r="I4668" t="s">
        <v>455</v>
      </c>
      <c r="J4668" s="3">
        <v>0.38290069999999998</v>
      </c>
      <c r="K4668" s="3">
        <v>0.42923460000000002</v>
      </c>
      <c r="L4668" s="3">
        <v>0.41986370000000001</v>
      </c>
    </row>
    <row r="4669" spans="1:12" x14ac:dyDescent="0.25">
      <c r="A4669" t="s">
        <v>2355</v>
      </c>
      <c r="B4669" t="s">
        <v>2356</v>
      </c>
      <c r="I4669" t="s">
        <v>2357</v>
      </c>
      <c r="J4669" s="3">
        <v>0.47212019999999999</v>
      </c>
      <c r="K4669" s="3">
        <v>0.14290849999999999</v>
      </c>
      <c r="L4669" s="3">
        <v>0.26967160000000001</v>
      </c>
    </row>
    <row r="4670" spans="1:12" x14ac:dyDescent="0.25">
      <c r="A4670" t="s">
        <v>2353</v>
      </c>
      <c r="B4670" t="s">
        <v>957</v>
      </c>
      <c r="I4670" t="s">
        <v>2354</v>
      </c>
      <c r="J4670" s="3">
        <v>-0.35284500000000002</v>
      </c>
      <c r="K4670" s="3">
        <v>-0.3875728</v>
      </c>
      <c r="L4670" s="3">
        <v>-0.35645470000000001</v>
      </c>
    </row>
    <row r="4671" spans="1:12" x14ac:dyDescent="0.25">
      <c r="A4671" t="s">
        <v>2350</v>
      </c>
      <c r="B4671" t="s">
        <v>2351</v>
      </c>
      <c r="I4671" t="s">
        <v>2352</v>
      </c>
      <c r="J4671" s="3">
        <v>-1.033604</v>
      </c>
      <c r="K4671" s="3">
        <v>-1.648266</v>
      </c>
      <c r="L4671" s="3">
        <v>-1.0741350000000001</v>
      </c>
    </row>
    <row r="4672" spans="1:12" x14ac:dyDescent="0.25">
      <c r="A4672" t="s">
        <v>2347</v>
      </c>
      <c r="B4672" t="s">
        <v>2348</v>
      </c>
      <c r="I4672" t="s">
        <v>2349</v>
      </c>
      <c r="J4672" s="3">
        <v>-9.8783650000000001E-3</v>
      </c>
      <c r="K4672" s="3">
        <v>0.35020089999999998</v>
      </c>
      <c r="L4672" s="3">
        <v>4.1316180000000001E-2</v>
      </c>
    </row>
    <row r="4673" spans="1:12" x14ac:dyDescent="0.25">
      <c r="A4673" t="s">
        <v>2344</v>
      </c>
      <c r="B4673" t="s">
        <v>2345</v>
      </c>
      <c r="I4673" t="s">
        <v>2346</v>
      </c>
      <c r="J4673" s="3">
        <v>0.54120840000000003</v>
      </c>
      <c r="K4673" s="3">
        <v>0.60950800000000005</v>
      </c>
      <c r="L4673" s="3">
        <v>9.0115970000000004E-2</v>
      </c>
    </row>
    <row r="4674" spans="1:12" x14ac:dyDescent="0.25">
      <c r="A4674" t="s">
        <v>2343</v>
      </c>
      <c r="B4674" t="s">
        <v>957</v>
      </c>
      <c r="I4674" t="s">
        <v>455</v>
      </c>
      <c r="J4674" s="3">
        <v>-0.96450360000000002</v>
      </c>
      <c r="K4674" s="3">
        <v>-0.65800400000000003</v>
      </c>
      <c r="L4674" s="3">
        <v>-0.88450549999999994</v>
      </c>
    </row>
    <row r="4675" spans="1:12" x14ac:dyDescent="0.25">
      <c r="A4675" t="s">
        <v>2340</v>
      </c>
      <c r="B4675" t="s">
        <v>2341</v>
      </c>
      <c r="I4675" t="s">
        <v>2342</v>
      </c>
      <c r="J4675" s="3">
        <v>-0.43867279999999997</v>
      </c>
      <c r="K4675" s="3">
        <v>0.46612720000000002</v>
      </c>
      <c r="L4675" s="3">
        <v>-0.21154609999999999</v>
      </c>
    </row>
    <row r="4676" spans="1:12" x14ac:dyDescent="0.25">
      <c r="A4676" t="s">
        <v>2337</v>
      </c>
      <c r="B4676" t="s">
        <v>2338</v>
      </c>
      <c r="I4676" t="s">
        <v>2339</v>
      </c>
      <c r="J4676" s="3">
        <v>-0.69183779999999995</v>
      </c>
      <c r="K4676" s="3">
        <v>0.28147070000000002</v>
      </c>
      <c r="L4676" s="3">
        <v>-0.1735015</v>
      </c>
    </row>
    <row r="4677" spans="1:12" x14ac:dyDescent="0.25">
      <c r="A4677" t="s">
        <v>2334</v>
      </c>
      <c r="B4677" t="s">
        <v>2335</v>
      </c>
      <c r="I4677" t="s">
        <v>2336</v>
      </c>
      <c r="J4677" s="3">
        <v>0.4518141</v>
      </c>
      <c r="K4677" s="3">
        <v>1.4137150000000001</v>
      </c>
      <c r="L4677" s="3">
        <v>0.47903800000000002</v>
      </c>
    </row>
    <row r="4678" spans="1:12" x14ac:dyDescent="0.25">
      <c r="A4678" t="s">
        <v>2331</v>
      </c>
      <c r="B4678" t="s">
        <v>2332</v>
      </c>
      <c r="I4678" t="s">
        <v>2333</v>
      </c>
      <c r="J4678" s="3">
        <v>-0.78864210000000001</v>
      </c>
      <c r="K4678" s="3">
        <v>-1.300144</v>
      </c>
      <c r="L4678" s="3">
        <v>-0.69654819999999995</v>
      </c>
    </row>
    <row r="4679" spans="1:12" x14ac:dyDescent="0.25">
      <c r="A4679" t="s">
        <v>2328</v>
      </c>
      <c r="B4679" t="s">
        <v>2329</v>
      </c>
      <c r="I4679" t="s">
        <v>2330</v>
      </c>
      <c r="J4679" s="3">
        <v>0.1187563</v>
      </c>
      <c r="K4679" s="3">
        <v>0.28257460000000001</v>
      </c>
      <c r="L4679" s="3">
        <v>0.133356</v>
      </c>
    </row>
    <row r="4680" spans="1:12" x14ac:dyDescent="0.25">
      <c r="A4680" t="s">
        <v>2326</v>
      </c>
      <c r="B4680" t="s">
        <v>957</v>
      </c>
      <c r="I4680" t="s">
        <v>2327</v>
      </c>
      <c r="J4680" s="3">
        <v>-6.9029999999999994E-2</v>
      </c>
      <c r="K4680" s="3">
        <v>-0.3315669</v>
      </c>
      <c r="L4680" s="3">
        <v>-0.22886029999999999</v>
      </c>
    </row>
    <row r="4681" spans="1:12" x14ac:dyDescent="0.25">
      <c r="A4681" t="s">
        <v>2324</v>
      </c>
      <c r="B4681" t="s">
        <v>957</v>
      </c>
      <c r="I4681" t="s">
        <v>2325</v>
      </c>
      <c r="J4681" s="3">
        <v>0.32479059999999998</v>
      </c>
      <c r="K4681" s="3">
        <v>0.43090129999999999</v>
      </c>
      <c r="L4681" s="3">
        <v>0.22158330000000001</v>
      </c>
    </row>
    <row r="4682" spans="1:12" x14ac:dyDescent="0.25">
      <c r="A4682" t="s">
        <v>2321</v>
      </c>
      <c r="B4682" t="s">
        <v>2322</v>
      </c>
      <c r="I4682" t="s">
        <v>2323</v>
      </c>
      <c r="J4682" s="3">
        <v>-0.28556530000000002</v>
      </c>
      <c r="K4682" s="3">
        <v>-0.70167919999999995</v>
      </c>
      <c r="L4682" s="3">
        <v>-0.20241780000000001</v>
      </c>
    </row>
    <row r="4683" spans="1:12" x14ac:dyDescent="0.25">
      <c r="A4683" t="s">
        <v>2318</v>
      </c>
      <c r="B4683" t="s">
        <v>2319</v>
      </c>
      <c r="I4683" t="s">
        <v>2320</v>
      </c>
      <c r="J4683" s="3">
        <v>0.92741039999999997</v>
      </c>
      <c r="K4683" s="3">
        <v>1.2580819999999999</v>
      </c>
      <c r="L4683" s="3">
        <v>1.318198</v>
      </c>
    </row>
    <row r="4684" spans="1:12" x14ac:dyDescent="0.25">
      <c r="A4684" t="s">
        <v>2315</v>
      </c>
      <c r="B4684" t="s">
        <v>2316</v>
      </c>
      <c r="I4684" t="s">
        <v>2317</v>
      </c>
      <c r="J4684" s="3">
        <v>-0.38160509999999997</v>
      </c>
      <c r="K4684" s="3">
        <v>-0.86704899999999996</v>
      </c>
      <c r="L4684" s="3">
        <v>-0.72090319999999997</v>
      </c>
    </row>
    <row r="4685" spans="1:12" x14ac:dyDescent="0.25">
      <c r="A4685" t="s">
        <v>2312</v>
      </c>
      <c r="B4685" t="s">
        <v>2313</v>
      </c>
      <c r="I4685" t="s">
        <v>2314</v>
      </c>
      <c r="J4685" s="3">
        <v>0.2069764</v>
      </c>
      <c r="K4685" s="3">
        <v>0.34571030000000003</v>
      </c>
      <c r="L4685" s="3">
        <v>-5.0133030000000002E-2</v>
      </c>
    </row>
    <row r="4686" spans="1:12" x14ac:dyDescent="0.25">
      <c r="A4686" t="s">
        <v>2309</v>
      </c>
      <c r="B4686" t="s">
        <v>2310</v>
      </c>
      <c r="I4686" t="s">
        <v>2311</v>
      </c>
      <c r="J4686" s="3">
        <v>6.0217029999999998E-2</v>
      </c>
      <c r="K4686" s="3">
        <v>0.2176833</v>
      </c>
      <c r="L4686" s="3">
        <v>1.132054E-2</v>
      </c>
    </row>
    <row r="4687" spans="1:12" x14ac:dyDescent="0.25">
      <c r="A4687" t="s">
        <v>2307</v>
      </c>
      <c r="B4687" t="s">
        <v>957</v>
      </c>
      <c r="I4687" t="s">
        <v>2308</v>
      </c>
      <c r="J4687" s="3">
        <v>4.7330270000000001E-2</v>
      </c>
      <c r="K4687" s="3">
        <v>-6.9731559999999998E-2</v>
      </c>
      <c r="L4687" s="3">
        <v>9.5866439999999997E-2</v>
      </c>
    </row>
    <row r="4688" spans="1:12" x14ac:dyDescent="0.25">
      <c r="A4688" t="s">
        <v>2304</v>
      </c>
      <c r="B4688" t="s">
        <v>2305</v>
      </c>
      <c r="I4688" t="s">
        <v>2306</v>
      </c>
      <c r="J4688" s="3">
        <v>-0.26409559999999999</v>
      </c>
      <c r="K4688" s="3">
        <v>0.39851720000000002</v>
      </c>
      <c r="L4688" s="3">
        <v>-1.1766860000000001E-2</v>
      </c>
    </row>
    <row r="4689" spans="1:12" x14ac:dyDescent="0.25">
      <c r="A4689" t="s">
        <v>2978</v>
      </c>
      <c r="B4689" t="s">
        <v>2979</v>
      </c>
      <c r="I4689" t="s">
        <v>2303</v>
      </c>
      <c r="J4689" s="3">
        <v>9.3338000000000004E-2</v>
      </c>
      <c r="K4689" s="3">
        <v>0.53880019999999995</v>
      </c>
      <c r="L4689" s="3">
        <v>-0.2301782</v>
      </c>
    </row>
    <row r="4690" spans="1:12" x14ac:dyDescent="0.25">
      <c r="A4690" t="s">
        <v>2975</v>
      </c>
      <c r="B4690" t="s">
        <v>2976</v>
      </c>
      <c r="I4690" t="s">
        <v>2977</v>
      </c>
      <c r="J4690" s="3">
        <v>1.00099</v>
      </c>
      <c r="K4690" s="3">
        <v>0.99490179999999995</v>
      </c>
      <c r="L4690" s="3">
        <v>0.99616899999999997</v>
      </c>
    </row>
    <row r="4691" spans="1:12" x14ac:dyDescent="0.25">
      <c r="A4691" t="s">
        <v>2972</v>
      </c>
      <c r="B4691" t="s">
        <v>2973</v>
      </c>
      <c r="I4691" t="s">
        <v>2974</v>
      </c>
      <c r="J4691" s="3">
        <v>0.82906679999999999</v>
      </c>
      <c r="K4691" s="3">
        <v>0.89649880000000004</v>
      </c>
      <c r="L4691" s="3">
        <v>0.31549680000000002</v>
      </c>
    </row>
    <row r="4692" spans="1:12" x14ac:dyDescent="0.25">
      <c r="A4692" t="s">
        <v>2969</v>
      </c>
      <c r="B4692" t="s">
        <v>2970</v>
      </c>
      <c r="I4692" t="s">
        <v>2971</v>
      </c>
      <c r="J4692" s="3">
        <v>0.8455085</v>
      </c>
      <c r="K4692" s="3">
        <v>0.70253790000000005</v>
      </c>
      <c r="L4692" s="3">
        <v>0.58906639999999999</v>
      </c>
    </row>
    <row r="4693" spans="1:12" x14ac:dyDescent="0.25">
      <c r="A4693" t="s">
        <v>2966</v>
      </c>
      <c r="B4693" t="s">
        <v>2967</v>
      </c>
      <c r="I4693" t="s">
        <v>2968</v>
      </c>
      <c r="J4693" s="3">
        <v>-0.79627420000000004</v>
      </c>
      <c r="K4693" s="3">
        <v>-0.20129250000000001</v>
      </c>
      <c r="L4693" s="3">
        <v>-0.43258200000000002</v>
      </c>
    </row>
    <row r="4694" spans="1:12" x14ac:dyDescent="0.25">
      <c r="A4694" t="s">
        <v>2965</v>
      </c>
      <c r="B4694" t="s">
        <v>957</v>
      </c>
      <c r="I4694" t="s">
        <v>455</v>
      </c>
      <c r="J4694" s="3">
        <v>0.13963919999999999</v>
      </c>
      <c r="K4694" s="3">
        <v>0.53045059999999999</v>
      </c>
      <c r="L4694" s="3">
        <v>0.1032954</v>
      </c>
    </row>
    <row r="4695" spans="1:12" x14ac:dyDescent="0.25">
      <c r="A4695" t="s">
        <v>2964</v>
      </c>
      <c r="B4695" t="s">
        <v>957</v>
      </c>
      <c r="I4695" t="s">
        <v>455</v>
      </c>
      <c r="J4695" s="3">
        <v>-0.68488210000000005</v>
      </c>
      <c r="K4695" s="3">
        <v>1.467986</v>
      </c>
      <c r="L4695" s="3">
        <v>-0.1134568</v>
      </c>
    </row>
    <row r="4696" spans="1:12" x14ac:dyDescent="0.25">
      <c r="A4696" t="s">
        <v>2963</v>
      </c>
      <c r="B4696" t="s">
        <v>957</v>
      </c>
      <c r="I4696" t="s">
        <v>455</v>
      </c>
      <c r="J4696" s="3">
        <v>3.2538810000000001E-2</v>
      </c>
      <c r="K4696" s="3">
        <v>-1.8769190000000002E-2</v>
      </c>
      <c r="L4696" s="3">
        <v>-0.16459860000000001</v>
      </c>
    </row>
    <row r="4697" spans="1:12" x14ac:dyDescent="0.25">
      <c r="A4697" t="s">
        <v>2961</v>
      </c>
      <c r="B4697" t="s">
        <v>957</v>
      </c>
      <c r="I4697" t="s">
        <v>2962</v>
      </c>
      <c r="J4697" s="3">
        <v>-0.87908459999999999</v>
      </c>
      <c r="K4697" s="3">
        <v>0.357958</v>
      </c>
      <c r="L4697" s="3">
        <v>0.35365210000000002</v>
      </c>
    </row>
    <row r="4698" spans="1:12" x14ac:dyDescent="0.25">
      <c r="A4698" t="s">
        <v>2959</v>
      </c>
      <c r="B4698" t="s">
        <v>957</v>
      </c>
      <c r="I4698" t="s">
        <v>2960</v>
      </c>
      <c r="J4698" s="3">
        <v>0.66468280000000002</v>
      </c>
      <c r="K4698" s="3">
        <v>1.2130890000000001</v>
      </c>
      <c r="L4698" s="3">
        <v>0.84732249999999998</v>
      </c>
    </row>
    <row r="4699" spans="1:12" x14ac:dyDescent="0.25">
      <c r="A4699" t="s">
        <v>2958</v>
      </c>
      <c r="B4699" t="s">
        <v>957</v>
      </c>
      <c r="I4699" t="s">
        <v>455</v>
      </c>
      <c r="J4699" s="3">
        <v>0.30454959999999998</v>
      </c>
      <c r="K4699" s="3">
        <v>0.72682000000000002</v>
      </c>
      <c r="L4699" s="3">
        <v>6.8395569999999996E-3</v>
      </c>
    </row>
    <row r="4700" spans="1:12" x14ac:dyDescent="0.25">
      <c r="A4700" t="s">
        <v>2955</v>
      </c>
      <c r="B4700" t="s">
        <v>2956</v>
      </c>
      <c r="I4700" t="s">
        <v>2957</v>
      </c>
      <c r="J4700" s="3">
        <v>-0.72584879999999996</v>
      </c>
      <c r="K4700" s="3">
        <v>0.2596424</v>
      </c>
      <c r="L4700" s="3">
        <v>1.0460940000000001</v>
      </c>
    </row>
    <row r="4701" spans="1:12" x14ac:dyDescent="0.25">
      <c r="A4701" t="s">
        <v>2954</v>
      </c>
      <c r="B4701" t="s">
        <v>957</v>
      </c>
      <c r="I4701" t="s">
        <v>455</v>
      </c>
      <c r="J4701" s="3">
        <v>0.55803499999999995</v>
      </c>
      <c r="K4701" s="3">
        <v>-0.16570209999999999</v>
      </c>
      <c r="L4701" s="3">
        <v>-0.1959185</v>
      </c>
    </row>
    <row r="4702" spans="1:12" x14ac:dyDescent="0.25">
      <c r="A4702" t="s">
        <v>2951</v>
      </c>
      <c r="B4702" t="s">
        <v>2952</v>
      </c>
      <c r="I4702" t="s">
        <v>2953</v>
      </c>
      <c r="J4702" s="3">
        <v>0.4062828</v>
      </c>
      <c r="K4702" s="3">
        <v>-0.51544809999999996</v>
      </c>
      <c r="L4702" s="3">
        <v>-0.39346829999999999</v>
      </c>
    </row>
    <row r="4703" spans="1:12" x14ac:dyDescent="0.25">
      <c r="A4703" t="s">
        <v>2949</v>
      </c>
      <c r="B4703" t="s">
        <v>957</v>
      </c>
      <c r="I4703" t="s">
        <v>2950</v>
      </c>
      <c r="J4703" s="3">
        <v>0.18368300000000001</v>
      </c>
      <c r="K4703" s="3">
        <v>1.2300629999999999</v>
      </c>
      <c r="L4703" s="3">
        <v>0.18905810000000001</v>
      </c>
    </row>
    <row r="4704" spans="1:12" x14ac:dyDescent="0.25">
      <c r="A4704" t="s">
        <v>2948</v>
      </c>
      <c r="B4704" t="s">
        <v>957</v>
      </c>
      <c r="I4704" t="s">
        <v>455</v>
      </c>
      <c r="J4704" s="3">
        <v>0.95467950000000001</v>
      </c>
      <c r="K4704" s="3">
        <v>2.2774839999999998</v>
      </c>
      <c r="L4704" s="3">
        <v>0.62541150000000001</v>
      </c>
    </row>
    <row r="4705" spans="1:12" x14ac:dyDescent="0.25">
      <c r="A4705" t="s">
        <v>1949</v>
      </c>
      <c r="B4705" t="s">
        <v>14175</v>
      </c>
      <c r="C4705" t="s">
        <v>14176</v>
      </c>
      <c r="I4705" t="s">
        <v>2947</v>
      </c>
      <c r="J4705" s="3">
        <v>1.779623E-2</v>
      </c>
      <c r="K4705" s="3">
        <v>0.85536570000000001</v>
      </c>
      <c r="L4705" s="3">
        <v>0.1954157</v>
      </c>
    </row>
    <row r="4706" spans="1:12" x14ac:dyDescent="0.25">
      <c r="A4706" t="s">
        <v>2945</v>
      </c>
      <c r="B4706" t="s">
        <v>2946</v>
      </c>
      <c r="I4706" t="s">
        <v>1948</v>
      </c>
      <c r="J4706" s="3">
        <v>-0.53689730000000002</v>
      </c>
      <c r="K4706" s="3">
        <v>-1.3375380000000001E-3</v>
      </c>
      <c r="L4706" s="3">
        <v>7.3653350000000006E-2</v>
      </c>
    </row>
    <row r="4707" spans="1:12" x14ac:dyDescent="0.25">
      <c r="A4707" t="s">
        <v>2943</v>
      </c>
      <c r="B4707" t="s">
        <v>957</v>
      </c>
      <c r="I4707" t="s">
        <v>2944</v>
      </c>
      <c r="J4707" s="3">
        <v>9.1506019999999993E-2</v>
      </c>
      <c r="K4707" s="3">
        <v>0.3836562</v>
      </c>
      <c r="L4707" s="3">
        <v>1.279084E-2</v>
      </c>
    </row>
    <row r="4708" spans="1:12" x14ac:dyDescent="0.25">
      <c r="A4708" t="s">
        <v>2940</v>
      </c>
      <c r="B4708" t="s">
        <v>2941</v>
      </c>
      <c r="I4708" t="s">
        <v>2942</v>
      </c>
      <c r="J4708" s="3">
        <v>2.9251920000000001E-2</v>
      </c>
      <c r="K4708" s="3">
        <v>0.45973320000000001</v>
      </c>
      <c r="L4708" s="3">
        <v>0.27009460000000002</v>
      </c>
    </row>
    <row r="4709" spans="1:12" x14ac:dyDescent="0.25">
      <c r="A4709" t="s">
        <v>2937</v>
      </c>
      <c r="B4709" t="s">
        <v>2938</v>
      </c>
      <c r="I4709" t="s">
        <v>2939</v>
      </c>
      <c r="J4709" s="3">
        <v>-0.1079397</v>
      </c>
      <c r="K4709" s="3">
        <v>0.12971820000000001</v>
      </c>
      <c r="L4709" s="3">
        <v>-4.8505830000000003E-3</v>
      </c>
    </row>
    <row r="4710" spans="1:12" x14ac:dyDescent="0.25">
      <c r="A4710" t="s">
        <v>2934</v>
      </c>
      <c r="B4710" t="s">
        <v>2935</v>
      </c>
      <c r="I4710" t="s">
        <v>2936</v>
      </c>
      <c r="J4710" s="3">
        <v>0.29361619999999999</v>
      </c>
      <c r="K4710" s="3">
        <v>1.1606620000000001</v>
      </c>
      <c r="L4710" s="3">
        <v>0.37248340000000002</v>
      </c>
    </row>
    <row r="4711" spans="1:12" x14ac:dyDescent="0.25">
      <c r="A4711" t="s">
        <v>2932</v>
      </c>
      <c r="B4711" t="s">
        <v>957</v>
      </c>
      <c r="I4711" t="s">
        <v>2933</v>
      </c>
      <c r="J4711" s="3">
        <v>-0.30720769999999997</v>
      </c>
      <c r="K4711" s="3">
        <v>0.16489480000000001</v>
      </c>
      <c r="L4711" s="3">
        <v>-0.2494864</v>
      </c>
    </row>
    <row r="4712" spans="1:12" x14ac:dyDescent="0.25">
      <c r="A4712" t="s">
        <v>2929</v>
      </c>
      <c r="B4712" t="s">
        <v>2930</v>
      </c>
      <c r="I4712" t="s">
        <v>2931</v>
      </c>
      <c r="J4712" s="3">
        <v>-3.1491579999999998E-2</v>
      </c>
      <c r="K4712" s="3">
        <v>-0.67908270000000004</v>
      </c>
      <c r="L4712" s="3">
        <v>-5.8218989999999998E-2</v>
      </c>
    </row>
    <row r="4713" spans="1:12" x14ac:dyDescent="0.25">
      <c r="A4713" t="s">
        <v>2926</v>
      </c>
      <c r="B4713" t="s">
        <v>2927</v>
      </c>
      <c r="I4713" t="s">
        <v>2928</v>
      </c>
      <c r="J4713" s="3">
        <v>0.3058012</v>
      </c>
      <c r="K4713" s="3">
        <v>0.16373309999999999</v>
      </c>
      <c r="L4713" s="3">
        <v>0.3722085</v>
      </c>
    </row>
    <row r="4714" spans="1:12" x14ac:dyDescent="0.25">
      <c r="A4714" t="s">
        <v>2923</v>
      </c>
      <c r="B4714" t="s">
        <v>2924</v>
      </c>
      <c r="I4714" t="s">
        <v>2925</v>
      </c>
      <c r="J4714" s="3">
        <v>-4.601773E-2</v>
      </c>
      <c r="K4714" s="3">
        <v>-0.75262010000000001</v>
      </c>
      <c r="L4714" s="3">
        <v>-0.43461840000000002</v>
      </c>
    </row>
    <row r="4715" spans="1:12" x14ac:dyDescent="0.25">
      <c r="A4715" t="s">
        <v>2921</v>
      </c>
      <c r="B4715" t="s">
        <v>957</v>
      </c>
      <c r="I4715" t="s">
        <v>2922</v>
      </c>
      <c r="J4715" s="3">
        <v>-4.2737589999999999E-2</v>
      </c>
      <c r="K4715" s="3">
        <v>0.20097490000000001</v>
      </c>
      <c r="L4715" s="3">
        <v>0.8008729</v>
      </c>
    </row>
    <row r="4716" spans="1:12" x14ac:dyDescent="0.25">
      <c r="A4716" t="s">
        <v>2920</v>
      </c>
      <c r="B4716" t="s">
        <v>957</v>
      </c>
      <c r="I4716" t="s">
        <v>455</v>
      </c>
      <c r="J4716" s="3">
        <v>-9.3515580000000001E-2</v>
      </c>
      <c r="K4716" s="3">
        <v>0.4027828</v>
      </c>
      <c r="L4716" s="3">
        <v>0.25309320000000002</v>
      </c>
    </row>
    <row r="4717" spans="1:12" x14ac:dyDescent="0.25">
      <c r="A4717" t="s">
        <v>2917</v>
      </c>
      <c r="B4717" t="s">
        <v>2918</v>
      </c>
      <c r="I4717" t="s">
        <v>2919</v>
      </c>
      <c r="J4717" s="3">
        <v>-1.2451779999999999</v>
      </c>
      <c r="K4717" s="3">
        <v>-1.0346850000000001</v>
      </c>
      <c r="L4717" s="3">
        <v>-0.91214130000000004</v>
      </c>
    </row>
    <row r="4718" spans="1:12" x14ac:dyDescent="0.25">
      <c r="A4718" t="s">
        <v>2914</v>
      </c>
      <c r="B4718" t="s">
        <v>2915</v>
      </c>
      <c r="I4718" t="s">
        <v>2916</v>
      </c>
      <c r="J4718" s="3">
        <v>-0.27416790000000002</v>
      </c>
      <c r="K4718" s="3">
        <v>-0.69259119999999996</v>
      </c>
      <c r="L4718" s="3">
        <v>-0.7958615</v>
      </c>
    </row>
    <row r="4719" spans="1:12" x14ac:dyDescent="0.25">
      <c r="A4719" t="s">
        <v>2911</v>
      </c>
      <c r="B4719" t="s">
        <v>2912</v>
      </c>
      <c r="I4719" t="s">
        <v>2913</v>
      </c>
      <c r="J4719" s="3">
        <v>0.49315799999999999</v>
      </c>
      <c r="K4719" s="3">
        <v>0.78098400000000001</v>
      </c>
      <c r="L4719" s="3">
        <v>-0.1523448</v>
      </c>
    </row>
    <row r="4720" spans="1:12" x14ac:dyDescent="0.25">
      <c r="A4720" t="s">
        <v>2908</v>
      </c>
      <c r="B4720" t="s">
        <v>2909</v>
      </c>
      <c r="I4720" t="s">
        <v>2910</v>
      </c>
      <c r="J4720" s="3">
        <v>-0.21160519999999999</v>
      </c>
      <c r="K4720" s="3">
        <v>-0.3449663</v>
      </c>
      <c r="L4720" s="3">
        <v>-0.2450061</v>
      </c>
    </row>
    <row r="4721" spans="1:12" x14ac:dyDescent="0.25">
      <c r="A4721" t="s">
        <v>2905</v>
      </c>
      <c r="B4721" t="s">
        <v>2906</v>
      </c>
      <c r="I4721" t="s">
        <v>2907</v>
      </c>
      <c r="J4721" s="3">
        <v>-1.9688219999999999E-2</v>
      </c>
      <c r="K4721" s="3">
        <v>-0.42052339999999999</v>
      </c>
      <c r="L4721" s="3">
        <v>-8.6530819999999994E-2</v>
      </c>
    </row>
    <row r="4722" spans="1:12" x14ac:dyDescent="0.25">
      <c r="A4722" t="s">
        <v>2904</v>
      </c>
      <c r="B4722" t="s">
        <v>957</v>
      </c>
      <c r="I4722" t="s">
        <v>2852</v>
      </c>
      <c r="J4722" s="3">
        <v>-0.2318731</v>
      </c>
      <c r="K4722" s="3">
        <v>0.42525010000000002</v>
      </c>
      <c r="L4722" s="3">
        <v>0.35182269999999999</v>
      </c>
    </row>
    <row r="4723" spans="1:12" x14ac:dyDescent="0.25">
      <c r="A4723" t="s">
        <v>2903</v>
      </c>
      <c r="B4723" t="s">
        <v>957</v>
      </c>
      <c r="I4723" t="s">
        <v>455</v>
      </c>
      <c r="J4723" s="3">
        <v>-0.6908417</v>
      </c>
      <c r="K4723" s="3">
        <v>-0.25852000000000003</v>
      </c>
      <c r="L4723" s="3">
        <v>0.73488430000000005</v>
      </c>
    </row>
    <row r="4724" spans="1:12" x14ac:dyDescent="0.25">
      <c r="A4724" t="s">
        <v>2902</v>
      </c>
      <c r="B4724" t="s">
        <v>957</v>
      </c>
      <c r="I4724" t="s">
        <v>455</v>
      </c>
      <c r="J4724" s="3">
        <v>0.134716</v>
      </c>
      <c r="K4724" s="3">
        <v>-0.1411018</v>
      </c>
      <c r="L4724" s="3">
        <v>4.308207E-2</v>
      </c>
    </row>
    <row r="4725" spans="1:12" x14ac:dyDescent="0.25">
      <c r="A4725" t="s">
        <v>2899</v>
      </c>
      <c r="B4725" t="s">
        <v>2900</v>
      </c>
      <c r="I4725" t="s">
        <v>2901</v>
      </c>
      <c r="J4725" s="3">
        <v>0.2111797</v>
      </c>
      <c r="K4725" s="3">
        <v>-0.84655000000000002</v>
      </c>
      <c r="L4725" s="3">
        <v>0.18949450000000001</v>
      </c>
    </row>
    <row r="4726" spans="1:12" x14ac:dyDescent="0.25">
      <c r="A4726" t="s">
        <v>2896</v>
      </c>
      <c r="B4726" t="s">
        <v>2897</v>
      </c>
      <c r="I4726" t="s">
        <v>2898</v>
      </c>
      <c r="J4726" s="3">
        <v>0.19279170000000001</v>
      </c>
      <c r="K4726" s="3">
        <v>-1.8415069999999999E-2</v>
      </c>
      <c r="L4726" s="3">
        <v>0.40276079999999997</v>
      </c>
    </row>
    <row r="4727" spans="1:12" x14ac:dyDescent="0.25">
      <c r="A4727" t="s">
        <v>2893</v>
      </c>
      <c r="B4727" t="s">
        <v>2894</v>
      </c>
      <c r="I4727" t="s">
        <v>2895</v>
      </c>
      <c r="J4727" s="3">
        <v>7.8030440000000006E-2</v>
      </c>
      <c r="K4727" s="3">
        <v>-0.4921297</v>
      </c>
      <c r="L4727" s="3">
        <v>0.44274259999999999</v>
      </c>
    </row>
    <row r="4728" spans="1:12" x14ac:dyDescent="0.25">
      <c r="A4728" t="s">
        <v>2891</v>
      </c>
      <c r="B4728" t="s">
        <v>957</v>
      </c>
      <c r="I4728" t="s">
        <v>2892</v>
      </c>
      <c r="J4728" s="3">
        <v>0.93916299999999997</v>
      </c>
      <c r="K4728" s="3">
        <v>0.60306210000000005</v>
      </c>
      <c r="L4728" s="3">
        <v>-0.34999059999999999</v>
      </c>
    </row>
    <row r="4729" spans="1:12" x14ac:dyDescent="0.25">
      <c r="A4729" t="s">
        <v>2890</v>
      </c>
      <c r="B4729" t="s">
        <v>957</v>
      </c>
      <c r="I4729" t="s">
        <v>453</v>
      </c>
      <c r="J4729" s="3">
        <v>9.6894690000000006E-2</v>
      </c>
      <c r="K4729" s="3">
        <v>0.1226111</v>
      </c>
      <c r="L4729" s="3">
        <v>3.3319840000000003E-2</v>
      </c>
    </row>
    <row r="4730" spans="1:12" x14ac:dyDescent="0.25">
      <c r="A4730" t="s">
        <v>2887</v>
      </c>
      <c r="B4730" t="s">
        <v>2888</v>
      </c>
      <c r="I4730" t="s">
        <v>2889</v>
      </c>
      <c r="J4730" s="3">
        <v>0.3505759</v>
      </c>
      <c r="K4730" s="3">
        <v>-0.16734099999999999</v>
      </c>
      <c r="L4730" s="3">
        <v>0.35154570000000002</v>
      </c>
    </row>
    <row r="4731" spans="1:12" x14ac:dyDescent="0.25">
      <c r="A4731" t="s">
        <v>2884</v>
      </c>
      <c r="B4731" t="s">
        <v>2885</v>
      </c>
      <c r="I4731" t="s">
        <v>2886</v>
      </c>
      <c r="J4731" s="3">
        <v>0.29538940000000002</v>
      </c>
      <c r="K4731" s="3">
        <v>-0.36550579999999999</v>
      </c>
      <c r="L4731" s="3">
        <v>-2.2591159999999999E-2</v>
      </c>
    </row>
    <row r="4732" spans="1:12" x14ac:dyDescent="0.25">
      <c r="A4732" t="s">
        <v>2883</v>
      </c>
      <c r="B4732" t="s">
        <v>957</v>
      </c>
      <c r="I4732" t="s">
        <v>2</v>
      </c>
      <c r="J4732" s="3">
        <v>-0.42338209999999998</v>
      </c>
      <c r="K4732" s="3">
        <v>-0.26319310000000001</v>
      </c>
      <c r="L4732" s="3">
        <v>-0.17993190000000001</v>
      </c>
    </row>
    <row r="4733" spans="1:12" x14ac:dyDescent="0.25">
      <c r="A4733" t="s">
        <v>2880</v>
      </c>
      <c r="B4733" t="s">
        <v>2881</v>
      </c>
      <c r="I4733" t="s">
        <v>2882</v>
      </c>
      <c r="J4733" s="3">
        <v>-0.79749409999999998</v>
      </c>
      <c r="K4733" s="3">
        <v>-1.1368199999999999</v>
      </c>
      <c r="L4733" s="3">
        <v>-0.93533500000000003</v>
      </c>
    </row>
    <row r="4734" spans="1:12" x14ac:dyDescent="0.25">
      <c r="A4734" t="s">
        <v>2879</v>
      </c>
      <c r="B4734" t="s">
        <v>957</v>
      </c>
      <c r="I4734" t="s">
        <v>455</v>
      </c>
      <c r="J4734" s="3">
        <v>0.43825350000000002</v>
      </c>
      <c r="K4734" s="3">
        <v>0.54168539999999998</v>
      </c>
      <c r="L4734" s="3">
        <v>0.26666600000000001</v>
      </c>
    </row>
    <row r="4735" spans="1:12" x14ac:dyDescent="0.25">
      <c r="A4735" t="s">
        <v>2876</v>
      </c>
      <c r="B4735" t="s">
        <v>2877</v>
      </c>
      <c r="I4735" t="s">
        <v>2878</v>
      </c>
      <c r="J4735" s="3">
        <v>7.2153240000000004E-3</v>
      </c>
      <c r="K4735" s="3">
        <v>0.2089724</v>
      </c>
      <c r="L4735" s="3">
        <v>0.1143792</v>
      </c>
    </row>
    <row r="4736" spans="1:12" x14ac:dyDescent="0.25">
      <c r="A4736" t="s">
        <v>2873</v>
      </c>
      <c r="B4736" t="s">
        <v>2874</v>
      </c>
      <c r="I4736" t="s">
        <v>2875</v>
      </c>
      <c r="J4736" s="3">
        <v>0.28245759999999998</v>
      </c>
      <c r="K4736" s="3">
        <v>-2.8939920000000001E-2</v>
      </c>
      <c r="L4736" s="3">
        <v>0.41675010000000001</v>
      </c>
    </row>
    <row r="4737" spans="1:12" x14ac:dyDescent="0.25">
      <c r="A4737" t="s">
        <v>2870</v>
      </c>
      <c r="B4737" t="s">
        <v>2871</v>
      </c>
      <c r="I4737" t="s">
        <v>2872</v>
      </c>
      <c r="J4737" s="3">
        <v>-0.46562540000000002</v>
      </c>
      <c r="K4737" s="3">
        <v>-1.107985</v>
      </c>
      <c r="L4737" s="3">
        <v>-0.87086470000000005</v>
      </c>
    </row>
    <row r="4738" spans="1:12" x14ac:dyDescent="0.25">
      <c r="A4738" t="s">
        <v>2867</v>
      </c>
      <c r="B4738" t="s">
        <v>2868</v>
      </c>
      <c r="I4738" t="s">
        <v>2869</v>
      </c>
      <c r="J4738" s="3">
        <v>-0.70941540000000003</v>
      </c>
      <c r="K4738" s="3">
        <v>-0.93350120000000003</v>
      </c>
      <c r="L4738" s="3">
        <v>-0.7604358</v>
      </c>
    </row>
    <row r="4739" spans="1:12" x14ac:dyDescent="0.25">
      <c r="A4739" t="s">
        <v>2866</v>
      </c>
      <c r="B4739" t="s">
        <v>957</v>
      </c>
      <c r="I4739" t="s">
        <v>455</v>
      </c>
      <c r="J4739" s="3">
        <v>-0.73386119999999999</v>
      </c>
      <c r="K4739" s="3">
        <v>-0.89148850000000002</v>
      </c>
      <c r="L4739" s="3">
        <v>-0.64039469999999998</v>
      </c>
    </row>
    <row r="4740" spans="1:12" x14ac:dyDescent="0.25">
      <c r="A4740" t="s">
        <v>2864</v>
      </c>
      <c r="B4740" t="s">
        <v>2865</v>
      </c>
      <c r="I4740" t="s">
        <v>2611</v>
      </c>
      <c r="J4740" s="3">
        <v>0.23222519999999999</v>
      </c>
      <c r="K4740" s="3">
        <v>0.40277950000000001</v>
      </c>
      <c r="L4740" s="3">
        <v>0.31467329999999999</v>
      </c>
    </row>
    <row r="4741" spans="1:12" x14ac:dyDescent="0.25">
      <c r="A4741" t="s">
        <v>2861</v>
      </c>
      <c r="B4741" t="s">
        <v>2862</v>
      </c>
      <c r="I4741" t="s">
        <v>2863</v>
      </c>
      <c r="J4741" s="3">
        <v>-0.29849419999999999</v>
      </c>
      <c r="K4741" s="3">
        <v>-2.1888270000000001E-2</v>
      </c>
      <c r="L4741" s="3">
        <v>-0.1783623</v>
      </c>
    </row>
    <row r="4742" spans="1:12" x14ac:dyDescent="0.25">
      <c r="A4742" t="s">
        <v>2860</v>
      </c>
      <c r="B4742" t="s">
        <v>957</v>
      </c>
      <c r="I4742" t="s">
        <v>455</v>
      </c>
      <c r="J4742" s="3">
        <v>0.31074669999999999</v>
      </c>
      <c r="K4742" s="3">
        <v>0.2457647</v>
      </c>
      <c r="L4742" s="3">
        <v>0.79747619999999997</v>
      </c>
    </row>
    <row r="4743" spans="1:12" x14ac:dyDescent="0.25">
      <c r="A4743" t="s">
        <v>2857</v>
      </c>
      <c r="B4743" t="s">
        <v>2858</v>
      </c>
      <c r="I4743" t="s">
        <v>2859</v>
      </c>
      <c r="J4743" s="3">
        <v>-0.62438610000000005</v>
      </c>
      <c r="K4743" s="3">
        <v>-0.54198670000000004</v>
      </c>
      <c r="L4743" s="3">
        <v>-0.52977260000000004</v>
      </c>
    </row>
    <row r="4744" spans="1:12" x14ac:dyDescent="0.25">
      <c r="A4744" t="s">
        <v>2854</v>
      </c>
      <c r="B4744" t="s">
        <v>2855</v>
      </c>
      <c r="I4744" t="s">
        <v>2856</v>
      </c>
      <c r="J4744" s="3">
        <v>0.15557270000000001</v>
      </c>
      <c r="K4744" s="3">
        <v>0.24431159999999999</v>
      </c>
      <c r="L4744" s="3">
        <v>0.1180928</v>
      </c>
    </row>
    <row r="4745" spans="1:12" x14ac:dyDescent="0.25">
      <c r="A4745" t="s">
        <v>2853</v>
      </c>
      <c r="B4745" t="s">
        <v>957</v>
      </c>
      <c r="I4745" t="s">
        <v>228</v>
      </c>
      <c r="J4745" s="3">
        <v>-0.80628200000000005</v>
      </c>
      <c r="K4745" s="3">
        <v>-1.2692969999999999</v>
      </c>
      <c r="L4745" s="3">
        <v>-0.92526549999999996</v>
      </c>
    </row>
    <row r="4746" spans="1:12" x14ac:dyDescent="0.25">
      <c r="A4746" t="s">
        <v>2851</v>
      </c>
      <c r="B4746" t="s">
        <v>957</v>
      </c>
      <c r="I4746" t="s">
        <v>2852</v>
      </c>
      <c r="J4746" s="3">
        <v>0.56344349999999999</v>
      </c>
      <c r="K4746" s="3">
        <v>1.047353</v>
      </c>
      <c r="L4746" s="3">
        <v>0.99928859999999997</v>
      </c>
    </row>
    <row r="4747" spans="1:12" x14ac:dyDescent="0.25">
      <c r="A4747" t="s">
        <v>2849</v>
      </c>
      <c r="B4747" t="s">
        <v>2850</v>
      </c>
      <c r="I4747" t="s">
        <v>1565</v>
      </c>
      <c r="J4747" s="3">
        <v>-2.7248519999999998E-2</v>
      </c>
      <c r="K4747" s="3">
        <v>-0.38600760000000001</v>
      </c>
      <c r="L4747" s="3">
        <v>4.5525469999999998E-2</v>
      </c>
    </row>
    <row r="4748" spans="1:12" x14ac:dyDescent="0.25">
      <c r="A4748" t="s">
        <v>2846</v>
      </c>
      <c r="B4748" t="s">
        <v>2847</v>
      </c>
      <c r="I4748" t="s">
        <v>2848</v>
      </c>
      <c r="J4748" s="3">
        <v>0.87780899999999995</v>
      </c>
      <c r="K4748" s="3">
        <v>1.1002350000000001</v>
      </c>
      <c r="L4748" s="3">
        <v>1.0341370000000001</v>
      </c>
    </row>
    <row r="4749" spans="1:12" x14ac:dyDescent="0.25">
      <c r="A4749" t="s">
        <v>2843</v>
      </c>
      <c r="B4749" t="s">
        <v>2844</v>
      </c>
      <c r="I4749" t="s">
        <v>2845</v>
      </c>
      <c r="J4749" s="3">
        <v>0.66744079999999995</v>
      </c>
      <c r="K4749" s="3">
        <v>0.53336859999999997</v>
      </c>
      <c r="L4749" s="3">
        <v>0.64083279999999998</v>
      </c>
    </row>
    <row r="4750" spans="1:12" x14ac:dyDescent="0.25">
      <c r="A4750" t="s">
        <v>2840</v>
      </c>
      <c r="B4750" t="s">
        <v>2841</v>
      </c>
      <c r="I4750" t="s">
        <v>2842</v>
      </c>
      <c r="J4750" s="3">
        <v>9.0239669999999994E-2</v>
      </c>
      <c r="K4750" s="3">
        <v>-3.9731719999999998E-2</v>
      </c>
      <c r="L4750" s="3">
        <v>-0.13170390000000001</v>
      </c>
    </row>
    <row r="4751" spans="1:12" x14ac:dyDescent="0.25">
      <c r="A4751" t="s">
        <v>2837</v>
      </c>
      <c r="B4751" t="s">
        <v>2838</v>
      </c>
      <c r="I4751" t="s">
        <v>2839</v>
      </c>
      <c r="J4751" s="3">
        <v>-0.1870473</v>
      </c>
      <c r="K4751" s="3">
        <v>0.3453349</v>
      </c>
      <c r="L4751" s="3">
        <v>-0.1854691</v>
      </c>
    </row>
    <row r="4752" spans="1:12" x14ac:dyDescent="0.25">
      <c r="A4752" t="s">
        <v>2834</v>
      </c>
      <c r="B4752" t="s">
        <v>2835</v>
      </c>
      <c r="I4752" t="s">
        <v>2836</v>
      </c>
      <c r="J4752" s="3">
        <v>-0.27608369999999999</v>
      </c>
      <c r="K4752" s="3">
        <v>-0.60402270000000002</v>
      </c>
      <c r="L4752" s="3">
        <v>-7.9760330000000004E-2</v>
      </c>
    </row>
    <row r="4753" spans="1:12" x14ac:dyDescent="0.25">
      <c r="A4753" t="s">
        <v>2831</v>
      </c>
      <c r="B4753" t="s">
        <v>2832</v>
      </c>
      <c r="I4753" t="s">
        <v>2833</v>
      </c>
      <c r="J4753" s="3">
        <v>-6.3723009999999997E-2</v>
      </c>
      <c r="K4753" s="3">
        <v>-0.47941119999999998</v>
      </c>
      <c r="L4753" s="3">
        <v>9.7602800000000003E-2</v>
      </c>
    </row>
    <row r="4754" spans="1:12" x14ac:dyDescent="0.25">
      <c r="A4754" t="s">
        <v>2828</v>
      </c>
      <c r="B4754" t="s">
        <v>2829</v>
      </c>
      <c r="I4754" t="s">
        <v>2830</v>
      </c>
      <c r="J4754" s="3">
        <v>-0.18634890000000001</v>
      </c>
      <c r="K4754" s="3">
        <v>-0.54370790000000002</v>
      </c>
      <c r="L4754" s="3">
        <v>-0.47843259999999999</v>
      </c>
    </row>
    <row r="4755" spans="1:12" x14ac:dyDescent="0.25">
      <c r="A4755" t="s">
        <v>2827</v>
      </c>
      <c r="B4755" t="s">
        <v>957</v>
      </c>
      <c r="I4755" t="s">
        <v>475</v>
      </c>
      <c r="J4755" s="3">
        <v>-0.2068102</v>
      </c>
      <c r="K4755" s="3">
        <v>0.17184959999999999</v>
      </c>
      <c r="L4755" s="3">
        <v>0.13306770000000001</v>
      </c>
    </row>
    <row r="4756" spans="1:12" x14ac:dyDescent="0.25">
      <c r="A4756" t="s">
        <v>2826</v>
      </c>
      <c r="B4756" t="s">
        <v>957</v>
      </c>
      <c r="I4756" t="s">
        <v>455</v>
      </c>
      <c r="J4756" s="3">
        <v>-1.343637E-2</v>
      </c>
      <c r="K4756" s="3">
        <v>0.40011059999999998</v>
      </c>
      <c r="L4756" s="3">
        <v>0.24352560000000001</v>
      </c>
    </row>
    <row r="4757" spans="1:12" x14ac:dyDescent="0.25">
      <c r="A4757" t="s">
        <v>2823</v>
      </c>
      <c r="B4757" t="s">
        <v>2824</v>
      </c>
      <c r="I4757" t="s">
        <v>2825</v>
      </c>
      <c r="J4757" s="3">
        <v>-1.3455190000000001E-2</v>
      </c>
      <c r="K4757" s="3">
        <v>-0.34745480000000001</v>
      </c>
      <c r="L4757" s="3">
        <v>7.4547939999999998E-3</v>
      </c>
    </row>
    <row r="4758" spans="1:12" x14ac:dyDescent="0.25">
      <c r="A4758" t="s">
        <v>2301</v>
      </c>
      <c r="B4758" t="s">
        <v>2302</v>
      </c>
      <c r="I4758" t="s">
        <v>2822</v>
      </c>
      <c r="J4758" s="3">
        <v>0.36422640000000001</v>
      </c>
      <c r="K4758" s="3">
        <v>-0.35766579999999998</v>
      </c>
      <c r="L4758" s="3">
        <v>8.3203100000000002E-2</v>
      </c>
    </row>
    <row r="4759" spans="1:12" x14ac:dyDescent="0.25">
      <c r="A4759" t="s">
        <v>2298</v>
      </c>
      <c r="B4759" t="s">
        <v>2299</v>
      </c>
      <c r="I4759" t="s">
        <v>2300</v>
      </c>
      <c r="J4759" s="3">
        <v>3.8426189999999999E-2</v>
      </c>
      <c r="K4759" s="3">
        <v>0.67760469999999995</v>
      </c>
      <c r="L4759" s="3">
        <v>0.33197019999999999</v>
      </c>
    </row>
    <row r="4760" spans="1:12" x14ac:dyDescent="0.25">
      <c r="A4760" t="s">
        <v>2295</v>
      </c>
      <c r="B4760" t="s">
        <v>2296</v>
      </c>
      <c r="I4760" t="s">
        <v>2297</v>
      </c>
      <c r="J4760" s="3">
        <v>0.20313290000000001</v>
      </c>
      <c r="K4760" s="3">
        <v>0.16961809999999999</v>
      </c>
      <c r="L4760" s="3">
        <v>0.13592099999999999</v>
      </c>
    </row>
    <row r="4761" spans="1:12" x14ac:dyDescent="0.25">
      <c r="A4761" t="s">
        <v>2294</v>
      </c>
      <c r="B4761" t="s">
        <v>957</v>
      </c>
      <c r="I4761" t="s">
        <v>455</v>
      </c>
      <c r="J4761" s="3">
        <v>-0.88371330000000003</v>
      </c>
      <c r="K4761" s="3">
        <v>-1.3242290000000001</v>
      </c>
      <c r="L4761" s="3">
        <v>-0.50698880000000002</v>
      </c>
    </row>
    <row r="4762" spans="1:12" x14ac:dyDescent="0.25">
      <c r="A4762" t="s">
        <v>2292</v>
      </c>
      <c r="B4762" t="s">
        <v>957</v>
      </c>
      <c r="I4762" t="s">
        <v>2293</v>
      </c>
      <c r="J4762" s="3">
        <v>-0.13939589999999999</v>
      </c>
      <c r="K4762" s="3">
        <v>-0.52579779999999998</v>
      </c>
      <c r="L4762" s="3">
        <v>-4.3162499999999999E-2</v>
      </c>
    </row>
    <row r="4763" spans="1:12" x14ac:dyDescent="0.25">
      <c r="A4763" t="s">
        <v>2116</v>
      </c>
      <c r="B4763" t="s">
        <v>2117</v>
      </c>
      <c r="I4763" t="s">
        <v>2291</v>
      </c>
      <c r="J4763" s="3">
        <v>0.80172940000000004</v>
      </c>
      <c r="K4763" s="3">
        <v>0.61955369999999998</v>
      </c>
      <c r="L4763" s="3">
        <v>0.66629159999999998</v>
      </c>
    </row>
    <row r="4764" spans="1:12" x14ac:dyDescent="0.25">
      <c r="A4764" t="s">
        <v>2113</v>
      </c>
      <c r="B4764" t="s">
        <v>2114</v>
      </c>
      <c r="I4764" t="s">
        <v>2115</v>
      </c>
      <c r="J4764" s="3">
        <v>0.19028639999999999</v>
      </c>
      <c r="K4764" s="3">
        <v>0.3291152</v>
      </c>
      <c r="L4764" s="3">
        <v>1.405897E-2</v>
      </c>
    </row>
    <row r="4765" spans="1:12" x14ac:dyDescent="0.25">
      <c r="A4765" t="s">
        <v>2112</v>
      </c>
      <c r="B4765" t="s">
        <v>957</v>
      </c>
      <c r="I4765" t="s">
        <v>2008</v>
      </c>
      <c r="J4765" s="3">
        <v>0.69222130000000004</v>
      </c>
      <c r="K4765" s="3">
        <v>0.91438980000000003</v>
      </c>
      <c r="L4765" s="3">
        <v>0.47402440000000001</v>
      </c>
    </row>
    <row r="4766" spans="1:12" x14ac:dyDescent="0.25">
      <c r="A4766" t="s">
        <v>2109</v>
      </c>
      <c r="B4766" t="s">
        <v>2110</v>
      </c>
      <c r="I4766" t="s">
        <v>2111</v>
      </c>
      <c r="J4766" s="3">
        <v>-0.30286269999999998</v>
      </c>
      <c r="K4766" s="3">
        <v>-0.252965</v>
      </c>
      <c r="L4766" s="3">
        <v>-0.48867939999999999</v>
      </c>
    </row>
    <row r="4767" spans="1:12" x14ac:dyDescent="0.25">
      <c r="A4767" t="s">
        <v>2106</v>
      </c>
      <c r="B4767" t="s">
        <v>2107</v>
      </c>
      <c r="I4767" t="s">
        <v>2108</v>
      </c>
      <c r="J4767" s="3">
        <v>0.50526950000000004</v>
      </c>
      <c r="K4767" s="3">
        <v>1.3242119999999999</v>
      </c>
      <c r="L4767" s="3">
        <v>0.9537755</v>
      </c>
    </row>
    <row r="4768" spans="1:12" x14ac:dyDescent="0.25">
      <c r="A4768" t="s">
        <v>2103</v>
      </c>
      <c r="B4768" t="s">
        <v>2104</v>
      </c>
      <c r="I4768" t="s">
        <v>2105</v>
      </c>
      <c r="J4768" s="3">
        <v>6.9498509999999999E-2</v>
      </c>
      <c r="K4768" s="3">
        <v>-0.25905869999999998</v>
      </c>
      <c r="L4768" s="3">
        <v>-0.27957729999999997</v>
      </c>
    </row>
    <row r="4769" spans="1:12" x14ac:dyDescent="0.25">
      <c r="A4769" t="s">
        <v>2100</v>
      </c>
      <c r="B4769" t="s">
        <v>2101</v>
      </c>
      <c r="I4769" t="s">
        <v>2102</v>
      </c>
      <c r="J4769" s="3">
        <v>1.59252E-2</v>
      </c>
      <c r="K4769" s="3">
        <v>0.34728520000000002</v>
      </c>
      <c r="L4769" s="3">
        <v>9.7251669999999998E-3</v>
      </c>
    </row>
    <row r="4770" spans="1:12" x14ac:dyDescent="0.25">
      <c r="A4770" t="s">
        <v>2097</v>
      </c>
      <c r="B4770" t="s">
        <v>2098</v>
      </c>
      <c r="I4770" t="s">
        <v>2099</v>
      </c>
      <c r="J4770" s="3">
        <v>-9.2628650000000007E-2</v>
      </c>
      <c r="K4770" s="3">
        <v>7.1647699999999995E-2</v>
      </c>
      <c r="L4770" s="3">
        <v>6.0106319999999998E-2</v>
      </c>
    </row>
    <row r="4771" spans="1:12" x14ac:dyDescent="0.25">
      <c r="A4771" t="s">
        <v>2095</v>
      </c>
      <c r="B4771" t="s">
        <v>957</v>
      </c>
      <c r="I4771" t="s">
        <v>2096</v>
      </c>
      <c r="J4771" s="3">
        <v>0.40074979999999999</v>
      </c>
      <c r="K4771" s="3">
        <v>0.52161979999999997</v>
      </c>
      <c r="L4771" s="3">
        <v>0.31016250000000001</v>
      </c>
    </row>
    <row r="4772" spans="1:12" x14ac:dyDescent="0.25">
      <c r="A4772" t="s">
        <v>2092</v>
      </c>
      <c r="B4772" t="s">
        <v>2093</v>
      </c>
      <c r="I4772" t="s">
        <v>2094</v>
      </c>
      <c r="J4772" s="3">
        <v>0.15337110000000001</v>
      </c>
      <c r="K4772" s="3">
        <v>0.53634859999999995</v>
      </c>
      <c r="L4772" s="3">
        <v>-0.216312</v>
      </c>
    </row>
    <row r="4773" spans="1:12" x14ac:dyDescent="0.25">
      <c r="A4773" t="s">
        <v>2089</v>
      </c>
      <c r="B4773" t="s">
        <v>2090</v>
      </c>
      <c r="I4773" t="s">
        <v>2091</v>
      </c>
      <c r="J4773" s="3">
        <v>0.97117790000000004</v>
      </c>
      <c r="K4773" s="3">
        <v>0.91547140000000005</v>
      </c>
      <c r="L4773" s="3">
        <v>1.0423279999999999</v>
      </c>
    </row>
    <row r="4774" spans="1:12" x14ac:dyDescent="0.25">
      <c r="A4774" t="s">
        <v>2086</v>
      </c>
      <c r="B4774" t="s">
        <v>2087</v>
      </c>
      <c r="I4774" t="s">
        <v>2088</v>
      </c>
      <c r="J4774" s="3">
        <v>0.2087668</v>
      </c>
      <c r="K4774" s="3">
        <v>0.44344719999999999</v>
      </c>
      <c r="L4774" s="3">
        <v>1.3380700000000001E-2</v>
      </c>
    </row>
    <row r="4775" spans="1:12" x14ac:dyDescent="0.25">
      <c r="A4775" t="s">
        <v>2083</v>
      </c>
      <c r="B4775" t="s">
        <v>2084</v>
      </c>
      <c r="I4775" t="s">
        <v>2085</v>
      </c>
      <c r="J4775" s="3">
        <v>-0.32690219999999998</v>
      </c>
      <c r="K4775" s="3">
        <v>-0.6894247</v>
      </c>
      <c r="L4775" s="3">
        <v>-0.57688159999999999</v>
      </c>
    </row>
    <row r="4776" spans="1:12" x14ac:dyDescent="0.25">
      <c r="A4776" t="s">
        <v>2080</v>
      </c>
      <c r="B4776" t="s">
        <v>2081</v>
      </c>
      <c r="I4776" t="s">
        <v>2082</v>
      </c>
      <c r="J4776" s="3">
        <v>-0.12797449999999999</v>
      </c>
      <c r="K4776" s="3">
        <v>-0.71698269999999997</v>
      </c>
      <c r="L4776" s="3">
        <v>-0.47336739999999999</v>
      </c>
    </row>
    <row r="4777" spans="1:12" x14ac:dyDescent="0.25">
      <c r="A4777" t="s">
        <v>2077</v>
      </c>
      <c r="B4777" t="s">
        <v>2078</v>
      </c>
      <c r="I4777" t="s">
        <v>2079</v>
      </c>
      <c r="J4777" s="3">
        <v>-0.75972280000000003</v>
      </c>
      <c r="K4777" s="3">
        <v>-1.1079220000000001</v>
      </c>
      <c r="L4777" s="3">
        <v>-0.7474826</v>
      </c>
    </row>
    <row r="4778" spans="1:12" x14ac:dyDescent="0.25">
      <c r="A4778" t="s">
        <v>2075</v>
      </c>
      <c r="B4778" t="s">
        <v>957</v>
      </c>
      <c r="I4778" t="s">
        <v>2076</v>
      </c>
      <c r="J4778" s="3">
        <v>-0.43003740000000001</v>
      </c>
      <c r="K4778" s="3">
        <v>-0.62835430000000003</v>
      </c>
      <c r="L4778" s="3">
        <v>-0.1328674</v>
      </c>
    </row>
    <row r="4779" spans="1:12" x14ac:dyDescent="0.25">
      <c r="A4779" t="s">
        <v>2072</v>
      </c>
      <c r="B4779" t="s">
        <v>2073</v>
      </c>
      <c r="I4779" t="s">
        <v>2074</v>
      </c>
      <c r="J4779" s="3">
        <v>0.49922339999999998</v>
      </c>
      <c r="K4779" s="3">
        <v>-0.35350520000000002</v>
      </c>
      <c r="L4779" s="3">
        <v>0.46036169999999998</v>
      </c>
    </row>
    <row r="4780" spans="1:12" x14ac:dyDescent="0.25">
      <c r="A4780" t="s">
        <v>2069</v>
      </c>
      <c r="B4780" t="s">
        <v>2070</v>
      </c>
      <c r="I4780" t="s">
        <v>2071</v>
      </c>
      <c r="J4780" s="3">
        <v>0.28001690000000001</v>
      </c>
      <c r="K4780" s="3">
        <v>0.21230560000000001</v>
      </c>
      <c r="L4780" s="3">
        <v>0.15939220000000001</v>
      </c>
    </row>
    <row r="4781" spans="1:12" x14ac:dyDescent="0.25">
      <c r="A4781" t="s">
        <v>2068</v>
      </c>
      <c r="B4781" t="s">
        <v>957</v>
      </c>
      <c r="I4781" t="s">
        <v>455</v>
      </c>
      <c r="J4781" s="3">
        <v>1.0492969999999999</v>
      </c>
      <c r="K4781" s="3">
        <v>1.338436</v>
      </c>
      <c r="L4781" s="3">
        <v>0.92410230000000004</v>
      </c>
    </row>
    <row r="4782" spans="1:12" x14ac:dyDescent="0.25">
      <c r="A4782" t="s">
        <v>2067</v>
      </c>
      <c r="B4782" t="s">
        <v>957</v>
      </c>
      <c r="I4782" t="s">
        <v>455</v>
      </c>
      <c r="J4782" s="3">
        <v>0.39883400000000002</v>
      </c>
      <c r="K4782" s="3">
        <v>0.84899119999999995</v>
      </c>
      <c r="L4782" s="3">
        <v>0.43297950000000002</v>
      </c>
    </row>
    <row r="4783" spans="1:12" x14ac:dyDescent="0.25">
      <c r="A4783" t="s">
        <v>2064</v>
      </c>
      <c r="B4783" t="s">
        <v>2065</v>
      </c>
      <c r="I4783" t="s">
        <v>2066</v>
      </c>
      <c r="J4783" s="3">
        <v>-0.36584689999999997</v>
      </c>
      <c r="K4783" s="3">
        <v>-0.77897349999999999</v>
      </c>
      <c r="L4783" s="3">
        <v>-0.44232050000000001</v>
      </c>
    </row>
    <row r="4784" spans="1:12" x14ac:dyDescent="0.25">
      <c r="A4784" t="s">
        <v>2061</v>
      </c>
      <c r="B4784" t="s">
        <v>2062</v>
      </c>
      <c r="I4784" t="s">
        <v>2063</v>
      </c>
      <c r="J4784" s="3">
        <v>-1.19302E-2</v>
      </c>
      <c r="K4784" s="3">
        <v>-5.6177440000000002E-2</v>
      </c>
      <c r="L4784" s="3">
        <v>-6.130977E-2</v>
      </c>
    </row>
    <row r="4785" spans="1:12" x14ac:dyDescent="0.25">
      <c r="A4785" t="s">
        <v>2058</v>
      </c>
      <c r="B4785" t="s">
        <v>2059</v>
      </c>
      <c r="I4785" t="s">
        <v>2060</v>
      </c>
      <c r="J4785" s="3">
        <v>-0.41789979999999999</v>
      </c>
      <c r="K4785" s="3">
        <v>-0.65181860000000003</v>
      </c>
      <c r="L4785" s="3">
        <v>-0.46561910000000001</v>
      </c>
    </row>
    <row r="4786" spans="1:12" x14ac:dyDescent="0.25">
      <c r="A4786" t="s">
        <v>2055</v>
      </c>
      <c r="B4786" t="s">
        <v>2056</v>
      </c>
      <c r="I4786" t="s">
        <v>2057</v>
      </c>
      <c r="J4786" s="3">
        <v>-0.40179049999999999</v>
      </c>
      <c r="K4786" s="3">
        <v>-0.7975624</v>
      </c>
      <c r="L4786" s="3">
        <v>-0.39617029999999998</v>
      </c>
    </row>
    <row r="4787" spans="1:12" x14ac:dyDescent="0.25">
      <c r="A4787" t="s">
        <v>2052</v>
      </c>
      <c r="B4787" t="s">
        <v>2053</v>
      </c>
      <c r="I4787" t="s">
        <v>2054</v>
      </c>
      <c r="J4787" s="3">
        <v>-0.1156587</v>
      </c>
      <c r="K4787" s="3">
        <v>-0.28784080000000001</v>
      </c>
      <c r="L4787" s="3">
        <v>-0.29153309999999999</v>
      </c>
    </row>
    <row r="4788" spans="1:12" x14ac:dyDescent="0.25">
      <c r="A4788" t="s">
        <v>2049</v>
      </c>
      <c r="B4788" t="s">
        <v>2050</v>
      </c>
      <c r="I4788" t="s">
        <v>2051</v>
      </c>
      <c r="J4788" s="3">
        <v>-0.22625790000000001</v>
      </c>
      <c r="K4788" s="3">
        <v>-0.2687097</v>
      </c>
      <c r="L4788" s="3">
        <v>-0.19338250000000001</v>
      </c>
    </row>
    <row r="4789" spans="1:12" x14ac:dyDescent="0.25">
      <c r="A4789" t="s">
        <v>2046</v>
      </c>
      <c r="B4789" t="s">
        <v>2047</v>
      </c>
      <c r="I4789" t="s">
        <v>2048</v>
      </c>
      <c r="J4789" s="3">
        <v>2.090487</v>
      </c>
      <c r="K4789" s="3">
        <v>1.393543</v>
      </c>
      <c r="L4789" s="3">
        <v>1.897419</v>
      </c>
    </row>
    <row r="4790" spans="1:12" x14ac:dyDescent="0.25">
      <c r="A4790" t="s">
        <v>2045</v>
      </c>
      <c r="B4790" t="s">
        <v>957</v>
      </c>
      <c r="I4790" t="s">
        <v>455</v>
      </c>
      <c r="J4790" s="3">
        <v>0.73315149999999996</v>
      </c>
      <c r="K4790" s="3">
        <v>0.77824629999999995</v>
      </c>
      <c r="L4790" s="3">
        <v>0.91499790000000003</v>
      </c>
    </row>
    <row r="4791" spans="1:12" x14ac:dyDescent="0.25">
      <c r="A4791" t="s">
        <v>2042</v>
      </c>
      <c r="B4791" t="s">
        <v>2043</v>
      </c>
      <c r="I4791" t="s">
        <v>2044</v>
      </c>
      <c r="J4791" s="3">
        <v>0.29571039999999998</v>
      </c>
      <c r="K4791" s="3">
        <v>0.77677260000000004</v>
      </c>
      <c r="L4791" s="3">
        <v>0.201211</v>
      </c>
    </row>
    <row r="4792" spans="1:12" x14ac:dyDescent="0.25">
      <c r="A4792" t="s">
        <v>2039</v>
      </c>
      <c r="B4792" t="s">
        <v>2040</v>
      </c>
      <c r="I4792" t="s">
        <v>2041</v>
      </c>
      <c r="J4792" s="3">
        <v>0.4316239</v>
      </c>
      <c r="K4792" s="3">
        <v>0.45388460000000003</v>
      </c>
      <c r="L4792" s="3">
        <v>0.49339680000000002</v>
      </c>
    </row>
    <row r="4793" spans="1:12" x14ac:dyDescent="0.25">
      <c r="A4793" t="s">
        <v>2038</v>
      </c>
      <c r="B4793" t="s">
        <v>957</v>
      </c>
      <c r="I4793" t="s">
        <v>1973</v>
      </c>
      <c r="J4793" s="3">
        <v>-9.9342159999999999E-2</v>
      </c>
      <c r="K4793" s="3">
        <v>-0.29891289999999998</v>
      </c>
      <c r="L4793" s="3">
        <v>0.1390092</v>
      </c>
    </row>
    <row r="4794" spans="1:12" x14ac:dyDescent="0.25">
      <c r="A4794" t="s">
        <v>2037</v>
      </c>
      <c r="B4794" t="s">
        <v>957</v>
      </c>
      <c r="I4794" t="s">
        <v>455</v>
      </c>
      <c r="J4794" s="3">
        <v>9.3066469999999998E-2</v>
      </c>
      <c r="K4794" s="3">
        <v>-0.44013819999999998</v>
      </c>
      <c r="L4794" s="3">
        <v>8.129488E-2</v>
      </c>
    </row>
    <row r="4795" spans="1:12" x14ac:dyDescent="0.25">
      <c r="A4795" t="s">
        <v>2034</v>
      </c>
      <c r="B4795" t="s">
        <v>2035</v>
      </c>
      <c r="I4795" t="s">
        <v>2036</v>
      </c>
      <c r="J4795" s="3">
        <v>0.52174759999999998</v>
      </c>
      <c r="K4795" s="3">
        <v>7.0903019999999997E-2</v>
      </c>
      <c r="L4795" s="3">
        <v>0.39528869999999999</v>
      </c>
    </row>
    <row r="4796" spans="1:12" x14ac:dyDescent="0.25">
      <c r="A4796" t="s">
        <v>2031</v>
      </c>
      <c r="B4796" t="s">
        <v>2032</v>
      </c>
      <c r="I4796" t="s">
        <v>2033</v>
      </c>
      <c r="J4796" s="3">
        <v>7.1777850000000004E-2</v>
      </c>
      <c r="K4796" s="3">
        <v>0.26896619999999999</v>
      </c>
      <c r="L4796" s="3">
        <v>-0.21715889999999999</v>
      </c>
    </row>
    <row r="4797" spans="1:12" x14ac:dyDescent="0.25">
      <c r="A4797" t="s">
        <v>2028</v>
      </c>
      <c r="B4797" t="s">
        <v>2029</v>
      </c>
      <c r="I4797" t="s">
        <v>2030</v>
      </c>
      <c r="J4797" s="3">
        <v>-0.27493319999999999</v>
      </c>
      <c r="K4797" s="3">
        <v>-0.90724320000000003</v>
      </c>
      <c r="L4797" s="3">
        <v>-0.287887</v>
      </c>
    </row>
    <row r="4798" spans="1:12" x14ac:dyDescent="0.25">
      <c r="A4798" t="s">
        <v>2025</v>
      </c>
      <c r="B4798" t="s">
        <v>2026</v>
      </c>
      <c r="I4798" t="s">
        <v>2027</v>
      </c>
      <c r="J4798" s="3">
        <v>0.36234830000000001</v>
      </c>
      <c r="K4798" s="3">
        <v>-5.4816110000000001E-2</v>
      </c>
      <c r="L4798" s="3">
        <v>7.1231180000000005E-2</v>
      </c>
    </row>
    <row r="4799" spans="1:12" x14ac:dyDescent="0.25">
      <c r="A4799" t="s">
        <v>2024</v>
      </c>
      <c r="B4799" t="s">
        <v>957</v>
      </c>
      <c r="I4799" t="s">
        <v>455</v>
      </c>
      <c r="J4799" s="3">
        <v>0.38101990000000002</v>
      </c>
      <c r="K4799" s="3">
        <v>0.97595410000000005</v>
      </c>
      <c r="L4799" s="3">
        <v>0.12857579999999999</v>
      </c>
    </row>
    <row r="4800" spans="1:12" x14ac:dyDescent="0.25">
      <c r="A4800" t="s">
        <v>2021</v>
      </c>
      <c r="B4800" t="s">
        <v>2022</v>
      </c>
      <c r="I4800" t="s">
        <v>2023</v>
      </c>
      <c r="J4800" s="3">
        <v>-0.14676139999999999</v>
      </c>
      <c r="K4800" s="3">
        <v>-0.3209188</v>
      </c>
      <c r="L4800" s="3">
        <v>0.401256</v>
      </c>
    </row>
    <row r="4801" spans="1:12" x14ac:dyDescent="0.25">
      <c r="A4801" t="s">
        <v>2019</v>
      </c>
      <c r="B4801" t="s">
        <v>2020</v>
      </c>
      <c r="I4801" t="s">
        <v>1317</v>
      </c>
      <c r="J4801" s="3">
        <v>0.46333760000000002</v>
      </c>
      <c r="K4801" s="3">
        <v>0.18707969999999999</v>
      </c>
      <c r="L4801" s="3">
        <v>0.10751090000000001</v>
      </c>
    </row>
    <row r="4802" spans="1:12" x14ac:dyDescent="0.25">
      <c r="A4802" t="s">
        <v>2016</v>
      </c>
      <c r="B4802" t="s">
        <v>2017</v>
      </c>
      <c r="I4802" t="s">
        <v>2018</v>
      </c>
      <c r="J4802" s="3">
        <v>0.36650199999999999</v>
      </c>
      <c r="K4802" s="3">
        <v>0.43054569999999998</v>
      </c>
      <c r="L4802" s="3">
        <v>7.2671529999999998E-2</v>
      </c>
    </row>
    <row r="4803" spans="1:12" x14ac:dyDescent="0.25">
      <c r="A4803" t="s">
        <v>2013</v>
      </c>
      <c r="B4803" t="s">
        <v>2014</v>
      </c>
      <c r="I4803" t="s">
        <v>2015</v>
      </c>
      <c r="J4803" s="3">
        <v>-0.13388610000000001</v>
      </c>
      <c r="K4803" s="3">
        <v>-0.13947509999999999</v>
      </c>
      <c r="L4803" s="3">
        <v>0.12964220000000001</v>
      </c>
    </row>
    <row r="4804" spans="1:12" x14ac:dyDescent="0.25">
      <c r="A4804" t="s">
        <v>2010</v>
      </c>
      <c r="B4804" t="s">
        <v>2011</v>
      </c>
      <c r="I4804" t="s">
        <v>2012</v>
      </c>
      <c r="J4804" s="3">
        <v>0.35265400000000002</v>
      </c>
      <c r="K4804" s="3">
        <v>0.22797680000000001</v>
      </c>
      <c r="L4804" s="3">
        <v>0.39674199999999998</v>
      </c>
    </row>
    <row r="4805" spans="1:12" x14ac:dyDescent="0.25">
      <c r="A4805" t="s">
        <v>2009</v>
      </c>
      <c r="B4805" t="s">
        <v>957</v>
      </c>
      <c r="I4805" t="s">
        <v>1207</v>
      </c>
      <c r="J4805" s="3">
        <v>-0.51341619999999999</v>
      </c>
      <c r="K4805" s="3">
        <v>-6.1445859999999998E-2</v>
      </c>
      <c r="L4805" s="3">
        <v>-0.29435840000000002</v>
      </c>
    </row>
    <row r="4806" spans="1:12" x14ac:dyDescent="0.25">
      <c r="A4806" t="s">
        <v>2007</v>
      </c>
      <c r="B4806" t="s">
        <v>957</v>
      </c>
      <c r="I4806" t="s">
        <v>2008</v>
      </c>
      <c r="J4806" s="3">
        <v>-0.2054329</v>
      </c>
      <c r="K4806" s="3">
        <v>0.1240922</v>
      </c>
      <c r="L4806" s="3">
        <v>-0.22331319999999999</v>
      </c>
    </row>
    <row r="4807" spans="1:12" x14ac:dyDescent="0.25">
      <c r="A4807" t="s">
        <v>2685</v>
      </c>
      <c r="B4807" t="s">
        <v>2686</v>
      </c>
      <c r="I4807" t="s">
        <v>2006</v>
      </c>
      <c r="J4807" s="3">
        <v>-0.17463490000000001</v>
      </c>
      <c r="K4807" s="3">
        <v>-0.52981780000000001</v>
      </c>
      <c r="L4807" s="3">
        <v>-0.23794019999999999</v>
      </c>
    </row>
    <row r="4808" spans="1:12" x14ac:dyDescent="0.25">
      <c r="A4808" t="s">
        <v>2682</v>
      </c>
      <c r="B4808" t="s">
        <v>2683</v>
      </c>
      <c r="I4808" t="s">
        <v>2684</v>
      </c>
      <c r="J4808" s="3">
        <v>-0.75422900000000004</v>
      </c>
      <c r="K4808" s="3">
        <v>-0.45078000000000001</v>
      </c>
      <c r="L4808" s="3">
        <v>-0.20795659999999999</v>
      </c>
    </row>
    <row r="4809" spans="1:12" x14ac:dyDescent="0.25">
      <c r="A4809" t="s">
        <v>2679</v>
      </c>
      <c r="B4809" t="s">
        <v>2680</v>
      </c>
      <c r="I4809" t="s">
        <v>2681</v>
      </c>
      <c r="J4809" s="3">
        <v>-0.18223410000000001</v>
      </c>
      <c r="K4809" s="3">
        <v>-0.55933120000000003</v>
      </c>
      <c r="L4809" s="3">
        <v>8.2161100000000001E-2</v>
      </c>
    </row>
    <row r="4810" spans="1:12" x14ac:dyDescent="0.25">
      <c r="A4810" t="s">
        <v>2676</v>
      </c>
      <c r="B4810" t="s">
        <v>2677</v>
      </c>
      <c r="I4810" t="s">
        <v>2678</v>
      </c>
      <c r="J4810" s="3">
        <v>2.291398E-2</v>
      </c>
      <c r="K4810" s="3">
        <v>0.3198897</v>
      </c>
      <c r="L4810" s="3">
        <v>-9.5041319999999999E-2</v>
      </c>
    </row>
    <row r="4811" spans="1:12" x14ac:dyDescent="0.25">
      <c r="A4811" t="s">
        <v>2673</v>
      </c>
      <c r="B4811" t="s">
        <v>2674</v>
      </c>
      <c r="I4811" t="s">
        <v>2675</v>
      </c>
      <c r="J4811" s="3">
        <v>-0.1221492</v>
      </c>
      <c r="K4811" s="3">
        <v>-0.1145883</v>
      </c>
      <c r="L4811" s="3">
        <v>-0.1317247</v>
      </c>
    </row>
    <row r="4812" spans="1:12" x14ac:dyDescent="0.25">
      <c r="A4812" t="s">
        <v>2670</v>
      </c>
      <c r="B4812" t="s">
        <v>2671</v>
      </c>
      <c r="I4812" t="s">
        <v>2672</v>
      </c>
      <c r="J4812" s="3">
        <v>-2.9166109999999999E-2</v>
      </c>
      <c r="K4812" s="3">
        <v>0.44990540000000001</v>
      </c>
      <c r="L4812" s="3">
        <v>-0.10265779999999999</v>
      </c>
    </row>
    <row r="4813" spans="1:12" x14ac:dyDescent="0.25">
      <c r="A4813" t="s">
        <v>2669</v>
      </c>
      <c r="B4813" t="s">
        <v>957</v>
      </c>
      <c r="I4813" t="s">
        <v>455</v>
      </c>
      <c r="J4813" s="3">
        <v>-0.51983080000000004</v>
      </c>
      <c r="K4813" s="3">
        <v>4.3845500000000003E-2</v>
      </c>
      <c r="L4813" s="3">
        <v>6.0873350000000001E-3</v>
      </c>
    </row>
    <row r="4814" spans="1:12" x14ac:dyDescent="0.25">
      <c r="A4814" t="s">
        <v>2666</v>
      </c>
      <c r="B4814" t="s">
        <v>2667</v>
      </c>
      <c r="I4814" t="s">
        <v>2668</v>
      </c>
      <c r="J4814" s="3">
        <v>-0.79539519999999997</v>
      </c>
      <c r="K4814" s="3">
        <v>-1.255509</v>
      </c>
      <c r="L4814" s="3">
        <v>-0.25712489999999999</v>
      </c>
    </row>
    <row r="4815" spans="1:12" x14ac:dyDescent="0.25">
      <c r="A4815" t="s">
        <v>2663</v>
      </c>
      <c r="B4815" t="s">
        <v>2664</v>
      </c>
      <c r="I4815" t="s">
        <v>2665</v>
      </c>
      <c r="J4815" s="3">
        <v>6.6731730000000003E-2</v>
      </c>
      <c r="K4815" s="3">
        <v>-0.44994420000000002</v>
      </c>
      <c r="L4815" s="3">
        <v>0.12914610000000001</v>
      </c>
    </row>
    <row r="4816" spans="1:12" x14ac:dyDescent="0.25">
      <c r="A4816" t="s">
        <v>2660</v>
      </c>
      <c r="B4816" t="s">
        <v>2661</v>
      </c>
      <c r="I4816" t="s">
        <v>2662</v>
      </c>
      <c r="J4816" s="3">
        <v>-8.5109299999999999E-2</v>
      </c>
      <c r="K4816" s="3">
        <v>6.3473989999999994E-2</v>
      </c>
      <c r="L4816" s="3">
        <v>-0.28216590000000003</v>
      </c>
    </row>
    <row r="4817" spans="1:12" x14ac:dyDescent="0.25">
      <c r="A4817" t="s">
        <v>2659</v>
      </c>
      <c r="B4817" t="s">
        <v>957</v>
      </c>
      <c r="I4817" t="s">
        <v>455</v>
      </c>
      <c r="J4817" s="3">
        <v>0.3185135</v>
      </c>
      <c r="K4817" s="3">
        <v>-1.35592E-2</v>
      </c>
      <c r="L4817" s="3">
        <v>0.39664149999999998</v>
      </c>
    </row>
    <row r="4818" spans="1:12" x14ac:dyDescent="0.25">
      <c r="A4818" t="s">
        <v>2656</v>
      </c>
      <c r="B4818" t="s">
        <v>2657</v>
      </c>
      <c r="I4818" t="s">
        <v>2658</v>
      </c>
      <c r="J4818" s="3">
        <v>0.132914</v>
      </c>
      <c r="K4818" s="3">
        <v>-0.58869649999999996</v>
      </c>
      <c r="L4818" s="3">
        <v>-0.44662200000000002</v>
      </c>
    </row>
    <row r="4819" spans="1:12" x14ac:dyDescent="0.25">
      <c r="A4819" t="s">
        <v>2653</v>
      </c>
      <c r="B4819" t="s">
        <v>2654</v>
      </c>
      <c r="I4819" t="s">
        <v>2655</v>
      </c>
      <c r="J4819" s="3">
        <v>0.1935965</v>
      </c>
      <c r="K4819" s="3">
        <v>-3.3614379999999999E-2</v>
      </c>
      <c r="L4819" s="3">
        <v>0.2540617</v>
      </c>
    </row>
    <row r="4820" spans="1:12" x14ac:dyDescent="0.25">
      <c r="A4820" t="s">
        <v>2652</v>
      </c>
      <c r="B4820" t="s">
        <v>957</v>
      </c>
      <c r="I4820" t="s">
        <v>455</v>
      </c>
      <c r="J4820" s="3">
        <v>-0.62279589999999996</v>
      </c>
      <c r="K4820" s="3">
        <v>-0.70833369999999996</v>
      </c>
      <c r="L4820" s="3">
        <v>-0.45896300000000001</v>
      </c>
    </row>
    <row r="4821" spans="1:12" x14ac:dyDescent="0.25">
      <c r="A4821" t="s">
        <v>2649</v>
      </c>
      <c r="B4821" t="s">
        <v>2650</v>
      </c>
      <c r="I4821" t="s">
        <v>2651</v>
      </c>
      <c r="J4821" s="3">
        <v>0.13367319999999999</v>
      </c>
      <c r="K4821" s="3">
        <v>-4.1134589999999999E-2</v>
      </c>
      <c r="L4821" s="3">
        <v>2.600452E-2</v>
      </c>
    </row>
    <row r="4822" spans="1:12" x14ac:dyDescent="0.25">
      <c r="A4822" t="s">
        <v>2646</v>
      </c>
      <c r="B4822" t="s">
        <v>2647</v>
      </c>
      <c r="I4822" t="s">
        <v>2648</v>
      </c>
      <c r="J4822" s="3">
        <v>-0.471354</v>
      </c>
      <c r="K4822" s="3">
        <v>-0.59480770000000005</v>
      </c>
      <c r="L4822" s="3">
        <v>4.766923E-2</v>
      </c>
    </row>
    <row r="4823" spans="1:12" x14ac:dyDescent="0.25">
      <c r="A4823" t="s">
        <v>2643</v>
      </c>
      <c r="B4823" t="s">
        <v>2644</v>
      </c>
      <c r="I4823" t="s">
        <v>2645</v>
      </c>
      <c r="J4823" s="3">
        <v>0.35869699999999999</v>
      </c>
      <c r="K4823" s="3">
        <v>9.0187989999999996E-2</v>
      </c>
      <c r="L4823" s="3">
        <v>0.5781269</v>
      </c>
    </row>
    <row r="4824" spans="1:12" x14ac:dyDescent="0.25">
      <c r="A4824" t="s">
        <v>2641</v>
      </c>
      <c r="B4824" t="s">
        <v>2642</v>
      </c>
      <c r="I4824" t="s">
        <v>702</v>
      </c>
      <c r="J4824" s="3">
        <v>5.2292190000000002E-3</v>
      </c>
      <c r="K4824" s="3">
        <v>-0.30999520000000003</v>
      </c>
      <c r="L4824" s="3">
        <v>-0.47553970000000001</v>
      </c>
    </row>
    <row r="4825" spans="1:12" x14ac:dyDescent="0.25">
      <c r="A4825" t="s">
        <v>2639</v>
      </c>
      <c r="B4825" t="s">
        <v>14245</v>
      </c>
      <c r="C4825" t="s">
        <v>14246</v>
      </c>
      <c r="I4825" t="s">
        <v>2640</v>
      </c>
      <c r="J4825" s="3">
        <v>1.210537</v>
      </c>
      <c r="K4825" s="3">
        <v>1.1956340000000001</v>
      </c>
      <c r="L4825" s="3">
        <v>1.383759</v>
      </c>
    </row>
    <row r="4826" spans="1:12" x14ac:dyDescent="0.25">
      <c r="A4826" t="s">
        <v>1796</v>
      </c>
      <c r="B4826" t="s">
        <v>14247</v>
      </c>
      <c r="C4826" t="s">
        <v>14248</v>
      </c>
      <c r="I4826" t="s">
        <v>2638</v>
      </c>
      <c r="J4826" s="3">
        <v>0.4183364</v>
      </c>
      <c r="K4826" s="3">
        <v>0.1933038</v>
      </c>
      <c r="L4826" s="3">
        <v>0.55081530000000001</v>
      </c>
    </row>
    <row r="4827" spans="1:12" x14ac:dyDescent="0.25">
      <c r="A4827" t="s">
        <v>1793</v>
      </c>
      <c r="B4827" t="s">
        <v>1794</v>
      </c>
      <c r="I4827" t="s">
        <v>1795</v>
      </c>
      <c r="J4827" s="3">
        <v>0.43793720000000003</v>
      </c>
      <c r="K4827" s="3">
        <v>0.1847829</v>
      </c>
      <c r="L4827" s="3">
        <v>-5.1781059999999997E-2</v>
      </c>
    </row>
    <row r="4828" spans="1:12" x14ac:dyDescent="0.25">
      <c r="A4828" t="s">
        <v>1790</v>
      </c>
      <c r="B4828" t="s">
        <v>1791</v>
      </c>
      <c r="I4828" t="s">
        <v>1792</v>
      </c>
      <c r="J4828" s="3">
        <v>1.028591</v>
      </c>
      <c r="K4828" s="3">
        <v>8.7822109999999995E-2</v>
      </c>
      <c r="L4828" s="3">
        <v>0.5864007</v>
      </c>
    </row>
    <row r="4829" spans="1:12" x14ac:dyDescent="0.25">
      <c r="A4829" t="s">
        <v>1787</v>
      </c>
      <c r="B4829" t="s">
        <v>1788</v>
      </c>
      <c r="I4829" t="s">
        <v>1789</v>
      </c>
      <c r="J4829" s="3">
        <v>-0.1105727</v>
      </c>
      <c r="K4829" s="3">
        <v>-0.1010815</v>
      </c>
      <c r="L4829" s="3">
        <v>-0.27412540000000002</v>
      </c>
    </row>
    <row r="4830" spans="1:12" x14ac:dyDescent="0.25">
      <c r="A4830" t="s">
        <v>1786</v>
      </c>
      <c r="B4830" t="s">
        <v>957</v>
      </c>
      <c r="I4830" t="s">
        <v>455</v>
      </c>
      <c r="J4830" s="3">
        <v>-0.83902390000000004</v>
      </c>
      <c r="K4830" s="3">
        <v>-1.1971510000000001</v>
      </c>
      <c r="L4830" s="3">
        <v>-1.241949</v>
      </c>
    </row>
    <row r="4831" spans="1:12" x14ac:dyDescent="0.25">
      <c r="A4831" t="s">
        <v>1783</v>
      </c>
      <c r="B4831" t="s">
        <v>1784</v>
      </c>
      <c r="I4831" t="s">
        <v>1785</v>
      </c>
      <c r="J4831" s="3">
        <v>-0.1220272</v>
      </c>
      <c r="K4831" s="3">
        <v>-0.22195500000000001</v>
      </c>
      <c r="L4831" s="3">
        <v>-0.30855559999999999</v>
      </c>
    </row>
    <row r="4832" spans="1:12" x14ac:dyDescent="0.25">
      <c r="A4832" t="s">
        <v>2622</v>
      </c>
      <c r="B4832" t="s">
        <v>2623</v>
      </c>
      <c r="I4832" t="s">
        <v>1782</v>
      </c>
      <c r="J4832" s="3">
        <v>0.3813743</v>
      </c>
      <c r="K4832" s="3">
        <v>0.14596609999999999</v>
      </c>
      <c r="L4832" s="3">
        <v>0.39123659999999999</v>
      </c>
    </row>
    <row r="4833" spans="1:12" x14ac:dyDescent="0.25">
      <c r="A4833" t="s">
        <v>2619</v>
      </c>
      <c r="B4833" t="s">
        <v>2620</v>
      </c>
      <c r="I4833" t="s">
        <v>2621</v>
      </c>
      <c r="J4833" s="3">
        <v>0.32241619999999999</v>
      </c>
      <c r="K4833" s="3">
        <v>0.82482069999999996</v>
      </c>
      <c r="L4833" s="3">
        <v>0.43638890000000002</v>
      </c>
    </row>
    <row r="4834" spans="1:12" x14ac:dyDescent="0.25">
      <c r="A4834" t="s">
        <v>2616</v>
      </c>
      <c r="B4834" t="s">
        <v>2617</v>
      </c>
      <c r="I4834" t="s">
        <v>2618</v>
      </c>
      <c r="J4834" s="3">
        <v>0.23005700000000001</v>
      </c>
      <c r="K4834" s="3">
        <v>0.4295254</v>
      </c>
      <c r="L4834" s="3">
        <v>0.2292139</v>
      </c>
    </row>
    <row r="4835" spans="1:12" x14ac:dyDescent="0.25">
      <c r="A4835" t="s">
        <v>2613</v>
      </c>
      <c r="B4835" t="s">
        <v>2614</v>
      </c>
      <c r="I4835" t="s">
        <v>2615</v>
      </c>
      <c r="J4835" s="3">
        <v>-7.0317779999999998E-3</v>
      </c>
      <c r="K4835" s="3">
        <v>0.32475959999999998</v>
      </c>
      <c r="L4835" s="3">
        <v>0.30787029999999999</v>
      </c>
    </row>
    <row r="4836" spans="1:12" x14ac:dyDescent="0.25">
      <c r="A4836" t="s">
        <v>2612</v>
      </c>
      <c r="B4836" t="s">
        <v>957</v>
      </c>
      <c r="I4836" t="s">
        <v>455</v>
      </c>
      <c r="J4836" s="3">
        <v>-0.1514085</v>
      </c>
      <c r="K4836" s="3">
        <v>1.0410269999999999</v>
      </c>
      <c r="L4836" s="3">
        <v>0.28663139999999998</v>
      </c>
    </row>
    <row r="4837" spans="1:12" x14ac:dyDescent="0.25">
      <c r="A4837" t="s">
        <v>2609</v>
      </c>
      <c r="B4837" t="s">
        <v>2610</v>
      </c>
      <c r="I4837" t="s">
        <v>2611</v>
      </c>
      <c r="J4837" s="3">
        <v>0.1999195</v>
      </c>
      <c r="K4837" s="3">
        <v>0.52656029999999998</v>
      </c>
      <c r="L4837" s="3">
        <v>0.45565519999999998</v>
      </c>
    </row>
    <row r="4838" spans="1:12" x14ac:dyDescent="0.25">
      <c r="A4838" t="s">
        <v>2606</v>
      </c>
      <c r="B4838" t="s">
        <v>2607</v>
      </c>
      <c r="I4838" t="s">
        <v>2608</v>
      </c>
      <c r="J4838" s="3">
        <v>2.9530299999999999E-2</v>
      </c>
      <c r="K4838" s="3">
        <v>-0.1186475</v>
      </c>
      <c r="L4838" s="3">
        <v>0.10523780000000001</v>
      </c>
    </row>
    <row r="4839" spans="1:12" x14ac:dyDescent="0.25">
      <c r="A4839" t="s">
        <v>2604</v>
      </c>
      <c r="B4839" t="s">
        <v>2605</v>
      </c>
      <c r="I4839" t="s">
        <v>2441</v>
      </c>
      <c r="J4839" s="3">
        <v>-9.1704209999999994E-2</v>
      </c>
      <c r="K4839" s="3">
        <v>-0.35443439999999998</v>
      </c>
      <c r="L4839" s="3">
        <v>1.6790880000000001E-2</v>
      </c>
    </row>
    <row r="4840" spans="1:12" x14ac:dyDescent="0.25">
      <c r="A4840" t="s">
        <v>2601</v>
      </c>
      <c r="B4840" t="s">
        <v>2602</v>
      </c>
      <c r="I4840" t="s">
        <v>2603</v>
      </c>
      <c r="J4840" s="3">
        <v>0.26646140000000001</v>
      </c>
      <c r="K4840" s="3">
        <v>1.184353</v>
      </c>
      <c r="L4840" s="3">
        <v>5.7709749999999997E-2</v>
      </c>
    </row>
    <row r="4841" spans="1:12" x14ac:dyDescent="0.25">
      <c r="A4841" t="s">
        <v>2598</v>
      </c>
      <c r="B4841" t="s">
        <v>2599</v>
      </c>
      <c r="I4841" t="s">
        <v>2600</v>
      </c>
      <c r="J4841" s="3">
        <v>-3.2384139999999999E-2</v>
      </c>
      <c r="K4841" s="3">
        <v>0.27984019999999998</v>
      </c>
      <c r="L4841" s="3">
        <v>-0.38073190000000001</v>
      </c>
    </row>
    <row r="4842" spans="1:12" x14ac:dyDescent="0.25">
      <c r="A4842" t="s">
        <v>2597</v>
      </c>
      <c r="B4842" t="s">
        <v>957</v>
      </c>
      <c r="I4842" t="s">
        <v>455</v>
      </c>
      <c r="J4842" s="3">
        <v>3.6671820000000001E-2</v>
      </c>
      <c r="K4842" s="3">
        <v>0.15452340000000001</v>
      </c>
      <c r="L4842" s="3">
        <v>8.9139449999999995E-3</v>
      </c>
    </row>
    <row r="4843" spans="1:12" x14ac:dyDescent="0.25">
      <c r="A4843" t="s">
        <v>2594</v>
      </c>
      <c r="B4843" t="s">
        <v>2595</v>
      </c>
      <c r="I4843" t="s">
        <v>2596</v>
      </c>
      <c r="J4843" s="3">
        <v>-1.635605E-2</v>
      </c>
      <c r="K4843" s="3">
        <v>-0.44018469999999998</v>
      </c>
      <c r="L4843" s="3">
        <v>8.2395270000000007E-2</v>
      </c>
    </row>
    <row r="4844" spans="1:12" x14ac:dyDescent="0.25">
      <c r="A4844" t="s">
        <v>2591</v>
      </c>
      <c r="B4844" t="s">
        <v>2592</v>
      </c>
      <c r="I4844" t="s">
        <v>2593</v>
      </c>
      <c r="J4844" s="3">
        <v>-0.81997030000000004</v>
      </c>
      <c r="K4844" s="3">
        <v>-0.4699257</v>
      </c>
      <c r="L4844" s="3">
        <v>-0.85881859999999999</v>
      </c>
    </row>
    <row r="4845" spans="1:12" x14ac:dyDescent="0.25">
      <c r="A4845" t="s">
        <v>2588</v>
      </c>
      <c r="B4845" t="s">
        <v>2589</v>
      </c>
      <c r="I4845" t="s">
        <v>2590</v>
      </c>
      <c r="J4845" s="3">
        <v>0.15845339999999999</v>
      </c>
      <c r="K4845" s="3">
        <v>0.31594480000000003</v>
      </c>
      <c r="L4845" s="3">
        <v>-4.0847649999999999E-2</v>
      </c>
    </row>
    <row r="4846" spans="1:12" x14ac:dyDescent="0.25">
      <c r="A4846" t="s">
        <v>2585</v>
      </c>
      <c r="B4846" t="s">
        <v>2586</v>
      </c>
      <c r="I4846" t="s">
        <v>2587</v>
      </c>
      <c r="J4846" s="3">
        <v>-0.2005412</v>
      </c>
      <c r="K4846" s="3">
        <v>-4.0149259999999999E-2</v>
      </c>
      <c r="L4846" s="3">
        <v>-0.1395005</v>
      </c>
    </row>
    <row r="4847" spans="1:12" x14ac:dyDescent="0.25">
      <c r="A4847" t="s">
        <v>2582</v>
      </c>
      <c r="B4847" t="s">
        <v>2583</v>
      </c>
      <c r="I4847" t="s">
        <v>2584</v>
      </c>
      <c r="J4847" s="3">
        <v>-0.1178028</v>
      </c>
      <c r="K4847" s="3">
        <v>-0.1575057</v>
      </c>
      <c r="L4847" s="3">
        <v>-4.9534440000000004E-3</v>
      </c>
    </row>
    <row r="4848" spans="1:12" x14ac:dyDescent="0.25">
      <c r="A4848" t="s">
        <v>2579</v>
      </c>
      <c r="B4848" t="s">
        <v>2580</v>
      </c>
      <c r="I4848" t="s">
        <v>2581</v>
      </c>
      <c r="J4848" s="3">
        <v>-0.1282344</v>
      </c>
      <c r="K4848" s="3">
        <v>0.15580169999999999</v>
      </c>
      <c r="L4848" s="3">
        <v>0.13516310000000001</v>
      </c>
    </row>
    <row r="4849" spans="1:12" x14ac:dyDescent="0.25">
      <c r="A4849" t="s">
        <v>2004</v>
      </c>
      <c r="B4849" t="s">
        <v>2005</v>
      </c>
      <c r="I4849" t="s">
        <v>2578</v>
      </c>
      <c r="J4849" s="3">
        <v>-0.55763149999999995</v>
      </c>
      <c r="K4849" s="3">
        <v>-0.86381609999999998</v>
      </c>
      <c r="L4849" s="3">
        <v>-0.45161040000000002</v>
      </c>
    </row>
    <row r="4850" spans="1:12" x14ac:dyDescent="0.25">
      <c r="A4850" t="s">
        <v>2001</v>
      </c>
      <c r="B4850" t="s">
        <v>2002</v>
      </c>
      <c r="I4850" t="s">
        <v>2003</v>
      </c>
      <c r="J4850" s="3">
        <v>-0.21637129999999999</v>
      </c>
      <c r="K4850" s="3">
        <v>-0.72993560000000002</v>
      </c>
      <c r="L4850" s="3">
        <v>-8.9685420000000002E-2</v>
      </c>
    </row>
    <row r="4851" spans="1:12" x14ac:dyDescent="0.25">
      <c r="A4851" t="s">
        <v>1998</v>
      </c>
      <c r="B4851" t="s">
        <v>1999</v>
      </c>
      <c r="I4851" t="s">
        <v>2000</v>
      </c>
      <c r="J4851" s="3">
        <v>0.11247219999999999</v>
      </c>
      <c r="K4851" s="3">
        <v>0.32120209999999999</v>
      </c>
      <c r="L4851" s="3">
        <v>0.23151070000000001</v>
      </c>
    </row>
    <row r="4852" spans="1:12" x14ac:dyDescent="0.25">
      <c r="A4852" t="s">
        <v>1995</v>
      </c>
      <c r="B4852" t="s">
        <v>1996</v>
      </c>
      <c r="I4852" t="s">
        <v>1997</v>
      </c>
      <c r="J4852" s="3">
        <v>-0.13932910000000001</v>
      </c>
      <c r="K4852" s="3">
        <v>-0.3799323</v>
      </c>
      <c r="L4852" s="3">
        <v>-0.30391580000000001</v>
      </c>
    </row>
    <row r="4853" spans="1:12" x14ac:dyDescent="0.25">
      <c r="A4853" t="s">
        <v>1992</v>
      </c>
      <c r="B4853" t="s">
        <v>1993</v>
      </c>
      <c r="I4853" t="s">
        <v>1994</v>
      </c>
      <c r="J4853" s="3">
        <v>-0.42812020000000001</v>
      </c>
      <c r="K4853" s="3">
        <v>-0.67683070000000001</v>
      </c>
      <c r="L4853" s="3">
        <v>-0.11523659999999999</v>
      </c>
    </row>
    <row r="4854" spans="1:12" x14ac:dyDescent="0.25">
      <c r="A4854" t="s">
        <v>1989</v>
      </c>
      <c r="B4854" t="s">
        <v>1990</v>
      </c>
      <c r="I4854" t="s">
        <v>1991</v>
      </c>
      <c r="J4854" s="3">
        <v>1.0715669999999999</v>
      </c>
      <c r="K4854" s="3">
        <v>1.3502719999999999</v>
      </c>
      <c r="L4854" s="3">
        <v>0.79772419999999999</v>
      </c>
    </row>
    <row r="4855" spans="1:12" x14ac:dyDescent="0.25">
      <c r="A4855" t="s">
        <v>1986</v>
      </c>
      <c r="B4855" t="s">
        <v>1987</v>
      </c>
      <c r="I4855" t="s">
        <v>1988</v>
      </c>
      <c r="J4855" s="3">
        <v>-0.41530790000000001</v>
      </c>
      <c r="K4855" s="3">
        <v>-1.088652E-2</v>
      </c>
      <c r="L4855" s="3">
        <v>-0.32779180000000002</v>
      </c>
    </row>
    <row r="4856" spans="1:12" x14ac:dyDescent="0.25">
      <c r="A4856" t="s">
        <v>1983</v>
      </c>
      <c r="B4856" t="s">
        <v>1984</v>
      </c>
      <c r="I4856" t="s">
        <v>1985</v>
      </c>
      <c r="J4856" s="3">
        <v>-0.83743259999999997</v>
      </c>
      <c r="K4856" s="3">
        <v>0.35382750000000002</v>
      </c>
      <c r="L4856" s="3">
        <v>-8.3889240000000007E-3</v>
      </c>
    </row>
    <row r="4857" spans="1:12" x14ac:dyDescent="0.25">
      <c r="A4857" t="s">
        <v>1981</v>
      </c>
      <c r="B4857" t="s">
        <v>957</v>
      </c>
      <c r="I4857" t="s">
        <v>1982</v>
      </c>
      <c r="J4857" s="3">
        <v>-0.97949120000000001</v>
      </c>
      <c r="K4857" s="3">
        <v>4.7714289999999999E-2</v>
      </c>
      <c r="L4857" s="3">
        <v>0.88406530000000005</v>
      </c>
    </row>
    <row r="4858" spans="1:12" x14ac:dyDescent="0.25">
      <c r="A4858" t="s">
        <v>1980</v>
      </c>
      <c r="B4858" t="s">
        <v>957</v>
      </c>
      <c r="I4858" t="s">
        <v>1207</v>
      </c>
      <c r="J4858" s="3">
        <v>-0.60136449999999997</v>
      </c>
      <c r="K4858" s="3">
        <v>0.20514950000000001</v>
      </c>
      <c r="L4858" s="3">
        <v>0.24727740000000001</v>
      </c>
    </row>
    <row r="4859" spans="1:12" x14ac:dyDescent="0.25">
      <c r="A4859" t="s">
        <v>1978</v>
      </c>
      <c r="B4859" t="s">
        <v>14223</v>
      </c>
      <c r="C4859" t="s">
        <v>14224</v>
      </c>
      <c r="D4859" t="s">
        <v>14225</v>
      </c>
      <c r="I4859" t="s">
        <v>1979</v>
      </c>
      <c r="J4859" s="3">
        <v>0.1017715</v>
      </c>
      <c r="K4859" s="3">
        <v>0.91421540000000001</v>
      </c>
      <c r="L4859" s="3">
        <v>0.48048049999999998</v>
      </c>
    </row>
    <row r="4860" spans="1:12" x14ac:dyDescent="0.25">
      <c r="A4860" t="s">
        <v>1975</v>
      </c>
      <c r="B4860" t="s">
        <v>1976</v>
      </c>
      <c r="I4860" t="s">
        <v>1977</v>
      </c>
      <c r="J4860" s="3">
        <v>0.34317379999999997</v>
      </c>
      <c r="K4860" s="3">
        <v>0.2346953</v>
      </c>
      <c r="L4860" s="3">
        <v>0.3895477</v>
      </c>
    </row>
    <row r="4861" spans="1:12" x14ac:dyDescent="0.25">
      <c r="A4861" t="s">
        <v>1974</v>
      </c>
      <c r="B4861" t="s">
        <v>957</v>
      </c>
      <c r="I4861" t="s">
        <v>455</v>
      </c>
      <c r="J4861" s="3">
        <v>0.71891159999999998</v>
      </c>
      <c r="K4861" s="3">
        <v>0.5938814</v>
      </c>
      <c r="L4861" s="3">
        <v>0.60619250000000002</v>
      </c>
    </row>
    <row r="4862" spans="1:12" x14ac:dyDescent="0.25">
      <c r="A4862" t="s">
        <v>1972</v>
      </c>
      <c r="B4862" t="s">
        <v>957</v>
      </c>
      <c r="I4862" t="s">
        <v>1973</v>
      </c>
      <c r="J4862" s="3">
        <v>0.1131651</v>
      </c>
      <c r="K4862" s="3">
        <v>0.27953840000000002</v>
      </c>
      <c r="L4862" s="3">
        <v>-0.13303429999999999</v>
      </c>
    </row>
    <row r="4863" spans="1:12" x14ac:dyDescent="0.25">
      <c r="A4863" t="s">
        <v>1971</v>
      </c>
      <c r="B4863" t="s">
        <v>957</v>
      </c>
      <c r="I4863" t="s">
        <v>1970</v>
      </c>
      <c r="J4863" s="3">
        <v>0.15776409999999999</v>
      </c>
      <c r="K4863" s="3">
        <v>1.749706</v>
      </c>
      <c r="L4863" s="3">
        <v>1.0195110000000001</v>
      </c>
    </row>
    <row r="4864" spans="1:12" x14ac:dyDescent="0.25">
      <c r="A4864" t="s">
        <v>1969</v>
      </c>
      <c r="B4864" t="s">
        <v>957</v>
      </c>
      <c r="I4864" t="s">
        <v>1970</v>
      </c>
      <c r="J4864" s="3">
        <v>0.10266989999999999</v>
      </c>
      <c r="K4864" s="3">
        <v>1.6017030000000001</v>
      </c>
      <c r="L4864" s="3">
        <v>0.91954880000000006</v>
      </c>
    </row>
    <row r="4865" spans="1:12" x14ac:dyDescent="0.25">
      <c r="A4865" t="s">
        <v>1967</v>
      </c>
      <c r="B4865" t="s">
        <v>957</v>
      </c>
      <c r="I4865" t="s">
        <v>1968</v>
      </c>
      <c r="J4865" s="3">
        <v>0.32814349999999998</v>
      </c>
      <c r="K4865" s="3">
        <v>1.2579290000000001</v>
      </c>
      <c r="L4865" s="3">
        <v>0.51517520000000006</v>
      </c>
    </row>
    <row r="4866" spans="1:12" x14ac:dyDescent="0.25">
      <c r="A4866" t="s">
        <v>1966</v>
      </c>
      <c r="B4866" t="s">
        <v>957</v>
      </c>
      <c r="I4866" t="s">
        <v>156</v>
      </c>
      <c r="J4866" s="3">
        <v>-0.441853</v>
      </c>
      <c r="K4866" s="3">
        <v>0.43439949999999999</v>
      </c>
      <c r="L4866" s="3">
        <v>0.36092259999999998</v>
      </c>
    </row>
    <row r="4867" spans="1:12" x14ac:dyDescent="0.25">
      <c r="A4867" t="s">
        <v>1965</v>
      </c>
      <c r="B4867" t="s">
        <v>957</v>
      </c>
      <c r="I4867" t="s">
        <v>1501</v>
      </c>
      <c r="J4867" s="3">
        <v>6.8871500000000002E-2</v>
      </c>
      <c r="K4867" s="3">
        <v>-3.5214420000000003E-2</v>
      </c>
      <c r="L4867" s="3">
        <v>9.4254779999999996E-2</v>
      </c>
    </row>
    <row r="4868" spans="1:12" x14ac:dyDescent="0.25">
      <c r="A4868" t="s">
        <v>1962</v>
      </c>
      <c r="B4868" t="s">
        <v>1963</v>
      </c>
      <c r="I4868" t="s">
        <v>1964</v>
      </c>
      <c r="J4868" s="3">
        <v>-0.20718049999999999</v>
      </c>
      <c r="K4868" s="3">
        <v>-0.53290720000000003</v>
      </c>
      <c r="L4868" s="3">
        <v>-0.27721620000000002</v>
      </c>
    </row>
    <row r="4869" spans="1:12" x14ac:dyDescent="0.25">
      <c r="A4869" t="s">
        <v>1959</v>
      </c>
      <c r="B4869" t="s">
        <v>1960</v>
      </c>
      <c r="I4869" t="s">
        <v>1961</v>
      </c>
      <c r="J4869" s="3">
        <v>-0.32119219999999998</v>
      </c>
      <c r="K4869" s="3">
        <v>8.253663E-2</v>
      </c>
      <c r="L4869" s="3">
        <v>5.5281000000000002E-3</v>
      </c>
    </row>
    <row r="4870" spans="1:12" x14ac:dyDescent="0.25">
      <c r="A4870" t="s">
        <v>1956</v>
      </c>
      <c r="B4870" t="s">
        <v>1957</v>
      </c>
      <c r="I4870" t="s">
        <v>1958</v>
      </c>
      <c r="J4870" s="3">
        <v>0.50729760000000002</v>
      </c>
      <c r="K4870" s="3">
        <v>0.1659003</v>
      </c>
      <c r="L4870" s="3">
        <v>3.6901419999999997E-2</v>
      </c>
    </row>
    <row r="4871" spans="1:12" x14ac:dyDescent="0.25">
      <c r="A4871" t="s">
        <v>1955</v>
      </c>
      <c r="B4871" t="s">
        <v>957</v>
      </c>
      <c r="I4871" t="s">
        <v>2</v>
      </c>
      <c r="J4871" s="3">
        <v>-0.1783777</v>
      </c>
      <c r="K4871" s="3">
        <v>-0.4756495</v>
      </c>
      <c r="L4871" s="3">
        <v>-0.37886049999999999</v>
      </c>
    </row>
    <row r="4872" spans="1:12" x14ac:dyDescent="0.25">
      <c r="A4872" t="s">
        <v>1952</v>
      </c>
      <c r="B4872" t="s">
        <v>1953</v>
      </c>
      <c r="I4872" t="s">
        <v>1954</v>
      </c>
      <c r="J4872" s="3">
        <v>0.50806300000000004</v>
      </c>
      <c r="K4872" s="3">
        <v>0.611259</v>
      </c>
      <c r="L4872" s="3">
        <v>0.49716159999999998</v>
      </c>
    </row>
    <row r="4873" spans="1:12" x14ac:dyDescent="0.25">
      <c r="A4873" t="s">
        <v>1951</v>
      </c>
      <c r="B4873" t="s">
        <v>957</v>
      </c>
      <c r="I4873" t="s">
        <v>455</v>
      </c>
      <c r="J4873" s="3">
        <v>-0.98263650000000002</v>
      </c>
      <c r="K4873" s="3">
        <v>-1.2792129999999999</v>
      </c>
      <c r="L4873" s="3">
        <v>-0.64478880000000005</v>
      </c>
    </row>
    <row r="4874" spans="1:12" x14ac:dyDescent="0.25">
      <c r="A4874" t="s">
        <v>2790</v>
      </c>
      <c r="B4874" t="s">
        <v>2791</v>
      </c>
      <c r="I4874" t="s">
        <v>1950</v>
      </c>
      <c r="J4874" s="3">
        <v>-0.24838189999999999</v>
      </c>
      <c r="K4874" s="3">
        <v>-0.55805729999999998</v>
      </c>
      <c r="L4874" s="3">
        <v>-4.5924710000000001E-2</v>
      </c>
    </row>
    <row r="4875" spans="1:12" x14ac:dyDescent="0.25">
      <c r="A4875" t="s">
        <v>2787</v>
      </c>
      <c r="B4875" t="s">
        <v>2788</v>
      </c>
      <c r="I4875" t="s">
        <v>2789</v>
      </c>
      <c r="J4875" s="3">
        <v>0.87985800000000003</v>
      </c>
      <c r="K4875" s="3">
        <v>0.53766800000000003</v>
      </c>
      <c r="L4875" s="3">
        <v>0.39530589999999999</v>
      </c>
    </row>
    <row r="4876" spans="1:12" x14ac:dyDescent="0.25">
      <c r="A4876" t="s">
        <v>2785</v>
      </c>
      <c r="B4876" t="s">
        <v>957</v>
      </c>
      <c r="I4876" t="s">
        <v>2786</v>
      </c>
      <c r="J4876" s="3">
        <v>0.194464</v>
      </c>
      <c r="K4876" s="3">
        <v>0.63639210000000002</v>
      </c>
      <c r="L4876" s="3">
        <v>8.5686509999999994E-2</v>
      </c>
    </row>
    <row r="4877" spans="1:12" x14ac:dyDescent="0.25">
      <c r="A4877" t="s">
        <v>1946</v>
      </c>
      <c r="B4877" t="s">
        <v>1947</v>
      </c>
      <c r="I4877" t="s">
        <v>2784</v>
      </c>
      <c r="J4877" s="3">
        <v>0.38235859999999999</v>
      </c>
      <c r="K4877" s="3">
        <v>1.90822</v>
      </c>
      <c r="L4877" s="3">
        <v>0.70368960000000003</v>
      </c>
    </row>
    <row r="4878" spans="1:12" x14ac:dyDescent="0.25">
      <c r="A4878" t="s">
        <v>1943</v>
      </c>
      <c r="B4878" t="s">
        <v>1944</v>
      </c>
      <c r="I4878" t="s">
        <v>1945</v>
      </c>
      <c r="J4878" s="3">
        <v>-0.22135659999999999</v>
      </c>
      <c r="K4878" s="3">
        <v>0.58303130000000003</v>
      </c>
      <c r="L4878" s="3">
        <v>0.1451248</v>
      </c>
    </row>
    <row r="4879" spans="1:12" x14ac:dyDescent="0.25">
      <c r="A4879" t="s">
        <v>1940</v>
      </c>
      <c r="B4879" t="s">
        <v>1941</v>
      </c>
      <c r="I4879" t="s">
        <v>1942</v>
      </c>
      <c r="J4879" s="3">
        <v>-0.83840749999999997</v>
      </c>
      <c r="K4879" s="3">
        <v>-0.2941088</v>
      </c>
      <c r="L4879" s="3">
        <v>-0.66922280000000001</v>
      </c>
    </row>
    <row r="4880" spans="1:12" x14ac:dyDescent="0.25">
      <c r="A4880" t="s">
        <v>1939</v>
      </c>
      <c r="B4880" t="s">
        <v>957</v>
      </c>
      <c r="I4880" t="s">
        <v>156</v>
      </c>
      <c r="J4880" s="3">
        <v>0.1854092</v>
      </c>
      <c r="K4880" s="3">
        <v>0.32705309999999999</v>
      </c>
      <c r="L4880" s="3">
        <v>0.17033290000000001</v>
      </c>
    </row>
    <row r="4881" spans="1:12" x14ac:dyDescent="0.25">
      <c r="A4881" t="s">
        <v>1938</v>
      </c>
      <c r="B4881" t="s">
        <v>957</v>
      </c>
      <c r="I4881" t="s">
        <v>455</v>
      </c>
      <c r="J4881" s="3">
        <v>6.9851099999999999E-2</v>
      </c>
      <c r="K4881" s="3">
        <v>0.36489759999999999</v>
      </c>
      <c r="L4881" s="3">
        <v>0.26053359999999998</v>
      </c>
    </row>
    <row r="4882" spans="1:12" x14ac:dyDescent="0.25">
      <c r="A4882" t="s">
        <v>1935</v>
      </c>
      <c r="B4882" t="s">
        <v>1936</v>
      </c>
      <c r="I4882" t="s">
        <v>1937</v>
      </c>
      <c r="J4882" s="3">
        <v>-0.11912780000000001</v>
      </c>
      <c r="K4882" s="3">
        <v>-0.54965759999999997</v>
      </c>
      <c r="L4882" s="3">
        <v>-0.4048755</v>
      </c>
    </row>
    <row r="4883" spans="1:12" x14ac:dyDescent="0.25">
      <c r="A4883" t="s">
        <v>1932</v>
      </c>
      <c r="B4883" t="s">
        <v>1933</v>
      </c>
      <c r="I4883" t="s">
        <v>1934</v>
      </c>
      <c r="J4883" s="3">
        <v>0.47018979999999999</v>
      </c>
      <c r="K4883" s="3">
        <v>0.73929299999999998</v>
      </c>
      <c r="L4883" s="3">
        <v>0.32993699999999998</v>
      </c>
    </row>
    <row r="4884" spans="1:12" x14ac:dyDescent="0.25">
      <c r="A4884" t="s">
        <v>1929</v>
      </c>
      <c r="B4884" t="s">
        <v>1930</v>
      </c>
      <c r="I4884" t="s">
        <v>1931</v>
      </c>
      <c r="J4884" s="3">
        <v>-0.40192850000000002</v>
      </c>
      <c r="K4884" s="3">
        <v>-0.54196679999999997</v>
      </c>
      <c r="L4884" s="3">
        <v>-0.62614760000000003</v>
      </c>
    </row>
    <row r="4885" spans="1:12" x14ac:dyDescent="0.25">
      <c r="A4885" t="s">
        <v>1926</v>
      </c>
      <c r="B4885" t="s">
        <v>1927</v>
      </c>
      <c r="I4885" t="s">
        <v>1928</v>
      </c>
      <c r="J4885" s="3">
        <v>0.54872089999999996</v>
      </c>
      <c r="K4885" s="3">
        <v>0.32798899999999998</v>
      </c>
      <c r="L4885" s="3">
        <v>0.62551970000000001</v>
      </c>
    </row>
    <row r="4886" spans="1:12" x14ac:dyDescent="0.25">
      <c r="A4886" t="s">
        <v>1925</v>
      </c>
      <c r="B4886" t="s">
        <v>957</v>
      </c>
      <c r="I4886" t="s">
        <v>455</v>
      </c>
      <c r="J4886" s="3">
        <v>0.1072944</v>
      </c>
      <c r="K4886" s="3">
        <v>-0.37054350000000003</v>
      </c>
      <c r="L4886" s="3">
        <v>5.3118130000000003E-3</v>
      </c>
    </row>
    <row r="4887" spans="1:12" x14ac:dyDescent="0.25">
      <c r="A4887" t="s">
        <v>1922</v>
      </c>
      <c r="B4887" t="s">
        <v>1923</v>
      </c>
      <c r="I4887" t="s">
        <v>1924</v>
      </c>
      <c r="J4887" s="3">
        <v>-0.41008739999999999</v>
      </c>
      <c r="K4887" s="3">
        <v>-0.31281829999999999</v>
      </c>
      <c r="L4887" s="3">
        <v>-0.2747424</v>
      </c>
    </row>
    <row r="4888" spans="1:12" x14ac:dyDescent="0.25">
      <c r="A4888" t="s">
        <v>1921</v>
      </c>
      <c r="B4888" t="s">
        <v>957</v>
      </c>
      <c r="I4888" t="s">
        <v>614</v>
      </c>
      <c r="J4888" s="3">
        <v>0.38657940000000002</v>
      </c>
      <c r="K4888" s="3">
        <v>0.1941147</v>
      </c>
      <c r="L4888" s="3">
        <v>0.60213229999999995</v>
      </c>
    </row>
    <row r="4889" spans="1:12" x14ac:dyDescent="0.25">
      <c r="A4889" t="s">
        <v>1920</v>
      </c>
      <c r="B4889" t="s">
        <v>957</v>
      </c>
      <c r="I4889" t="s">
        <v>455</v>
      </c>
      <c r="J4889" s="3">
        <v>-0.76534469999999999</v>
      </c>
      <c r="K4889" s="3">
        <v>-0.85903949999999996</v>
      </c>
      <c r="L4889" s="3">
        <v>-0.34262280000000001</v>
      </c>
    </row>
    <row r="4890" spans="1:12" x14ac:dyDescent="0.25">
      <c r="A4890" t="s">
        <v>1919</v>
      </c>
      <c r="B4890" t="s">
        <v>957</v>
      </c>
      <c r="I4890" t="s">
        <v>455</v>
      </c>
      <c r="J4890" s="3">
        <v>-0.27734389999999998</v>
      </c>
      <c r="K4890" s="3">
        <v>-0.91074239999999995</v>
      </c>
      <c r="L4890" s="3">
        <v>-0.23811379999999999</v>
      </c>
    </row>
    <row r="4891" spans="1:12" x14ac:dyDescent="0.25">
      <c r="A4891" t="s">
        <v>1916</v>
      </c>
      <c r="B4891" t="s">
        <v>1917</v>
      </c>
      <c r="I4891" t="s">
        <v>1918</v>
      </c>
      <c r="J4891" s="3">
        <v>0.31482189999999999</v>
      </c>
      <c r="K4891" s="3">
        <v>4.9456359999999998E-3</v>
      </c>
      <c r="L4891" s="3">
        <v>0.17260239999999999</v>
      </c>
    </row>
    <row r="4892" spans="1:12" x14ac:dyDescent="0.25">
      <c r="A4892" t="s">
        <v>1913</v>
      </c>
      <c r="B4892" t="s">
        <v>1914</v>
      </c>
      <c r="I4892" t="s">
        <v>1915</v>
      </c>
      <c r="J4892" s="3">
        <v>8.9273790000000006E-2</v>
      </c>
      <c r="K4892" s="3">
        <v>-1.8541829999999999E-2</v>
      </c>
      <c r="L4892" s="3">
        <v>0.207095</v>
      </c>
    </row>
    <row r="4893" spans="1:12" x14ac:dyDescent="0.25">
      <c r="A4893" t="s">
        <v>1910</v>
      </c>
      <c r="B4893" t="s">
        <v>1911</v>
      </c>
      <c r="I4893" t="s">
        <v>1912</v>
      </c>
      <c r="J4893" s="3">
        <v>-1.2257759999999999E-2</v>
      </c>
      <c r="K4893" s="3">
        <v>-0.20858959999999999</v>
      </c>
      <c r="L4893" s="3">
        <v>-5.6505340000000001E-2</v>
      </c>
    </row>
    <row r="4894" spans="1:12" x14ac:dyDescent="0.25">
      <c r="A4894" t="s">
        <v>1907</v>
      </c>
      <c r="B4894" t="s">
        <v>1908</v>
      </c>
      <c r="I4894" t="s">
        <v>1909</v>
      </c>
      <c r="J4894" s="3">
        <v>0.136911</v>
      </c>
      <c r="K4894" s="3">
        <v>2.995204E-3</v>
      </c>
      <c r="L4894" s="3">
        <v>0.3400012</v>
      </c>
    </row>
    <row r="4895" spans="1:12" x14ac:dyDescent="0.25">
      <c r="A4895" t="s">
        <v>1904</v>
      </c>
      <c r="B4895" t="s">
        <v>1905</v>
      </c>
      <c r="I4895" t="s">
        <v>1906</v>
      </c>
      <c r="J4895" s="3">
        <v>-3.3000399999999999E-2</v>
      </c>
      <c r="K4895" s="3">
        <v>0.1828467</v>
      </c>
      <c r="L4895" s="3">
        <v>-0.1914825</v>
      </c>
    </row>
    <row r="4896" spans="1:12" x14ac:dyDescent="0.25">
      <c r="A4896" t="s">
        <v>1901</v>
      </c>
      <c r="B4896" t="s">
        <v>1902</v>
      </c>
      <c r="I4896" t="s">
        <v>1903</v>
      </c>
      <c r="J4896" s="3">
        <v>0.23240169999999999</v>
      </c>
      <c r="K4896" s="3">
        <v>-1.8308339999999999E-2</v>
      </c>
      <c r="L4896" s="3">
        <v>-0.16596369999999999</v>
      </c>
    </row>
    <row r="4897" spans="1:12" x14ac:dyDescent="0.25">
      <c r="A4897" t="s">
        <v>1898</v>
      </c>
      <c r="B4897" t="s">
        <v>1899</v>
      </c>
      <c r="I4897" t="s">
        <v>1900</v>
      </c>
      <c r="J4897" s="3">
        <v>2.0466149999999999E-2</v>
      </c>
      <c r="K4897" s="3">
        <v>-8.062424E-2</v>
      </c>
      <c r="L4897" s="3">
        <v>5.949281E-2</v>
      </c>
    </row>
    <row r="4898" spans="1:12" x14ac:dyDescent="0.25">
      <c r="A4898" t="s">
        <v>1895</v>
      </c>
      <c r="B4898" t="s">
        <v>1896</v>
      </c>
      <c r="I4898" t="s">
        <v>1897</v>
      </c>
      <c r="J4898" s="3">
        <v>2.0817209999999999</v>
      </c>
      <c r="K4898" s="3">
        <v>1.196644</v>
      </c>
      <c r="L4898" s="3">
        <v>1.449641</v>
      </c>
    </row>
    <row r="4899" spans="1:12" x14ac:dyDescent="0.25">
      <c r="A4899" t="s">
        <v>1894</v>
      </c>
      <c r="B4899" t="s">
        <v>957</v>
      </c>
      <c r="I4899" t="s">
        <v>453</v>
      </c>
      <c r="J4899" s="3">
        <v>-0.55898490000000001</v>
      </c>
      <c r="K4899" s="3">
        <v>0.531667</v>
      </c>
      <c r="L4899" s="3">
        <v>-0.12175</v>
      </c>
    </row>
    <row r="4900" spans="1:12" x14ac:dyDescent="0.25">
      <c r="A4900" t="s">
        <v>1891</v>
      </c>
      <c r="B4900" t="s">
        <v>1892</v>
      </c>
      <c r="I4900" t="s">
        <v>1893</v>
      </c>
      <c r="J4900" s="3">
        <v>-0.62021490000000001</v>
      </c>
      <c r="K4900" s="3">
        <v>-0.9450558</v>
      </c>
      <c r="L4900" s="3">
        <v>-0.78157620000000005</v>
      </c>
    </row>
    <row r="4901" spans="1:12" x14ac:dyDescent="0.25">
      <c r="A4901" t="s">
        <v>1888</v>
      </c>
      <c r="B4901" t="s">
        <v>1889</v>
      </c>
      <c r="I4901" t="s">
        <v>1890</v>
      </c>
      <c r="J4901" s="3">
        <v>-5.450675E-2</v>
      </c>
      <c r="K4901" s="3">
        <v>0.108628</v>
      </c>
      <c r="L4901" s="3">
        <v>-7.9946319999999998E-3</v>
      </c>
    </row>
    <row r="4902" spans="1:12" x14ac:dyDescent="0.25">
      <c r="A4902" t="s">
        <v>1887</v>
      </c>
      <c r="B4902" t="s">
        <v>957</v>
      </c>
      <c r="I4902" t="s">
        <v>1207</v>
      </c>
      <c r="J4902" s="3">
        <v>0.1864266</v>
      </c>
      <c r="K4902" s="3">
        <v>0.1659716</v>
      </c>
      <c r="L4902" s="3">
        <v>0.26310860000000003</v>
      </c>
    </row>
    <row r="4903" spans="1:12" x14ac:dyDescent="0.25">
      <c r="A4903" t="s">
        <v>1884</v>
      </c>
      <c r="B4903" t="s">
        <v>1885</v>
      </c>
      <c r="I4903" t="s">
        <v>1886</v>
      </c>
      <c r="J4903" s="3">
        <v>3.7731750000000001E-2</v>
      </c>
      <c r="K4903" s="3">
        <v>-0.198238</v>
      </c>
      <c r="L4903" s="3">
        <v>4.358451E-2</v>
      </c>
    </row>
    <row r="4904" spans="1:12" x14ac:dyDescent="0.25">
      <c r="A4904" t="s">
        <v>1881</v>
      </c>
      <c r="B4904" t="s">
        <v>1882</v>
      </c>
      <c r="I4904" t="s">
        <v>1883</v>
      </c>
      <c r="J4904" s="3">
        <v>7.5098760000000001E-2</v>
      </c>
      <c r="K4904" s="3">
        <v>-0.68979749999999995</v>
      </c>
      <c r="L4904" s="3">
        <v>0.1247664</v>
      </c>
    </row>
    <row r="4905" spans="1:12" x14ac:dyDescent="0.25">
      <c r="A4905" t="s">
        <v>1878</v>
      </c>
      <c r="B4905" t="s">
        <v>1879</v>
      </c>
      <c r="I4905" t="s">
        <v>1880</v>
      </c>
      <c r="J4905" s="3">
        <v>-0.32453379999999998</v>
      </c>
      <c r="K4905" s="3">
        <v>-0.71378299999999995</v>
      </c>
      <c r="L4905" s="3">
        <v>-0.35313929999999999</v>
      </c>
    </row>
    <row r="4906" spans="1:12" x14ac:dyDescent="0.25">
      <c r="A4906" t="s">
        <v>1875</v>
      </c>
      <c r="B4906" t="s">
        <v>1876</v>
      </c>
      <c r="I4906" t="s">
        <v>1877</v>
      </c>
      <c r="J4906" s="3">
        <v>0.40315879999999998</v>
      </c>
      <c r="K4906" s="3">
        <v>0.33948539999999999</v>
      </c>
      <c r="L4906" s="3">
        <v>0.31463730000000001</v>
      </c>
    </row>
    <row r="4907" spans="1:12" x14ac:dyDescent="0.25">
      <c r="A4907" t="s">
        <v>1872</v>
      </c>
      <c r="B4907" t="s">
        <v>1873</v>
      </c>
      <c r="I4907" t="s">
        <v>1874</v>
      </c>
      <c r="J4907" s="3">
        <v>0.1211262</v>
      </c>
      <c r="K4907" s="3">
        <v>-0.26709359999999999</v>
      </c>
      <c r="L4907" s="3">
        <v>-7.0580459999999998E-2</v>
      </c>
    </row>
    <row r="4908" spans="1:12" x14ac:dyDescent="0.25">
      <c r="A4908" t="s">
        <v>1869</v>
      </c>
      <c r="B4908" t="s">
        <v>1870</v>
      </c>
      <c r="I4908" t="s">
        <v>1871</v>
      </c>
      <c r="J4908" s="3">
        <v>0.1075072</v>
      </c>
      <c r="K4908" s="3">
        <v>9.2632770000000003E-2</v>
      </c>
      <c r="L4908" s="3">
        <v>0.1660797</v>
      </c>
    </row>
    <row r="4909" spans="1:12" x14ac:dyDescent="0.25">
      <c r="A4909" t="s">
        <v>1866</v>
      </c>
      <c r="B4909" t="s">
        <v>1867</v>
      </c>
      <c r="I4909" t="s">
        <v>1868</v>
      </c>
      <c r="J4909" s="3">
        <v>-0.12539829999999999</v>
      </c>
      <c r="K4909" s="3">
        <v>-1.000157</v>
      </c>
      <c r="L4909" s="3">
        <v>6.9051660000000001E-2</v>
      </c>
    </row>
    <row r="4910" spans="1:12" x14ac:dyDescent="0.25">
      <c r="A4910" t="s">
        <v>1863</v>
      </c>
      <c r="B4910" t="s">
        <v>1864</v>
      </c>
      <c r="I4910" t="s">
        <v>1865</v>
      </c>
      <c r="J4910" s="3">
        <v>0.41487309999999999</v>
      </c>
      <c r="K4910" s="3">
        <v>-0.1773824</v>
      </c>
      <c r="L4910" s="3">
        <v>0.11546389999999999</v>
      </c>
    </row>
    <row r="4911" spans="1:12" x14ac:dyDescent="0.25">
      <c r="A4911" t="s">
        <v>1862</v>
      </c>
      <c r="B4911" t="s">
        <v>957</v>
      </c>
      <c r="I4911" t="s">
        <v>455</v>
      </c>
      <c r="J4911" s="3">
        <v>0.68337329999999996</v>
      </c>
      <c r="K4911" s="3">
        <v>0.36717159999999999</v>
      </c>
      <c r="L4911" s="3">
        <v>0.25063099999999999</v>
      </c>
    </row>
    <row r="4912" spans="1:12" x14ac:dyDescent="0.25">
      <c r="A4912" t="s">
        <v>1859</v>
      </c>
      <c r="B4912" t="s">
        <v>1860</v>
      </c>
      <c r="I4912" t="s">
        <v>1861</v>
      </c>
      <c r="J4912" s="3">
        <v>-0.32426250000000001</v>
      </c>
      <c r="K4912" s="3">
        <v>-0.1851448</v>
      </c>
      <c r="L4912" s="3">
        <v>-0.33807690000000001</v>
      </c>
    </row>
    <row r="4913" spans="1:12" x14ac:dyDescent="0.25">
      <c r="A4913" t="s">
        <v>1856</v>
      </c>
      <c r="B4913" t="s">
        <v>1857</v>
      </c>
      <c r="I4913" t="s">
        <v>1858</v>
      </c>
      <c r="J4913" s="3">
        <v>-0.16953599999999999</v>
      </c>
      <c r="K4913" s="3">
        <v>-0.26639200000000002</v>
      </c>
      <c r="L4913" s="3">
        <v>-0.1189762</v>
      </c>
    </row>
    <row r="4914" spans="1:12" x14ac:dyDescent="0.25">
      <c r="A4914" t="s">
        <v>1853</v>
      </c>
      <c r="B4914" t="s">
        <v>1854</v>
      </c>
      <c r="I4914" t="s">
        <v>1855</v>
      </c>
      <c r="J4914" s="3">
        <v>1.0708</v>
      </c>
      <c r="K4914" s="3">
        <v>0.46407589999999999</v>
      </c>
      <c r="L4914" s="3">
        <v>0.73265040000000003</v>
      </c>
    </row>
    <row r="4915" spans="1:12" x14ac:dyDescent="0.25">
      <c r="A4915" t="s">
        <v>1850</v>
      </c>
      <c r="B4915" t="s">
        <v>1851</v>
      </c>
      <c r="I4915" t="s">
        <v>1852</v>
      </c>
      <c r="J4915" s="3">
        <v>-0.53590939999999998</v>
      </c>
      <c r="K4915" s="3">
        <v>-1.044163</v>
      </c>
      <c r="L4915" s="3">
        <v>-0.70350679999999999</v>
      </c>
    </row>
    <row r="4916" spans="1:12" x14ac:dyDescent="0.25">
      <c r="A4916" t="s">
        <v>1847</v>
      </c>
      <c r="B4916" t="s">
        <v>1848</v>
      </c>
      <c r="I4916" t="s">
        <v>1849</v>
      </c>
      <c r="J4916" s="3">
        <v>0.30356100000000003</v>
      </c>
      <c r="K4916" s="3">
        <v>0.69829980000000003</v>
      </c>
      <c r="L4916" s="3">
        <v>0.33052209999999999</v>
      </c>
    </row>
    <row r="4917" spans="1:12" x14ac:dyDescent="0.25">
      <c r="A4917" t="s">
        <v>1845</v>
      </c>
      <c r="B4917" t="s">
        <v>957</v>
      </c>
      <c r="I4917" t="s">
        <v>1846</v>
      </c>
      <c r="J4917" s="3">
        <v>0.36691780000000002</v>
      </c>
      <c r="K4917" s="3">
        <v>0.32345839999999998</v>
      </c>
      <c r="L4917" s="3">
        <v>0.25038009999999999</v>
      </c>
    </row>
    <row r="4918" spans="1:12" x14ac:dyDescent="0.25">
      <c r="A4918" t="s">
        <v>1844</v>
      </c>
      <c r="B4918" t="s">
        <v>957</v>
      </c>
      <c r="I4918" t="s">
        <v>455</v>
      </c>
      <c r="J4918" s="3">
        <v>9.7663399999999997E-2</v>
      </c>
      <c r="K4918" s="3">
        <v>-0.48977549999999997</v>
      </c>
      <c r="L4918" s="3">
        <v>-0.17980740000000001</v>
      </c>
    </row>
    <row r="4919" spans="1:12" x14ac:dyDescent="0.25">
      <c r="A4919" t="s">
        <v>1841</v>
      </c>
      <c r="B4919" t="s">
        <v>1842</v>
      </c>
      <c r="I4919" t="s">
        <v>1843</v>
      </c>
      <c r="J4919" s="3">
        <v>-1.0622410000000001E-2</v>
      </c>
      <c r="K4919" s="3">
        <v>-0.38860319999999998</v>
      </c>
      <c r="L4919" s="3">
        <v>-0.20024359999999999</v>
      </c>
    </row>
    <row r="4920" spans="1:12" x14ac:dyDescent="0.25">
      <c r="A4920" t="s">
        <v>1838</v>
      </c>
      <c r="B4920" t="s">
        <v>1839</v>
      </c>
      <c r="I4920" t="s">
        <v>1840</v>
      </c>
      <c r="J4920" s="3">
        <v>-0.1383373</v>
      </c>
      <c r="K4920" s="3">
        <v>-0.63188290000000003</v>
      </c>
      <c r="L4920" s="3">
        <v>-6.258213E-2</v>
      </c>
    </row>
    <row r="4921" spans="1:12" x14ac:dyDescent="0.25">
      <c r="A4921" t="s">
        <v>1835</v>
      </c>
      <c r="B4921" t="s">
        <v>1836</v>
      </c>
      <c r="I4921" t="s">
        <v>1837</v>
      </c>
      <c r="J4921" s="3">
        <v>-6.5898079999999998E-2</v>
      </c>
      <c r="K4921" s="3">
        <v>-0.48411029999999999</v>
      </c>
      <c r="L4921" s="3">
        <v>-1.4295860000000001E-2</v>
      </c>
    </row>
    <row r="4922" spans="1:12" x14ac:dyDescent="0.25">
      <c r="A4922" t="s">
        <v>1832</v>
      </c>
      <c r="B4922" t="s">
        <v>1833</v>
      </c>
      <c r="I4922" t="s">
        <v>1834</v>
      </c>
      <c r="J4922" s="3">
        <v>0.88319970000000003</v>
      </c>
      <c r="K4922" s="3">
        <v>0.84751500000000002</v>
      </c>
      <c r="L4922" s="3">
        <v>0.81331819999999999</v>
      </c>
    </row>
    <row r="4923" spans="1:12" x14ac:dyDescent="0.25">
      <c r="A4923" t="s">
        <v>1831</v>
      </c>
      <c r="B4923" t="s">
        <v>957</v>
      </c>
      <c r="I4923" t="s">
        <v>455</v>
      </c>
      <c r="J4923" s="3">
        <v>-0.48536089999999998</v>
      </c>
      <c r="K4923" s="3">
        <v>-0.95478980000000002</v>
      </c>
      <c r="L4923" s="3">
        <v>-0.31714910000000002</v>
      </c>
    </row>
    <row r="4924" spans="1:12" x14ac:dyDescent="0.25">
      <c r="A4924" t="s">
        <v>1830</v>
      </c>
      <c r="B4924" t="s">
        <v>957</v>
      </c>
      <c r="I4924" t="s">
        <v>2</v>
      </c>
      <c r="J4924" s="3">
        <v>-0.1621253</v>
      </c>
      <c r="K4924" s="3">
        <v>-0.2573086</v>
      </c>
      <c r="L4924" s="3">
        <v>-7.8531370000000003E-2</v>
      </c>
    </row>
    <row r="4925" spans="1:12" x14ac:dyDescent="0.25">
      <c r="A4925" t="s">
        <v>1827</v>
      </c>
      <c r="B4925" t="s">
        <v>1828</v>
      </c>
      <c r="I4925" t="s">
        <v>1829</v>
      </c>
      <c r="J4925" s="3">
        <v>-3.0884310000000002E-2</v>
      </c>
      <c r="K4925" s="3">
        <v>-0.46334890000000001</v>
      </c>
      <c r="L4925" s="3">
        <v>9.143068E-2</v>
      </c>
    </row>
    <row r="4926" spans="1:12" x14ac:dyDescent="0.25">
      <c r="A4926" t="s">
        <v>1825</v>
      </c>
      <c r="B4926" t="s">
        <v>957</v>
      </c>
      <c r="I4926" t="s">
        <v>1826</v>
      </c>
      <c r="J4926" s="3">
        <v>1.2996639999999999</v>
      </c>
      <c r="K4926" s="3">
        <v>0.71576249999999997</v>
      </c>
      <c r="L4926" s="3">
        <v>0.81381530000000002</v>
      </c>
    </row>
    <row r="4927" spans="1:12" x14ac:dyDescent="0.25">
      <c r="A4927" t="s">
        <v>1822</v>
      </c>
      <c r="B4927" t="s">
        <v>1823</v>
      </c>
      <c r="I4927" t="s">
        <v>1824</v>
      </c>
      <c r="J4927" s="3">
        <v>0.6557172</v>
      </c>
      <c r="K4927" s="3">
        <v>0.56419319999999995</v>
      </c>
      <c r="L4927" s="3">
        <v>0.75062419999999996</v>
      </c>
    </row>
    <row r="4928" spans="1:12" x14ac:dyDescent="0.25">
      <c r="A4928" t="s">
        <v>1819</v>
      </c>
      <c r="B4928" t="s">
        <v>1820</v>
      </c>
      <c r="I4928" t="s">
        <v>1821</v>
      </c>
      <c r="J4928" s="3">
        <v>-1.017239</v>
      </c>
      <c r="K4928" s="3">
        <v>-1.1774640000000001</v>
      </c>
      <c r="L4928" s="3">
        <v>-0.51479810000000004</v>
      </c>
    </row>
    <row r="4929" spans="1:12" x14ac:dyDescent="0.25">
      <c r="A4929" t="s">
        <v>1816</v>
      </c>
      <c r="B4929" t="s">
        <v>1817</v>
      </c>
      <c r="I4929" t="s">
        <v>1818</v>
      </c>
      <c r="J4929" s="3">
        <v>-0.30156309999999997</v>
      </c>
      <c r="K4929" s="3">
        <v>-0.33768700000000001</v>
      </c>
      <c r="L4929" s="3">
        <v>-0.50646729999999995</v>
      </c>
    </row>
    <row r="4930" spans="1:12" x14ac:dyDescent="0.25">
      <c r="A4930" t="s">
        <v>1815</v>
      </c>
      <c r="B4930" t="s">
        <v>957</v>
      </c>
      <c r="I4930" t="s">
        <v>228</v>
      </c>
      <c r="J4930" s="3">
        <v>1.021406</v>
      </c>
      <c r="K4930" s="3">
        <v>0.71305339999999995</v>
      </c>
      <c r="L4930" s="3">
        <v>0.50656009999999996</v>
      </c>
    </row>
    <row r="4931" spans="1:12" x14ac:dyDescent="0.25">
      <c r="A4931" t="s">
        <v>1812</v>
      </c>
      <c r="B4931" t="s">
        <v>1813</v>
      </c>
      <c r="I4931" t="s">
        <v>1814</v>
      </c>
      <c r="J4931" s="3">
        <v>5.42148E-2</v>
      </c>
      <c r="K4931" s="3">
        <v>0.54033560000000003</v>
      </c>
      <c r="L4931" s="3">
        <v>-0.15988459999999999</v>
      </c>
    </row>
    <row r="4932" spans="1:12" x14ac:dyDescent="0.25">
      <c r="A4932" t="s">
        <v>1809</v>
      </c>
      <c r="B4932" t="s">
        <v>1810</v>
      </c>
      <c r="I4932" t="s">
        <v>1811</v>
      </c>
      <c r="J4932" s="3">
        <v>5.0173679999999998E-2</v>
      </c>
      <c r="K4932" s="3">
        <v>-0.12110120000000001</v>
      </c>
      <c r="L4932" s="3">
        <v>-3.7323870000000002E-2</v>
      </c>
    </row>
    <row r="4933" spans="1:12" x14ac:dyDescent="0.25">
      <c r="A4933" t="s">
        <v>1806</v>
      </c>
      <c r="B4933" t="s">
        <v>1807</v>
      </c>
      <c r="I4933" t="s">
        <v>1808</v>
      </c>
      <c r="J4933" s="3">
        <v>2.621445E-2</v>
      </c>
      <c r="K4933" s="3">
        <v>-0.2571215</v>
      </c>
      <c r="L4933" s="3">
        <v>-6.2592599999999998E-2</v>
      </c>
    </row>
    <row r="4934" spans="1:12" x14ac:dyDescent="0.25">
      <c r="A4934" t="s">
        <v>1803</v>
      </c>
      <c r="B4934" t="s">
        <v>1804</v>
      </c>
      <c r="I4934" t="s">
        <v>1805</v>
      </c>
      <c r="J4934" s="3">
        <v>0.49562060000000002</v>
      </c>
      <c r="K4934" s="3">
        <v>0.30673909999999999</v>
      </c>
      <c r="L4934" s="3">
        <v>0.42771619999999999</v>
      </c>
    </row>
    <row r="4935" spans="1:12" x14ac:dyDescent="0.25">
      <c r="A4935" t="s">
        <v>1802</v>
      </c>
      <c r="B4935" t="s">
        <v>957</v>
      </c>
      <c r="I4935" t="s">
        <v>455</v>
      </c>
      <c r="J4935" s="3">
        <v>-3.7927210000000003E-2</v>
      </c>
      <c r="K4935" s="3">
        <v>-1.4051640000000001E-2</v>
      </c>
      <c r="L4935" s="3">
        <v>-0.13132630000000001</v>
      </c>
    </row>
    <row r="4936" spans="1:12" x14ac:dyDescent="0.25">
      <c r="A4936" t="s">
        <v>1800</v>
      </c>
      <c r="B4936" t="s">
        <v>957</v>
      </c>
      <c r="I4936" t="s">
        <v>1801</v>
      </c>
      <c r="J4936" s="3">
        <v>-0.25399529999999998</v>
      </c>
      <c r="K4936" s="3">
        <v>9.9357219999999996E-2</v>
      </c>
      <c r="L4936" s="3">
        <v>0.13776679999999999</v>
      </c>
    </row>
    <row r="4937" spans="1:12" x14ac:dyDescent="0.25">
      <c r="A4937" t="s">
        <v>1797</v>
      </c>
      <c r="B4937" t="s">
        <v>1798</v>
      </c>
      <c r="I4937" t="s">
        <v>1799</v>
      </c>
      <c r="J4937" s="3">
        <v>-0.1760303</v>
      </c>
      <c r="K4937" s="3">
        <v>-0.26543719999999998</v>
      </c>
      <c r="L4937" s="3">
        <v>0.1048804</v>
      </c>
    </row>
    <row r="4938" spans="1:12" x14ac:dyDescent="0.25">
      <c r="A4938" t="s">
        <v>2468</v>
      </c>
      <c r="B4938" t="s">
        <v>2469</v>
      </c>
      <c r="I4938" t="s">
        <v>2470</v>
      </c>
      <c r="J4938" s="3">
        <v>9.034557E-2</v>
      </c>
      <c r="K4938" s="3">
        <v>-0.20113629999999999</v>
      </c>
      <c r="L4938" s="3">
        <v>0.59271499999999999</v>
      </c>
    </row>
    <row r="4939" spans="1:12" x14ac:dyDescent="0.25">
      <c r="A4939" t="s">
        <v>2465</v>
      </c>
      <c r="B4939" t="s">
        <v>2466</v>
      </c>
      <c r="I4939" t="s">
        <v>2467</v>
      </c>
      <c r="J4939" s="3">
        <v>-1.03735</v>
      </c>
      <c r="K4939" s="3">
        <v>-1.410345</v>
      </c>
      <c r="L4939" s="3">
        <v>-0.66929780000000005</v>
      </c>
    </row>
    <row r="4940" spans="1:12" x14ac:dyDescent="0.25">
      <c r="A4940" t="s">
        <v>2462</v>
      </c>
      <c r="B4940" t="s">
        <v>2463</v>
      </c>
      <c r="I4940" t="s">
        <v>2464</v>
      </c>
      <c r="J4940" s="3">
        <v>4.9360399999999999E-2</v>
      </c>
      <c r="K4940" s="3">
        <v>-0.44852969999999998</v>
      </c>
      <c r="L4940" s="3">
        <v>-0.1932411</v>
      </c>
    </row>
    <row r="4941" spans="1:12" x14ac:dyDescent="0.25">
      <c r="A4941" t="s">
        <v>2459</v>
      </c>
      <c r="B4941" t="s">
        <v>2460</v>
      </c>
      <c r="I4941" t="s">
        <v>2461</v>
      </c>
      <c r="J4941" s="3">
        <v>-0.77674600000000005</v>
      </c>
      <c r="K4941" s="3">
        <v>-0.78948790000000002</v>
      </c>
      <c r="L4941" s="3">
        <v>-0.73104919999999995</v>
      </c>
    </row>
    <row r="4942" spans="1:12" x14ac:dyDescent="0.25">
      <c r="A4942" t="s">
        <v>2456</v>
      </c>
      <c r="B4942" t="s">
        <v>2457</v>
      </c>
      <c r="I4942" t="s">
        <v>2458</v>
      </c>
      <c r="J4942" s="3">
        <v>-0.21607770000000001</v>
      </c>
      <c r="K4942" s="3">
        <v>-0.45507379999999997</v>
      </c>
      <c r="L4942" s="3">
        <v>-0.3114249</v>
      </c>
    </row>
    <row r="4943" spans="1:12" x14ac:dyDescent="0.25">
      <c r="A4943" t="s">
        <v>2453</v>
      </c>
      <c r="B4943" t="s">
        <v>2454</v>
      </c>
      <c r="I4943" t="s">
        <v>2455</v>
      </c>
      <c r="J4943" s="3">
        <v>1.112981</v>
      </c>
      <c r="K4943" s="3">
        <v>1.4380409999999999</v>
      </c>
      <c r="L4943" s="3">
        <v>0.72867219999999999</v>
      </c>
    </row>
    <row r="4944" spans="1:12" x14ac:dyDescent="0.25">
      <c r="A4944" t="s">
        <v>2450</v>
      </c>
      <c r="B4944" t="s">
        <v>2451</v>
      </c>
      <c r="I4944" t="s">
        <v>2452</v>
      </c>
      <c r="J4944" s="3">
        <v>0.56212530000000005</v>
      </c>
      <c r="K4944" s="3">
        <v>0.22621550000000001</v>
      </c>
      <c r="L4944" s="3">
        <v>0.27345550000000002</v>
      </c>
    </row>
    <row r="4945" spans="1:12" x14ac:dyDescent="0.25">
      <c r="A4945" t="s">
        <v>2448</v>
      </c>
      <c r="B4945" t="s">
        <v>957</v>
      </c>
      <c r="I4945" t="s">
        <v>2449</v>
      </c>
      <c r="J4945" s="3">
        <v>-0.50720209999999999</v>
      </c>
      <c r="K4945" s="3">
        <v>-0.5228718</v>
      </c>
      <c r="L4945" s="3">
        <v>-0.34268300000000002</v>
      </c>
    </row>
    <row r="4946" spans="1:12" x14ac:dyDescent="0.25">
      <c r="A4946" t="s">
        <v>2445</v>
      </c>
      <c r="B4946" t="s">
        <v>2446</v>
      </c>
      <c r="I4946" t="s">
        <v>2447</v>
      </c>
      <c r="J4946" s="3">
        <v>-8.5938100000000003E-2</v>
      </c>
      <c r="K4946" s="3">
        <v>0.32473380000000002</v>
      </c>
      <c r="L4946" s="3">
        <v>-6.7794760000000004E-3</v>
      </c>
    </row>
    <row r="4947" spans="1:12" x14ac:dyDescent="0.25">
      <c r="A4947" t="s">
        <v>3484</v>
      </c>
      <c r="B4947" t="s">
        <v>957</v>
      </c>
      <c r="I4947" t="s">
        <v>2444</v>
      </c>
      <c r="J4947" s="3">
        <v>-0.3689983</v>
      </c>
      <c r="K4947" s="3">
        <v>-0.36338359999999997</v>
      </c>
      <c r="L4947" s="3">
        <v>-0.54019030000000001</v>
      </c>
    </row>
    <row r="4948" spans="1:12" x14ac:dyDescent="0.25">
      <c r="A4948" t="s">
        <v>3481</v>
      </c>
      <c r="B4948" t="s">
        <v>3482</v>
      </c>
      <c r="I4948" t="s">
        <v>3483</v>
      </c>
      <c r="J4948" s="3">
        <v>-3.95625E-2</v>
      </c>
      <c r="K4948" s="3">
        <v>2.75683E-2</v>
      </c>
      <c r="L4948" s="3">
        <v>-3.6758609999999997E-2</v>
      </c>
    </row>
    <row r="4949" spans="1:12" x14ac:dyDescent="0.25">
      <c r="A4949" t="s">
        <v>1779</v>
      </c>
      <c r="B4949" t="s">
        <v>1780</v>
      </c>
      <c r="I4949" t="s">
        <v>1781</v>
      </c>
      <c r="J4949" s="3">
        <v>0.70096440000000004</v>
      </c>
      <c r="K4949" s="3">
        <v>0.4343726</v>
      </c>
      <c r="L4949" s="3">
        <v>0.75806569999999995</v>
      </c>
    </row>
    <row r="4950" spans="1:12" x14ac:dyDescent="0.25">
      <c r="A4950" t="s">
        <v>1776</v>
      </c>
      <c r="B4950" t="s">
        <v>1777</v>
      </c>
      <c r="I4950" t="s">
        <v>1778</v>
      </c>
      <c r="J4950" s="3">
        <v>-7.903077E-2</v>
      </c>
      <c r="K4950" s="3">
        <v>4.7157049999999999E-2</v>
      </c>
      <c r="L4950" s="3">
        <v>-8.5757479999999997E-2</v>
      </c>
    </row>
    <row r="4951" spans="1:12" x14ac:dyDescent="0.25">
      <c r="A4951" t="s">
        <v>1773</v>
      </c>
      <c r="B4951" t="s">
        <v>1774</v>
      </c>
      <c r="I4951" t="s">
        <v>1775</v>
      </c>
      <c r="J4951" s="3">
        <v>-0.24867600000000001</v>
      </c>
      <c r="K4951" s="3">
        <v>-0.92866899999999997</v>
      </c>
      <c r="L4951" s="3">
        <v>-0.1412871</v>
      </c>
    </row>
    <row r="4952" spans="1:12" x14ac:dyDescent="0.25">
      <c r="A4952" t="s">
        <v>1770</v>
      </c>
      <c r="B4952" t="s">
        <v>1771</v>
      </c>
      <c r="I4952" t="s">
        <v>1772</v>
      </c>
      <c r="J4952" s="3">
        <v>0.37076049999999999</v>
      </c>
      <c r="K4952" s="3">
        <v>-0.2394009</v>
      </c>
      <c r="L4952" s="3">
        <v>0.23958599999999999</v>
      </c>
    </row>
    <row r="4953" spans="1:12" x14ac:dyDescent="0.25">
      <c r="A4953" t="s">
        <v>1769</v>
      </c>
      <c r="B4953" t="s">
        <v>957</v>
      </c>
      <c r="I4953" t="s">
        <v>455</v>
      </c>
      <c r="J4953" s="3">
        <v>6.9386829999999997E-2</v>
      </c>
      <c r="K4953" s="3">
        <v>-0.22757559999999999</v>
      </c>
      <c r="L4953" s="3">
        <v>3.1388949999999999E-2</v>
      </c>
    </row>
    <row r="4954" spans="1:12" x14ac:dyDescent="0.25">
      <c r="A4954" t="s">
        <v>1766</v>
      </c>
      <c r="B4954" t="s">
        <v>1767</v>
      </c>
      <c r="I4954" t="s">
        <v>1768</v>
      </c>
      <c r="J4954" s="3">
        <v>1.088303</v>
      </c>
      <c r="K4954" s="3">
        <v>1.6940599999999999</v>
      </c>
      <c r="L4954" s="3">
        <v>0.72853880000000004</v>
      </c>
    </row>
    <row r="4955" spans="1:12" x14ac:dyDescent="0.25">
      <c r="A4955" t="s">
        <v>1765</v>
      </c>
      <c r="B4955" t="s">
        <v>957</v>
      </c>
      <c r="I4955" t="s">
        <v>455</v>
      </c>
      <c r="J4955" s="3">
        <v>9.0904659999999998E-2</v>
      </c>
      <c r="K4955" s="3">
        <v>-0.42889759999999999</v>
      </c>
      <c r="L4955" s="3">
        <v>-9.5667630000000003E-2</v>
      </c>
    </row>
    <row r="4956" spans="1:12" x14ac:dyDescent="0.25">
      <c r="A4956" t="s">
        <v>1762</v>
      </c>
      <c r="B4956" t="s">
        <v>1763</v>
      </c>
      <c r="I4956" t="s">
        <v>1764</v>
      </c>
      <c r="J4956" s="3">
        <v>-0.12832689999999999</v>
      </c>
      <c r="K4956" s="3">
        <v>-0.28159299999999998</v>
      </c>
      <c r="L4956" s="3">
        <v>5.7946839999999999E-2</v>
      </c>
    </row>
    <row r="4957" spans="1:12" x14ac:dyDescent="0.25">
      <c r="A4957" t="s">
        <v>1759</v>
      </c>
      <c r="B4957" t="s">
        <v>1760</v>
      </c>
      <c r="I4957" t="s">
        <v>1761</v>
      </c>
      <c r="J4957" s="3">
        <v>-0.4727363</v>
      </c>
      <c r="K4957" s="3">
        <v>-0.71128409999999997</v>
      </c>
      <c r="L4957" s="3">
        <v>-0.48274719999999999</v>
      </c>
    </row>
    <row r="4958" spans="1:12" x14ac:dyDescent="0.25">
      <c r="A4958" t="s">
        <v>1756</v>
      </c>
      <c r="B4958" t="s">
        <v>1757</v>
      </c>
      <c r="I4958" t="s">
        <v>1758</v>
      </c>
      <c r="J4958" s="3">
        <v>0.833847</v>
      </c>
      <c r="K4958" s="3">
        <v>0.55622269999999996</v>
      </c>
      <c r="L4958" s="3">
        <v>0.85837719999999995</v>
      </c>
    </row>
    <row r="4959" spans="1:12" x14ac:dyDescent="0.25">
      <c r="A4959" t="s">
        <v>1755</v>
      </c>
      <c r="B4959" t="s">
        <v>957</v>
      </c>
      <c r="I4959" t="s">
        <v>455</v>
      </c>
      <c r="J4959" s="3">
        <v>5.2463210000000003E-2</v>
      </c>
      <c r="K4959" s="3">
        <v>-0.29299799999999998</v>
      </c>
      <c r="L4959" s="3">
        <v>0.26701839999999999</v>
      </c>
    </row>
    <row r="4960" spans="1:12" x14ac:dyDescent="0.25">
      <c r="A4960" t="s">
        <v>1752</v>
      </c>
      <c r="B4960" t="s">
        <v>1753</v>
      </c>
      <c r="I4960" t="s">
        <v>1754</v>
      </c>
      <c r="J4960" s="3">
        <v>-9.3861860000000005E-2</v>
      </c>
      <c r="K4960" s="3">
        <v>9.6840350000000006E-2</v>
      </c>
      <c r="L4960" s="3">
        <v>-3.9406629999999998E-2</v>
      </c>
    </row>
    <row r="4961" spans="1:12" x14ac:dyDescent="0.25">
      <c r="A4961" t="s">
        <v>1749</v>
      </c>
      <c r="B4961" t="s">
        <v>1750</v>
      </c>
      <c r="I4961" t="s">
        <v>1751</v>
      </c>
      <c r="J4961" s="3">
        <v>0.14076739999999999</v>
      </c>
      <c r="K4961" s="3">
        <v>0.20476849999999999</v>
      </c>
      <c r="L4961" s="3">
        <v>0.13659370000000001</v>
      </c>
    </row>
    <row r="4962" spans="1:12" x14ac:dyDescent="0.25">
      <c r="A4962" t="s">
        <v>1746</v>
      </c>
      <c r="B4962" t="s">
        <v>1747</v>
      </c>
      <c r="I4962" t="s">
        <v>1748</v>
      </c>
      <c r="J4962" s="3">
        <v>-0.88839120000000005</v>
      </c>
      <c r="K4962" s="3">
        <v>-0.95941949999999998</v>
      </c>
      <c r="L4962" s="3">
        <v>-1.021156</v>
      </c>
    </row>
    <row r="4963" spans="1:12" x14ac:dyDescent="0.25">
      <c r="A4963" t="s">
        <v>1743</v>
      </c>
      <c r="B4963" t="s">
        <v>1744</v>
      </c>
      <c r="I4963" t="s">
        <v>1745</v>
      </c>
      <c r="J4963" s="3">
        <v>0.17512430000000001</v>
      </c>
      <c r="K4963" s="3">
        <v>-2.7729819999999998E-3</v>
      </c>
      <c r="L4963" s="3">
        <v>0.22881989999999999</v>
      </c>
    </row>
    <row r="4964" spans="1:12" x14ac:dyDescent="0.25">
      <c r="A4964" t="s">
        <v>1740</v>
      </c>
      <c r="B4964" t="s">
        <v>1741</v>
      </c>
      <c r="I4964" t="s">
        <v>1742</v>
      </c>
      <c r="J4964" s="3">
        <v>0.17544989999999999</v>
      </c>
      <c r="K4964" s="3">
        <v>0.43012349999999999</v>
      </c>
      <c r="L4964" s="3">
        <v>7.3811849999999998E-2</v>
      </c>
    </row>
    <row r="4965" spans="1:12" x14ac:dyDescent="0.25">
      <c r="A4965" t="s">
        <v>1738</v>
      </c>
      <c r="B4965" t="s">
        <v>1739</v>
      </c>
      <c r="I4965" t="s">
        <v>465</v>
      </c>
      <c r="J4965" s="3">
        <v>0.65454129999999999</v>
      </c>
      <c r="K4965" s="3">
        <v>0.39941840000000001</v>
      </c>
      <c r="L4965" s="3">
        <v>0.29268300000000003</v>
      </c>
    </row>
    <row r="4966" spans="1:12" x14ac:dyDescent="0.25">
      <c r="A4966" t="s">
        <v>1735</v>
      </c>
      <c r="B4966" t="s">
        <v>1736</v>
      </c>
      <c r="I4966" t="s">
        <v>1737</v>
      </c>
      <c r="J4966" s="3">
        <v>-0.26987640000000002</v>
      </c>
      <c r="K4966" s="3">
        <v>-1.004705</v>
      </c>
      <c r="L4966" s="3">
        <v>-0.35015210000000002</v>
      </c>
    </row>
    <row r="4967" spans="1:12" x14ac:dyDescent="0.25">
      <c r="A4967" t="s">
        <v>1732</v>
      </c>
      <c r="B4967" t="s">
        <v>1733</v>
      </c>
      <c r="I4967" t="s">
        <v>1734</v>
      </c>
      <c r="J4967" s="3">
        <v>-0.1004321</v>
      </c>
      <c r="K4967" s="3">
        <v>-0.53103040000000001</v>
      </c>
      <c r="L4967" s="3">
        <v>-0.64143269999999997</v>
      </c>
    </row>
    <row r="4968" spans="1:12" x14ac:dyDescent="0.25">
      <c r="A4968" t="s">
        <v>1729</v>
      </c>
      <c r="B4968" t="s">
        <v>1730</v>
      </c>
      <c r="I4968" t="s">
        <v>1731</v>
      </c>
      <c r="J4968" s="3">
        <v>2.598377E-2</v>
      </c>
      <c r="K4968" s="3">
        <v>-0.1048853</v>
      </c>
      <c r="L4968" s="3">
        <v>-0.53459650000000003</v>
      </c>
    </row>
    <row r="4969" spans="1:12" x14ac:dyDescent="0.25">
      <c r="A4969" t="s">
        <v>1726</v>
      </c>
      <c r="B4969" t="s">
        <v>1727</v>
      </c>
      <c r="I4969" t="s">
        <v>1728</v>
      </c>
      <c r="J4969" s="3">
        <v>0.31814179999999997</v>
      </c>
      <c r="K4969" s="3">
        <v>0.24554400000000001</v>
      </c>
      <c r="L4969" s="3">
        <v>6.5262410000000007E-2</v>
      </c>
    </row>
    <row r="4970" spans="1:12" x14ac:dyDescent="0.25">
      <c r="A4970" t="s">
        <v>1723</v>
      </c>
      <c r="B4970" t="s">
        <v>1724</v>
      </c>
      <c r="I4970" t="s">
        <v>1725</v>
      </c>
      <c r="J4970" s="3">
        <v>0.2530423</v>
      </c>
      <c r="K4970" s="3">
        <v>-0.1211676</v>
      </c>
      <c r="L4970" s="3">
        <v>8.6109699999999997E-2</v>
      </c>
    </row>
    <row r="4971" spans="1:12" x14ac:dyDescent="0.25">
      <c r="A4971" t="s">
        <v>1722</v>
      </c>
      <c r="B4971" t="s">
        <v>957</v>
      </c>
      <c r="I4971" t="s">
        <v>455</v>
      </c>
      <c r="J4971" s="3">
        <v>-0.58445930000000001</v>
      </c>
      <c r="K4971" s="3">
        <v>-0.73034030000000005</v>
      </c>
      <c r="L4971" s="3">
        <v>-0.15938169999999999</v>
      </c>
    </row>
    <row r="4972" spans="1:12" x14ac:dyDescent="0.25">
      <c r="A4972" t="s">
        <v>1721</v>
      </c>
      <c r="B4972" t="s">
        <v>957</v>
      </c>
      <c r="I4972" t="s">
        <v>455</v>
      </c>
      <c r="J4972" s="3">
        <v>-2.5004160000000001E-2</v>
      </c>
      <c r="K4972" s="3">
        <v>-0.46347880000000002</v>
      </c>
      <c r="L4972" s="3">
        <v>-2.5345159999999999E-2</v>
      </c>
    </row>
    <row r="4973" spans="1:12" x14ac:dyDescent="0.25">
      <c r="A4973" t="s">
        <v>1718</v>
      </c>
      <c r="B4973" t="s">
        <v>1719</v>
      </c>
      <c r="I4973" t="s">
        <v>1720</v>
      </c>
      <c r="J4973" s="3">
        <v>0.24435380000000001</v>
      </c>
      <c r="K4973" s="3">
        <v>-0.16010669999999999</v>
      </c>
      <c r="L4973" s="3">
        <v>-5.0481419999999999E-2</v>
      </c>
    </row>
    <row r="4974" spans="1:12" x14ac:dyDescent="0.25">
      <c r="A4974" t="s">
        <v>1717</v>
      </c>
      <c r="B4974" t="s">
        <v>957</v>
      </c>
      <c r="I4974" t="s">
        <v>455</v>
      </c>
      <c r="J4974" s="3">
        <v>0.129415</v>
      </c>
      <c r="K4974" s="3">
        <v>-0.2010178</v>
      </c>
      <c r="L4974" s="3">
        <v>0.74052320000000005</v>
      </c>
    </row>
    <row r="4975" spans="1:12" x14ac:dyDescent="0.25">
      <c r="A4975" t="s">
        <v>1714</v>
      </c>
      <c r="B4975" t="s">
        <v>1715</v>
      </c>
      <c r="I4975" t="s">
        <v>1716</v>
      </c>
      <c r="J4975" s="3">
        <v>0.203676</v>
      </c>
      <c r="K4975" s="3">
        <v>0.23763889999999999</v>
      </c>
      <c r="L4975" s="3">
        <v>0.46686119999999998</v>
      </c>
    </row>
    <row r="4976" spans="1:12" x14ac:dyDescent="0.25">
      <c r="A4976" t="s">
        <v>1711</v>
      </c>
      <c r="B4976" t="s">
        <v>1712</v>
      </c>
      <c r="I4976" t="s">
        <v>1713</v>
      </c>
      <c r="J4976" s="3">
        <v>-0.30649270000000001</v>
      </c>
      <c r="K4976" s="3">
        <v>-0.3704537</v>
      </c>
      <c r="L4976" s="3">
        <v>-0.49351410000000001</v>
      </c>
    </row>
    <row r="4977" spans="1:12" x14ac:dyDescent="0.25">
      <c r="A4977" t="s">
        <v>1708</v>
      </c>
      <c r="B4977" t="s">
        <v>1709</v>
      </c>
      <c r="I4977" t="s">
        <v>1710</v>
      </c>
      <c r="J4977" s="3">
        <v>-0.16064619999999999</v>
      </c>
      <c r="K4977" s="3">
        <v>-0.3505316</v>
      </c>
      <c r="L4977" s="3">
        <v>-0.1344591</v>
      </c>
    </row>
    <row r="4978" spans="1:12" x14ac:dyDescent="0.25">
      <c r="A4978" t="s">
        <v>1707</v>
      </c>
      <c r="B4978" t="s">
        <v>957</v>
      </c>
      <c r="I4978" t="s">
        <v>455</v>
      </c>
      <c r="J4978" s="3">
        <v>-0.15590270000000001</v>
      </c>
      <c r="K4978" s="3">
        <v>-0.35289340000000002</v>
      </c>
      <c r="L4978" s="3">
        <v>-0.111221</v>
      </c>
    </row>
    <row r="4979" spans="1:12" x14ac:dyDescent="0.25">
      <c r="A4979" t="s">
        <v>1704</v>
      </c>
      <c r="B4979" t="s">
        <v>1705</v>
      </c>
      <c r="I4979" t="s">
        <v>1706</v>
      </c>
      <c r="J4979" s="3">
        <v>-0.78960330000000001</v>
      </c>
      <c r="K4979" s="3">
        <v>-1.1112379999999999</v>
      </c>
      <c r="L4979" s="3">
        <v>-1.082308</v>
      </c>
    </row>
    <row r="4980" spans="1:12" x14ac:dyDescent="0.25">
      <c r="A4980" t="s">
        <v>1701</v>
      </c>
      <c r="B4980" t="s">
        <v>1702</v>
      </c>
      <c r="I4980" t="s">
        <v>1703</v>
      </c>
      <c r="J4980" s="3">
        <v>0.1663675</v>
      </c>
      <c r="K4980" s="3">
        <v>-0.20955380000000001</v>
      </c>
      <c r="L4980" s="3">
        <v>0.11745419999999999</v>
      </c>
    </row>
    <row r="4981" spans="1:12" x14ac:dyDescent="0.25">
      <c r="A4981" t="s">
        <v>1698</v>
      </c>
      <c r="B4981" t="s">
        <v>1699</v>
      </c>
      <c r="I4981" t="s">
        <v>1700</v>
      </c>
      <c r="J4981" s="3">
        <v>-5.143172E-2</v>
      </c>
      <c r="K4981" s="3">
        <v>0.29840220000000001</v>
      </c>
      <c r="L4981" s="3">
        <v>7.5624070000000002E-2</v>
      </c>
    </row>
    <row r="4982" spans="1:12" x14ac:dyDescent="0.25">
      <c r="A4982" t="s">
        <v>1695</v>
      </c>
      <c r="B4982" t="s">
        <v>1696</v>
      </c>
      <c r="I4982" t="s">
        <v>1697</v>
      </c>
      <c r="J4982" s="3">
        <v>-0.57350849999999998</v>
      </c>
      <c r="K4982" s="3">
        <v>-1.4092910000000001</v>
      </c>
      <c r="L4982" s="3">
        <v>-0.47697810000000002</v>
      </c>
    </row>
    <row r="4983" spans="1:12" x14ac:dyDescent="0.25">
      <c r="A4983" t="s">
        <v>1692</v>
      </c>
      <c r="B4983" t="s">
        <v>1693</v>
      </c>
      <c r="I4983" t="s">
        <v>1694</v>
      </c>
      <c r="J4983" s="3">
        <v>0.29797439999999997</v>
      </c>
      <c r="K4983" s="3">
        <v>-0.283997</v>
      </c>
      <c r="L4983" s="3">
        <v>0.115272</v>
      </c>
    </row>
    <row r="4984" spans="1:12" x14ac:dyDescent="0.25">
      <c r="A4984" t="s">
        <v>1689</v>
      </c>
      <c r="B4984" t="s">
        <v>1690</v>
      </c>
      <c r="I4984" t="s">
        <v>1691</v>
      </c>
      <c r="J4984" s="3">
        <v>-9.6809900000000004E-2</v>
      </c>
      <c r="K4984" s="3">
        <v>-0.41132819999999998</v>
      </c>
      <c r="L4984" s="3">
        <v>3.2810199999999998E-2</v>
      </c>
    </row>
    <row r="4985" spans="1:12" x14ac:dyDescent="0.25">
      <c r="A4985" t="s">
        <v>1686</v>
      </c>
      <c r="B4985" t="s">
        <v>1687</v>
      </c>
      <c r="I4985" t="s">
        <v>1688</v>
      </c>
      <c r="J4985" s="3">
        <v>0.54128039999999999</v>
      </c>
      <c r="K4985" s="3">
        <v>0.44763619999999998</v>
      </c>
      <c r="L4985" s="3">
        <v>0.43342619999999998</v>
      </c>
    </row>
    <row r="4986" spans="1:12" x14ac:dyDescent="0.25">
      <c r="A4986" t="s">
        <v>1683</v>
      </c>
      <c r="B4986" t="s">
        <v>1684</v>
      </c>
      <c r="I4986" t="s">
        <v>1685</v>
      </c>
      <c r="J4986" s="3">
        <v>-7.4433589999999994E-2</v>
      </c>
      <c r="K4986" s="3">
        <v>-0.65699879999999999</v>
      </c>
      <c r="L4986" s="3">
        <v>-0.25459399999999999</v>
      </c>
    </row>
    <row r="4987" spans="1:12" x14ac:dyDescent="0.25">
      <c r="A4987" t="s">
        <v>1680</v>
      </c>
      <c r="B4987" t="s">
        <v>1681</v>
      </c>
      <c r="I4987" t="s">
        <v>1682</v>
      </c>
      <c r="J4987" s="3">
        <v>0.57006000000000001</v>
      </c>
      <c r="K4987" s="3">
        <v>0.48851050000000001</v>
      </c>
      <c r="L4987" s="3">
        <v>0.67777679999999996</v>
      </c>
    </row>
    <row r="4988" spans="1:12" x14ac:dyDescent="0.25">
      <c r="A4988" t="s">
        <v>1678</v>
      </c>
      <c r="B4988" t="s">
        <v>957</v>
      </c>
      <c r="I4988" t="s">
        <v>1679</v>
      </c>
      <c r="J4988" s="3">
        <v>-0.10906200000000001</v>
      </c>
      <c r="K4988" s="3">
        <v>0.30372680000000002</v>
      </c>
      <c r="L4988" s="3">
        <v>-0.25311919999999999</v>
      </c>
    </row>
    <row r="4989" spans="1:12" x14ac:dyDescent="0.25">
      <c r="A4989" t="s">
        <v>1675</v>
      </c>
      <c r="B4989" t="s">
        <v>1676</v>
      </c>
      <c r="I4989" t="s">
        <v>1677</v>
      </c>
      <c r="J4989" s="3">
        <v>-2.027638E-2</v>
      </c>
      <c r="K4989" s="3">
        <v>-0.23652590000000001</v>
      </c>
      <c r="L4989" s="3">
        <v>-0.32781749999999998</v>
      </c>
    </row>
    <row r="4990" spans="1:12" x14ac:dyDescent="0.25">
      <c r="A4990" t="s">
        <v>1674</v>
      </c>
      <c r="B4990" t="s">
        <v>957</v>
      </c>
      <c r="I4990" t="s">
        <v>455</v>
      </c>
      <c r="J4990" s="3">
        <v>-0.53155799999999997</v>
      </c>
      <c r="K4990" s="3">
        <v>-1.062845</v>
      </c>
      <c r="L4990" s="3">
        <v>-1.6699039999999998E-2</v>
      </c>
    </row>
    <row r="4991" spans="1:12" x14ac:dyDescent="0.25">
      <c r="A4991" t="s">
        <v>1671</v>
      </c>
      <c r="B4991" t="s">
        <v>1672</v>
      </c>
      <c r="I4991" t="s">
        <v>1673</v>
      </c>
      <c r="J4991" s="3">
        <v>0.14499870000000001</v>
      </c>
      <c r="K4991" s="3">
        <v>-0.60989539999999998</v>
      </c>
      <c r="L4991" s="3">
        <v>0.2088197</v>
      </c>
    </row>
    <row r="4992" spans="1:12" x14ac:dyDescent="0.25">
      <c r="A4992" t="s">
        <v>1668</v>
      </c>
      <c r="B4992" t="s">
        <v>1669</v>
      </c>
      <c r="I4992" t="s">
        <v>1670</v>
      </c>
      <c r="J4992" s="3">
        <v>0.34137689999999998</v>
      </c>
      <c r="K4992" s="3">
        <v>0.91329700000000003</v>
      </c>
      <c r="L4992" s="3">
        <v>-0.34763830000000001</v>
      </c>
    </row>
    <row r="4993" spans="1:12" x14ac:dyDescent="0.25">
      <c r="A4993" t="s">
        <v>1665</v>
      </c>
      <c r="B4993" t="s">
        <v>1666</v>
      </c>
      <c r="I4993" t="s">
        <v>1667</v>
      </c>
      <c r="J4993" s="3">
        <v>-0.25038660000000001</v>
      </c>
      <c r="K4993" s="3">
        <v>-0.1221903</v>
      </c>
      <c r="L4993" s="3">
        <v>-0.2339106</v>
      </c>
    </row>
    <row r="4994" spans="1:12" x14ac:dyDescent="0.25">
      <c r="A4994" t="s">
        <v>1662</v>
      </c>
      <c r="B4994" t="s">
        <v>1663</v>
      </c>
      <c r="I4994" t="s">
        <v>1664</v>
      </c>
      <c r="J4994" s="3">
        <v>1.188056</v>
      </c>
      <c r="K4994" s="3">
        <v>0.58275060000000001</v>
      </c>
      <c r="L4994" s="3">
        <v>0.59055460000000004</v>
      </c>
    </row>
    <row r="4995" spans="1:12" x14ac:dyDescent="0.25">
      <c r="A4995" t="s">
        <v>1661</v>
      </c>
      <c r="B4995" t="s">
        <v>957</v>
      </c>
      <c r="I4995" t="s">
        <v>455</v>
      </c>
      <c r="J4995" s="3">
        <v>-0.34005229999999997</v>
      </c>
      <c r="K4995" s="3">
        <v>-1.0722210000000001</v>
      </c>
      <c r="L4995" s="3">
        <v>-0.58075829999999995</v>
      </c>
    </row>
    <row r="4996" spans="1:12" x14ac:dyDescent="0.25">
      <c r="A4996" t="s">
        <v>1658</v>
      </c>
      <c r="B4996" t="s">
        <v>1659</v>
      </c>
      <c r="I4996" t="s">
        <v>1660</v>
      </c>
      <c r="J4996" s="3">
        <v>-0.1568428</v>
      </c>
      <c r="K4996" s="3">
        <v>-0.2173243</v>
      </c>
      <c r="L4996" s="3">
        <v>-0.56652080000000005</v>
      </c>
    </row>
    <row r="4997" spans="1:12" x14ac:dyDescent="0.25">
      <c r="A4997" t="s">
        <v>1655</v>
      </c>
      <c r="B4997" t="s">
        <v>1656</v>
      </c>
      <c r="I4997" t="s">
        <v>1657</v>
      </c>
      <c r="J4997" s="3">
        <v>-5.5388420000000001E-2</v>
      </c>
      <c r="K4997" s="3">
        <v>-0.4715203</v>
      </c>
      <c r="L4997" s="3">
        <v>-6.3230259999999996E-2</v>
      </c>
    </row>
    <row r="4998" spans="1:12" x14ac:dyDescent="0.25">
      <c r="A4998" t="s">
        <v>2193</v>
      </c>
      <c r="B4998" t="s">
        <v>2194</v>
      </c>
      <c r="I4998" t="s">
        <v>1654</v>
      </c>
      <c r="J4998" s="3">
        <v>-0.28378619999999999</v>
      </c>
      <c r="K4998" s="3">
        <v>-0.1436769</v>
      </c>
      <c r="L4998" s="3">
        <v>-0.1968906</v>
      </c>
    </row>
    <row r="4999" spans="1:12" x14ac:dyDescent="0.25">
      <c r="A4999" t="s">
        <v>2190</v>
      </c>
      <c r="B4999" t="s">
        <v>2191</v>
      </c>
      <c r="I4999" t="s">
        <v>2192</v>
      </c>
      <c r="J4999" s="3">
        <v>0.2385108</v>
      </c>
      <c r="K4999" s="3">
        <v>0.1182108</v>
      </c>
      <c r="L4999" s="3">
        <v>0.36107529999999999</v>
      </c>
    </row>
    <row r="5000" spans="1:12" x14ac:dyDescent="0.25">
      <c r="A5000" t="s">
        <v>2187</v>
      </c>
      <c r="B5000" t="s">
        <v>2188</v>
      </c>
      <c r="I5000" t="s">
        <v>2189</v>
      </c>
      <c r="J5000" s="3">
        <v>-0.23227829999999999</v>
      </c>
      <c r="K5000" s="3">
        <v>-0.75057560000000001</v>
      </c>
      <c r="L5000" s="3">
        <v>-0.16500709999999999</v>
      </c>
    </row>
    <row r="5001" spans="1:12" x14ac:dyDescent="0.25">
      <c r="A5001" t="s">
        <v>2184</v>
      </c>
      <c r="B5001" t="s">
        <v>2185</v>
      </c>
      <c r="I5001" t="s">
        <v>2186</v>
      </c>
      <c r="J5001" s="3">
        <v>-0.22415099999999999</v>
      </c>
      <c r="K5001" s="3">
        <v>-0.71135409999999999</v>
      </c>
      <c r="L5001" s="3">
        <v>-0.14098289999999999</v>
      </c>
    </row>
    <row r="5002" spans="1:12" x14ac:dyDescent="0.25">
      <c r="A5002" t="s">
        <v>2181</v>
      </c>
      <c r="B5002" t="s">
        <v>2182</v>
      </c>
      <c r="I5002" t="s">
        <v>2183</v>
      </c>
      <c r="J5002" s="3">
        <v>-0.420267</v>
      </c>
      <c r="K5002" s="3">
        <v>-0.86668940000000005</v>
      </c>
      <c r="L5002" s="3">
        <v>-0.60943899999999995</v>
      </c>
    </row>
    <row r="5003" spans="1:12" x14ac:dyDescent="0.25">
      <c r="A5003" t="s">
        <v>2178</v>
      </c>
      <c r="B5003" t="s">
        <v>2179</v>
      </c>
      <c r="I5003" t="s">
        <v>2180</v>
      </c>
      <c r="J5003" s="3">
        <v>-0.57467270000000004</v>
      </c>
      <c r="K5003" s="3">
        <v>-0.9455462</v>
      </c>
      <c r="L5003" s="3">
        <v>-0.2511524</v>
      </c>
    </row>
    <row r="5004" spans="1:12" x14ac:dyDescent="0.25">
      <c r="A5004" t="s">
        <v>2175</v>
      </c>
      <c r="B5004" t="s">
        <v>2176</v>
      </c>
      <c r="I5004" t="s">
        <v>2177</v>
      </c>
      <c r="J5004" s="3">
        <v>-0.14732049999999999</v>
      </c>
      <c r="K5004" s="3">
        <v>0.21233250000000001</v>
      </c>
      <c r="L5004" s="3">
        <v>8.3396339999999999E-2</v>
      </c>
    </row>
    <row r="5005" spans="1:12" x14ac:dyDescent="0.25">
      <c r="A5005" t="s">
        <v>2173</v>
      </c>
      <c r="B5005" t="s">
        <v>2174</v>
      </c>
      <c r="I5005" t="s">
        <v>593</v>
      </c>
      <c r="J5005" s="3">
        <v>-0.54458640000000003</v>
      </c>
      <c r="K5005" s="3">
        <v>-0.76020279999999996</v>
      </c>
      <c r="L5005" s="3">
        <v>-0.60343630000000004</v>
      </c>
    </row>
    <row r="5006" spans="1:12" x14ac:dyDescent="0.25">
      <c r="A5006" t="s">
        <v>2170</v>
      </c>
      <c r="B5006" t="s">
        <v>2171</v>
      </c>
      <c r="I5006" t="s">
        <v>2172</v>
      </c>
      <c r="J5006" s="3">
        <v>-0.2333298</v>
      </c>
      <c r="K5006" s="3">
        <v>-0.41167749999999997</v>
      </c>
      <c r="L5006" s="3">
        <v>-0.1792503</v>
      </c>
    </row>
    <row r="5007" spans="1:12" x14ac:dyDescent="0.25">
      <c r="A5007" t="s">
        <v>2169</v>
      </c>
      <c r="B5007" t="s">
        <v>957</v>
      </c>
      <c r="I5007" t="s">
        <v>455</v>
      </c>
      <c r="J5007" s="3">
        <v>0.40333479999999999</v>
      </c>
      <c r="K5007" s="3">
        <v>0.64748059999999996</v>
      </c>
      <c r="L5007" s="3">
        <v>0.31008049999999998</v>
      </c>
    </row>
    <row r="5008" spans="1:12" x14ac:dyDescent="0.25">
      <c r="A5008" t="s">
        <v>2166</v>
      </c>
      <c r="B5008" t="s">
        <v>2167</v>
      </c>
      <c r="I5008" t="s">
        <v>2168</v>
      </c>
      <c r="J5008" s="3">
        <v>0.30606990000000001</v>
      </c>
      <c r="K5008" s="3">
        <v>0.39928390000000002</v>
      </c>
      <c r="L5008" s="3">
        <v>0.33724999999999999</v>
      </c>
    </row>
    <row r="5009" spans="1:12" x14ac:dyDescent="0.25">
      <c r="A5009" t="s">
        <v>2165</v>
      </c>
      <c r="B5009" t="s">
        <v>957</v>
      </c>
      <c r="I5009" t="s">
        <v>455</v>
      </c>
      <c r="J5009" s="3">
        <v>-2.9524999999999999E-2</v>
      </c>
      <c r="K5009" s="3">
        <v>-0.1235285</v>
      </c>
      <c r="L5009" s="3">
        <v>-0.36410629999999999</v>
      </c>
    </row>
    <row r="5010" spans="1:12" x14ac:dyDescent="0.25">
      <c r="A5010" t="s">
        <v>2162</v>
      </c>
      <c r="B5010" t="s">
        <v>2163</v>
      </c>
      <c r="I5010" t="s">
        <v>2164</v>
      </c>
      <c r="J5010" s="3">
        <v>0.3150869</v>
      </c>
      <c r="K5010" s="3">
        <v>0.36381849999999999</v>
      </c>
      <c r="L5010" s="3">
        <v>0.38249369999999999</v>
      </c>
    </row>
    <row r="5011" spans="1:12" x14ac:dyDescent="0.25">
      <c r="A5011" t="s">
        <v>2159</v>
      </c>
      <c r="B5011" t="s">
        <v>2160</v>
      </c>
      <c r="I5011" t="s">
        <v>2161</v>
      </c>
      <c r="J5011" s="3">
        <v>0.40385409999999999</v>
      </c>
      <c r="K5011" s="3">
        <v>0.85021590000000002</v>
      </c>
      <c r="L5011" s="3">
        <v>0.29508210000000001</v>
      </c>
    </row>
    <row r="5012" spans="1:12" x14ac:dyDescent="0.25">
      <c r="A5012" t="s">
        <v>2156</v>
      </c>
      <c r="B5012" t="s">
        <v>2157</v>
      </c>
      <c r="I5012" t="s">
        <v>2158</v>
      </c>
      <c r="J5012" s="3">
        <v>0.71370889999999998</v>
      </c>
      <c r="K5012" s="3">
        <v>0.1296891</v>
      </c>
      <c r="L5012" s="3">
        <v>0.49504930000000003</v>
      </c>
    </row>
    <row r="5013" spans="1:12" x14ac:dyDescent="0.25">
      <c r="A5013" t="s">
        <v>2153</v>
      </c>
      <c r="B5013" t="s">
        <v>2154</v>
      </c>
      <c r="I5013" t="s">
        <v>2155</v>
      </c>
      <c r="J5013" s="3">
        <v>-0.83392080000000002</v>
      </c>
      <c r="K5013" s="3">
        <v>-1.261622</v>
      </c>
      <c r="L5013" s="3">
        <v>-0.84707759999999999</v>
      </c>
    </row>
    <row r="5014" spans="1:12" x14ac:dyDescent="0.25">
      <c r="A5014" t="s">
        <v>2150</v>
      </c>
      <c r="B5014" t="s">
        <v>2151</v>
      </c>
      <c r="I5014" t="s">
        <v>2152</v>
      </c>
      <c r="J5014" s="3">
        <v>-0.4006247</v>
      </c>
      <c r="K5014" s="3">
        <v>-0.53298319999999999</v>
      </c>
      <c r="L5014" s="3">
        <v>-8.0485720000000004E-3</v>
      </c>
    </row>
    <row r="5015" spans="1:12" x14ac:dyDescent="0.25">
      <c r="A5015" t="s">
        <v>2147</v>
      </c>
      <c r="B5015" t="s">
        <v>2148</v>
      </c>
      <c r="I5015" t="s">
        <v>2149</v>
      </c>
      <c r="J5015" s="3">
        <v>0.51327330000000004</v>
      </c>
      <c r="K5015" s="3">
        <v>0.95751149999999996</v>
      </c>
      <c r="L5015" s="3">
        <v>0.40200459999999999</v>
      </c>
    </row>
    <row r="5016" spans="1:12" x14ac:dyDescent="0.25">
      <c r="A5016" t="s">
        <v>2144</v>
      </c>
      <c r="B5016" t="s">
        <v>2145</v>
      </c>
      <c r="I5016" t="s">
        <v>2146</v>
      </c>
      <c r="J5016" s="3">
        <v>1.5704229999999999</v>
      </c>
      <c r="K5016" s="3">
        <v>1.6639090000000001</v>
      </c>
      <c r="L5016" s="3">
        <v>0.69052420000000003</v>
      </c>
    </row>
    <row r="5017" spans="1:12" x14ac:dyDescent="0.25">
      <c r="A5017" t="s">
        <v>2143</v>
      </c>
      <c r="B5017" t="s">
        <v>957</v>
      </c>
      <c r="I5017" t="s">
        <v>453</v>
      </c>
      <c r="J5017" s="3">
        <v>9.4309229999999994E-2</v>
      </c>
      <c r="K5017" s="3">
        <v>0.2269275</v>
      </c>
      <c r="L5017" s="3">
        <v>-5.810278E-2</v>
      </c>
    </row>
    <row r="5018" spans="1:12" x14ac:dyDescent="0.25">
      <c r="A5018" t="s">
        <v>2140</v>
      </c>
      <c r="B5018" t="s">
        <v>2141</v>
      </c>
      <c r="I5018" t="s">
        <v>2142</v>
      </c>
      <c r="J5018" s="3">
        <v>7.9010549999999999E-2</v>
      </c>
      <c r="K5018" s="3">
        <v>0.51392020000000005</v>
      </c>
      <c r="L5018" s="3">
        <v>3.70611E-2</v>
      </c>
    </row>
    <row r="5019" spans="1:12" x14ac:dyDescent="0.25">
      <c r="A5019" t="s">
        <v>2137</v>
      </c>
      <c r="B5019" t="s">
        <v>2138</v>
      </c>
      <c r="I5019" t="s">
        <v>2139</v>
      </c>
      <c r="J5019" s="3">
        <v>0.25767060000000003</v>
      </c>
      <c r="K5019" s="3">
        <v>-0.33621010000000001</v>
      </c>
      <c r="L5019" s="3">
        <v>0.39876410000000001</v>
      </c>
    </row>
    <row r="5020" spans="1:12" x14ac:dyDescent="0.25">
      <c r="A5020" t="s">
        <v>2136</v>
      </c>
      <c r="B5020" t="s">
        <v>957</v>
      </c>
      <c r="I5020" t="s">
        <v>455</v>
      </c>
      <c r="J5020" s="3">
        <v>-0.36759029999999998</v>
      </c>
      <c r="K5020" s="3">
        <v>-0.31003839999999999</v>
      </c>
      <c r="L5020" s="3">
        <v>-0.1414242</v>
      </c>
    </row>
    <row r="5021" spans="1:12" x14ac:dyDescent="0.25">
      <c r="A5021" t="s">
        <v>2133</v>
      </c>
      <c r="B5021" t="s">
        <v>2134</v>
      </c>
      <c r="I5021" t="s">
        <v>2135</v>
      </c>
      <c r="J5021" s="3">
        <v>-0.1684505</v>
      </c>
      <c r="K5021" s="3">
        <v>-0.30633199999999999</v>
      </c>
      <c r="L5021" s="3">
        <v>-0.2126991</v>
      </c>
    </row>
    <row r="5022" spans="1:12" x14ac:dyDescent="0.25">
      <c r="A5022" t="s">
        <v>2132</v>
      </c>
      <c r="B5022" t="s">
        <v>957</v>
      </c>
      <c r="I5022" t="s">
        <v>455</v>
      </c>
      <c r="J5022" s="3">
        <v>2.5136240000000001E-2</v>
      </c>
      <c r="K5022" s="3">
        <v>0.2496012</v>
      </c>
      <c r="L5022" s="3">
        <v>-0.28725139999999999</v>
      </c>
    </row>
    <row r="5023" spans="1:12" x14ac:dyDescent="0.25">
      <c r="A5023" t="s">
        <v>1612</v>
      </c>
      <c r="B5023" t="s">
        <v>1613</v>
      </c>
      <c r="I5023" t="s">
        <v>2131</v>
      </c>
      <c r="J5023" s="3">
        <v>0.4019046</v>
      </c>
      <c r="K5023" s="3">
        <v>0.39483499999999999</v>
      </c>
      <c r="L5023" s="3">
        <v>0.52854330000000005</v>
      </c>
    </row>
    <row r="5024" spans="1:12" x14ac:dyDescent="0.25">
      <c r="A5024" t="s">
        <v>1609</v>
      </c>
      <c r="B5024" t="s">
        <v>1610</v>
      </c>
      <c r="I5024" t="s">
        <v>1611</v>
      </c>
      <c r="J5024" s="3">
        <v>0.21569260000000001</v>
      </c>
      <c r="K5024" s="3">
        <v>-1.50874E-3</v>
      </c>
      <c r="L5024" s="3">
        <v>0.27127630000000003</v>
      </c>
    </row>
    <row r="5025" spans="1:12" x14ac:dyDescent="0.25">
      <c r="A5025" t="s">
        <v>1606</v>
      </c>
      <c r="B5025" t="s">
        <v>1607</v>
      </c>
      <c r="I5025" t="s">
        <v>1608</v>
      </c>
      <c r="J5025" s="3">
        <v>-0.32430350000000002</v>
      </c>
      <c r="K5025" s="3">
        <v>-0.68830270000000005</v>
      </c>
      <c r="L5025" s="3">
        <v>-0.55193150000000002</v>
      </c>
    </row>
    <row r="5026" spans="1:12" x14ac:dyDescent="0.25">
      <c r="A5026" t="s">
        <v>1603</v>
      </c>
      <c r="B5026" t="s">
        <v>1604</v>
      </c>
      <c r="I5026" t="s">
        <v>1605</v>
      </c>
      <c r="J5026" s="3">
        <v>-0.34214660000000002</v>
      </c>
      <c r="K5026" s="3">
        <v>-0.46152919999999997</v>
      </c>
      <c r="L5026" s="3">
        <v>-0.64077209999999996</v>
      </c>
    </row>
    <row r="5027" spans="1:12" x14ac:dyDescent="0.25">
      <c r="A5027" t="s">
        <v>2442</v>
      </c>
      <c r="B5027" t="s">
        <v>2443</v>
      </c>
      <c r="I5027" t="s">
        <v>1602</v>
      </c>
      <c r="J5027" s="3">
        <v>0.29952699999999999</v>
      </c>
      <c r="K5027" s="3">
        <v>8.5130399999999995E-2</v>
      </c>
      <c r="L5027" s="3">
        <v>0.29994199999999999</v>
      </c>
    </row>
    <row r="5028" spans="1:12" x14ac:dyDescent="0.25">
      <c r="A5028" t="s">
        <v>2439</v>
      </c>
      <c r="B5028" t="s">
        <v>2440</v>
      </c>
      <c r="I5028" t="s">
        <v>2441</v>
      </c>
      <c r="J5028" s="3">
        <v>-0.35576469999999999</v>
      </c>
      <c r="K5028" s="3">
        <v>-0.81161760000000005</v>
      </c>
      <c r="L5028" s="3">
        <v>-0.1316823</v>
      </c>
    </row>
    <row r="5029" spans="1:12" x14ac:dyDescent="0.25">
      <c r="A5029" t="s">
        <v>2437</v>
      </c>
      <c r="B5029" t="s">
        <v>957</v>
      </c>
      <c r="I5029" t="s">
        <v>2438</v>
      </c>
      <c r="J5029" s="3">
        <v>3.5293030000000003E-2</v>
      </c>
      <c r="K5029" s="3">
        <v>3.133466E-2</v>
      </c>
      <c r="L5029" s="3">
        <v>-1.845511E-2</v>
      </c>
    </row>
    <row r="5030" spans="1:12" x14ac:dyDescent="0.25">
      <c r="A5030" t="s">
        <v>2434</v>
      </c>
      <c r="B5030" t="s">
        <v>2435</v>
      </c>
      <c r="I5030" t="s">
        <v>2436</v>
      </c>
      <c r="J5030" s="3">
        <v>-0.180644</v>
      </c>
      <c r="K5030" s="3">
        <v>0.41850100000000001</v>
      </c>
      <c r="L5030" s="3">
        <v>8.1495559999999995E-2</v>
      </c>
    </row>
    <row r="5031" spans="1:12" x14ac:dyDescent="0.25">
      <c r="A5031" t="s">
        <v>2431</v>
      </c>
      <c r="B5031" t="s">
        <v>2432</v>
      </c>
      <c r="I5031" t="s">
        <v>2433</v>
      </c>
      <c r="J5031" s="3">
        <v>0.12790560000000001</v>
      </c>
      <c r="K5031" s="3">
        <v>-0.40504119999999999</v>
      </c>
      <c r="L5031" s="3">
        <v>0.15365280000000001</v>
      </c>
    </row>
    <row r="5032" spans="1:12" x14ac:dyDescent="0.25">
      <c r="A5032" t="s">
        <v>2428</v>
      </c>
      <c r="B5032" t="s">
        <v>2429</v>
      </c>
      <c r="I5032" t="s">
        <v>2430</v>
      </c>
      <c r="J5032" s="3">
        <v>0.37600270000000002</v>
      </c>
      <c r="K5032" s="3">
        <v>0.83424410000000004</v>
      </c>
      <c r="L5032" s="3">
        <v>0.38845740000000001</v>
      </c>
    </row>
    <row r="5033" spans="1:12" x14ac:dyDescent="0.25">
      <c r="A5033" t="s">
        <v>2425</v>
      </c>
      <c r="B5033" t="s">
        <v>2426</v>
      </c>
      <c r="I5033" t="s">
        <v>2427</v>
      </c>
      <c r="J5033" s="3">
        <v>-0.58940110000000001</v>
      </c>
      <c r="K5033" s="3">
        <v>-0.98537300000000005</v>
      </c>
      <c r="L5033" s="3">
        <v>-0.51382539999999999</v>
      </c>
    </row>
    <row r="5034" spans="1:12" x14ac:dyDescent="0.25">
      <c r="A5034" t="s">
        <v>2422</v>
      </c>
      <c r="B5034" t="s">
        <v>2423</v>
      </c>
      <c r="I5034" t="s">
        <v>2424</v>
      </c>
      <c r="J5034" s="3">
        <v>0.1289672</v>
      </c>
      <c r="K5034" s="3">
        <v>0.54373879999999997</v>
      </c>
      <c r="L5034" s="3">
        <v>-8.0331440000000004E-2</v>
      </c>
    </row>
    <row r="5035" spans="1:12" x14ac:dyDescent="0.25">
      <c r="A5035" t="s">
        <v>2419</v>
      </c>
      <c r="B5035" t="s">
        <v>2420</v>
      </c>
      <c r="I5035" t="s">
        <v>2421</v>
      </c>
      <c r="J5035" s="3">
        <v>-0.29297260000000003</v>
      </c>
      <c r="K5035" s="3">
        <v>0.60638700000000001</v>
      </c>
      <c r="L5035" s="3">
        <v>-9.1202340000000007E-2</v>
      </c>
    </row>
    <row r="5036" spans="1:12" x14ac:dyDescent="0.25">
      <c r="A5036" t="s">
        <v>2416</v>
      </c>
      <c r="B5036" t="s">
        <v>2417</v>
      </c>
      <c r="I5036" t="s">
        <v>2418</v>
      </c>
      <c r="J5036" s="3">
        <v>0.12213069999999999</v>
      </c>
      <c r="K5036" s="3">
        <v>0.1099232</v>
      </c>
      <c r="L5036" s="3">
        <v>0.1586022</v>
      </c>
    </row>
    <row r="5037" spans="1:12" x14ac:dyDescent="0.25">
      <c r="A5037" t="s">
        <v>2413</v>
      </c>
      <c r="B5037" t="s">
        <v>2414</v>
      </c>
      <c r="I5037" t="s">
        <v>2415</v>
      </c>
      <c r="J5037" s="3">
        <v>-0.31674330000000001</v>
      </c>
      <c r="K5037" s="3">
        <v>-0.48142479999999999</v>
      </c>
      <c r="L5037" s="3">
        <v>-0.41507650000000001</v>
      </c>
    </row>
    <row r="5038" spans="1:12" x14ac:dyDescent="0.25">
      <c r="A5038" t="s">
        <v>2410</v>
      </c>
      <c r="B5038" t="s">
        <v>2411</v>
      </c>
      <c r="I5038" t="s">
        <v>2412</v>
      </c>
      <c r="J5038" s="3">
        <v>0.79999100000000001</v>
      </c>
      <c r="K5038" s="3">
        <v>0.8828551</v>
      </c>
      <c r="L5038" s="3">
        <v>0.62531409999999998</v>
      </c>
    </row>
    <row r="5039" spans="1:12" x14ac:dyDescent="0.25">
      <c r="A5039" t="s">
        <v>2409</v>
      </c>
      <c r="B5039" t="s">
        <v>957</v>
      </c>
      <c r="I5039" t="s">
        <v>455</v>
      </c>
      <c r="J5039" s="3">
        <v>1.5747119999999999</v>
      </c>
      <c r="K5039" s="3">
        <v>2.5072930000000002</v>
      </c>
      <c r="L5039" s="3">
        <v>1.841458</v>
      </c>
    </row>
    <row r="5040" spans="1:12" x14ac:dyDescent="0.25">
      <c r="A5040" t="s">
        <v>2406</v>
      </c>
      <c r="B5040" t="s">
        <v>2407</v>
      </c>
      <c r="I5040" t="s">
        <v>2408</v>
      </c>
      <c r="J5040" s="3">
        <v>-0.80714059999999999</v>
      </c>
      <c r="K5040" s="3">
        <v>-0.69676800000000005</v>
      </c>
      <c r="L5040" s="3">
        <v>-0.71465999999999996</v>
      </c>
    </row>
    <row r="5041" spans="1:12" x14ac:dyDescent="0.25">
      <c r="A5041" t="s">
        <v>2403</v>
      </c>
      <c r="B5041" t="s">
        <v>2404</v>
      </c>
      <c r="I5041" t="s">
        <v>2405</v>
      </c>
      <c r="J5041" s="3">
        <v>-0.14981920000000001</v>
      </c>
      <c r="K5041" s="3">
        <v>-0.7678914</v>
      </c>
      <c r="L5041" s="3">
        <v>-0.38076719999999997</v>
      </c>
    </row>
    <row r="5042" spans="1:12" x14ac:dyDescent="0.25">
      <c r="A5042" t="s">
        <v>2400</v>
      </c>
      <c r="B5042" t="s">
        <v>2401</v>
      </c>
      <c r="I5042" t="s">
        <v>2402</v>
      </c>
      <c r="J5042" s="3">
        <v>-0.20883209999999999</v>
      </c>
      <c r="K5042" s="3">
        <v>-0.794377</v>
      </c>
      <c r="L5042" s="3">
        <v>-1.1066390000000001E-2</v>
      </c>
    </row>
    <row r="5043" spans="1:12" x14ac:dyDescent="0.25">
      <c r="A5043" t="s">
        <v>2397</v>
      </c>
      <c r="B5043" t="s">
        <v>2398</v>
      </c>
      <c r="I5043" t="s">
        <v>2399</v>
      </c>
      <c r="J5043" s="3">
        <v>-0.18552299999999999</v>
      </c>
      <c r="K5043" s="3">
        <v>-0.29962729999999999</v>
      </c>
      <c r="L5043" s="3">
        <v>-0.2192095</v>
      </c>
    </row>
    <row r="5044" spans="1:12" x14ac:dyDescent="0.25">
      <c r="A5044" t="s">
        <v>2394</v>
      </c>
      <c r="B5044" t="s">
        <v>2395</v>
      </c>
      <c r="I5044" t="s">
        <v>2396</v>
      </c>
      <c r="J5044" s="3">
        <v>2.231884E-2</v>
      </c>
      <c r="K5044" s="3">
        <v>-0.45739299999999999</v>
      </c>
      <c r="L5044" s="3">
        <v>-0.1217965</v>
      </c>
    </row>
    <row r="5045" spans="1:12" x14ac:dyDescent="0.25">
      <c r="A5045" t="s">
        <v>2393</v>
      </c>
      <c r="B5045" t="s">
        <v>957</v>
      </c>
      <c r="I5045" t="s">
        <v>455</v>
      </c>
      <c r="J5045" s="3">
        <v>-0.76271710000000004</v>
      </c>
      <c r="K5045" s="3">
        <v>-0.2219999</v>
      </c>
      <c r="L5045" s="3">
        <v>-0.73758029999999997</v>
      </c>
    </row>
    <row r="5046" spans="1:12" x14ac:dyDescent="0.25">
      <c r="A5046" t="s">
        <v>1374</v>
      </c>
      <c r="B5046" t="s">
        <v>1375</v>
      </c>
      <c r="I5046" t="s">
        <v>1601</v>
      </c>
      <c r="J5046" s="3">
        <v>-0.48544929999999997</v>
      </c>
      <c r="K5046" s="3">
        <v>-0.31353340000000002</v>
      </c>
      <c r="L5046" s="3">
        <v>-0.38648850000000001</v>
      </c>
    </row>
    <row r="5047" spans="1:12" x14ac:dyDescent="0.25">
      <c r="A5047" t="s">
        <v>1371</v>
      </c>
      <c r="B5047" t="s">
        <v>1372</v>
      </c>
      <c r="I5047" t="s">
        <v>1373</v>
      </c>
      <c r="J5047" s="3">
        <v>-0.23716590000000001</v>
      </c>
      <c r="K5047" s="3">
        <v>-0.52830580000000005</v>
      </c>
      <c r="L5047" s="3">
        <v>-0.1732156</v>
      </c>
    </row>
    <row r="5048" spans="1:12" x14ac:dyDescent="0.25">
      <c r="A5048" t="s">
        <v>1368</v>
      </c>
      <c r="B5048" t="s">
        <v>1369</v>
      </c>
      <c r="I5048" t="s">
        <v>1370</v>
      </c>
      <c r="J5048" s="3">
        <v>-0.28693689999999999</v>
      </c>
      <c r="K5048" s="3">
        <v>-1.0003420000000001</v>
      </c>
      <c r="L5048" s="3">
        <v>-0.33276509999999998</v>
      </c>
    </row>
    <row r="5049" spans="1:12" x14ac:dyDescent="0.25">
      <c r="A5049" t="s">
        <v>1365</v>
      </c>
      <c r="B5049" t="s">
        <v>1366</v>
      </c>
      <c r="I5049" t="s">
        <v>1367</v>
      </c>
      <c r="J5049" s="3">
        <v>-0.5682334</v>
      </c>
      <c r="K5049" s="3">
        <v>-0.96735649999999995</v>
      </c>
      <c r="L5049" s="3">
        <v>-0.61906000000000005</v>
      </c>
    </row>
    <row r="5050" spans="1:12" x14ac:dyDescent="0.25">
      <c r="A5050" t="s">
        <v>1362</v>
      </c>
      <c r="B5050" t="s">
        <v>1363</v>
      </c>
      <c r="I5050" t="s">
        <v>1364</v>
      </c>
      <c r="J5050" s="3">
        <v>-0.85208050000000002</v>
      </c>
      <c r="K5050" s="3">
        <v>-1.360141</v>
      </c>
      <c r="L5050" s="3">
        <v>-0.98159600000000002</v>
      </c>
    </row>
    <row r="5051" spans="1:12" x14ac:dyDescent="0.25">
      <c r="A5051" t="s">
        <v>1359</v>
      </c>
      <c r="B5051" t="s">
        <v>1360</v>
      </c>
      <c r="I5051" t="s">
        <v>1361</v>
      </c>
      <c r="J5051" s="3">
        <v>-0.1012917</v>
      </c>
      <c r="K5051" s="3">
        <v>-0.2245191</v>
      </c>
      <c r="L5051" s="3">
        <v>-3.5457959999999997E-2</v>
      </c>
    </row>
    <row r="5052" spans="1:12" x14ac:dyDescent="0.25">
      <c r="A5052" t="s">
        <v>1356</v>
      </c>
      <c r="B5052" t="s">
        <v>1357</v>
      </c>
      <c r="I5052" t="s">
        <v>1358</v>
      </c>
      <c r="J5052" s="3">
        <v>-0.51973420000000004</v>
      </c>
      <c r="K5052" s="3">
        <v>-0.61608569999999996</v>
      </c>
      <c r="L5052" s="3">
        <v>-0.26197559999999998</v>
      </c>
    </row>
    <row r="5053" spans="1:12" x14ac:dyDescent="0.25">
      <c r="A5053" t="s">
        <v>1354</v>
      </c>
      <c r="B5053" t="s">
        <v>957</v>
      </c>
      <c r="I5053" t="s">
        <v>1355</v>
      </c>
      <c r="J5053" s="3">
        <v>-0.29298160000000001</v>
      </c>
      <c r="K5053" s="3">
        <v>-0.68270350000000002</v>
      </c>
      <c r="L5053" s="3">
        <v>-0.92680969999999996</v>
      </c>
    </row>
    <row r="5054" spans="1:12" x14ac:dyDescent="0.25">
      <c r="A5054" t="s">
        <v>1351</v>
      </c>
      <c r="B5054" t="s">
        <v>1352</v>
      </c>
      <c r="I5054" t="s">
        <v>1353</v>
      </c>
      <c r="J5054" s="3">
        <v>0.25378420000000002</v>
      </c>
      <c r="K5054" s="3">
        <v>9.965417E-2</v>
      </c>
      <c r="L5054" s="3">
        <v>0.43561519999999998</v>
      </c>
    </row>
    <row r="5055" spans="1:12" x14ac:dyDescent="0.25">
      <c r="A5055" t="s">
        <v>1348</v>
      </c>
      <c r="B5055" t="s">
        <v>1349</v>
      </c>
      <c r="I5055" t="s">
        <v>1350</v>
      </c>
      <c r="J5055" s="3">
        <v>-0.35359990000000002</v>
      </c>
      <c r="K5055" s="3">
        <v>-0.18828839999999999</v>
      </c>
      <c r="L5055" s="3">
        <v>-0.35612769999999999</v>
      </c>
    </row>
    <row r="5056" spans="1:12" x14ac:dyDescent="0.25">
      <c r="A5056" t="s">
        <v>1347</v>
      </c>
      <c r="B5056" t="s">
        <v>957</v>
      </c>
      <c r="I5056" t="s">
        <v>823</v>
      </c>
      <c r="J5056" s="3">
        <v>-0.4832862</v>
      </c>
      <c r="K5056" s="3">
        <v>-0.67145100000000002</v>
      </c>
      <c r="L5056" s="3">
        <v>-0.71210929999999995</v>
      </c>
    </row>
    <row r="5057" spans="1:12" x14ac:dyDescent="0.25">
      <c r="A5057" t="s">
        <v>1344</v>
      </c>
      <c r="B5057" t="s">
        <v>1345</v>
      </c>
      <c r="I5057" t="s">
        <v>1346</v>
      </c>
      <c r="J5057" s="3">
        <v>-0.59983900000000001</v>
      </c>
      <c r="K5057" s="3">
        <v>-0.74840079999999998</v>
      </c>
      <c r="L5057" s="3">
        <v>-0.69110899999999997</v>
      </c>
    </row>
    <row r="5058" spans="1:12" x14ac:dyDescent="0.25">
      <c r="A5058" t="s">
        <v>1341</v>
      </c>
      <c r="B5058" t="s">
        <v>1342</v>
      </c>
      <c r="I5058" t="s">
        <v>1343</v>
      </c>
      <c r="J5058" s="3">
        <v>0.22748940000000001</v>
      </c>
      <c r="K5058" s="3">
        <v>4.9959759999999999E-2</v>
      </c>
      <c r="L5058" s="3">
        <v>0.2118573</v>
      </c>
    </row>
    <row r="5059" spans="1:12" x14ac:dyDescent="0.25">
      <c r="A5059" t="s">
        <v>1338</v>
      </c>
      <c r="B5059" t="s">
        <v>1339</v>
      </c>
      <c r="I5059" t="s">
        <v>1340</v>
      </c>
      <c r="J5059" s="3">
        <v>0.27644340000000001</v>
      </c>
      <c r="K5059" s="3">
        <v>-0.1231139</v>
      </c>
      <c r="L5059" s="3">
        <v>-0.52951800000000004</v>
      </c>
    </row>
    <row r="5060" spans="1:12" x14ac:dyDescent="0.25">
      <c r="A5060" t="s">
        <v>1335</v>
      </c>
      <c r="B5060" t="s">
        <v>1336</v>
      </c>
      <c r="I5060" t="s">
        <v>1337</v>
      </c>
      <c r="J5060" s="3">
        <v>0.61333059999999995</v>
      </c>
      <c r="K5060" s="3">
        <v>-0.45091979999999998</v>
      </c>
      <c r="L5060" s="3">
        <v>0.30225010000000002</v>
      </c>
    </row>
    <row r="5061" spans="1:12" x14ac:dyDescent="0.25">
      <c r="A5061" t="s">
        <v>1332</v>
      </c>
      <c r="B5061" t="s">
        <v>1333</v>
      </c>
      <c r="I5061" t="s">
        <v>1334</v>
      </c>
      <c r="J5061" s="3">
        <v>-0.37694299999999997</v>
      </c>
      <c r="K5061" s="3">
        <v>-0.46638829999999998</v>
      </c>
      <c r="L5061" s="3">
        <v>-0.2772442</v>
      </c>
    </row>
    <row r="5062" spans="1:12" x14ac:dyDescent="0.25">
      <c r="A5062" t="s">
        <v>1329</v>
      </c>
      <c r="B5062" t="s">
        <v>1330</v>
      </c>
      <c r="I5062" t="s">
        <v>1331</v>
      </c>
      <c r="J5062" s="3">
        <v>-0.75256599999999996</v>
      </c>
      <c r="K5062" s="3">
        <v>-1.1986589999999999</v>
      </c>
      <c r="L5062" s="3">
        <v>-0.81524189999999996</v>
      </c>
    </row>
    <row r="5063" spans="1:12" x14ac:dyDescent="0.25">
      <c r="A5063" t="s">
        <v>1326</v>
      </c>
      <c r="B5063" t="s">
        <v>1327</v>
      </c>
      <c r="I5063" t="s">
        <v>1328</v>
      </c>
      <c r="J5063" s="3">
        <v>0.26136280000000001</v>
      </c>
      <c r="K5063" s="3">
        <v>0.4326294</v>
      </c>
      <c r="L5063" s="3">
        <v>0.45494610000000002</v>
      </c>
    </row>
    <row r="5064" spans="1:12" x14ac:dyDescent="0.25">
      <c r="A5064" t="s">
        <v>1323</v>
      </c>
      <c r="B5064" t="s">
        <v>1324</v>
      </c>
      <c r="I5064" t="s">
        <v>1325</v>
      </c>
      <c r="J5064" s="3">
        <v>-0.31940560000000001</v>
      </c>
      <c r="K5064" s="3">
        <v>-0.82651629999999998</v>
      </c>
      <c r="L5064" s="3">
        <v>-0.46857559999999998</v>
      </c>
    </row>
    <row r="5065" spans="1:12" x14ac:dyDescent="0.25">
      <c r="A5065" t="s">
        <v>1322</v>
      </c>
      <c r="B5065" t="s">
        <v>957</v>
      </c>
      <c r="I5065" t="s">
        <v>455</v>
      </c>
      <c r="J5065" s="3">
        <v>7.1662020000000007E-2</v>
      </c>
      <c r="K5065" s="3">
        <v>-7.3548479999999999E-2</v>
      </c>
      <c r="L5065" s="3">
        <v>0.14690729999999999</v>
      </c>
    </row>
    <row r="5066" spans="1:12" x14ac:dyDescent="0.25">
      <c r="A5066" t="s">
        <v>1321</v>
      </c>
      <c r="B5066" t="s">
        <v>957</v>
      </c>
      <c r="I5066" t="s">
        <v>455</v>
      </c>
      <c r="J5066" s="3">
        <v>-7.9788609999999996E-2</v>
      </c>
      <c r="K5066" s="3">
        <v>-0.48223890000000003</v>
      </c>
      <c r="L5066" s="3">
        <v>0.19444900000000001</v>
      </c>
    </row>
    <row r="5067" spans="1:12" x14ac:dyDescent="0.25">
      <c r="A5067" t="s">
        <v>1318</v>
      </c>
      <c r="B5067" t="s">
        <v>1319</v>
      </c>
      <c r="I5067" t="s">
        <v>1320</v>
      </c>
      <c r="J5067" s="3">
        <v>-0.14436399999999999</v>
      </c>
      <c r="K5067" s="3">
        <v>-0.53610619999999998</v>
      </c>
      <c r="L5067" s="3">
        <v>-0.25676159999999998</v>
      </c>
    </row>
    <row r="5068" spans="1:12" x14ac:dyDescent="0.25">
      <c r="A5068" t="s">
        <v>1315</v>
      </c>
      <c r="B5068" t="s">
        <v>1316</v>
      </c>
      <c r="I5068" t="s">
        <v>1317</v>
      </c>
      <c r="J5068" s="3">
        <v>0.59029710000000002</v>
      </c>
      <c r="K5068" s="3">
        <v>0.14650759999999999</v>
      </c>
      <c r="L5068" s="3">
        <v>0.21488289999999999</v>
      </c>
    </row>
    <row r="5069" spans="1:12" x14ac:dyDescent="0.25">
      <c r="A5069" t="s">
        <v>1312</v>
      </c>
      <c r="B5069" t="s">
        <v>1313</v>
      </c>
      <c r="I5069" t="s">
        <v>1314</v>
      </c>
      <c r="J5069" s="3">
        <v>0.75034429999999996</v>
      </c>
      <c r="K5069" s="3">
        <v>0.21840589999999999</v>
      </c>
      <c r="L5069" s="3">
        <v>0.56005939999999999</v>
      </c>
    </row>
    <row r="5070" spans="1:12" x14ac:dyDescent="0.25">
      <c r="A5070" t="s">
        <v>1311</v>
      </c>
      <c r="B5070" t="s">
        <v>957</v>
      </c>
      <c r="I5070" t="s">
        <v>455</v>
      </c>
      <c r="J5070" s="3">
        <v>0.16495209999999999</v>
      </c>
      <c r="K5070" s="3">
        <v>-0.34381640000000002</v>
      </c>
      <c r="L5070" s="3">
        <v>0.14432700000000001</v>
      </c>
    </row>
    <row r="5071" spans="1:12" x14ac:dyDescent="0.25">
      <c r="A5071" t="s">
        <v>887</v>
      </c>
      <c r="B5071" t="s">
        <v>888</v>
      </c>
      <c r="I5071" t="s">
        <v>1310</v>
      </c>
      <c r="J5071" s="3">
        <v>0.51524599999999998</v>
      </c>
      <c r="K5071" s="3">
        <v>-0.1029544</v>
      </c>
      <c r="L5071" s="3">
        <v>0.26639819999999997</v>
      </c>
    </row>
    <row r="5072" spans="1:12" x14ac:dyDescent="0.25">
      <c r="A5072" t="s">
        <v>885</v>
      </c>
      <c r="B5072" t="s">
        <v>886</v>
      </c>
      <c r="I5072" t="s">
        <v>734</v>
      </c>
      <c r="J5072" s="3">
        <v>0.38460250000000001</v>
      </c>
      <c r="K5072" s="3">
        <v>-9.2022010000000001E-2</v>
      </c>
      <c r="L5072" s="3">
        <v>0.18657399999999999</v>
      </c>
    </row>
    <row r="5073" spans="1:12" x14ac:dyDescent="0.25">
      <c r="A5073" t="s">
        <v>884</v>
      </c>
      <c r="B5073" t="s">
        <v>957</v>
      </c>
      <c r="I5073" t="s">
        <v>455</v>
      </c>
      <c r="J5073" s="3">
        <v>-0.28138429999999998</v>
      </c>
      <c r="K5073" s="3">
        <v>-0.15016350000000001</v>
      </c>
      <c r="L5073" s="3">
        <v>-0.24742249999999999</v>
      </c>
    </row>
    <row r="5074" spans="1:12" x14ac:dyDescent="0.25">
      <c r="A5074" t="s">
        <v>881</v>
      </c>
      <c r="B5074" t="s">
        <v>882</v>
      </c>
      <c r="I5074" t="s">
        <v>883</v>
      </c>
      <c r="J5074" s="3">
        <v>-0.1628706</v>
      </c>
      <c r="K5074" s="3">
        <v>0.25065189999999998</v>
      </c>
      <c r="L5074" s="3">
        <v>-3.8828380000000003E-2</v>
      </c>
    </row>
    <row r="5075" spans="1:12" x14ac:dyDescent="0.25">
      <c r="A5075" t="s">
        <v>878</v>
      </c>
      <c r="B5075" t="s">
        <v>879</v>
      </c>
      <c r="I5075" t="s">
        <v>880</v>
      </c>
      <c r="J5075" s="3">
        <v>1.2325140000000001</v>
      </c>
      <c r="K5075" s="3">
        <v>-3.1205440000000001E-2</v>
      </c>
      <c r="L5075" s="3">
        <v>0.42909629999999999</v>
      </c>
    </row>
    <row r="5076" spans="1:12" x14ac:dyDescent="0.25">
      <c r="A5076" t="s">
        <v>877</v>
      </c>
      <c r="B5076" t="s">
        <v>957</v>
      </c>
      <c r="I5076" t="s">
        <v>455</v>
      </c>
      <c r="J5076" s="3">
        <v>-4.3349909999999998E-2</v>
      </c>
      <c r="K5076" s="3">
        <v>7.7839099999999994E-2</v>
      </c>
      <c r="L5076" s="3">
        <v>-3.7129939999999998E-3</v>
      </c>
    </row>
    <row r="5077" spans="1:12" x14ac:dyDescent="0.25">
      <c r="A5077" t="s">
        <v>876</v>
      </c>
      <c r="B5077" t="s">
        <v>957</v>
      </c>
      <c r="I5077" t="s">
        <v>455</v>
      </c>
      <c r="J5077" s="3">
        <v>7.4599550000000001E-2</v>
      </c>
      <c r="K5077" s="3">
        <v>0.12429469999999999</v>
      </c>
      <c r="L5077" s="3">
        <v>1.426993E-2</v>
      </c>
    </row>
    <row r="5078" spans="1:12" x14ac:dyDescent="0.25">
      <c r="A5078" t="s">
        <v>874</v>
      </c>
      <c r="B5078" t="s">
        <v>875</v>
      </c>
      <c r="I5078" t="s">
        <v>873</v>
      </c>
      <c r="J5078" s="3">
        <v>-0.40588299999999999</v>
      </c>
      <c r="K5078" s="3">
        <v>-0.4524087</v>
      </c>
      <c r="L5078" s="3">
        <v>-0.44712649999999998</v>
      </c>
    </row>
    <row r="5079" spans="1:12" x14ac:dyDescent="0.25">
      <c r="A5079" t="s">
        <v>871</v>
      </c>
      <c r="B5079" t="s">
        <v>872</v>
      </c>
      <c r="I5079" t="s">
        <v>873</v>
      </c>
      <c r="J5079" s="3">
        <v>0.2651676</v>
      </c>
      <c r="K5079" s="3">
        <v>0.29149439999999999</v>
      </c>
      <c r="L5079" s="3">
        <v>0.27519700000000002</v>
      </c>
    </row>
    <row r="5080" spans="1:12" x14ac:dyDescent="0.25">
      <c r="A5080" t="s">
        <v>868</v>
      </c>
      <c r="B5080" t="s">
        <v>869</v>
      </c>
      <c r="I5080" t="s">
        <v>870</v>
      </c>
      <c r="J5080" s="3">
        <v>-0.26549990000000001</v>
      </c>
      <c r="K5080" s="3">
        <v>-0.47146900000000003</v>
      </c>
      <c r="L5080" s="3">
        <v>-0.43566290000000002</v>
      </c>
    </row>
    <row r="5081" spans="1:12" x14ac:dyDescent="0.25">
      <c r="A5081" t="s">
        <v>865</v>
      </c>
      <c r="B5081" t="s">
        <v>866</v>
      </c>
      <c r="I5081" t="s">
        <v>867</v>
      </c>
      <c r="J5081" s="3">
        <v>-0.69202920000000001</v>
      </c>
      <c r="K5081" s="3">
        <v>-0.9244753</v>
      </c>
      <c r="L5081" s="3">
        <v>-0.48274280000000003</v>
      </c>
    </row>
    <row r="5082" spans="1:12" x14ac:dyDescent="0.25">
      <c r="A5082" t="s">
        <v>862</v>
      </c>
      <c r="B5082" t="s">
        <v>863</v>
      </c>
      <c r="I5082" t="s">
        <v>864</v>
      </c>
      <c r="J5082" s="3">
        <v>1.860469E-2</v>
      </c>
      <c r="K5082" s="3">
        <v>-0.29008339999999999</v>
      </c>
      <c r="L5082" s="3">
        <v>-0.13981969999999999</v>
      </c>
    </row>
    <row r="5083" spans="1:12" x14ac:dyDescent="0.25">
      <c r="A5083" t="s">
        <v>859</v>
      </c>
      <c r="B5083" t="s">
        <v>860</v>
      </c>
      <c r="I5083" t="s">
        <v>861</v>
      </c>
      <c r="J5083" s="3">
        <v>0.67834329999999998</v>
      </c>
      <c r="K5083" s="3">
        <v>0.2351915</v>
      </c>
      <c r="L5083" s="3">
        <v>0.53929470000000002</v>
      </c>
    </row>
    <row r="5084" spans="1:12" x14ac:dyDescent="0.25">
      <c r="A5084" t="s">
        <v>856</v>
      </c>
      <c r="B5084" t="s">
        <v>857</v>
      </c>
      <c r="I5084" t="s">
        <v>858</v>
      </c>
      <c r="J5084" s="3">
        <v>0.56404770000000004</v>
      </c>
      <c r="K5084" s="3">
        <v>-8.056236E-2</v>
      </c>
      <c r="L5084" s="3">
        <v>0.60762559999999999</v>
      </c>
    </row>
    <row r="5085" spans="1:12" x14ac:dyDescent="0.25">
      <c r="A5085" t="s">
        <v>853</v>
      </c>
      <c r="B5085" t="s">
        <v>854</v>
      </c>
      <c r="I5085" t="s">
        <v>855</v>
      </c>
      <c r="J5085" s="3">
        <v>0.11726159999999999</v>
      </c>
      <c r="K5085" s="3">
        <v>0.13462479999999999</v>
      </c>
      <c r="L5085" s="3">
        <v>0.16202069999999999</v>
      </c>
    </row>
    <row r="5086" spans="1:12" x14ac:dyDescent="0.25">
      <c r="A5086" t="s">
        <v>852</v>
      </c>
      <c r="B5086" t="s">
        <v>957</v>
      </c>
      <c r="I5086" t="s">
        <v>455</v>
      </c>
      <c r="J5086" s="3">
        <v>0.30673410000000001</v>
      </c>
      <c r="K5086" s="3">
        <v>-4.6747080000000003E-2</v>
      </c>
      <c r="L5086" s="3">
        <v>0.49188419999999999</v>
      </c>
    </row>
    <row r="5087" spans="1:12" x14ac:dyDescent="0.25">
      <c r="A5087" t="s">
        <v>1446</v>
      </c>
      <c r="B5087" t="s">
        <v>1447</v>
      </c>
      <c r="I5087" t="s">
        <v>851</v>
      </c>
      <c r="J5087" s="3">
        <v>-3.8076199999999998E-2</v>
      </c>
      <c r="K5087" s="3">
        <v>-7.4281920000000001E-2</v>
      </c>
      <c r="L5087" s="3">
        <v>1.247874E-2</v>
      </c>
    </row>
    <row r="5088" spans="1:12" x14ac:dyDescent="0.25">
      <c r="A5088" t="s">
        <v>1443</v>
      </c>
      <c r="B5088" t="s">
        <v>1444</v>
      </c>
      <c r="I5088" t="s">
        <v>1445</v>
      </c>
      <c r="J5088" s="3">
        <v>-0.39429069999999999</v>
      </c>
      <c r="K5088" s="3">
        <v>-0.64251650000000005</v>
      </c>
      <c r="L5088" s="3">
        <v>-0.49162620000000001</v>
      </c>
    </row>
    <row r="5089" spans="1:12" x14ac:dyDescent="0.25">
      <c r="A5089" t="s">
        <v>1440</v>
      </c>
      <c r="B5089" t="s">
        <v>1441</v>
      </c>
      <c r="I5089" t="s">
        <v>1442</v>
      </c>
      <c r="J5089" s="3">
        <v>-0.15847939999999999</v>
      </c>
      <c r="K5089" s="3">
        <v>-0.51055819999999996</v>
      </c>
      <c r="L5089" s="3">
        <v>-9.1995850000000004E-2</v>
      </c>
    </row>
    <row r="5090" spans="1:12" x14ac:dyDescent="0.25">
      <c r="A5090" t="s">
        <v>1437</v>
      </c>
      <c r="B5090" t="s">
        <v>1438</v>
      </c>
      <c r="I5090" t="s">
        <v>1439</v>
      </c>
      <c r="J5090" s="3">
        <v>-8.5644799999999993E-2</v>
      </c>
      <c r="K5090" s="3">
        <v>-5.6139649999999999E-2</v>
      </c>
      <c r="L5090" s="3">
        <v>-0.30919990000000003</v>
      </c>
    </row>
    <row r="5091" spans="1:12" x14ac:dyDescent="0.25">
      <c r="A5091" t="s">
        <v>1434</v>
      </c>
      <c r="B5091" t="s">
        <v>1435</v>
      </c>
      <c r="I5091" t="s">
        <v>1436</v>
      </c>
      <c r="J5091" s="3">
        <v>-0.71183039999999997</v>
      </c>
      <c r="K5091" s="3">
        <v>-1.1446769999999999</v>
      </c>
      <c r="L5091" s="3">
        <v>-0.6688383</v>
      </c>
    </row>
    <row r="5092" spans="1:12" x14ac:dyDescent="0.25">
      <c r="A5092" t="s">
        <v>1431</v>
      </c>
      <c r="B5092" t="s">
        <v>1432</v>
      </c>
      <c r="I5092" t="s">
        <v>1433</v>
      </c>
      <c r="J5092" s="3">
        <v>-1.0096580000000001E-2</v>
      </c>
      <c r="K5092" s="3">
        <v>6.3181029999999999E-2</v>
      </c>
      <c r="L5092" s="3">
        <v>-5.8514160000000003E-2</v>
      </c>
    </row>
    <row r="5093" spans="1:12" x14ac:dyDescent="0.25">
      <c r="A5093" t="s">
        <v>1429</v>
      </c>
      <c r="B5093" t="s">
        <v>957</v>
      </c>
      <c r="I5093" t="s">
        <v>1430</v>
      </c>
      <c r="J5093" s="3">
        <v>-0.17698140000000001</v>
      </c>
      <c r="K5093" s="3">
        <v>0.36415439999999999</v>
      </c>
      <c r="L5093" s="3">
        <v>-4.4964610000000002E-2</v>
      </c>
    </row>
    <row r="5094" spans="1:12" x14ac:dyDescent="0.25">
      <c r="A5094" t="s">
        <v>1426</v>
      </c>
      <c r="B5094" t="s">
        <v>1427</v>
      </c>
      <c r="I5094" t="s">
        <v>1428</v>
      </c>
      <c r="J5094" s="3">
        <v>-1.308214</v>
      </c>
      <c r="K5094" s="3">
        <v>-0.91476049999999998</v>
      </c>
      <c r="L5094" s="3">
        <v>0.34535929999999998</v>
      </c>
    </row>
    <row r="5095" spans="1:12" x14ac:dyDescent="0.25">
      <c r="A5095" t="s">
        <v>1423</v>
      </c>
      <c r="B5095" t="s">
        <v>1424</v>
      </c>
      <c r="I5095" t="s">
        <v>1425</v>
      </c>
      <c r="J5095" s="3">
        <v>-7.5876819999999998E-2</v>
      </c>
      <c r="K5095" s="3">
        <v>-0.34155489999999999</v>
      </c>
      <c r="L5095" s="3">
        <v>-7.600005E-2</v>
      </c>
    </row>
    <row r="5096" spans="1:12" x14ac:dyDescent="0.25">
      <c r="A5096" t="s">
        <v>1420</v>
      </c>
      <c r="B5096" t="s">
        <v>1421</v>
      </c>
      <c r="I5096" t="s">
        <v>1422</v>
      </c>
      <c r="J5096" s="3">
        <v>4.9119870000000003E-2</v>
      </c>
      <c r="K5096" s="3">
        <v>5.4408459999999999E-2</v>
      </c>
      <c r="L5096" s="3">
        <v>-2.4696659999999999E-2</v>
      </c>
    </row>
    <row r="5097" spans="1:12" x14ac:dyDescent="0.25">
      <c r="A5097" t="s">
        <v>1418</v>
      </c>
      <c r="B5097" t="s">
        <v>957</v>
      </c>
      <c r="I5097" t="s">
        <v>1419</v>
      </c>
      <c r="J5097" s="3">
        <v>0.3375203</v>
      </c>
      <c r="K5097" s="3">
        <v>0.43688890000000002</v>
      </c>
      <c r="L5097" s="3">
        <v>0.36753019999999997</v>
      </c>
    </row>
    <row r="5098" spans="1:12" x14ac:dyDescent="0.25">
      <c r="A5098" t="s">
        <v>1417</v>
      </c>
      <c r="B5098" t="s">
        <v>957</v>
      </c>
      <c r="I5098" t="s">
        <v>455</v>
      </c>
      <c r="J5098" s="3">
        <v>-0.38911069999999998</v>
      </c>
      <c r="K5098" s="3">
        <v>-0.6272276</v>
      </c>
      <c r="L5098" s="3">
        <v>5.954947E-2</v>
      </c>
    </row>
    <row r="5099" spans="1:12" x14ac:dyDescent="0.25">
      <c r="A5099" t="s">
        <v>1414</v>
      </c>
      <c r="B5099" t="s">
        <v>1415</v>
      </c>
      <c r="I5099" t="s">
        <v>1416</v>
      </c>
      <c r="J5099" s="3">
        <v>-3.7005490000000002E-2</v>
      </c>
      <c r="K5099" s="3">
        <v>-2.732016E-2</v>
      </c>
      <c r="L5099" s="3">
        <v>6.2030349999999998E-2</v>
      </c>
    </row>
    <row r="5100" spans="1:12" x14ac:dyDescent="0.25">
      <c r="A5100" t="s">
        <v>1412</v>
      </c>
      <c r="B5100" t="s">
        <v>1413</v>
      </c>
      <c r="I5100" t="s">
        <v>845</v>
      </c>
      <c r="J5100" s="3">
        <v>-4.5291049999999999E-2</v>
      </c>
      <c r="K5100" s="3">
        <v>-0.1019605</v>
      </c>
      <c r="L5100" s="3">
        <v>0.11320819999999999</v>
      </c>
    </row>
    <row r="5101" spans="1:12" x14ac:dyDescent="0.25">
      <c r="A5101" t="s">
        <v>1409</v>
      </c>
      <c r="B5101" t="s">
        <v>1410</v>
      </c>
      <c r="I5101" t="s">
        <v>1411</v>
      </c>
      <c r="J5101" s="3">
        <v>-0.1529085</v>
      </c>
      <c r="K5101" s="3">
        <v>0.3082202</v>
      </c>
      <c r="L5101" s="3">
        <v>0.43241030000000003</v>
      </c>
    </row>
    <row r="5102" spans="1:12" x14ac:dyDescent="0.25">
      <c r="A5102" t="s">
        <v>1407</v>
      </c>
      <c r="B5102" t="s">
        <v>957</v>
      </c>
      <c r="I5102" t="s">
        <v>1408</v>
      </c>
      <c r="J5102" s="3">
        <v>0.5057952</v>
      </c>
      <c r="K5102" s="3">
        <v>-1.977251E-2</v>
      </c>
      <c r="L5102" s="3">
        <v>0.37657499999999999</v>
      </c>
    </row>
    <row r="5103" spans="1:12" x14ac:dyDescent="0.25">
      <c r="A5103" t="s">
        <v>1404</v>
      </c>
      <c r="B5103" t="s">
        <v>1405</v>
      </c>
      <c r="I5103" t="s">
        <v>1406</v>
      </c>
      <c r="J5103" s="3">
        <v>-0.52464239999999995</v>
      </c>
      <c r="K5103" s="3">
        <v>-1.0052430000000001</v>
      </c>
      <c r="L5103" s="3">
        <v>-0.16914609999999999</v>
      </c>
    </row>
    <row r="5104" spans="1:12" x14ac:dyDescent="0.25">
      <c r="A5104" t="s">
        <v>1401</v>
      </c>
      <c r="B5104" t="s">
        <v>1402</v>
      </c>
      <c r="I5104" t="s">
        <v>1403</v>
      </c>
      <c r="J5104" s="3">
        <v>2.5783250000000001E-2</v>
      </c>
      <c r="K5104" s="3">
        <v>-8.7115120000000004E-2</v>
      </c>
      <c r="L5104" s="3">
        <v>0.25212269999999998</v>
      </c>
    </row>
    <row r="5105" spans="1:12" x14ac:dyDescent="0.25">
      <c r="A5105" t="s">
        <v>1398</v>
      </c>
      <c r="B5105" t="s">
        <v>1399</v>
      </c>
      <c r="I5105" t="s">
        <v>1400</v>
      </c>
      <c r="J5105" s="3">
        <v>-0.49175160000000001</v>
      </c>
      <c r="K5105" s="3">
        <v>-0.83128080000000004</v>
      </c>
      <c r="L5105" s="3">
        <v>-0.2796575</v>
      </c>
    </row>
    <row r="5106" spans="1:12" x14ac:dyDescent="0.25">
      <c r="A5106" t="s">
        <v>386</v>
      </c>
      <c r="B5106" t="s">
        <v>387</v>
      </c>
      <c r="I5106" t="s">
        <v>1397</v>
      </c>
      <c r="J5106" s="3">
        <v>0.36915680000000001</v>
      </c>
      <c r="K5106" s="3">
        <v>0.1174919</v>
      </c>
      <c r="L5106" s="3">
        <v>0.12559500000000001</v>
      </c>
    </row>
    <row r="5107" spans="1:12" x14ac:dyDescent="0.25">
      <c r="A5107" t="s">
        <v>383</v>
      </c>
      <c r="B5107" t="s">
        <v>384</v>
      </c>
      <c r="I5107" t="s">
        <v>385</v>
      </c>
      <c r="J5107" s="3">
        <v>-0.51408140000000002</v>
      </c>
      <c r="K5107" s="3">
        <v>-1.011584</v>
      </c>
      <c r="L5107" s="3">
        <v>-0.39346550000000002</v>
      </c>
    </row>
    <row r="5108" spans="1:12" x14ac:dyDescent="0.25">
      <c r="A5108" t="s">
        <v>382</v>
      </c>
      <c r="B5108" t="s">
        <v>957</v>
      </c>
      <c r="I5108" t="s">
        <v>2</v>
      </c>
      <c r="J5108" s="3">
        <v>-0.16056319999999999</v>
      </c>
      <c r="K5108" s="3">
        <v>-0.50544489999999997</v>
      </c>
      <c r="L5108" s="3">
        <v>-0.36753330000000001</v>
      </c>
    </row>
    <row r="5109" spans="1:12" x14ac:dyDescent="0.25">
      <c r="A5109" t="s">
        <v>379</v>
      </c>
      <c r="B5109" t="s">
        <v>380</v>
      </c>
      <c r="I5109" t="s">
        <v>381</v>
      </c>
      <c r="J5109" s="3">
        <v>0.31644919999999999</v>
      </c>
      <c r="K5109" s="3">
        <v>-0.1064908</v>
      </c>
      <c r="L5109" s="3">
        <v>0.59867720000000002</v>
      </c>
    </row>
    <row r="5110" spans="1:12" x14ac:dyDescent="0.25">
      <c r="A5110" t="s">
        <v>376</v>
      </c>
      <c r="B5110" t="s">
        <v>377</v>
      </c>
      <c r="I5110" t="s">
        <v>378</v>
      </c>
      <c r="J5110" s="3">
        <v>0.39621509999999999</v>
      </c>
      <c r="K5110" s="3">
        <v>0.16318920000000001</v>
      </c>
      <c r="L5110" s="3">
        <v>0.87271799999999999</v>
      </c>
    </row>
    <row r="5111" spans="1:12" x14ac:dyDescent="0.25">
      <c r="A5111" t="s">
        <v>373</v>
      </c>
      <c r="B5111" t="s">
        <v>374</v>
      </c>
      <c r="I5111" t="s">
        <v>375</v>
      </c>
      <c r="J5111" s="3">
        <v>-8.7296559999999995E-2</v>
      </c>
      <c r="K5111" s="3">
        <v>-0.2778834</v>
      </c>
      <c r="L5111" s="3">
        <v>-5.9306980000000002E-2</v>
      </c>
    </row>
    <row r="5112" spans="1:12" x14ac:dyDescent="0.25">
      <c r="A5112" t="s">
        <v>370</v>
      </c>
      <c r="B5112" t="s">
        <v>371</v>
      </c>
      <c r="I5112" t="s">
        <v>372</v>
      </c>
      <c r="J5112" s="3">
        <v>-0.1477086</v>
      </c>
      <c r="K5112" s="3">
        <v>-0.61484740000000004</v>
      </c>
      <c r="L5112" s="3">
        <v>-0.57267780000000001</v>
      </c>
    </row>
    <row r="5113" spans="1:12" x14ac:dyDescent="0.25">
      <c r="A5113" t="s">
        <v>369</v>
      </c>
      <c r="B5113" t="s">
        <v>957</v>
      </c>
      <c r="I5113" t="s">
        <v>455</v>
      </c>
      <c r="J5113" s="3">
        <v>-0.33867989999999998</v>
      </c>
      <c r="K5113" s="3">
        <v>-0.27641209999999999</v>
      </c>
      <c r="L5113" s="3">
        <v>-0.2262304</v>
      </c>
    </row>
    <row r="5114" spans="1:12" x14ac:dyDescent="0.25">
      <c r="A5114" t="s">
        <v>366</v>
      </c>
      <c r="B5114" t="s">
        <v>367</v>
      </c>
      <c r="I5114" t="s">
        <v>368</v>
      </c>
      <c r="J5114" s="3">
        <v>-1.175681</v>
      </c>
      <c r="K5114" s="3">
        <v>-0.19305539999999999</v>
      </c>
      <c r="L5114" s="3">
        <v>-1.6414599999999999</v>
      </c>
    </row>
    <row r="5115" spans="1:12" x14ac:dyDescent="0.25">
      <c r="A5115" t="s">
        <v>363</v>
      </c>
      <c r="B5115" t="s">
        <v>364</v>
      </c>
      <c r="I5115" t="s">
        <v>365</v>
      </c>
      <c r="J5115" s="3">
        <v>-1.2213369999999999E-2</v>
      </c>
      <c r="K5115" s="3">
        <v>0.13069510000000001</v>
      </c>
      <c r="L5115" s="3">
        <v>3.3492019999999997E-2</v>
      </c>
    </row>
    <row r="5116" spans="1:12" x14ac:dyDescent="0.25">
      <c r="A5116" t="s">
        <v>362</v>
      </c>
      <c r="B5116" t="s">
        <v>957</v>
      </c>
      <c r="I5116" t="s">
        <v>455</v>
      </c>
      <c r="J5116" s="3">
        <v>1.352555</v>
      </c>
      <c r="K5116" s="3">
        <v>0.92936439999999998</v>
      </c>
      <c r="L5116" s="3">
        <v>0.61690999999999996</v>
      </c>
    </row>
    <row r="5117" spans="1:12" x14ac:dyDescent="0.25">
      <c r="A5117" t="s">
        <v>359</v>
      </c>
      <c r="B5117" t="s">
        <v>360</v>
      </c>
      <c r="I5117" t="s">
        <v>361</v>
      </c>
      <c r="J5117" s="3">
        <v>0.1138778</v>
      </c>
      <c r="K5117" s="3">
        <v>0.1636676</v>
      </c>
      <c r="L5117" s="3">
        <v>2.975013E-2</v>
      </c>
    </row>
    <row r="5118" spans="1:12" x14ac:dyDescent="0.25">
      <c r="A5118" t="s">
        <v>356</v>
      </c>
      <c r="B5118" t="s">
        <v>357</v>
      </c>
      <c r="I5118" t="s">
        <v>358</v>
      </c>
      <c r="J5118" s="3">
        <v>-0.55469080000000004</v>
      </c>
      <c r="K5118" s="3">
        <v>0.28677019999999998</v>
      </c>
      <c r="L5118" s="3">
        <v>-0.729325</v>
      </c>
    </row>
    <row r="5119" spans="1:12" x14ac:dyDescent="0.25">
      <c r="A5119" t="s">
        <v>353</v>
      </c>
      <c r="B5119" t="s">
        <v>354</v>
      </c>
      <c r="I5119" t="s">
        <v>355</v>
      </c>
      <c r="J5119" s="3">
        <v>-0.64610380000000001</v>
      </c>
      <c r="K5119" s="3">
        <v>-0.97221080000000004</v>
      </c>
      <c r="L5119" s="3">
        <v>-0.64450169999999996</v>
      </c>
    </row>
    <row r="5120" spans="1:12" x14ac:dyDescent="0.25">
      <c r="A5120" t="s">
        <v>1176</v>
      </c>
      <c r="B5120" t="s">
        <v>1177</v>
      </c>
      <c r="I5120" t="s">
        <v>352</v>
      </c>
      <c r="J5120" s="3">
        <v>-8.1923010000000004E-2</v>
      </c>
      <c r="K5120" s="3">
        <v>-0.40505940000000001</v>
      </c>
      <c r="L5120" s="3">
        <v>-0.43721090000000001</v>
      </c>
    </row>
    <row r="5121" spans="1:12" x14ac:dyDescent="0.25">
      <c r="A5121" t="s">
        <v>1173</v>
      </c>
      <c r="B5121" t="s">
        <v>1174</v>
      </c>
      <c r="I5121" t="s">
        <v>1175</v>
      </c>
      <c r="J5121" s="3">
        <v>4.8533609999999998E-2</v>
      </c>
      <c r="K5121" s="3">
        <v>-4.8212079999999997E-2</v>
      </c>
      <c r="L5121" s="3">
        <v>0.33930300000000002</v>
      </c>
    </row>
    <row r="5122" spans="1:12" x14ac:dyDescent="0.25">
      <c r="A5122" t="s">
        <v>1170</v>
      </c>
      <c r="B5122" t="s">
        <v>1171</v>
      </c>
      <c r="I5122" t="s">
        <v>1172</v>
      </c>
      <c r="J5122" s="3">
        <v>-0.31242500000000001</v>
      </c>
      <c r="K5122" s="3">
        <v>-4.5226009999999997E-2</v>
      </c>
      <c r="L5122" s="3">
        <v>-0.11723500000000001</v>
      </c>
    </row>
    <row r="5123" spans="1:12" x14ac:dyDescent="0.25">
      <c r="A5123" t="s">
        <v>1167</v>
      </c>
      <c r="B5123" t="s">
        <v>1168</v>
      </c>
      <c r="I5123" t="s">
        <v>1169</v>
      </c>
      <c r="J5123" s="3">
        <v>-8.6499569999999998E-2</v>
      </c>
      <c r="K5123" s="3">
        <v>-0.14251739999999999</v>
      </c>
      <c r="L5123" s="3">
        <v>-6.8021239999999997E-2</v>
      </c>
    </row>
    <row r="5124" spans="1:12" x14ac:dyDescent="0.25">
      <c r="A5124" t="s">
        <v>1164</v>
      </c>
      <c r="B5124" t="s">
        <v>1165</v>
      </c>
      <c r="I5124" t="s">
        <v>1166</v>
      </c>
      <c r="J5124" s="3">
        <v>0.36817159999999999</v>
      </c>
      <c r="K5124" s="3">
        <v>0.32867770000000002</v>
      </c>
      <c r="L5124" s="3">
        <v>0.8006645</v>
      </c>
    </row>
    <row r="5125" spans="1:12" x14ac:dyDescent="0.25">
      <c r="A5125" t="s">
        <v>1161</v>
      </c>
      <c r="B5125" t="s">
        <v>1162</v>
      </c>
      <c r="I5125" t="s">
        <v>1163</v>
      </c>
      <c r="J5125" s="3">
        <v>-0.45781939999999999</v>
      </c>
      <c r="K5125" s="3">
        <v>-0.80538900000000002</v>
      </c>
      <c r="L5125" s="3">
        <v>-0.16962169999999999</v>
      </c>
    </row>
    <row r="5126" spans="1:12" x14ac:dyDescent="0.25">
      <c r="A5126" t="s">
        <v>1160</v>
      </c>
      <c r="B5126" t="s">
        <v>957</v>
      </c>
      <c r="I5126" t="s">
        <v>455</v>
      </c>
      <c r="J5126" s="3">
        <v>3.5575900000000001E-2</v>
      </c>
      <c r="K5126" s="3">
        <v>-0.1823794</v>
      </c>
      <c r="L5126" s="3">
        <v>0.1085372</v>
      </c>
    </row>
    <row r="5127" spans="1:12" x14ac:dyDescent="0.25">
      <c r="A5127" t="s">
        <v>1157</v>
      </c>
      <c r="B5127" t="s">
        <v>1158</v>
      </c>
      <c r="I5127" t="s">
        <v>1159</v>
      </c>
      <c r="J5127" s="3">
        <v>-0.33497759999999999</v>
      </c>
      <c r="K5127" s="3">
        <v>-0.17713619999999999</v>
      </c>
      <c r="L5127" s="3">
        <v>-2.1716550000000001E-2</v>
      </c>
    </row>
    <row r="5128" spans="1:12" x14ac:dyDescent="0.25">
      <c r="A5128" t="s">
        <v>1156</v>
      </c>
      <c r="B5128" t="s">
        <v>957</v>
      </c>
      <c r="I5128" t="s">
        <v>455</v>
      </c>
      <c r="J5128" s="3">
        <v>0.18109049999999999</v>
      </c>
      <c r="K5128" s="3">
        <v>0.28084110000000001</v>
      </c>
      <c r="L5128" s="3">
        <v>0.26461829999999997</v>
      </c>
    </row>
    <row r="5129" spans="1:12" x14ac:dyDescent="0.25">
      <c r="A5129" t="s">
        <v>1155</v>
      </c>
      <c r="B5129" t="s">
        <v>957</v>
      </c>
      <c r="I5129" t="s">
        <v>823</v>
      </c>
      <c r="J5129" s="3">
        <v>-0.3507827</v>
      </c>
      <c r="K5129" s="3">
        <v>-0.3229321</v>
      </c>
      <c r="L5129" s="3">
        <v>-0.1648404</v>
      </c>
    </row>
    <row r="5130" spans="1:12" x14ac:dyDescent="0.25">
      <c r="A5130" t="s">
        <v>1154</v>
      </c>
      <c r="B5130" t="s">
        <v>957</v>
      </c>
      <c r="I5130" t="s">
        <v>2</v>
      </c>
      <c r="J5130" s="3">
        <v>-0.24244189999999999</v>
      </c>
      <c r="K5130" s="3">
        <v>1.851411E-2</v>
      </c>
      <c r="L5130" s="3">
        <v>-0.1988625</v>
      </c>
    </row>
    <row r="5131" spans="1:12" x14ac:dyDescent="0.25">
      <c r="A5131" t="s">
        <v>1151</v>
      </c>
      <c r="B5131" t="s">
        <v>1152</v>
      </c>
      <c r="I5131" t="s">
        <v>1153</v>
      </c>
      <c r="J5131" s="3">
        <v>0.2116487</v>
      </c>
      <c r="K5131" s="3">
        <v>0.84966580000000003</v>
      </c>
      <c r="L5131" s="3">
        <v>0.40036100000000002</v>
      </c>
    </row>
    <row r="5132" spans="1:12" x14ac:dyDescent="0.25">
      <c r="A5132" t="s">
        <v>1150</v>
      </c>
      <c r="B5132" t="s">
        <v>957</v>
      </c>
      <c r="I5132" t="s">
        <v>455</v>
      </c>
      <c r="J5132" s="3">
        <v>0.35893910000000001</v>
      </c>
      <c r="K5132" s="3">
        <v>0.17026179999999999</v>
      </c>
      <c r="L5132" s="3">
        <v>0.43063790000000002</v>
      </c>
    </row>
    <row r="5133" spans="1:12" x14ac:dyDescent="0.25">
      <c r="A5133" t="s">
        <v>1147</v>
      </c>
      <c r="B5133" t="s">
        <v>1148</v>
      </c>
      <c r="I5133" t="s">
        <v>1149</v>
      </c>
      <c r="J5133" s="3">
        <v>0.1004815</v>
      </c>
      <c r="K5133" s="3">
        <v>-0.1903783</v>
      </c>
      <c r="L5133" s="3">
        <v>3.3001379999999997E-2</v>
      </c>
    </row>
    <row r="5134" spans="1:12" x14ac:dyDescent="0.25">
      <c r="A5134" t="s">
        <v>1146</v>
      </c>
      <c r="B5134" t="s">
        <v>957</v>
      </c>
      <c r="I5134" t="s">
        <v>455</v>
      </c>
      <c r="J5134" s="3">
        <v>0.55826739999999997</v>
      </c>
      <c r="K5134" s="3">
        <v>1.0564739999999999</v>
      </c>
      <c r="L5134" s="3">
        <v>0.71533119999999994</v>
      </c>
    </row>
    <row r="5135" spans="1:12" x14ac:dyDescent="0.25">
      <c r="A5135" t="s">
        <v>1145</v>
      </c>
      <c r="B5135" t="s">
        <v>957</v>
      </c>
      <c r="I5135" t="s">
        <v>455</v>
      </c>
      <c r="J5135" s="3">
        <v>0.43017689999999997</v>
      </c>
      <c r="K5135" s="3">
        <v>0.64101160000000001</v>
      </c>
      <c r="L5135" s="3">
        <v>0.58746770000000004</v>
      </c>
    </row>
    <row r="5136" spans="1:12" x14ac:dyDescent="0.25">
      <c r="A5136" t="s">
        <v>1144</v>
      </c>
      <c r="B5136" t="s">
        <v>957</v>
      </c>
      <c r="I5136" t="s">
        <v>1207</v>
      </c>
      <c r="J5136" s="3">
        <v>-0.1805409</v>
      </c>
      <c r="K5136" s="3">
        <v>-8.1893599999999997E-2</v>
      </c>
      <c r="L5136" s="3">
        <v>-0.1066444</v>
      </c>
    </row>
    <row r="5137" spans="1:12" x14ac:dyDescent="0.25">
      <c r="A5137" t="s">
        <v>1142</v>
      </c>
      <c r="B5137" t="s">
        <v>14236</v>
      </c>
      <c r="C5137" t="s">
        <v>14237</v>
      </c>
      <c r="I5137" t="s">
        <v>1143</v>
      </c>
      <c r="J5137" s="3">
        <v>0.80894719999999998</v>
      </c>
      <c r="K5137" s="3">
        <v>0.4832534</v>
      </c>
      <c r="L5137" s="3">
        <v>0.96697060000000001</v>
      </c>
    </row>
    <row r="5138" spans="1:12" x14ac:dyDescent="0.25">
      <c r="A5138" t="s">
        <v>1139</v>
      </c>
      <c r="B5138" t="s">
        <v>1140</v>
      </c>
      <c r="I5138" t="s">
        <v>1141</v>
      </c>
      <c r="J5138" s="3">
        <v>4.7011699999999997E-2</v>
      </c>
      <c r="K5138" s="3">
        <v>-0.39009189999999999</v>
      </c>
      <c r="L5138" s="3">
        <v>3.5714370000000002E-2</v>
      </c>
    </row>
    <row r="5139" spans="1:12" x14ac:dyDescent="0.25">
      <c r="A5139" t="s">
        <v>1136</v>
      </c>
      <c r="B5139" t="s">
        <v>1137</v>
      </c>
      <c r="I5139" t="s">
        <v>1138</v>
      </c>
      <c r="J5139" s="3">
        <v>-1.304165E-2</v>
      </c>
      <c r="K5139" s="3">
        <v>-0.42765180000000003</v>
      </c>
      <c r="L5139" s="3">
        <v>0.21110200000000001</v>
      </c>
    </row>
    <row r="5140" spans="1:12" x14ac:dyDescent="0.25">
      <c r="A5140" t="s">
        <v>1135</v>
      </c>
      <c r="B5140" t="s">
        <v>957</v>
      </c>
      <c r="I5140" t="s">
        <v>455</v>
      </c>
      <c r="J5140" s="3">
        <v>0.8354492</v>
      </c>
      <c r="K5140" s="3">
        <v>0.13947760000000001</v>
      </c>
      <c r="L5140" s="3">
        <v>0.50500909999999999</v>
      </c>
    </row>
    <row r="5141" spans="1:12" x14ac:dyDescent="0.25">
      <c r="A5141" t="s">
        <v>1132</v>
      </c>
      <c r="B5141" t="s">
        <v>1133</v>
      </c>
      <c r="I5141" t="s">
        <v>1134</v>
      </c>
      <c r="J5141" s="3">
        <v>-0.1192246</v>
      </c>
      <c r="K5141" s="3">
        <v>0.26658199999999999</v>
      </c>
      <c r="L5141" s="3">
        <v>-0.15724469999999999</v>
      </c>
    </row>
    <row r="5142" spans="1:12" x14ac:dyDescent="0.25">
      <c r="A5142" t="s">
        <v>1129</v>
      </c>
      <c r="B5142" t="s">
        <v>1130</v>
      </c>
      <c r="I5142" t="s">
        <v>1131</v>
      </c>
      <c r="J5142" s="3">
        <v>0.15819510000000001</v>
      </c>
      <c r="K5142" s="3">
        <v>0.1067176</v>
      </c>
      <c r="L5142" s="3">
        <v>0.16799430000000001</v>
      </c>
    </row>
    <row r="5143" spans="1:12" x14ac:dyDescent="0.25">
      <c r="A5143" t="s">
        <v>1126</v>
      </c>
      <c r="B5143" t="s">
        <v>1127</v>
      </c>
      <c r="I5143" t="s">
        <v>1128</v>
      </c>
      <c r="J5143" s="3">
        <v>0.65051760000000003</v>
      </c>
      <c r="K5143" s="3">
        <v>0.57050259999999997</v>
      </c>
      <c r="L5143" s="3">
        <v>0.61538329999999997</v>
      </c>
    </row>
    <row r="5144" spans="1:12" x14ac:dyDescent="0.25">
      <c r="A5144" t="s">
        <v>1123</v>
      </c>
      <c r="B5144" t="s">
        <v>1124</v>
      </c>
      <c r="I5144" t="s">
        <v>1125</v>
      </c>
      <c r="J5144" s="3">
        <v>0.20658670000000001</v>
      </c>
      <c r="K5144" s="3">
        <v>2.6431159999999999E-2</v>
      </c>
      <c r="L5144" s="3">
        <v>0.1089236</v>
      </c>
    </row>
    <row r="5145" spans="1:12" x14ac:dyDescent="0.25">
      <c r="A5145" t="s">
        <v>1120</v>
      </c>
      <c r="B5145" t="s">
        <v>1121</v>
      </c>
      <c r="I5145" t="s">
        <v>1122</v>
      </c>
      <c r="J5145" s="3">
        <v>-5.7368620000000002E-2</v>
      </c>
      <c r="K5145" s="3">
        <v>5.6539550000000001E-2</v>
      </c>
      <c r="L5145" s="3">
        <v>-8.5296200000000003E-2</v>
      </c>
    </row>
    <row r="5146" spans="1:12" x14ac:dyDescent="0.25">
      <c r="A5146" t="s">
        <v>1118</v>
      </c>
      <c r="B5146" t="s">
        <v>957</v>
      </c>
      <c r="I5146" t="s">
        <v>1119</v>
      </c>
      <c r="J5146" s="3">
        <v>-0.187637</v>
      </c>
      <c r="K5146" s="3">
        <v>-0.15548419999999999</v>
      </c>
      <c r="L5146" s="3">
        <v>-0.70487540000000004</v>
      </c>
    </row>
    <row r="5147" spans="1:12" x14ac:dyDescent="0.25">
      <c r="A5147" t="s">
        <v>1115</v>
      </c>
      <c r="B5147" t="s">
        <v>1116</v>
      </c>
      <c r="I5147" t="s">
        <v>1117</v>
      </c>
      <c r="J5147" s="3">
        <v>-0.1325278</v>
      </c>
      <c r="K5147" s="3">
        <v>-0.21150959999999999</v>
      </c>
      <c r="L5147" s="3">
        <v>-0.41426230000000003</v>
      </c>
    </row>
    <row r="5148" spans="1:12" x14ac:dyDescent="0.25">
      <c r="A5148" t="s">
        <v>1113</v>
      </c>
      <c r="B5148" t="s">
        <v>957</v>
      </c>
      <c r="I5148" t="s">
        <v>1114</v>
      </c>
      <c r="J5148" s="3">
        <v>-9.1354519999999995E-2</v>
      </c>
      <c r="K5148" s="3">
        <v>-0.16301019999999999</v>
      </c>
      <c r="L5148" s="3">
        <v>0.26848</v>
      </c>
    </row>
    <row r="5149" spans="1:12" x14ac:dyDescent="0.25">
      <c r="A5149" t="s">
        <v>704</v>
      </c>
      <c r="B5149" t="s">
        <v>705</v>
      </c>
      <c r="I5149" t="s">
        <v>1112</v>
      </c>
      <c r="J5149" s="3">
        <v>-0.2392842</v>
      </c>
      <c r="K5149" s="3">
        <v>-1.0220830000000001</v>
      </c>
      <c r="L5149" s="3">
        <v>-0.23158110000000001</v>
      </c>
    </row>
    <row r="5150" spans="1:12" x14ac:dyDescent="0.25">
      <c r="A5150" t="s">
        <v>703</v>
      </c>
      <c r="B5150" t="s">
        <v>957</v>
      </c>
      <c r="I5150" t="s">
        <v>455</v>
      </c>
      <c r="J5150" s="3">
        <v>-0.47536990000000001</v>
      </c>
      <c r="K5150" s="3">
        <v>-0.76136470000000001</v>
      </c>
      <c r="L5150" s="3">
        <v>-0.40660869999999999</v>
      </c>
    </row>
    <row r="5151" spans="1:12" x14ac:dyDescent="0.25">
      <c r="A5151" t="s">
        <v>700</v>
      </c>
      <c r="B5151" t="s">
        <v>701</v>
      </c>
      <c r="I5151" t="s">
        <v>702</v>
      </c>
      <c r="J5151" s="3">
        <v>1.241916</v>
      </c>
      <c r="K5151" s="3">
        <v>2.7852790000000001</v>
      </c>
      <c r="L5151" s="3">
        <v>0.45402150000000002</v>
      </c>
    </row>
    <row r="5152" spans="1:12" x14ac:dyDescent="0.25">
      <c r="A5152" t="s">
        <v>697</v>
      </c>
      <c r="B5152" t="s">
        <v>698</v>
      </c>
      <c r="I5152" t="s">
        <v>699</v>
      </c>
      <c r="J5152" s="3">
        <v>-8.1747559999999997E-2</v>
      </c>
      <c r="K5152" s="3">
        <v>0.31985619999999998</v>
      </c>
      <c r="L5152" s="3">
        <v>-6.0511059999999998E-2</v>
      </c>
    </row>
    <row r="5153" spans="1:12" x14ac:dyDescent="0.25">
      <c r="A5153" t="s">
        <v>694</v>
      </c>
      <c r="B5153" t="s">
        <v>695</v>
      </c>
      <c r="I5153" t="s">
        <v>696</v>
      </c>
      <c r="J5153" s="3">
        <v>-8.2718829999999993E-2</v>
      </c>
      <c r="K5153" s="3">
        <v>-0.64192729999999998</v>
      </c>
      <c r="L5153" s="3">
        <v>-0.34286290000000003</v>
      </c>
    </row>
    <row r="5154" spans="1:12" x14ac:dyDescent="0.25">
      <c r="A5154" t="s">
        <v>691</v>
      </c>
      <c r="B5154" t="s">
        <v>692</v>
      </c>
      <c r="I5154" t="s">
        <v>693</v>
      </c>
      <c r="J5154" s="3">
        <v>-5.043048E-2</v>
      </c>
      <c r="K5154" s="3">
        <v>0.18525449999999999</v>
      </c>
      <c r="L5154" s="3">
        <v>-0.34541830000000001</v>
      </c>
    </row>
    <row r="5155" spans="1:12" x14ac:dyDescent="0.25">
      <c r="A5155" t="s">
        <v>688</v>
      </c>
      <c r="B5155" t="s">
        <v>689</v>
      </c>
      <c r="I5155" t="s">
        <v>690</v>
      </c>
      <c r="J5155" s="3">
        <v>-0.1626958</v>
      </c>
      <c r="K5155" s="3">
        <v>0.14617959999999999</v>
      </c>
      <c r="L5155" s="3">
        <v>-0.26498820000000001</v>
      </c>
    </row>
    <row r="5156" spans="1:12" x14ac:dyDescent="0.25">
      <c r="A5156" t="s">
        <v>685</v>
      </c>
      <c r="B5156" t="s">
        <v>686</v>
      </c>
      <c r="I5156" t="s">
        <v>687</v>
      </c>
      <c r="J5156" s="3">
        <v>0.2256745</v>
      </c>
      <c r="K5156" s="3">
        <v>3.0256020000000001E-3</v>
      </c>
      <c r="L5156" s="3">
        <v>0.2124424</v>
      </c>
    </row>
    <row r="5157" spans="1:12" x14ac:dyDescent="0.25">
      <c r="A5157" t="s">
        <v>682</v>
      </c>
      <c r="B5157" t="s">
        <v>683</v>
      </c>
      <c r="I5157" t="s">
        <v>684</v>
      </c>
      <c r="J5157" s="3">
        <v>-5.0689829999999998E-2</v>
      </c>
      <c r="K5157" s="3">
        <v>-1.766183E-2</v>
      </c>
      <c r="L5157" s="3">
        <v>0.20898810000000001</v>
      </c>
    </row>
    <row r="5158" spans="1:12" x14ac:dyDescent="0.25">
      <c r="A5158" t="s">
        <v>680</v>
      </c>
      <c r="B5158" t="s">
        <v>957</v>
      </c>
      <c r="I5158" t="s">
        <v>681</v>
      </c>
      <c r="J5158" s="3">
        <v>0.2487288</v>
      </c>
      <c r="K5158" s="3">
        <v>0.33817340000000001</v>
      </c>
      <c r="L5158" s="3">
        <v>0.2195984</v>
      </c>
    </row>
    <row r="5159" spans="1:12" x14ac:dyDescent="0.25">
      <c r="A5159" t="s">
        <v>677</v>
      </c>
      <c r="B5159" t="s">
        <v>678</v>
      </c>
      <c r="I5159" t="s">
        <v>679</v>
      </c>
      <c r="J5159" s="3">
        <v>-3.9830299999999999E-2</v>
      </c>
      <c r="K5159" s="3">
        <v>0.1025486</v>
      </c>
      <c r="L5159" s="3">
        <v>-0.1389736</v>
      </c>
    </row>
    <row r="5160" spans="1:12" x14ac:dyDescent="0.25">
      <c r="A5160" t="s">
        <v>676</v>
      </c>
      <c r="B5160" t="s">
        <v>957</v>
      </c>
      <c r="I5160" t="s">
        <v>156</v>
      </c>
      <c r="J5160" s="3">
        <v>-0.43500169999999999</v>
      </c>
      <c r="K5160" s="3">
        <v>0.38113259999999999</v>
      </c>
      <c r="L5160" s="3">
        <v>-0.2884062</v>
      </c>
    </row>
    <row r="5161" spans="1:12" x14ac:dyDescent="0.25">
      <c r="A5161" t="s">
        <v>673</v>
      </c>
      <c r="B5161" t="s">
        <v>674</v>
      </c>
      <c r="I5161" t="s">
        <v>675</v>
      </c>
      <c r="J5161" s="3">
        <v>-0.68828069999999997</v>
      </c>
      <c r="K5161" s="3">
        <v>-0.51306620000000003</v>
      </c>
      <c r="L5161" s="3">
        <v>-0.41521760000000002</v>
      </c>
    </row>
    <row r="5162" spans="1:12" x14ac:dyDescent="0.25">
      <c r="A5162" t="s">
        <v>1271</v>
      </c>
      <c r="B5162" t="s">
        <v>1272</v>
      </c>
      <c r="I5162" t="s">
        <v>672</v>
      </c>
      <c r="J5162" s="3">
        <v>-0.42792350000000001</v>
      </c>
      <c r="K5162" s="3">
        <v>-0.63697490000000001</v>
      </c>
      <c r="L5162" s="3">
        <v>-0.23522760000000001</v>
      </c>
    </row>
    <row r="5163" spans="1:12" x14ac:dyDescent="0.25">
      <c r="A5163" t="s">
        <v>1268</v>
      </c>
      <c r="B5163" t="s">
        <v>1269</v>
      </c>
      <c r="I5163" t="s">
        <v>1270</v>
      </c>
      <c r="J5163" s="3">
        <v>-0.1873185</v>
      </c>
      <c r="K5163" s="3">
        <v>-0.5663089</v>
      </c>
      <c r="L5163" s="3">
        <v>-0.20817060000000001</v>
      </c>
    </row>
    <row r="5164" spans="1:12" x14ac:dyDescent="0.25">
      <c r="A5164" t="s">
        <v>1265</v>
      </c>
      <c r="B5164" t="s">
        <v>1266</v>
      </c>
      <c r="I5164" t="s">
        <v>1267</v>
      </c>
      <c r="J5164" s="3">
        <v>-3.5881280000000002E-2</v>
      </c>
      <c r="K5164" s="3">
        <v>0.34066960000000002</v>
      </c>
      <c r="L5164" s="3">
        <v>0.33387600000000001</v>
      </c>
    </row>
    <row r="5165" spans="1:12" x14ac:dyDescent="0.25">
      <c r="A5165" t="s">
        <v>1264</v>
      </c>
      <c r="B5165" t="s">
        <v>957</v>
      </c>
      <c r="I5165" t="s">
        <v>455</v>
      </c>
      <c r="J5165" s="3">
        <v>-0.3487267</v>
      </c>
      <c r="K5165" s="3">
        <v>-0.89380649999999995</v>
      </c>
      <c r="L5165" s="3">
        <v>-0.46750979999999998</v>
      </c>
    </row>
    <row r="5166" spans="1:12" x14ac:dyDescent="0.25">
      <c r="A5166" t="s">
        <v>1261</v>
      </c>
      <c r="B5166" t="s">
        <v>1262</v>
      </c>
      <c r="I5166" t="s">
        <v>1263</v>
      </c>
      <c r="J5166" s="3">
        <v>-0.1135852</v>
      </c>
      <c r="K5166" s="3">
        <v>-0.6195581</v>
      </c>
      <c r="L5166" s="3">
        <v>-0.3169476</v>
      </c>
    </row>
    <row r="5167" spans="1:12" x14ac:dyDescent="0.25">
      <c r="A5167" t="s">
        <v>1258</v>
      </c>
      <c r="B5167" t="s">
        <v>1259</v>
      </c>
      <c r="I5167" t="s">
        <v>1260</v>
      </c>
      <c r="J5167" s="3">
        <v>-0.36052869999999998</v>
      </c>
      <c r="K5167" s="3">
        <v>-0.64370989999999995</v>
      </c>
      <c r="L5167" s="3">
        <v>-0.45340160000000002</v>
      </c>
    </row>
    <row r="5168" spans="1:12" x14ac:dyDescent="0.25">
      <c r="A5168" t="s">
        <v>1255</v>
      </c>
      <c r="B5168" t="s">
        <v>1256</v>
      </c>
      <c r="I5168" t="s">
        <v>1257</v>
      </c>
      <c r="J5168" s="3">
        <v>-0.2061017</v>
      </c>
      <c r="K5168" s="3">
        <v>-0.74521230000000005</v>
      </c>
      <c r="L5168" s="3">
        <v>-0.1106239</v>
      </c>
    </row>
    <row r="5169" spans="1:12" x14ac:dyDescent="0.25">
      <c r="A5169" t="s">
        <v>1252</v>
      </c>
      <c r="B5169" t="s">
        <v>1253</v>
      </c>
      <c r="I5169" t="s">
        <v>1254</v>
      </c>
      <c r="J5169" s="3">
        <v>0.17414180000000001</v>
      </c>
      <c r="K5169" s="3">
        <v>-0.2497125</v>
      </c>
      <c r="L5169" s="3">
        <v>0.31139299999999998</v>
      </c>
    </row>
    <row r="5170" spans="1:12" x14ac:dyDescent="0.25">
      <c r="A5170" t="s">
        <v>1249</v>
      </c>
      <c r="B5170" t="s">
        <v>1250</v>
      </c>
      <c r="I5170" t="s">
        <v>1251</v>
      </c>
      <c r="J5170" s="3">
        <v>0.88013799999999998</v>
      </c>
      <c r="K5170" s="3">
        <v>0.91260799999999997</v>
      </c>
      <c r="L5170" s="3">
        <v>0.90480539999999998</v>
      </c>
    </row>
    <row r="5171" spans="1:12" x14ac:dyDescent="0.25">
      <c r="A5171" t="s">
        <v>1246</v>
      </c>
      <c r="B5171" t="s">
        <v>1247</v>
      </c>
      <c r="I5171" t="s">
        <v>1248</v>
      </c>
      <c r="J5171" s="3">
        <v>4.0297100000000002E-2</v>
      </c>
      <c r="K5171" s="3">
        <v>-0.20830309999999999</v>
      </c>
      <c r="L5171" s="3">
        <v>-0.2895258</v>
      </c>
    </row>
    <row r="5172" spans="1:12" x14ac:dyDescent="0.25">
      <c r="A5172" t="s">
        <v>1243</v>
      </c>
      <c r="B5172" t="s">
        <v>1244</v>
      </c>
      <c r="I5172" t="s">
        <v>1245</v>
      </c>
      <c r="J5172" s="3">
        <v>0.2382735</v>
      </c>
      <c r="K5172" s="3">
        <v>-0.34080870000000002</v>
      </c>
      <c r="L5172" s="3">
        <v>7.6426729999999998E-2</v>
      </c>
    </row>
    <row r="5173" spans="1:12" x14ac:dyDescent="0.25">
      <c r="A5173" t="s">
        <v>1240</v>
      </c>
      <c r="B5173" t="s">
        <v>1241</v>
      </c>
      <c r="I5173" t="s">
        <v>1242</v>
      </c>
      <c r="J5173" s="3">
        <v>-0.1140891</v>
      </c>
      <c r="K5173" s="3">
        <v>-0.36719170000000001</v>
      </c>
      <c r="L5173" s="3">
        <v>2.6237070000000001E-2</v>
      </c>
    </row>
    <row r="5174" spans="1:12" x14ac:dyDescent="0.25">
      <c r="A5174" t="s">
        <v>1237</v>
      </c>
      <c r="B5174" t="s">
        <v>1238</v>
      </c>
      <c r="I5174" t="s">
        <v>1239</v>
      </c>
      <c r="J5174" s="3">
        <v>0.18185180000000001</v>
      </c>
      <c r="K5174" s="3">
        <v>0.1081733</v>
      </c>
      <c r="L5174" s="3">
        <v>-0.1546013</v>
      </c>
    </row>
    <row r="5175" spans="1:12" x14ac:dyDescent="0.25">
      <c r="A5175" t="s">
        <v>1234</v>
      </c>
      <c r="B5175" t="s">
        <v>1235</v>
      </c>
      <c r="I5175" t="s">
        <v>1236</v>
      </c>
      <c r="J5175" s="3">
        <v>-0.27279239999999999</v>
      </c>
      <c r="K5175" s="3">
        <v>-0.51565360000000005</v>
      </c>
      <c r="L5175" s="3">
        <v>-0.54072350000000002</v>
      </c>
    </row>
    <row r="5176" spans="1:12" x14ac:dyDescent="0.25">
      <c r="A5176" t="s">
        <v>1231</v>
      </c>
      <c r="B5176" t="s">
        <v>1232</v>
      </c>
      <c r="I5176" t="s">
        <v>1233</v>
      </c>
      <c r="J5176" s="3">
        <v>0.25342720000000002</v>
      </c>
      <c r="K5176" s="3">
        <v>0.40962860000000001</v>
      </c>
      <c r="L5176" s="3">
        <v>0.28956409999999999</v>
      </c>
    </row>
    <row r="5177" spans="1:12" x14ac:dyDescent="0.25">
      <c r="A5177" t="s">
        <v>1228</v>
      </c>
      <c r="B5177" t="s">
        <v>1229</v>
      </c>
      <c r="I5177" t="s">
        <v>1230</v>
      </c>
      <c r="J5177" s="3">
        <v>0.6291561</v>
      </c>
      <c r="K5177" s="3">
        <v>0.12445440000000001</v>
      </c>
      <c r="L5177" s="3">
        <v>-0.23228889999999999</v>
      </c>
    </row>
    <row r="5178" spans="1:12" x14ac:dyDescent="0.25">
      <c r="A5178" t="s">
        <v>1227</v>
      </c>
      <c r="B5178" t="s">
        <v>957</v>
      </c>
      <c r="I5178" t="s">
        <v>455</v>
      </c>
      <c r="J5178" s="3">
        <v>0.3691004</v>
      </c>
      <c r="K5178" s="3">
        <v>-0.1322895</v>
      </c>
      <c r="L5178" s="3">
        <v>-0.24056739999999999</v>
      </c>
    </row>
    <row r="5179" spans="1:12" x14ac:dyDescent="0.25">
      <c r="A5179" t="s">
        <v>1224</v>
      </c>
      <c r="B5179" t="s">
        <v>1225</v>
      </c>
      <c r="I5179" t="s">
        <v>1226</v>
      </c>
      <c r="J5179" s="3">
        <v>0.2267979</v>
      </c>
      <c r="K5179" s="3">
        <v>0.44563589999999997</v>
      </c>
      <c r="L5179" s="3">
        <v>0.22661580000000001</v>
      </c>
    </row>
    <row r="5180" spans="1:12" x14ac:dyDescent="0.25">
      <c r="A5180" t="s">
        <v>1221</v>
      </c>
      <c r="B5180" t="s">
        <v>1222</v>
      </c>
      <c r="I5180" t="s">
        <v>1223</v>
      </c>
      <c r="J5180" s="3">
        <v>7.4758870000000005E-2</v>
      </c>
      <c r="K5180" s="3">
        <v>1.9391080000000002E-2</v>
      </c>
      <c r="L5180" s="3">
        <v>3.6227380000000003E-2</v>
      </c>
    </row>
    <row r="5181" spans="1:12" x14ac:dyDescent="0.25">
      <c r="A5181" t="s">
        <v>1218</v>
      </c>
      <c r="B5181" t="s">
        <v>1219</v>
      </c>
      <c r="I5181" t="s">
        <v>1220</v>
      </c>
      <c r="J5181" s="3">
        <v>-0.38797910000000002</v>
      </c>
      <c r="K5181" s="3">
        <v>-0.27396789999999999</v>
      </c>
      <c r="L5181" s="3">
        <v>-0.22626750000000001</v>
      </c>
    </row>
    <row r="5182" spans="1:12" x14ac:dyDescent="0.25">
      <c r="A5182" t="s">
        <v>1217</v>
      </c>
      <c r="B5182" t="s">
        <v>957</v>
      </c>
      <c r="I5182" t="s">
        <v>455</v>
      </c>
      <c r="J5182" s="3">
        <v>0.28401979999999999</v>
      </c>
      <c r="K5182" s="3">
        <v>0.2471313</v>
      </c>
      <c r="L5182" s="3">
        <v>-2.995047E-2</v>
      </c>
    </row>
    <row r="5183" spans="1:12" x14ac:dyDescent="0.25">
      <c r="A5183" t="s">
        <v>1214</v>
      </c>
      <c r="B5183" t="s">
        <v>1215</v>
      </c>
      <c r="I5183" t="s">
        <v>1216</v>
      </c>
      <c r="J5183" s="3">
        <v>1.0210570000000001</v>
      </c>
      <c r="K5183" s="3">
        <v>0.71752079999999996</v>
      </c>
      <c r="L5183" s="3">
        <v>0.42863050000000003</v>
      </c>
    </row>
    <row r="5184" spans="1:12" x14ac:dyDescent="0.25">
      <c r="A5184" t="s">
        <v>1211</v>
      </c>
      <c r="B5184" t="s">
        <v>1212</v>
      </c>
      <c r="I5184" t="s">
        <v>1213</v>
      </c>
      <c r="J5184" s="3">
        <v>-0.7895837</v>
      </c>
      <c r="K5184" s="3">
        <v>-1.0256829999999999</v>
      </c>
      <c r="L5184" s="3">
        <v>-0.97651650000000001</v>
      </c>
    </row>
    <row r="5185" spans="1:12" x14ac:dyDescent="0.25">
      <c r="A5185" t="s">
        <v>201</v>
      </c>
      <c r="B5185" t="s">
        <v>202</v>
      </c>
      <c r="I5185" t="s">
        <v>1210</v>
      </c>
      <c r="J5185" s="3">
        <v>-0.2644705</v>
      </c>
      <c r="K5185" s="3">
        <v>0.31131890000000001</v>
      </c>
      <c r="L5185" s="3">
        <v>0.1746093</v>
      </c>
    </row>
    <row r="5186" spans="1:12" x14ac:dyDescent="0.25">
      <c r="A5186" t="s">
        <v>198</v>
      </c>
      <c r="B5186" t="s">
        <v>199</v>
      </c>
      <c r="I5186" t="s">
        <v>200</v>
      </c>
      <c r="J5186" s="3">
        <v>-0.25959159999999998</v>
      </c>
      <c r="K5186" s="3">
        <v>-0.42472860000000001</v>
      </c>
      <c r="L5186" s="3">
        <v>-1.0391220000000001</v>
      </c>
    </row>
    <row r="5187" spans="1:12" x14ac:dyDescent="0.25">
      <c r="A5187" t="s">
        <v>195</v>
      </c>
      <c r="B5187" t="s">
        <v>196</v>
      </c>
      <c r="I5187" t="s">
        <v>197</v>
      </c>
      <c r="J5187" s="3">
        <v>0.42355029999999999</v>
      </c>
      <c r="K5187" s="3">
        <v>0.75485800000000003</v>
      </c>
      <c r="L5187" s="3">
        <v>0.26688230000000002</v>
      </c>
    </row>
    <row r="5188" spans="1:12" x14ac:dyDescent="0.25">
      <c r="A5188" t="s">
        <v>192</v>
      </c>
      <c r="B5188" t="s">
        <v>193</v>
      </c>
      <c r="I5188" t="s">
        <v>194</v>
      </c>
      <c r="J5188" s="3">
        <v>0.1216047</v>
      </c>
      <c r="K5188" s="3">
        <v>0.27154270000000003</v>
      </c>
      <c r="L5188" s="3">
        <v>-1.9438049999999998E-2</v>
      </c>
    </row>
    <row r="5189" spans="1:12" x14ac:dyDescent="0.25">
      <c r="A5189" t="s">
        <v>189</v>
      </c>
      <c r="B5189" t="s">
        <v>190</v>
      </c>
      <c r="I5189" t="s">
        <v>191</v>
      </c>
      <c r="J5189" s="3">
        <v>-0.1801422</v>
      </c>
      <c r="K5189" s="3">
        <v>0.34086709999999998</v>
      </c>
      <c r="L5189" s="3">
        <v>-0.1417069</v>
      </c>
    </row>
    <row r="5190" spans="1:12" x14ac:dyDescent="0.25">
      <c r="A5190" t="s">
        <v>188</v>
      </c>
      <c r="B5190" t="s">
        <v>957</v>
      </c>
      <c r="I5190" t="s">
        <v>455</v>
      </c>
      <c r="J5190" s="3">
        <v>0.21172930000000001</v>
      </c>
      <c r="K5190" s="3">
        <v>1.5819849999999999E-3</v>
      </c>
      <c r="L5190" s="3">
        <v>0.34224120000000002</v>
      </c>
    </row>
    <row r="5191" spans="1:12" x14ac:dyDescent="0.25">
      <c r="A5191" t="s">
        <v>185</v>
      </c>
      <c r="B5191" t="s">
        <v>186</v>
      </c>
      <c r="I5191" t="s">
        <v>187</v>
      </c>
      <c r="J5191" s="3">
        <v>-0.81906959999999995</v>
      </c>
      <c r="K5191" s="3">
        <v>-1.3292930000000001</v>
      </c>
      <c r="L5191" s="3">
        <v>-0.84703720000000005</v>
      </c>
    </row>
    <row r="5192" spans="1:12" x14ac:dyDescent="0.25">
      <c r="A5192" t="s">
        <v>182</v>
      </c>
      <c r="B5192" t="s">
        <v>183</v>
      </c>
      <c r="I5192" t="s">
        <v>184</v>
      </c>
      <c r="J5192" s="3">
        <v>-0.69340440000000003</v>
      </c>
      <c r="K5192" s="3">
        <v>-0.97704780000000002</v>
      </c>
      <c r="L5192" s="3">
        <v>-0.65856899999999996</v>
      </c>
    </row>
    <row r="5193" spans="1:12" x14ac:dyDescent="0.25">
      <c r="A5193" t="s">
        <v>179</v>
      </c>
      <c r="B5193" t="s">
        <v>180</v>
      </c>
      <c r="I5193" t="s">
        <v>181</v>
      </c>
      <c r="J5193" s="3">
        <v>1.2104140000000001</v>
      </c>
      <c r="K5193" s="3">
        <v>1.1462349999999999</v>
      </c>
      <c r="L5193" s="3">
        <v>0.88329899999999995</v>
      </c>
    </row>
    <row r="5194" spans="1:12" x14ac:dyDescent="0.25">
      <c r="A5194" t="s">
        <v>178</v>
      </c>
      <c r="B5194" t="s">
        <v>957</v>
      </c>
      <c r="I5194" t="s">
        <v>455</v>
      </c>
      <c r="J5194" s="3">
        <v>-0.89970220000000001</v>
      </c>
      <c r="K5194" s="3">
        <v>-0.86114000000000002</v>
      </c>
      <c r="L5194" s="3">
        <v>-1.0367820000000001</v>
      </c>
    </row>
    <row r="5195" spans="1:12" x14ac:dyDescent="0.25">
      <c r="A5195" t="s">
        <v>175</v>
      </c>
      <c r="B5195" t="s">
        <v>176</v>
      </c>
      <c r="I5195" t="s">
        <v>177</v>
      </c>
      <c r="J5195" s="3">
        <v>-0.20170060000000001</v>
      </c>
      <c r="K5195" s="3">
        <v>-0.2443863</v>
      </c>
      <c r="L5195" s="3">
        <v>8.9171840000000002E-2</v>
      </c>
    </row>
    <row r="5196" spans="1:12" x14ac:dyDescent="0.25">
      <c r="A5196" t="s">
        <v>172</v>
      </c>
      <c r="B5196" t="s">
        <v>173</v>
      </c>
      <c r="I5196" t="s">
        <v>174</v>
      </c>
      <c r="J5196" s="3">
        <v>-0.34630729999999998</v>
      </c>
      <c r="K5196" s="3">
        <v>-0.4880988</v>
      </c>
      <c r="L5196" s="3">
        <v>-0.39751379999999997</v>
      </c>
    </row>
    <row r="5197" spans="1:12" x14ac:dyDescent="0.25">
      <c r="A5197" t="s">
        <v>169</v>
      </c>
      <c r="B5197" t="s">
        <v>170</v>
      </c>
      <c r="I5197" t="s">
        <v>171</v>
      </c>
      <c r="J5197" s="3">
        <v>0.92123469999999996</v>
      </c>
      <c r="K5197" s="3">
        <v>1.7104649999999999</v>
      </c>
      <c r="L5197" s="3">
        <v>0.65359330000000004</v>
      </c>
    </row>
    <row r="5198" spans="1:12" x14ac:dyDescent="0.25">
      <c r="A5198" t="s">
        <v>166</v>
      </c>
      <c r="B5198" t="s">
        <v>167</v>
      </c>
      <c r="I5198" t="s">
        <v>168</v>
      </c>
      <c r="J5198" s="3">
        <v>0.2706036</v>
      </c>
      <c r="K5198" s="3">
        <v>9.3949749999999999E-2</v>
      </c>
      <c r="L5198" s="3">
        <v>-0.43283539999999998</v>
      </c>
    </row>
    <row r="5199" spans="1:12" x14ac:dyDescent="0.25">
      <c r="A5199" t="s">
        <v>1566</v>
      </c>
      <c r="B5199" t="s">
        <v>1567</v>
      </c>
      <c r="I5199" t="s">
        <v>165</v>
      </c>
      <c r="J5199" s="3">
        <v>-9.6637000000000001E-2</v>
      </c>
      <c r="K5199" s="3">
        <v>-0.19331670000000001</v>
      </c>
      <c r="L5199" s="3">
        <v>-0.3185945</v>
      </c>
    </row>
    <row r="5200" spans="1:12" x14ac:dyDescent="0.25">
      <c r="A5200" t="s">
        <v>1563</v>
      </c>
      <c r="B5200" t="s">
        <v>1564</v>
      </c>
      <c r="I5200" t="s">
        <v>1565</v>
      </c>
      <c r="J5200" s="3">
        <v>-7.4371569999999998E-2</v>
      </c>
      <c r="K5200" s="3">
        <v>-0.5664631</v>
      </c>
      <c r="L5200" s="3">
        <v>-1.027892E-2</v>
      </c>
    </row>
    <row r="5201" spans="1:12" x14ac:dyDescent="0.25">
      <c r="A5201" t="s">
        <v>1560</v>
      </c>
      <c r="B5201" t="s">
        <v>1561</v>
      </c>
      <c r="I5201" t="s">
        <v>1562</v>
      </c>
      <c r="J5201" s="3">
        <v>0.37465140000000002</v>
      </c>
      <c r="K5201" s="3">
        <v>0.32862409999999997</v>
      </c>
      <c r="L5201" s="3">
        <v>0.2260344</v>
      </c>
    </row>
    <row r="5202" spans="1:12" x14ac:dyDescent="0.25">
      <c r="A5202" t="s">
        <v>1559</v>
      </c>
      <c r="B5202" t="s">
        <v>957</v>
      </c>
      <c r="I5202" t="s">
        <v>455</v>
      </c>
      <c r="J5202" s="3">
        <v>-0.27006289999999999</v>
      </c>
      <c r="K5202" s="3">
        <v>-0.19046840000000001</v>
      </c>
      <c r="L5202" s="3">
        <v>-0.28501959999999998</v>
      </c>
    </row>
    <row r="5203" spans="1:12" x14ac:dyDescent="0.25">
      <c r="A5203" t="s">
        <v>1556</v>
      </c>
      <c r="B5203" t="s">
        <v>1557</v>
      </c>
      <c r="I5203" t="s">
        <v>1558</v>
      </c>
      <c r="J5203" s="3">
        <v>0.13525429999999999</v>
      </c>
      <c r="K5203" s="3">
        <v>-0.364842</v>
      </c>
      <c r="L5203" s="3">
        <v>0.29488609999999998</v>
      </c>
    </row>
    <row r="5204" spans="1:12" x14ac:dyDescent="0.25">
      <c r="A5204" t="s">
        <v>1553</v>
      </c>
      <c r="B5204" t="s">
        <v>1554</v>
      </c>
      <c r="I5204" t="s">
        <v>1555</v>
      </c>
      <c r="J5204" s="3">
        <v>-0.21645139999999999</v>
      </c>
      <c r="K5204" s="3">
        <v>-0.64784209999999998</v>
      </c>
      <c r="L5204" s="3">
        <v>-0.35937150000000001</v>
      </c>
    </row>
    <row r="5205" spans="1:12" x14ac:dyDescent="0.25">
      <c r="A5205" t="s">
        <v>1550</v>
      </c>
      <c r="B5205" t="s">
        <v>1551</v>
      </c>
      <c r="I5205" t="s">
        <v>1552</v>
      </c>
      <c r="J5205" s="3">
        <v>0.44666850000000002</v>
      </c>
      <c r="K5205" s="3">
        <v>0.41525499999999999</v>
      </c>
      <c r="L5205" s="3">
        <v>0.530864</v>
      </c>
    </row>
    <row r="5206" spans="1:12" x14ac:dyDescent="0.25">
      <c r="A5206" t="s">
        <v>1547</v>
      </c>
      <c r="B5206" t="s">
        <v>1548</v>
      </c>
      <c r="I5206" t="s">
        <v>1549</v>
      </c>
      <c r="J5206" s="3">
        <v>2.816836E-2</v>
      </c>
      <c r="K5206" s="3">
        <v>-0.45000329999999999</v>
      </c>
      <c r="L5206" s="3">
        <v>-0.24362980000000001</v>
      </c>
    </row>
    <row r="5207" spans="1:12" x14ac:dyDescent="0.25">
      <c r="A5207" t="s">
        <v>1544</v>
      </c>
      <c r="B5207" t="s">
        <v>1545</v>
      </c>
      <c r="I5207" t="s">
        <v>1546</v>
      </c>
      <c r="J5207" s="3">
        <v>-0.17059469999999999</v>
      </c>
      <c r="K5207" s="3">
        <v>-0.9475055</v>
      </c>
      <c r="L5207" s="3">
        <v>-0.71236719999999998</v>
      </c>
    </row>
    <row r="5208" spans="1:12" x14ac:dyDescent="0.25">
      <c r="A5208" t="s">
        <v>1541</v>
      </c>
      <c r="B5208" t="s">
        <v>1542</v>
      </c>
      <c r="I5208" t="s">
        <v>1543</v>
      </c>
      <c r="J5208" s="3">
        <v>0.673933</v>
      </c>
      <c r="K5208" s="3">
        <v>0.33661649999999999</v>
      </c>
      <c r="L5208" s="3">
        <v>1.862685E-2</v>
      </c>
    </row>
    <row r="5209" spans="1:12" x14ac:dyDescent="0.25">
      <c r="A5209" t="s">
        <v>1538</v>
      </c>
      <c r="B5209" t="s">
        <v>1539</v>
      </c>
      <c r="I5209" t="s">
        <v>1540</v>
      </c>
      <c r="J5209" s="3">
        <v>0.19604859999999999</v>
      </c>
      <c r="K5209" s="3">
        <v>0.29683969999999998</v>
      </c>
      <c r="L5209" s="3">
        <v>0.43607030000000002</v>
      </c>
    </row>
    <row r="5210" spans="1:12" x14ac:dyDescent="0.25">
      <c r="A5210" t="s">
        <v>1535</v>
      </c>
      <c r="B5210" t="s">
        <v>1536</v>
      </c>
      <c r="I5210" t="s">
        <v>1537</v>
      </c>
      <c r="J5210" s="3">
        <v>2.895348E-2</v>
      </c>
      <c r="K5210" s="3">
        <v>0.46681339999999999</v>
      </c>
      <c r="L5210" s="3">
        <v>7.3071839999999999E-2</v>
      </c>
    </row>
    <row r="5211" spans="1:12" x14ac:dyDescent="0.25">
      <c r="A5211" t="s">
        <v>1532</v>
      </c>
      <c r="B5211" t="s">
        <v>1533</v>
      </c>
      <c r="I5211" t="s">
        <v>1534</v>
      </c>
      <c r="J5211" s="3">
        <v>-0.26777790000000001</v>
      </c>
      <c r="K5211" s="3">
        <v>-0.25103530000000002</v>
      </c>
      <c r="L5211" s="3">
        <v>-0.33132729999999999</v>
      </c>
    </row>
    <row r="5212" spans="1:12" x14ac:dyDescent="0.25">
      <c r="A5212" t="s">
        <v>1531</v>
      </c>
      <c r="B5212" t="s">
        <v>957</v>
      </c>
      <c r="I5212" t="s">
        <v>156</v>
      </c>
      <c r="J5212" s="3">
        <v>-0.16604530000000001</v>
      </c>
      <c r="K5212" s="3">
        <v>0.54207989999999995</v>
      </c>
      <c r="L5212" s="3">
        <v>0.17189879999999999</v>
      </c>
    </row>
    <row r="5213" spans="1:12" x14ac:dyDescent="0.25">
      <c r="A5213" t="s">
        <v>1528</v>
      </c>
      <c r="B5213" t="s">
        <v>1529</v>
      </c>
      <c r="I5213" t="s">
        <v>1530</v>
      </c>
      <c r="J5213" s="3">
        <v>8.6368070000000005E-2</v>
      </c>
      <c r="K5213" s="3">
        <v>4.3182909999999998E-2</v>
      </c>
      <c r="L5213" s="3">
        <v>-2.070338E-2</v>
      </c>
    </row>
    <row r="5214" spans="1:12" x14ac:dyDescent="0.25">
      <c r="A5214" t="s">
        <v>1527</v>
      </c>
      <c r="B5214" t="s">
        <v>957</v>
      </c>
      <c r="I5214" t="s">
        <v>455</v>
      </c>
      <c r="J5214" s="3">
        <v>-1.5293060000000001</v>
      </c>
      <c r="K5214" s="3">
        <v>1.2640229999999999</v>
      </c>
      <c r="L5214" s="3">
        <v>1.4117579999999999E-2</v>
      </c>
    </row>
    <row r="5215" spans="1:12" x14ac:dyDescent="0.25">
      <c r="A5215" t="s">
        <v>1524</v>
      </c>
      <c r="B5215" t="s">
        <v>1525</v>
      </c>
      <c r="I5215" t="s">
        <v>1526</v>
      </c>
      <c r="J5215" s="3">
        <v>-7.0371000000000003E-2</v>
      </c>
      <c r="K5215" s="3">
        <v>0.3467845</v>
      </c>
      <c r="L5215" s="3">
        <v>2.3825349999999999E-2</v>
      </c>
    </row>
    <row r="5216" spans="1:12" x14ac:dyDescent="0.25">
      <c r="A5216" t="s">
        <v>1521</v>
      </c>
      <c r="B5216" t="s">
        <v>1522</v>
      </c>
      <c r="I5216" t="s">
        <v>1523</v>
      </c>
      <c r="J5216" s="3">
        <v>0.18040870000000001</v>
      </c>
      <c r="K5216" s="3">
        <v>0.17405590000000001</v>
      </c>
      <c r="L5216" s="3">
        <v>0.30544320000000003</v>
      </c>
    </row>
    <row r="5217" spans="1:12" x14ac:dyDescent="0.25">
      <c r="A5217" t="s">
        <v>1520</v>
      </c>
      <c r="B5217" t="s">
        <v>957</v>
      </c>
      <c r="I5217" t="s">
        <v>156</v>
      </c>
      <c r="J5217" s="3">
        <v>0.31051899999999999</v>
      </c>
      <c r="K5217" s="3">
        <v>-0.12495779999999999</v>
      </c>
      <c r="L5217" s="3">
        <v>3.6998209999999997E-2</v>
      </c>
    </row>
    <row r="5218" spans="1:12" x14ac:dyDescent="0.25">
      <c r="A5218" t="s">
        <v>1518</v>
      </c>
      <c r="B5218" t="s">
        <v>1519</v>
      </c>
      <c r="I5218" t="s">
        <v>1517</v>
      </c>
      <c r="J5218" s="3">
        <v>0.1688095</v>
      </c>
      <c r="K5218" s="3">
        <v>0.27140609999999998</v>
      </c>
      <c r="L5218" s="3">
        <v>0.1470583</v>
      </c>
    </row>
    <row r="5219" spans="1:12" x14ac:dyDescent="0.25">
      <c r="A5219" t="s">
        <v>1515</v>
      </c>
      <c r="B5219" t="s">
        <v>1516</v>
      </c>
      <c r="I5219" t="s">
        <v>1517</v>
      </c>
      <c r="J5219" s="3">
        <v>0.11360000000000001</v>
      </c>
      <c r="K5219" s="3">
        <v>0.23411270000000001</v>
      </c>
      <c r="L5219" s="3">
        <v>0.2083313</v>
      </c>
    </row>
    <row r="5220" spans="1:12" x14ac:dyDescent="0.25">
      <c r="A5220" t="s">
        <v>1512</v>
      </c>
      <c r="B5220" t="s">
        <v>1513</v>
      </c>
      <c r="I5220" t="s">
        <v>1514</v>
      </c>
      <c r="J5220" s="3">
        <v>0.46243060000000002</v>
      </c>
      <c r="K5220" s="3">
        <v>0.1478679</v>
      </c>
      <c r="L5220" s="3">
        <v>0.33379540000000002</v>
      </c>
    </row>
    <row r="5221" spans="1:12" x14ac:dyDescent="0.25">
      <c r="A5221" t="s">
        <v>1511</v>
      </c>
      <c r="B5221" t="s">
        <v>957</v>
      </c>
      <c r="I5221" t="s">
        <v>455</v>
      </c>
      <c r="J5221" s="3">
        <v>0.57878620000000003</v>
      </c>
      <c r="K5221" s="3">
        <v>-9.4773179999999999E-2</v>
      </c>
      <c r="L5221" s="3">
        <v>0.34503010000000001</v>
      </c>
    </row>
    <row r="5222" spans="1:12" x14ac:dyDescent="0.25">
      <c r="A5222" t="s">
        <v>1508</v>
      </c>
      <c r="B5222" t="s">
        <v>1509</v>
      </c>
      <c r="I5222" t="s">
        <v>1510</v>
      </c>
      <c r="J5222" s="3">
        <v>0.43700670000000003</v>
      </c>
      <c r="K5222" s="3">
        <v>0.44675530000000002</v>
      </c>
      <c r="L5222" s="3">
        <v>0.68587779999999998</v>
      </c>
    </row>
    <row r="5223" spans="1:12" x14ac:dyDescent="0.25">
      <c r="A5223" t="s">
        <v>1507</v>
      </c>
      <c r="B5223" t="s">
        <v>957</v>
      </c>
      <c r="I5223" t="s">
        <v>455</v>
      </c>
      <c r="J5223" s="3">
        <v>-1.366293</v>
      </c>
      <c r="K5223" s="3">
        <v>7.8642470000000006E-2</v>
      </c>
      <c r="L5223" s="3">
        <v>-0.20574310000000001</v>
      </c>
    </row>
    <row r="5224" spans="1:12" x14ac:dyDescent="0.25">
      <c r="A5224" t="s">
        <v>1505</v>
      </c>
      <c r="B5224" t="s">
        <v>14249</v>
      </c>
      <c r="C5224" t="s">
        <v>14250</v>
      </c>
      <c r="I5224" t="s">
        <v>1506</v>
      </c>
      <c r="J5224" s="3">
        <v>-0.48096440000000001</v>
      </c>
      <c r="K5224" s="3">
        <v>1.1851130000000001</v>
      </c>
      <c r="L5224" s="3">
        <v>0.3587304</v>
      </c>
    </row>
    <row r="5225" spans="1:12" x14ac:dyDescent="0.25">
      <c r="A5225" t="s">
        <v>1503</v>
      </c>
      <c r="B5225" t="s">
        <v>957</v>
      </c>
      <c r="I5225" t="s">
        <v>1504</v>
      </c>
      <c r="J5225" s="3">
        <v>0.14795340000000001</v>
      </c>
      <c r="K5225" s="3">
        <v>0.28705809999999998</v>
      </c>
      <c r="L5225" s="3">
        <v>-7.7994170000000002E-2</v>
      </c>
    </row>
    <row r="5226" spans="1:12" x14ac:dyDescent="0.25">
      <c r="A5226" t="s">
        <v>1502</v>
      </c>
      <c r="B5226" t="s">
        <v>957</v>
      </c>
      <c r="I5226" t="s">
        <v>205</v>
      </c>
      <c r="J5226" s="3">
        <v>-0.33107239999999999</v>
      </c>
      <c r="K5226" s="3">
        <v>0.1821806</v>
      </c>
      <c r="L5226" s="3">
        <v>-0.71319909999999997</v>
      </c>
    </row>
    <row r="5227" spans="1:12" x14ac:dyDescent="0.25">
      <c r="A5227" t="s">
        <v>1500</v>
      </c>
      <c r="B5227" t="s">
        <v>957</v>
      </c>
      <c r="I5227" t="s">
        <v>1501</v>
      </c>
      <c r="J5227" s="3">
        <v>-0.73462099999999997</v>
      </c>
      <c r="K5227" s="3">
        <v>-3.5142619999999999E-2</v>
      </c>
      <c r="L5227" s="3">
        <v>-0.23093040000000001</v>
      </c>
    </row>
    <row r="5228" spans="1:12" x14ac:dyDescent="0.25">
      <c r="A5228" t="s">
        <v>1497</v>
      </c>
      <c r="B5228" t="s">
        <v>1498</v>
      </c>
      <c r="I5228" t="s">
        <v>1499</v>
      </c>
      <c r="J5228" s="3">
        <v>0.55937890000000001</v>
      </c>
      <c r="K5228" s="3">
        <v>1.489104</v>
      </c>
      <c r="L5228" s="3">
        <v>-5.7073100000000002E-2</v>
      </c>
    </row>
    <row r="5229" spans="1:12" x14ac:dyDescent="0.25">
      <c r="A5229" t="s">
        <v>1494</v>
      </c>
      <c r="B5229" t="s">
        <v>1495</v>
      </c>
      <c r="I5229" t="s">
        <v>1496</v>
      </c>
      <c r="J5229" s="3">
        <v>-2.3413650000000001E-2</v>
      </c>
      <c r="K5229" s="3">
        <v>1.6413190000000001E-2</v>
      </c>
      <c r="L5229" s="3">
        <v>-0.1131897</v>
      </c>
    </row>
    <row r="5230" spans="1:12" x14ac:dyDescent="0.25">
      <c r="A5230" t="s">
        <v>1491</v>
      </c>
      <c r="B5230" t="s">
        <v>1492</v>
      </c>
      <c r="I5230" t="s">
        <v>1493</v>
      </c>
      <c r="J5230" s="3">
        <v>0.17994270000000001</v>
      </c>
      <c r="K5230" s="3">
        <v>0.2054291</v>
      </c>
      <c r="L5230" s="3">
        <v>0.17414299999999999</v>
      </c>
    </row>
    <row r="5231" spans="1:12" x14ac:dyDescent="0.25">
      <c r="A5231" t="s">
        <v>1488</v>
      </c>
      <c r="B5231" t="s">
        <v>1489</v>
      </c>
      <c r="I5231" t="s">
        <v>1490</v>
      </c>
      <c r="J5231" s="3">
        <v>0.15622939999999999</v>
      </c>
      <c r="K5231" s="3">
        <v>0.39366630000000002</v>
      </c>
      <c r="L5231" s="3">
        <v>0.32425019999999999</v>
      </c>
    </row>
    <row r="5232" spans="1:12" x14ac:dyDescent="0.25">
      <c r="A5232" t="s">
        <v>1485</v>
      </c>
      <c r="B5232" t="s">
        <v>1486</v>
      </c>
      <c r="I5232" t="s">
        <v>1487</v>
      </c>
      <c r="J5232" s="3">
        <v>0.26012259999999998</v>
      </c>
      <c r="K5232" s="3">
        <v>0.22264790000000001</v>
      </c>
      <c r="L5232" s="3">
        <v>0.23800879999999999</v>
      </c>
    </row>
    <row r="5233" spans="1:12" x14ac:dyDescent="0.25">
      <c r="A5233" t="s">
        <v>1482</v>
      </c>
      <c r="B5233" t="s">
        <v>1483</v>
      </c>
      <c r="I5233" t="s">
        <v>1484</v>
      </c>
      <c r="J5233" s="3">
        <v>-9.0426310000000006E-3</v>
      </c>
      <c r="K5233" s="3">
        <v>-0.47506130000000002</v>
      </c>
      <c r="L5233" s="3">
        <v>-0.2957591</v>
      </c>
    </row>
    <row r="5234" spans="1:12" x14ac:dyDescent="0.25">
      <c r="A5234" t="s">
        <v>1085</v>
      </c>
      <c r="B5234" t="s">
        <v>1480</v>
      </c>
      <c r="I5234" t="s">
        <v>1481</v>
      </c>
      <c r="J5234" s="3">
        <v>2.8599940000000001E-2</v>
      </c>
      <c r="K5234" s="3">
        <v>0.37201830000000002</v>
      </c>
      <c r="L5234" s="3">
        <v>0.2864506</v>
      </c>
    </row>
    <row r="5235" spans="1:12" x14ac:dyDescent="0.25">
      <c r="A5235" t="s">
        <v>1082</v>
      </c>
      <c r="B5235" t="s">
        <v>1083</v>
      </c>
      <c r="I5235" t="s">
        <v>1084</v>
      </c>
      <c r="J5235" s="3">
        <v>-4.6501140000000003E-2</v>
      </c>
      <c r="K5235" s="3">
        <v>-0.51337679999999997</v>
      </c>
      <c r="L5235" s="3">
        <v>-2.5650040000000001E-3</v>
      </c>
    </row>
    <row r="5236" spans="1:12" x14ac:dyDescent="0.25">
      <c r="A5236" t="s">
        <v>1079</v>
      </c>
      <c r="B5236" t="s">
        <v>1080</v>
      </c>
      <c r="I5236" t="s">
        <v>1081</v>
      </c>
      <c r="J5236" s="3">
        <v>-0.38577719999999999</v>
      </c>
      <c r="K5236" s="3">
        <v>0.14947089999999999</v>
      </c>
      <c r="L5236" s="3">
        <v>-4.317874E-2</v>
      </c>
    </row>
    <row r="5237" spans="1:12" x14ac:dyDescent="0.25">
      <c r="A5237" t="s">
        <v>1078</v>
      </c>
      <c r="B5237" t="s">
        <v>957</v>
      </c>
      <c r="I5237" t="s">
        <v>455</v>
      </c>
      <c r="J5237" s="3">
        <v>-0.43140830000000002</v>
      </c>
      <c r="K5237" s="3">
        <v>-0.73919290000000004</v>
      </c>
      <c r="L5237" s="3">
        <v>-0.26526499999999997</v>
      </c>
    </row>
    <row r="5238" spans="1:12" x14ac:dyDescent="0.25">
      <c r="A5238" t="s">
        <v>1075</v>
      </c>
      <c r="B5238" t="s">
        <v>1076</v>
      </c>
      <c r="I5238" t="s">
        <v>1077</v>
      </c>
      <c r="J5238" s="3">
        <v>-0.14315649999999999</v>
      </c>
      <c r="K5238" s="3">
        <v>0.20605190000000001</v>
      </c>
      <c r="L5238" s="3">
        <v>0.1703153</v>
      </c>
    </row>
    <row r="5239" spans="1:12" x14ac:dyDescent="0.25">
      <c r="A5239" t="s">
        <v>1072</v>
      </c>
      <c r="B5239" t="s">
        <v>1073</v>
      </c>
      <c r="I5239" t="s">
        <v>1074</v>
      </c>
      <c r="J5239" s="3">
        <v>-0.39979360000000003</v>
      </c>
      <c r="K5239" s="3">
        <v>-0.68879639999999998</v>
      </c>
      <c r="L5239" s="3">
        <v>-0.24445059999999999</v>
      </c>
    </row>
    <row r="5240" spans="1:12" x14ac:dyDescent="0.25">
      <c r="A5240" t="s">
        <v>1069</v>
      </c>
      <c r="B5240" t="s">
        <v>1070</v>
      </c>
      <c r="I5240" t="s">
        <v>1071</v>
      </c>
      <c r="J5240" s="3">
        <v>-7.0489179999999999E-2</v>
      </c>
      <c r="K5240" s="3">
        <v>-0.54056360000000003</v>
      </c>
      <c r="L5240" s="3">
        <v>-0.46664709999999998</v>
      </c>
    </row>
    <row r="5241" spans="1:12" x14ac:dyDescent="0.25">
      <c r="A5241" t="s">
        <v>1067</v>
      </c>
      <c r="B5241" t="s">
        <v>1068</v>
      </c>
      <c r="I5241" t="s">
        <v>430</v>
      </c>
      <c r="J5241" s="3">
        <v>-0.425404</v>
      </c>
      <c r="K5241" s="3">
        <v>-1.017004</v>
      </c>
      <c r="L5241" s="3">
        <v>-8.0290050000000002E-2</v>
      </c>
    </row>
    <row r="5242" spans="1:12" x14ac:dyDescent="0.25">
      <c r="A5242" t="s">
        <v>1066</v>
      </c>
      <c r="B5242" t="s">
        <v>957</v>
      </c>
      <c r="I5242" t="s">
        <v>455</v>
      </c>
      <c r="J5242" s="3">
        <v>0.3309899</v>
      </c>
      <c r="K5242" s="3">
        <v>0.65904850000000004</v>
      </c>
      <c r="L5242" s="3">
        <v>0.14224300000000001</v>
      </c>
    </row>
    <row r="5243" spans="1:12" x14ac:dyDescent="0.25">
      <c r="A5243" t="s">
        <v>1063</v>
      </c>
      <c r="B5243" t="s">
        <v>1064</v>
      </c>
      <c r="I5243" t="s">
        <v>1065</v>
      </c>
      <c r="J5243" s="3">
        <v>-0.30117680000000002</v>
      </c>
      <c r="K5243" s="3">
        <v>7.5188619999999998E-2</v>
      </c>
      <c r="L5243" s="3">
        <v>-0.29139880000000001</v>
      </c>
    </row>
    <row r="5244" spans="1:12" x14ac:dyDescent="0.25">
      <c r="A5244" t="s">
        <v>1060</v>
      </c>
      <c r="B5244" t="s">
        <v>1061</v>
      </c>
      <c r="I5244" t="s">
        <v>1062</v>
      </c>
      <c r="J5244" s="3">
        <v>0.89637719999999999</v>
      </c>
      <c r="K5244" s="3">
        <v>0.74146679999999998</v>
      </c>
      <c r="L5244" s="3">
        <v>0.81529850000000004</v>
      </c>
    </row>
    <row r="5245" spans="1:12" x14ac:dyDescent="0.25">
      <c r="A5245" t="s">
        <v>1058</v>
      </c>
      <c r="B5245" t="s">
        <v>957</v>
      </c>
      <c r="I5245" t="s">
        <v>1059</v>
      </c>
      <c r="J5245" s="3">
        <v>-0.57948089999999997</v>
      </c>
      <c r="K5245" s="3">
        <v>-0.1187522</v>
      </c>
      <c r="L5245" s="3">
        <v>-0.42691649999999998</v>
      </c>
    </row>
    <row r="5246" spans="1:12" x14ac:dyDescent="0.25">
      <c r="A5246" t="s">
        <v>1055</v>
      </c>
      <c r="B5246" t="s">
        <v>1056</v>
      </c>
      <c r="I5246" t="s">
        <v>1057</v>
      </c>
      <c r="J5246" s="3">
        <v>-0.24868280000000001</v>
      </c>
      <c r="K5246" s="3">
        <v>0.39261380000000001</v>
      </c>
      <c r="L5246" s="3">
        <v>-6.0564939999999998E-2</v>
      </c>
    </row>
    <row r="5247" spans="1:12" x14ac:dyDescent="0.25">
      <c r="A5247" t="s">
        <v>1052</v>
      </c>
      <c r="B5247" t="s">
        <v>1053</v>
      </c>
      <c r="I5247" t="s">
        <v>1054</v>
      </c>
      <c r="J5247" s="3">
        <v>-0.6211835</v>
      </c>
      <c r="K5247" s="3">
        <v>-0.27571639999999997</v>
      </c>
      <c r="L5247" s="3">
        <v>-0.53049610000000003</v>
      </c>
    </row>
    <row r="5248" spans="1:12" x14ac:dyDescent="0.25">
      <c r="A5248" t="s">
        <v>1049</v>
      </c>
      <c r="B5248" t="s">
        <v>1050</v>
      </c>
      <c r="I5248" t="s">
        <v>1051</v>
      </c>
      <c r="J5248" s="3">
        <v>-5.2336470000000003E-2</v>
      </c>
      <c r="K5248" s="3">
        <v>-0.28425020000000001</v>
      </c>
      <c r="L5248" s="3">
        <v>-0.1769618</v>
      </c>
    </row>
    <row r="5249" spans="1:12" x14ac:dyDescent="0.25">
      <c r="A5249" t="s">
        <v>1046</v>
      </c>
      <c r="B5249" t="s">
        <v>1047</v>
      </c>
      <c r="I5249" t="s">
        <v>1048</v>
      </c>
      <c r="J5249" s="3">
        <v>-0.36717709999999998</v>
      </c>
      <c r="K5249" s="3">
        <v>-0.24245349999999999</v>
      </c>
      <c r="L5249" s="3">
        <v>-0.1083992</v>
      </c>
    </row>
    <row r="5250" spans="1:12" x14ac:dyDescent="0.25">
      <c r="A5250" t="s">
        <v>1043</v>
      </c>
      <c r="B5250" t="s">
        <v>1044</v>
      </c>
      <c r="I5250" t="s">
        <v>1045</v>
      </c>
      <c r="J5250" s="3">
        <v>-0.1888745</v>
      </c>
      <c r="K5250" s="3">
        <v>-0.65742780000000001</v>
      </c>
      <c r="L5250" s="3">
        <v>-0.16404560000000001</v>
      </c>
    </row>
    <row r="5251" spans="1:12" x14ac:dyDescent="0.25">
      <c r="A5251" t="s">
        <v>1040</v>
      </c>
      <c r="B5251" t="s">
        <v>1041</v>
      </c>
      <c r="I5251" t="s">
        <v>1042</v>
      </c>
      <c r="J5251" s="3">
        <v>4.7559299999999999E-2</v>
      </c>
      <c r="K5251" s="3">
        <v>-0.41990759999999999</v>
      </c>
      <c r="L5251" s="3">
        <v>-0.21452470000000001</v>
      </c>
    </row>
    <row r="5252" spans="1:12" x14ac:dyDescent="0.25">
      <c r="A5252" t="s">
        <v>1037</v>
      </c>
      <c r="B5252" t="s">
        <v>1038</v>
      </c>
      <c r="I5252" t="s">
        <v>1039</v>
      </c>
      <c r="J5252" s="3">
        <v>-0.12813430000000001</v>
      </c>
      <c r="K5252" s="3">
        <v>-0.71011409999999997</v>
      </c>
      <c r="L5252" s="3">
        <v>-0.21472740000000001</v>
      </c>
    </row>
    <row r="5253" spans="1:12" x14ac:dyDescent="0.25">
      <c r="A5253" t="s">
        <v>1034</v>
      </c>
      <c r="B5253" t="s">
        <v>1035</v>
      </c>
      <c r="I5253" t="s">
        <v>1036</v>
      </c>
      <c r="J5253" s="3">
        <v>-0.12488349999999999</v>
      </c>
      <c r="K5253" s="3">
        <v>-0.47620780000000001</v>
      </c>
      <c r="L5253" s="3">
        <v>-0.75878809999999997</v>
      </c>
    </row>
    <row r="5254" spans="1:12" x14ac:dyDescent="0.25">
      <c r="A5254" t="s">
        <v>1031</v>
      </c>
      <c r="B5254" t="s">
        <v>1032</v>
      </c>
      <c r="I5254" t="s">
        <v>1033</v>
      </c>
      <c r="J5254" s="3">
        <v>-5.7284500000000004E-3</v>
      </c>
      <c r="K5254" s="3">
        <v>0.230903</v>
      </c>
      <c r="L5254" s="3">
        <v>0.15248890000000001</v>
      </c>
    </row>
    <row r="5255" spans="1:12" x14ac:dyDescent="0.25">
      <c r="A5255" t="s">
        <v>1028</v>
      </c>
      <c r="B5255" t="s">
        <v>1029</v>
      </c>
      <c r="I5255" t="s">
        <v>1030</v>
      </c>
      <c r="J5255" s="3">
        <v>5.4425350000000001E-3</v>
      </c>
      <c r="K5255" s="3">
        <v>0.23846139999999999</v>
      </c>
      <c r="L5255" s="3">
        <v>0.16970959999999999</v>
      </c>
    </row>
    <row r="5256" spans="1:12" x14ac:dyDescent="0.25">
      <c r="A5256" t="s">
        <v>1025</v>
      </c>
      <c r="B5256" t="s">
        <v>1026</v>
      </c>
      <c r="I5256" t="s">
        <v>1027</v>
      </c>
      <c r="J5256" s="3">
        <v>-0.1853757</v>
      </c>
      <c r="K5256" s="3">
        <v>-0.19941149999999999</v>
      </c>
      <c r="L5256" s="3">
        <v>-0.17202120000000001</v>
      </c>
    </row>
    <row r="5257" spans="1:12" x14ac:dyDescent="0.25">
      <c r="A5257" t="s">
        <v>1024</v>
      </c>
      <c r="B5257" t="s">
        <v>957</v>
      </c>
      <c r="I5257" t="s">
        <v>455</v>
      </c>
      <c r="J5257" s="3">
        <v>0.69081729999999997</v>
      </c>
      <c r="K5257" s="3">
        <v>0.72644600000000004</v>
      </c>
      <c r="L5257" s="3">
        <v>6.7066379999999995E-2</v>
      </c>
    </row>
    <row r="5258" spans="1:12" x14ac:dyDescent="0.25">
      <c r="A5258" t="s">
        <v>1021</v>
      </c>
      <c r="B5258" t="s">
        <v>1022</v>
      </c>
      <c r="I5258" t="s">
        <v>1023</v>
      </c>
      <c r="J5258" s="3">
        <v>-0.1997449</v>
      </c>
      <c r="K5258" s="3">
        <v>-0.5833026</v>
      </c>
      <c r="L5258" s="3">
        <v>-0.14221049999999999</v>
      </c>
    </row>
    <row r="5259" spans="1:12" x14ac:dyDescent="0.25">
      <c r="A5259" t="s">
        <v>1018</v>
      </c>
      <c r="B5259" t="s">
        <v>1019</v>
      </c>
      <c r="I5259" t="s">
        <v>1020</v>
      </c>
      <c r="J5259" s="3">
        <v>0.78506569999999998</v>
      </c>
      <c r="K5259" s="3">
        <v>0.39904610000000001</v>
      </c>
      <c r="L5259" s="3">
        <v>0.25858629999999999</v>
      </c>
    </row>
    <row r="5260" spans="1:12" x14ac:dyDescent="0.25">
      <c r="A5260" t="s">
        <v>1017</v>
      </c>
      <c r="B5260" t="s">
        <v>957</v>
      </c>
      <c r="I5260" t="s">
        <v>455</v>
      </c>
      <c r="J5260" s="3">
        <v>-0.44742130000000002</v>
      </c>
      <c r="K5260" s="3">
        <v>-0.66926129999999995</v>
      </c>
      <c r="L5260" s="3">
        <v>-0.70393300000000003</v>
      </c>
    </row>
    <row r="5261" spans="1:12" x14ac:dyDescent="0.25">
      <c r="A5261" t="s">
        <v>1016</v>
      </c>
      <c r="B5261" t="s">
        <v>957</v>
      </c>
      <c r="I5261" t="s">
        <v>455</v>
      </c>
      <c r="J5261" s="3">
        <v>-0.66351950000000004</v>
      </c>
      <c r="K5261" s="3">
        <v>-0.84580069999999996</v>
      </c>
      <c r="L5261" s="3">
        <v>-0.49181760000000002</v>
      </c>
    </row>
    <row r="5262" spans="1:12" x14ac:dyDescent="0.25">
      <c r="A5262" t="s">
        <v>1013</v>
      </c>
      <c r="B5262" t="s">
        <v>1014</v>
      </c>
      <c r="I5262" t="s">
        <v>1015</v>
      </c>
      <c r="J5262" s="3">
        <v>2.8544719999999999</v>
      </c>
      <c r="K5262" s="3">
        <v>2.9207689999999999</v>
      </c>
      <c r="L5262" s="3">
        <v>2.6240619999999999</v>
      </c>
    </row>
    <row r="5263" spans="1:12" x14ac:dyDescent="0.25">
      <c r="A5263" t="s">
        <v>1010</v>
      </c>
      <c r="B5263" t="s">
        <v>1011</v>
      </c>
      <c r="I5263" t="s">
        <v>1012</v>
      </c>
      <c r="J5263" s="3">
        <v>0.43514520000000001</v>
      </c>
      <c r="K5263" s="3">
        <v>0.2807501</v>
      </c>
      <c r="L5263" s="3">
        <v>0.63527500000000003</v>
      </c>
    </row>
    <row r="5264" spans="1:12" x14ac:dyDescent="0.25">
      <c r="A5264" t="s">
        <v>1007</v>
      </c>
      <c r="B5264" t="s">
        <v>1008</v>
      </c>
      <c r="I5264" t="s">
        <v>1009</v>
      </c>
      <c r="J5264" s="3">
        <v>0.14604110000000001</v>
      </c>
      <c r="K5264" s="3">
        <v>-0.34370820000000002</v>
      </c>
      <c r="L5264" s="3">
        <v>0.36558109999999999</v>
      </c>
    </row>
    <row r="5265" spans="1:12" x14ac:dyDescent="0.25">
      <c r="A5265" t="s">
        <v>1006</v>
      </c>
      <c r="B5265" t="s">
        <v>957</v>
      </c>
      <c r="I5265" t="s">
        <v>156</v>
      </c>
      <c r="J5265" s="3">
        <v>-0.1858803</v>
      </c>
      <c r="K5265" s="3">
        <v>-0.19178770000000001</v>
      </c>
      <c r="L5265" s="3">
        <v>-0.3863473</v>
      </c>
    </row>
    <row r="5266" spans="1:12" x14ac:dyDescent="0.25">
      <c r="A5266" t="s">
        <v>1005</v>
      </c>
      <c r="B5266" t="s">
        <v>957</v>
      </c>
      <c r="I5266" t="s">
        <v>455</v>
      </c>
      <c r="J5266" s="3">
        <v>3.1102950000000001E-2</v>
      </c>
      <c r="K5266" s="3">
        <v>-0.51958409999999999</v>
      </c>
      <c r="L5266" s="3">
        <v>-0.4426754</v>
      </c>
    </row>
    <row r="5267" spans="1:12" x14ac:dyDescent="0.25">
      <c r="A5267" t="s">
        <v>1002</v>
      </c>
      <c r="B5267" t="s">
        <v>1003</v>
      </c>
      <c r="I5267" t="s">
        <v>1004</v>
      </c>
      <c r="J5267" s="3">
        <v>-0.8664792</v>
      </c>
      <c r="K5267" s="3">
        <v>-0.86864149999999996</v>
      </c>
      <c r="L5267" s="3">
        <v>-0.67063150000000005</v>
      </c>
    </row>
    <row r="5268" spans="1:12" x14ac:dyDescent="0.25">
      <c r="A5268" t="s">
        <v>1001</v>
      </c>
      <c r="B5268" t="s">
        <v>957</v>
      </c>
      <c r="I5268" t="s">
        <v>455</v>
      </c>
      <c r="J5268" s="3">
        <v>-0.1853428</v>
      </c>
      <c r="K5268" s="3">
        <v>0.43774659999999999</v>
      </c>
      <c r="L5268" s="3">
        <v>-0.19451679999999999</v>
      </c>
    </row>
    <row r="5269" spans="1:12" x14ac:dyDescent="0.25">
      <c r="A5269" t="s">
        <v>998</v>
      </c>
      <c r="B5269" t="s">
        <v>999</v>
      </c>
      <c r="I5269" t="s">
        <v>1000</v>
      </c>
      <c r="J5269" s="3">
        <v>-0.25275579999999997</v>
      </c>
      <c r="K5269" s="3">
        <v>-0.16676289999999999</v>
      </c>
      <c r="L5269" s="3">
        <v>-0.1409986</v>
      </c>
    </row>
    <row r="5270" spans="1:12" x14ac:dyDescent="0.25">
      <c r="A5270" t="s">
        <v>995</v>
      </c>
      <c r="B5270" t="s">
        <v>996</v>
      </c>
      <c r="I5270" t="s">
        <v>997</v>
      </c>
      <c r="J5270" s="3">
        <v>-0.38184119999999999</v>
      </c>
      <c r="K5270" s="3">
        <v>-0.62905670000000002</v>
      </c>
      <c r="L5270" s="3">
        <v>-0.61923439999999996</v>
      </c>
    </row>
    <row r="5271" spans="1:12" x14ac:dyDescent="0.25">
      <c r="A5271" t="s">
        <v>1395</v>
      </c>
      <c r="B5271" t="s">
        <v>1396</v>
      </c>
      <c r="I5271" t="s">
        <v>994</v>
      </c>
      <c r="J5271" s="3">
        <v>9.1332679999999999E-2</v>
      </c>
      <c r="K5271" s="3">
        <v>-0.22306239999999999</v>
      </c>
      <c r="L5271" s="3">
        <v>-5.849762E-2</v>
      </c>
    </row>
    <row r="5272" spans="1:12" x14ac:dyDescent="0.25">
      <c r="A5272" t="s">
        <v>1392</v>
      </c>
      <c r="B5272" t="s">
        <v>1393</v>
      </c>
      <c r="I5272" t="s">
        <v>1394</v>
      </c>
      <c r="J5272" s="3">
        <v>-0.298205</v>
      </c>
      <c r="K5272" s="3">
        <v>-0.5911225</v>
      </c>
      <c r="L5272" s="3">
        <v>0.175124</v>
      </c>
    </row>
    <row r="5273" spans="1:12" x14ac:dyDescent="0.25">
      <c r="A5273" t="s">
        <v>1389</v>
      </c>
      <c r="B5273" t="s">
        <v>1390</v>
      </c>
      <c r="I5273" t="s">
        <v>1391</v>
      </c>
      <c r="J5273" s="3">
        <v>0.2228398</v>
      </c>
      <c r="K5273" s="3">
        <v>0.43364200000000003</v>
      </c>
      <c r="L5273" s="3">
        <v>0.2273365</v>
      </c>
    </row>
    <row r="5274" spans="1:12" x14ac:dyDescent="0.25">
      <c r="A5274" t="s">
        <v>1386</v>
      </c>
      <c r="B5274" t="s">
        <v>1387</v>
      </c>
      <c r="I5274" t="s">
        <v>1388</v>
      </c>
      <c r="J5274" s="3">
        <v>7.9732319999999995E-2</v>
      </c>
      <c r="K5274" s="3">
        <v>9.8396040000000004E-2</v>
      </c>
      <c r="L5274" s="3">
        <v>-2.872281E-3</v>
      </c>
    </row>
    <row r="5275" spans="1:12" x14ac:dyDescent="0.25">
      <c r="A5275" t="s">
        <v>1383</v>
      </c>
      <c r="B5275" t="s">
        <v>1384</v>
      </c>
      <c r="I5275" t="s">
        <v>1385</v>
      </c>
      <c r="J5275" s="3">
        <v>0.96998399999999996</v>
      </c>
      <c r="K5275" s="3">
        <v>5.7261689999999997E-2</v>
      </c>
      <c r="L5275" s="3">
        <v>0.40042040000000001</v>
      </c>
    </row>
    <row r="5276" spans="1:12" x14ac:dyDescent="0.25">
      <c r="A5276" t="s">
        <v>1380</v>
      </c>
      <c r="B5276" t="s">
        <v>1381</v>
      </c>
      <c r="I5276" t="s">
        <v>1382</v>
      </c>
      <c r="J5276" s="3">
        <v>5.1343159999999999E-2</v>
      </c>
      <c r="K5276" s="3">
        <v>-0.48455930000000003</v>
      </c>
      <c r="L5276" s="3">
        <v>-0.1405247</v>
      </c>
    </row>
    <row r="5277" spans="1:12" x14ac:dyDescent="0.25">
      <c r="A5277" t="s">
        <v>1377</v>
      </c>
      <c r="B5277" t="s">
        <v>1378</v>
      </c>
      <c r="I5277" t="s">
        <v>1379</v>
      </c>
      <c r="J5277" s="3">
        <v>0.36430980000000002</v>
      </c>
      <c r="K5277" s="3">
        <v>0.19516310000000001</v>
      </c>
      <c r="L5277" s="3">
        <v>0.3497326</v>
      </c>
    </row>
    <row r="5278" spans="1:12" x14ac:dyDescent="0.25">
      <c r="A5278" t="s">
        <v>940</v>
      </c>
      <c r="B5278" t="s">
        <v>941</v>
      </c>
      <c r="I5278" t="s">
        <v>1376</v>
      </c>
      <c r="J5278" s="3">
        <v>-0.33288630000000002</v>
      </c>
      <c r="K5278" s="3">
        <v>-0.67290470000000002</v>
      </c>
      <c r="L5278" s="3">
        <v>-0.37310270000000001</v>
      </c>
    </row>
    <row r="5279" spans="1:12" x14ac:dyDescent="0.25">
      <c r="A5279" t="s">
        <v>937</v>
      </c>
      <c r="B5279" t="s">
        <v>938</v>
      </c>
      <c r="I5279" t="s">
        <v>939</v>
      </c>
      <c r="J5279" s="3">
        <v>-0.34436689999999998</v>
      </c>
      <c r="K5279" s="3">
        <v>-0.83744300000000005</v>
      </c>
      <c r="L5279" s="3">
        <v>-0.58225830000000001</v>
      </c>
    </row>
    <row r="5280" spans="1:12" x14ac:dyDescent="0.25">
      <c r="A5280" t="s">
        <v>934</v>
      </c>
      <c r="B5280" t="s">
        <v>935</v>
      </c>
      <c r="I5280" t="s">
        <v>936</v>
      </c>
      <c r="J5280" s="3">
        <v>0.87088279999999996</v>
      </c>
      <c r="K5280" s="3">
        <v>0.57203999999999999</v>
      </c>
      <c r="L5280" s="3">
        <v>0.6315925</v>
      </c>
    </row>
    <row r="5281" spans="1:12" x14ac:dyDescent="0.25">
      <c r="A5281" t="s">
        <v>931</v>
      </c>
      <c r="B5281" t="s">
        <v>932</v>
      </c>
      <c r="I5281" t="s">
        <v>933</v>
      </c>
      <c r="J5281" s="3">
        <v>-0.13788449999999999</v>
      </c>
      <c r="K5281" s="3">
        <v>-0.57867659999999999</v>
      </c>
      <c r="L5281" s="3">
        <v>-0.26569880000000001</v>
      </c>
    </row>
    <row r="5282" spans="1:12" x14ac:dyDescent="0.25">
      <c r="A5282" t="s">
        <v>930</v>
      </c>
      <c r="B5282" t="s">
        <v>957</v>
      </c>
      <c r="I5282" t="s">
        <v>455</v>
      </c>
      <c r="J5282" s="3">
        <v>0.19839889999999999</v>
      </c>
      <c r="K5282" s="3">
        <v>0.69961790000000001</v>
      </c>
      <c r="L5282" s="3">
        <v>0.35803459999999998</v>
      </c>
    </row>
    <row r="5283" spans="1:12" x14ac:dyDescent="0.25">
      <c r="A5283" t="s">
        <v>927</v>
      </c>
      <c r="B5283" t="s">
        <v>928</v>
      </c>
      <c r="I5283" t="s">
        <v>929</v>
      </c>
      <c r="J5283" s="3">
        <v>-3.1782190000000002E-2</v>
      </c>
      <c r="K5283" s="3">
        <v>-0.26876800000000001</v>
      </c>
      <c r="L5283" s="3">
        <v>-0.1408076</v>
      </c>
    </row>
    <row r="5284" spans="1:12" x14ac:dyDescent="0.25">
      <c r="A5284" t="s">
        <v>924</v>
      </c>
      <c r="B5284" t="s">
        <v>925</v>
      </c>
      <c r="I5284" t="s">
        <v>926</v>
      </c>
      <c r="J5284" s="3">
        <v>-0.1797859</v>
      </c>
      <c r="K5284" s="3">
        <v>1.0209980000000001</v>
      </c>
      <c r="L5284" s="3">
        <v>2.6040529999999999E-2</v>
      </c>
    </row>
    <row r="5285" spans="1:12" x14ac:dyDescent="0.25">
      <c r="A5285" t="s">
        <v>921</v>
      </c>
      <c r="B5285" t="s">
        <v>922</v>
      </c>
      <c r="I5285" t="s">
        <v>923</v>
      </c>
      <c r="J5285" s="3">
        <v>-0.49000129999999997</v>
      </c>
      <c r="K5285" s="3">
        <v>-0.39127709999999999</v>
      </c>
      <c r="L5285" s="3">
        <v>-0.47443920000000001</v>
      </c>
    </row>
    <row r="5286" spans="1:12" x14ac:dyDescent="0.25">
      <c r="A5286" t="s">
        <v>918</v>
      </c>
      <c r="B5286" t="s">
        <v>919</v>
      </c>
      <c r="I5286" t="s">
        <v>920</v>
      </c>
      <c r="J5286" s="3">
        <v>-0.1863061</v>
      </c>
      <c r="K5286" s="3">
        <v>-0.22029799999999999</v>
      </c>
      <c r="L5286" s="3">
        <v>-5.796714E-2</v>
      </c>
    </row>
    <row r="5287" spans="1:12" x14ac:dyDescent="0.25">
      <c r="A5287" t="s">
        <v>915</v>
      </c>
      <c r="B5287" t="s">
        <v>916</v>
      </c>
      <c r="I5287" t="s">
        <v>917</v>
      </c>
      <c r="J5287" s="3">
        <v>-0.10297920000000001</v>
      </c>
      <c r="K5287" s="3">
        <v>-0.44207809999999997</v>
      </c>
      <c r="L5287" s="3">
        <v>-0.35002149999999999</v>
      </c>
    </row>
    <row r="5288" spans="1:12" x14ac:dyDescent="0.25">
      <c r="A5288" t="s">
        <v>912</v>
      </c>
      <c r="B5288" t="s">
        <v>913</v>
      </c>
      <c r="I5288" t="s">
        <v>914</v>
      </c>
      <c r="J5288" s="3">
        <v>-0.14926229999999999</v>
      </c>
      <c r="K5288" s="3">
        <v>-0.58298349999999999</v>
      </c>
      <c r="L5288" s="3">
        <v>-0.2774356</v>
      </c>
    </row>
    <row r="5289" spans="1:12" x14ac:dyDescent="0.25">
      <c r="A5289" t="s">
        <v>909</v>
      </c>
      <c r="B5289" t="s">
        <v>910</v>
      </c>
      <c r="I5289" t="s">
        <v>911</v>
      </c>
      <c r="J5289" s="3">
        <v>0.1757676</v>
      </c>
      <c r="K5289" s="3">
        <v>-0.18534709999999999</v>
      </c>
      <c r="L5289" s="3">
        <v>0.39294230000000002</v>
      </c>
    </row>
    <row r="5290" spans="1:12" x14ac:dyDescent="0.25">
      <c r="A5290" t="s">
        <v>906</v>
      </c>
      <c r="B5290" t="s">
        <v>907</v>
      </c>
      <c r="I5290" t="s">
        <v>908</v>
      </c>
      <c r="J5290" s="3">
        <v>-6.3177179999999999E-2</v>
      </c>
      <c r="K5290" s="3">
        <v>-0.58597849999999996</v>
      </c>
      <c r="L5290" s="3">
        <v>8.4109699999999996E-2</v>
      </c>
    </row>
    <row r="5291" spans="1:12" x14ac:dyDescent="0.25">
      <c r="A5291" t="s">
        <v>905</v>
      </c>
      <c r="B5291" t="s">
        <v>957</v>
      </c>
      <c r="I5291" t="s">
        <v>455</v>
      </c>
      <c r="J5291" s="3">
        <v>0.44839760000000001</v>
      </c>
      <c r="K5291" s="3">
        <v>-9.9903850000000002E-2</v>
      </c>
      <c r="L5291" s="3">
        <v>9.0249029999999994E-2</v>
      </c>
    </row>
    <row r="5292" spans="1:12" x14ac:dyDescent="0.25">
      <c r="A5292" t="s">
        <v>904</v>
      </c>
      <c r="B5292" t="s">
        <v>957</v>
      </c>
      <c r="I5292" t="s">
        <v>455</v>
      </c>
      <c r="J5292" s="3">
        <v>1.0427709999999999</v>
      </c>
      <c r="K5292" s="3">
        <v>1.1465259999999999</v>
      </c>
      <c r="L5292" s="3">
        <v>0.75129539999999995</v>
      </c>
    </row>
    <row r="5293" spans="1:12" x14ac:dyDescent="0.25">
      <c r="A5293" t="s">
        <v>903</v>
      </c>
      <c r="B5293" t="s">
        <v>957</v>
      </c>
      <c r="I5293" t="s">
        <v>455</v>
      </c>
      <c r="J5293" s="3">
        <v>0.65864809999999996</v>
      </c>
      <c r="K5293" s="3">
        <v>0.56074769999999996</v>
      </c>
      <c r="L5293" s="3">
        <v>0.37250860000000002</v>
      </c>
    </row>
    <row r="5294" spans="1:12" x14ac:dyDescent="0.25">
      <c r="A5294" t="s">
        <v>900</v>
      </c>
      <c r="B5294" t="s">
        <v>901</v>
      </c>
      <c r="I5294" t="s">
        <v>902</v>
      </c>
      <c r="J5294" s="3">
        <v>0.52195709999999995</v>
      </c>
      <c r="K5294" s="3">
        <v>0.49602550000000001</v>
      </c>
      <c r="L5294" s="3">
        <v>0.1240753</v>
      </c>
    </row>
    <row r="5295" spans="1:12" x14ac:dyDescent="0.25">
      <c r="A5295" t="s">
        <v>897</v>
      </c>
      <c r="B5295" t="s">
        <v>898</v>
      </c>
      <c r="I5295" t="s">
        <v>899</v>
      </c>
      <c r="J5295" s="3">
        <v>0.29192649999999998</v>
      </c>
      <c r="K5295" s="3">
        <v>-0.69424739999999996</v>
      </c>
      <c r="L5295" s="3">
        <v>-8.3438020000000002E-2</v>
      </c>
    </row>
    <row r="5296" spans="1:12" x14ac:dyDescent="0.25">
      <c r="A5296" t="s">
        <v>896</v>
      </c>
      <c r="B5296" t="s">
        <v>957</v>
      </c>
      <c r="I5296" t="s">
        <v>455</v>
      </c>
      <c r="J5296" s="3">
        <v>-0.35892819999999998</v>
      </c>
      <c r="K5296" s="3">
        <v>-0.72316899999999995</v>
      </c>
      <c r="L5296" s="3">
        <v>-9.6398369999999997E-2</v>
      </c>
    </row>
    <row r="5297" spans="1:12" x14ac:dyDescent="0.25">
      <c r="A5297" t="s">
        <v>893</v>
      </c>
      <c r="B5297" t="s">
        <v>894</v>
      </c>
      <c r="I5297" t="s">
        <v>895</v>
      </c>
      <c r="J5297" s="3">
        <v>-0.28811969999999998</v>
      </c>
      <c r="K5297" s="3">
        <v>-0.75391739999999996</v>
      </c>
      <c r="L5297" s="3">
        <v>-0.29130529999999999</v>
      </c>
    </row>
    <row r="5298" spans="1:12" x14ac:dyDescent="0.25">
      <c r="A5298" t="s">
        <v>890</v>
      </c>
      <c r="B5298" t="s">
        <v>891</v>
      </c>
      <c r="I5298" t="s">
        <v>892</v>
      </c>
      <c r="J5298" s="3">
        <v>-0.46725650000000002</v>
      </c>
      <c r="K5298" s="3">
        <v>-0.68898329999999997</v>
      </c>
      <c r="L5298" s="3">
        <v>-0.3204439</v>
      </c>
    </row>
    <row r="5299" spans="1:12" x14ac:dyDescent="0.25">
      <c r="A5299" t="s">
        <v>294</v>
      </c>
      <c r="B5299" t="s">
        <v>295</v>
      </c>
      <c r="I5299" t="s">
        <v>889</v>
      </c>
      <c r="J5299" s="3">
        <v>-0.14541780000000001</v>
      </c>
      <c r="K5299" s="3">
        <v>-3.7773040000000001E-2</v>
      </c>
      <c r="L5299" s="3">
        <v>1.6667439999999999E-2</v>
      </c>
    </row>
    <row r="5300" spans="1:12" x14ac:dyDescent="0.25">
      <c r="A5300" t="s">
        <v>291</v>
      </c>
      <c r="B5300" t="s">
        <v>292</v>
      </c>
      <c r="I5300" t="s">
        <v>293</v>
      </c>
      <c r="J5300" s="3">
        <v>8.9390400000000005E-4</v>
      </c>
      <c r="K5300" s="3">
        <v>1.1222220000000001</v>
      </c>
      <c r="L5300" s="3">
        <v>0.40889779999999998</v>
      </c>
    </row>
    <row r="5301" spans="1:12" x14ac:dyDescent="0.25">
      <c r="A5301" t="s">
        <v>290</v>
      </c>
      <c r="B5301" t="s">
        <v>957</v>
      </c>
      <c r="I5301" t="s">
        <v>455</v>
      </c>
      <c r="J5301" s="3">
        <v>-8.8368119999999994E-2</v>
      </c>
      <c r="K5301" s="3">
        <v>-0.53850350000000002</v>
      </c>
      <c r="L5301" s="3">
        <v>-3.1475089999999997E-2</v>
      </c>
    </row>
    <row r="5302" spans="1:12" x14ac:dyDescent="0.25">
      <c r="A5302" t="s">
        <v>287</v>
      </c>
      <c r="B5302" t="s">
        <v>288</v>
      </c>
      <c r="I5302" t="s">
        <v>289</v>
      </c>
      <c r="J5302" s="3">
        <v>-0.2717676</v>
      </c>
      <c r="K5302" s="3">
        <v>-0.57125720000000002</v>
      </c>
      <c r="L5302" s="3">
        <v>-0.33000930000000001</v>
      </c>
    </row>
    <row r="5303" spans="1:12" x14ac:dyDescent="0.25">
      <c r="A5303" t="s">
        <v>285</v>
      </c>
      <c r="B5303" t="s">
        <v>14120</v>
      </c>
      <c r="C5303" t="s">
        <v>14121</v>
      </c>
      <c r="I5303" t="s">
        <v>286</v>
      </c>
      <c r="J5303" s="3">
        <v>0.64812990000000004</v>
      </c>
      <c r="K5303" s="3">
        <v>0.2438535</v>
      </c>
      <c r="L5303" s="3">
        <v>0.61137359999999996</v>
      </c>
    </row>
    <row r="5304" spans="1:12" x14ac:dyDescent="0.25">
      <c r="A5304" t="s">
        <v>282</v>
      </c>
      <c r="B5304" t="s">
        <v>283</v>
      </c>
      <c r="I5304" t="s">
        <v>284</v>
      </c>
      <c r="J5304" s="3">
        <v>0.61702230000000002</v>
      </c>
      <c r="K5304" s="3">
        <v>0.71272740000000001</v>
      </c>
      <c r="L5304" s="3">
        <v>0.54435820000000001</v>
      </c>
    </row>
    <row r="5305" spans="1:12" x14ac:dyDescent="0.25">
      <c r="A5305" t="s">
        <v>279</v>
      </c>
      <c r="B5305" t="s">
        <v>280</v>
      </c>
      <c r="I5305" t="s">
        <v>281</v>
      </c>
      <c r="J5305" s="3">
        <v>1.1632290000000001</v>
      </c>
      <c r="K5305" s="3">
        <v>0.2401191</v>
      </c>
      <c r="L5305" s="3">
        <v>0.77834939999999997</v>
      </c>
    </row>
    <row r="5306" spans="1:12" x14ac:dyDescent="0.25">
      <c r="A5306" t="s">
        <v>276</v>
      </c>
      <c r="B5306" t="s">
        <v>277</v>
      </c>
      <c r="I5306" t="s">
        <v>278</v>
      </c>
      <c r="J5306" s="3">
        <v>-1.8373899999999999E-2</v>
      </c>
      <c r="K5306" s="3">
        <v>-0.1858252</v>
      </c>
      <c r="L5306" s="3">
        <v>-3.8758019999999997E-2</v>
      </c>
    </row>
    <row r="5307" spans="1:12" x14ac:dyDescent="0.25">
      <c r="A5307" t="s">
        <v>273</v>
      </c>
      <c r="B5307" t="s">
        <v>274</v>
      </c>
      <c r="I5307" t="s">
        <v>275</v>
      </c>
      <c r="J5307" s="3">
        <v>5.0555019999999999E-2</v>
      </c>
      <c r="K5307" s="3">
        <v>-0.26342650000000001</v>
      </c>
      <c r="L5307" s="3">
        <v>3.1351440000000001E-2</v>
      </c>
    </row>
    <row r="5308" spans="1:12" x14ac:dyDescent="0.25">
      <c r="A5308" t="s">
        <v>270</v>
      </c>
      <c r="B5308" t="s">
        <v>271</v>
      </c>
      <c r="I5308" t="s">
        <v>272</v>
      </c>
      <c r="J5308" s="3">
        <v>0.6179808</v>
      </c>
      <c r="K5308" s="3">
        <v>0.35773100000000002</v>
      </c>
      <c r="L5308" s="3">
        <v>9.9763249999999998E-2</v>
      </c>
    </row>
    <row r="5309" spans="1:12" x14ac:dyDescent="0.25">
      <c r="A5309" t="s">
        <v>267</v>
      </c>
      <c r="B5309" t="s">
        <v>268</v>
      </c>
      <c r="I5309" t="s">
        <v>269</v>
      </c>
      <c r="J5309" s="3">
        <v>-0.3545874</v>
      </c>
      <c r="K5309" s="3">
        <v>-0.39769640000000001</v>
      </c>
      <c r="L5309" s="3">
        <v>-0.23606460000000001</v>
      </c>
    </row>
    <row r="5310" spans="1:12" x14ac:dyDescent="0.25">
      <c r="A5310" t="s">
        <v>264</v>
      </c>
      <c r="B5310" t="s">
        <v>265</v>
      </c>
      <c r="I5310" t="s">
        <v>266</v>
      </c>
      <c r="J5310" s="3">
        <v>-6.5197240000000004E-2</v>
      </c>
      <c r="K5310" s="3">
        <v>9.0537060000000003E-2</v>
      </c>
      <c r="L5310" s="3">
        <v>-0.1484973</v>
      </c>
    </row>
    <row r="5311" spans="1:12" x14ac:dyDescent="0.25">
      <c r="A5311" t="s">
        <v>262</v>
      </c>
      <c r="B5311" t="s">
        <v>957</v>
      </c>
      <c r="I5311" t="s">
        <v>263</v>
      </c>
      <c r="J5311" s="3">
        <v>1.269806</v>
      </c>
      <c r="K5311" s="3">
        <v>0.4557292</v>
      </c>
      <c r="L5311" s="3">
        <v>1.034961</v>
      </c>
    </row>
    <row r="5312" spans="1:12" x14ac:dyDescent="0.25">
      <c r="A5312" t="s">
        <v>259</v>
      </c>
      <c r="B5312" t="s">
        <v>260</v>
      </c>
      <c r="I5312" t="s">
        <v>261</v>
      </c>
      <c r="J5312" s="3">
        <v>0.26085160000000002</v>
      </c>
      <c r="K5312" s="3">
        <v>-0.75988520000000004</v>
      </c>
      <c r="L5312" s="3">
        <v>-0.2263907</v>
      </c>
    </row>
    <row r="5313" spans="1:12" x14ac:dyDescent="0.25">
      <c r="A5313" t="s">
        <v>256</v>
      </c>
      <c r="B5313" t="s">
        <v>257</v>
      </c>
      <c r="I5313" t="s">
        <v>258</v>
      </c>
      <c r="J5313" s="3">
        <v>-0.22157070000000001</v>
      </c>
      <c r="K5313" s="3">
        <v>-0.3379624</v>
      </c>
      <c r="L5313" s="3">
        <v>-7.4473380000000006E-2</v>
      </c>
    </row>
    <row r="5314" spans="1:12" x14ac:dyDescent="0.25">
      <c r="A5314" t="s">
        <v>849</v>
      </c>
      <c r="B5314" t="s">
        <v>850</v>
      </c>
      <c r="I5314" t="s">
        <v>255</v>
      </c>
      <c r="J5314" s="3">
        <v>-6.3445879999999996E-2</v>
      </c>
      <c r="K5314" s="3">
        <v>0.48880319999999999</v>
      </c>
      <c r="L5314" s="3">
        <v>0.2137173</v>
      </c>
    </row>
    <row r="5315" spans="1:12" x14ac:dyDescent="0.25">
      <c r="A5315" t="s">
        <v>846</v>
      </c>
      <c r="B5315" t="s">
        <v>847</v>
      </c>
      <c r="I5315" t="s">
        <v>848</v>
      </c>
      <c r="J5315" s="3">
        <v>0.21091280000000001</v>
      </c>
      <c r="K5315" s="3">
        <v>0.23807700000000001</v>
      </c>
      <c r="L5315" s="3">
        <v>-0.1605666</v>
      </c>
    </row>
    <row r="5316" spans="1:12" x14ac:dyDescent="0.25">
      <c r="A5316" t="s">
        <v>843</v>
      </c>
      <c r="B5316" t="s">
        <v>844</v>
      </c>
      <c r="I5316" t="s">
        <v>845</v>
      </c>
      <c r="J5316" s="3">
        <v>0.41872229999999999</v>
      </c>
      <c r="K5316" s="3">
        <v>0.30436010000000002</v>
      </c>
      <c r="L5316" s="3">
        <v>0.3515742</v>
      </c>
    </row>
    <row r="5317" spans="1:12" x14ac:dyDescent="0.25">
      <c r="A5317" t="s">
        <v>841</v>
      </c>
      <c r="B5317" t="s">
        <v>957</v>
      </c>
      <c r="I5317" t="s">
        <v>842</v>
      </c>
      <c r="J5317" s="3">
        <v>0.38365280000000002</v>
      </c>
      <c r="K5317" s="3">
        <v>0.96222129999999995</v>
      </c>
      <c r="L5317" s="3">
        <v>0.55482629999999999</v>
      </c>
    </row>
    <row r="5318" spans="1:12" x14ac:dyDescent="0.25">
      <c r="A5318" t="s">
        <v>838</v>
      </c>
      <c r="B5318" t="s">
        <v>839</v>
      </c>
      <c r="I5318" t="s">
        <v>840</v>
      </c>
      <c r="J5318" s="3">
        <v>0.4869039</v>
      </c>
      <c r="K5318" s="3">
        <v>0.86720759999999997</v>
      </c>
      <c r="L5318" s="3">
        <v>0.68645959999999995</v>
      </c>
    </row>
    <row r="5319" spans="1:12" x14ac:dyDescent="0.25">
      <c r="A5319" t="s">
        <v>835</v>
      </c>
      <c r="B5319" t="s">
        <v>836</v>
      </c>
      <c r="I5319" t="s">
        <v>837</v>
      </c>
      <c r="J5319" s="3">
        <v>0.2208862</v>
      </c>
      <c r="K5319" s="3">
        <v>-0.20233960000000001</v>
      </c>
      <c r="L5319" s="3">
        <v>8.3194900000000002E-2</v>
      </c>
    </row>
    <row r="5320" spans="1:12" x14ac:dyDescent="0.25">
      <c r="A5320" t="s">
        <v>832</v>
      </c>
      <c r="B5320" t="s">
        <v>833</v>
      </c>
      <c r="I5320" t="s">
        <v>834</v>
      </c>
      <c r="J5320" s="3">
        <v>-0.20913080000000001</v>
      </c>
      <c r="K5320" s="3">
        <v>-0.2069734</v>
      </c>
      <c r="L5320" s="3">
        <v>-0.2030314</v>
      </c>
    </row>
    <row r="5321" spans="1:12" x14ac:dyDescent="0.25">
      <c r="A5321" t="s">
        <v>831</v>
      </c>
      <c r="B5321" t="s">
        <v>957</v>
      </c>
      <c r="I5321" t="s">
        <v>455</v>
      </c>
      <c r="J5321" s="3">
        <v>-0.2277322</v>
      </c>
      <c r="K5321" s="3">
        <v>-0.12605569999999999</v>
      </c>
      <c r="L5321" s="3">
        <v>-0.28226370000000001</v>
      </c>
    </row>
    <row r="5322" spans="1:12" x14ac:dyDescent="0.25">
      <c r="A5322" t="s">
        <v>830</v>
      </c>
      <c r="B5322" t="s">
        <v>957</v>
      </c>
      <c r="I5322" t="s">
        <v>823</v>
      </c>
      <c r="J5322" s="3">
        <v>-0.40932439999999998</v>
      </c>
      <c r="K5322" s="3">
        <v>-0.6919438</v>
      </c>
      <c r="L5322" s="3">
        <v>-0.29632340000000001</v>
      </c>
    </row>
    <row r="5323" spans="1:12" x14ac:dyDescent="0.25">
      <c r="A5323" t="s">
        <v>827</v>
      </c>
      <c r="B5323" t="s">
        <v>828</v>
      </c>
      <c r="I5323" t="s">
        <v>829</v>
      </c>
      <c r="J5323" s="3">
        <v>0.40446919999999997</v>
      </c>
      <c r="K5323" s="3">
        <v>0.23669409999999999</v>
      </c>
      <c r="L5323" s="3">
        <v>0.35914170000000001</v>
      </c>
    </row>
    <row r="5324" spans="1:12" x14ac:dyDescent="0.25">
      <c r="A5324" t="s">
        <v>824</v>
      </c>
      <c r="B5324" t="s">
        <v>825</v>
      </c>
      <c r="I5324" t="s">
        <v>826</v>
      </c>
      <c r="J5324" s="3">
        <v>6.4603770000000005E-2</v>
      </c>
      <c r="K5324" s="3">
        <v>-0.35477819999999999</v>
      </c>
      <c r="L5324" s="3">
        <v>9.3255169999999998E-2</v>
      </c>
    </row>
    <row r="5325" spans="1:12" x14ac:dyDescent="0.25">
      <c r="A5325" t="s">
        <v>822</v>
      </c>
      <c r="B5325" t="s">
        <v>957</v>
      </c>
      <c r="I5325" t="s">
        <v>823</v>
      </c>
      <c r="J5325" s="3">
        <v>0.1195927</v>
      </c>
      <c r="K5325" s="3">
        <v>0.35318709999999998</v>
      </c>
      <c r="L5325" s="3">
        <v>0.34001819999999999</v>
      </c>
    </row>
    <row r="5326" spans="1:12" x14ac:dyDescent="0.25">
      <c r="A5326" t="s">
        <v>819</v>
      </c>
      <c r="B5326" t="s">
        <v>820</v>
      </c>
      <c r="I5326" t="s">
        <v>821</v>
      </c>
      <c r="J5326" s="3">
        <v>5.8316359999999998E-2</v>
      </c>
      <c r="K5326" s="3">
        <v>0.27312340000000002</v>
      </c>
      <c r="L5326" s="3">
        <v>5.6852010000000001E-2</v>
      </c>
    </row>
    <row r="5327" spans="1:12" x14ac:dyDescent="0.25">
      <c r="A5327" t="s">
        <v>818</v>
      </c>
      <c r="B5327" t="s">
        <v>957</v>
      </c>
      <c r="I5327" t="s">
        <v>455</v>
      </c>
      <c r="J5327" s="3">
        <v>8.4898550000000003E-2</v>
      </c>
      <c r="K5327" s="3">
        <v>-2.2410920000000001E-3</v>
      </c>
      <c r="L5327" s="3">
        <v>-4.0756840000000003E-2</v>
      </c>
    </row>
    <row r="5328" spans="1:12" x14ac:dyDescent="0.25">
      <c r="A5328" t="s">
        <v>815</v>
      </c>
      <c r="B5328" t="s">
        <v>816</v>
      </c>
      <c r="I5328" t="s">
        <v>817</v>
      </c>
      <c r="J5328" s="3">
        <v>0.1815996</v>
      </c>
      <c r="K5328" s="3">
        <v>-3.2937149999999998E-2</v>
      </c>
      <c r="L5328" s="3">
        <v>-3.7321720000000003E-2</v>
      </c>
    </row>
    <row r="5329" spans="1:12" x14ac:dyDescent="0.25">
      <c r="A5329" t="s">
        <v>814</v>
      </c>
      <c r="B5329" t="s">
        <v>957</v>
      </c>
      <c r="I5329" t="s">
        <v>455</v>
      </c>
      <c r="J5329" s="3">
        <v>-0.37401040000000002</v>
      </c>
      <c r="K5329" s="3">
        <v>-0.98028550000000003</v>
      </c>
      <c r="L5329" s="3">
        <v>-0.14186799999999999</v>
      </c>
    </row>
    <row r="5330" spans="1:12" x14ac:dyDescent="0.25">
      <c r="A5330" t="s">
        <v>813</v>
      </c>
      <c r="B5330" t="s">
        <v>957</v>
      </c>
      <c r="I5330" t="s">
        <v>455</v>
      </c>
      <c r="J5330" s="3">
        <v>-0.75437480000000001</v>
      </c>
      <c r="K5330" s="3">
        <v>-0.84287259999999997</v>
      </c>
      <c r="L5330" s="3">
        <v>-0.16157060000000001</v>
      </c>
    </row>
    <row r="5331" spans="1:12" x14ac:dyDescent="0.25">
      <c r="A5331" t="s">
        <v>812</v>
      </c>
      <c r="B5331" t="s">
        <v>957</v>
      </c>
      <c r="I5331" t="s">
        <v>455</v>
      </c>
      <c r="J5331" s="3">
        <v>0.42735810000000002</v>
      </c>
      <c r="K5331" s="3">
        <v>1.248219</v>
      </c>
      <c r="L5331" s="3">
        <v>0.8145983</v>
      </c>
    </row>
    <row r="5332" spans="1:12" x14ac:dyDescent="0.25">
      <c r="A5332" t="s">
        <v>811</v>
      </c>
      <c r="B5332" t="s">
        <v>957</v>
      </c>
      <c r="I5332" t="s">
        <v>455</v>
      </c>
      <c r="J5332" s="3">
        <v>-0.3517227</v>
      </c>
      <c r="K5332" s="3">
        <v>-0.48128539999999997</v>
      </c>
      <c r="L5332" s="3">
        <v>-0.38348379999999999</v>
      </c>
    </row>
    <row r="5333" spans="1:12" x14ac:dyDescent="0.25">
      <c r="A5333" t="s">
        <v>808</v>
      </c>
      <c r="B5333" t="s">
        <v>809</v>
      </c>
      <c r="I5333" t="s">
        <v>810</v>
      </c>
      <c r="J5333" s="3">
        <v>0.85437269999999998</v>
      </c>
      <c r="K5333" s="3">
        <v>1.175036</v>
      </c>
      <c r="L5333" s="3">
        <v>0.49527450000000001</v>
      </c>
    </row>
    <row r="5334" spans="1:12" x14ac:dyDescent="0.25">
      <c r="A5334" t="s">
        <v>805</v>
      </c>
      <c r="B5334" t="s">
        <v>806</v>
      </c>
      <c r="I5334" t="s">
        <v>807</v>
      </c>
      <c r="J5334" s="3">
        <v>-1.025647</v>
      </c>
      <c r="K5334" s="3">
        <v>-1.057274</v>
      </c>
      <c r="L5334" s="3">
        <v>-0.59546779999999999</v>
      </c>
    </row>
    <row r="5335" spans="1:12" x14ac:dyDescent="0.25">
      <c r="A5335" t="s">
        <v>803</v>
      </c>
      <c r="B5335" t="s">
        <v>957</v>
      </c>
      <c r="I5335" t="s">
        <v>804</v>
      </c>
      <c r="J5335" s="3">
        <v>0.1955865</v>
      </c>
      <c r="K5335" s="3">
        <v>0.2470871</v>
      </c>
      <c r="L5335" s="3">
        <v>0.3776253</v>
      </c>
    </row>
    <row r="5336" spans="1:12" x14ac:dyDescent="0.25">
      <c r="A5336" t="s">
        <v>800</v>
      </c>
      <c r="B5336" t="s">
        <v>801</v>
      </c>
      <c r="I5336" t="s">
        <v>802</v>
      </c>
      <c r="J5336" s="3">
        <v>0.48321259999999999</v>
      </c>
      <c r="K5336" s="3">
        <v>0.37486190000000003</v>
      </c>
      <c r="L5336" s="3">
        <v>0.2735747</v>
      </c>
    </row>
    <row r="5337" spans="1:12" x14ac:dyDescent="0.25">
      <c r="A5337" t="s">
        <v>797</v>
      </c>
      <c r="B5337" t="s">
        <v>798</v>
      </c>
      <c r="I5337" t="s">
        <v>799</v>
      </c>
      <c r="J5337" s="3">
        <v>0.3944571</v>
      </c>
      <c r="K5337" s="3">
        <v>0.17887420000000001</v>
      </c>
      <c r="L5337" s="3">
        <v>0.46809460000000003</v>
      </c>
    </row>
    <row r="5338" spans="1:12" x14ac:dyDescent="0.25">
      <c r="A5338" t="s">
        <v>794</v>
      </c>
      <c r="B5338" t="s">
        <v>795</v>
      </c>
      <c r="I5338" t="s">
        <v>796</v>
      </c>
      <c r="J5338" s="3">
        <v>-0.2069839</v>
      </c>
      <c r="K5338" s="3">
        <v>-0.71005399999999996</v>
      </c>
      <c r="L5338" s="3">
        <v>-0.2506275</v>
      </c>
    </row>
    <row r="5339" spans="1:12" x14ac:dyDescent="0.25">
      <c r="A5339" t="s">
        <v>791</v>
      </c>
      <c r="B5339" t="s">
        <v>792</v>
      </c>
      <c r="I5339" t="s">
        <v>793</v>
      </c>
      <c r="J5339" s="3">
        <v>-0.6038519</v>
      </c>
      <c r="K5339" s="3">
        <v>-1.2597860000000001</v>
      </c>
      <c r="L5339" s="3">
        <v>-0.63824530000000002</v>
      </c>
    </row>
    <row r="5340" spans="1:12" x14ac:dyDescent="0.25">
      <c r="A5340" t="s">
        <v>1208</v>
      </c>
      <c r="B5340" t="s">
        <v>1209</v>
      </c>
      <c r="I5340" t="s">
        <v>790</v>
      </c>
      <c r="J5340" s="3">
        <v>0.35991620000000002</v>
      </c>
      <c r="K5340" s="3">
        <v>0.55502030000000002</v>
      </c>
      <c r="L5340" s="3">
        <v>0.18094569999999999</v>
      </c>
    </row>
    <row r="5341" spans="1:12" x14ac:dyDescent="0.25">
      <c r="A5341" t="s">
        <v>1206</v>
      </c>
      <c r="B5341" t="s">
        <v>957</v>
      </c>
      <c r="I5341" t="s">
        <v>1207</v>
      </c>
      <c r="J5341" s="3">
        <v>0.17974419999999999</v>
      </c>
      <c r="K5341" s="3">
        <v>0.5653648</v>
      </c>
      <c r="L5341" s="3">
        <v>-1.9347349999999999E-2</v>
      </c>
    </row>
    <row r="5342" spans="1:12" x14ac:dyDescent="0.25">
      <c r="A5342" t="s">
        <v>1203</v>
      </c>
      <c r="B5342" t="s">
        <v>1204</v>
      </c>
      <c r="I5342" t="s">
        <v>1205</v>
      </c>
      <c r="J5342" s="3">
        <v>0.2700111</v>
      </c>
      <c r="K5342" s="3">
        <v>0.19982179999999999</v>
      </c>
      <c r="L5342" s="3">
        <v>0.34878540000000002</v>
      </c>
    </row>
    <row r="5343" spans="1:12" x14ac:dyDescent="0.25">
      <c r="A5343" t="s">
        <v>1200</v>
      </c>
      <c r="B5343" t="s">
        <v>1201</v>
      </c>
      <c r="I5343" t="s">
        <v>1202</v>
      </c>
      <c r="J5343" s="3">
        <v>-1.4038139999999999E-2</v>
      </c>
      <c r="K5343" s="3">
        <v>-0.1635469</v>
      </c>
      <c r="L5343" s="3">
        <v>6.1399499999999999E-4</v>
      </c>
    </row>
    <row r="5344" spans="1:12" x14ac:dyDescent="0.25">
      <c r="A5344" t="s">
        <v>1197</v>
      </c>
      <c r="B5344" t="s">
        <v>1198</v>
      </c>
      <c r="I5344" t="s">
        <v>1199</v>
      </c>
      <c r="J5344" s="3">
        <v>0.22455140000000001</v>
      </c>
      <c r="K5344" s="3">
        <v>-0.16766510000000001</v>
      </c>
      <c r="L5344" s="3">
        <v>-0.1094981</v>
      </c>
    </row>
    <row r="5345" spans="1:12" x14ac:dyDescent="0.25">
      <c r="A5345" t="s">
        <v>1194</v>
      </c>
      <c r="B5345" t="s">
        <v>1195</v>
      </c>
      <c r="I5345" t="s">
        <v>1196</v>
      </c>
      <c r="J5345" s="3">
        <v>0.73198960000000002</v>
      </c>
      <c r="K5345" s="3">
        <v>0.34256530000000002</v>
      </c>
      <c r="L5345" s="3">
        <v>0.81743509999999997</v>
      </c>
    </row>
    <row r="5346" spans="1:12" x14ac:dyDescent="0.25">
      <c r="A5346" t="s">
        <v>1191</v>
      </c>
      <c r="B5346" t="s">
        <v>1192</v>
      </c>
      <c r="I5346" t="s">
        <v>1193</v>
      </c>
      <c r="J5346" s="3">
        <v>-0.23677200000000001</v>
      </c>
      <c r="K5346" s="3">
        <v>-0.4005224</v>
      </c>
      <c r="L5346" s="3">
        <v>-0.13762450000000001</v>
      </c>
    </row>
    <row r="5347" spans="1:12" x14ac:dyDescent="0.25">
      <c r="A5347" t="s">
        <v>1188</v>
      </c>
      <c r="B5347" t="s">
        <v>1189</v>
      </c>
      <c r="I5347" t="s">
        <v>1190</v>
      </c>
      <c r="J5347" s="3">
        <v>1.1515589999999999E-3</v>
      </c>
      <c r="K5347" s="3">
        <v>8.3836499999999994E-3</v>
      </c>
      <c r="L5347" s="3">
        <v>7.6134859999999999E-2</v>
      </c>
    </row>
    <row r="5348" spans="1:12" x14ac:dyDescent="0.25">
      <c r="A5348" t="s">
        <v>1185</v>
      </c>
      <c r="B5348" t="s">
        <v>1186</v>
      </c>
      <c r="I5348" t="s">
        <v>1187</v>
      </c>
      <c r="J5348" s="3">
        <v>-0.35787079999999999</v>
      </c>
      <c r="K5348" s="3">
        <v>-0.6574586</v>
      </c>
      <c r="L5348" s="3">
        <v>-0.69240270000000004</v>
      </c>
    </row>
    <row r="5349" spans="1:12" x14ac:dyDescent="0.25">
      <c r="A5349" t="s">
        <v>1182</v>
      </c>
      <c r="B5349" t="s">
        <v>1183</v>
      </c>
      <c r="I5349" t="s">
        <v>1184</v>
      </c>
      <c r="J5349" s="3">
        <v>0.37617339999999999</v>
      </c>
      <c r="K5349" s="3">
        <v>-0.15807470000000001</v>
      </c>
      <c r="L5349" s="3">
        <v>0.45957959999999998</v>
      </c>
    </row>
    <row r="5350" spans="1:12" x14ac:dyDescent="0.25">
      <c r="A5350" t="s">
        <v>1179</v>
      </c>
      <c r="B5350" t="s">
        <v>1180</v>
      </c>
      <c r="I5350" t="s">
        <v>1181</v>
      </c>
      <c r="J5350" s="3">
        <v>0.1323993</v>
      </c>
      <c r="K5350" s="3">
        <v>0.46428419999999998</v>
      </c>
      <c r="L5350" s="3">
        <v>-0.21794540000000001</v>
      </c>
    </row>
    <row r="5351" spans="1:12" x14ac:dyDescent="0.25">
      <c r="A5351" t="s">
        <v>747</v>
      </c>
      <c r="B5351" t="s">
        <v>748</v>
      </c>
      <c r="I5351" t="s">
        <v>1178</v>
      </c>
      <c r="J5351" s="3">
        <v>-0.25290059999999998</v>
      </c>
      <c r="K5351" s="3">
        <v>-0.9956644</v>
      </c>
      <c r="L5351" s="3">
        <v>-0.2128197</v>
      </c>
    </row>
    <row r="5352" spans="1:12" x14ac:dyDescent="0.25">
      <c r="A5352" t="s">
        <v>744</v>
      </c>
      <c r="B5352" t="s">
        <v>745</v>
      </c>
      <c r="I5352" t="s">
        <v>746</v>
      </c>
      <c r="J5352" s="3">
        <v>0.2042785</v>
      </c>
      <c r="K5352" s="3">
        <v>1.4125509999999999</v>
      </c>
      <c r="L5352" s="3">
        <v>0.88767689999999999</v>
      </c>
    </row>
    <row r="5353" spans="1:12" x14ac:dyDescent="0.25">
      <c r="A5353" t="s">
        <v>741</v>
      </c>
      <c r="B5353" t="s">
        <v>742</v>
      </c>
      <c r="I5353" t="s">
        <v>743</v>
      </c>
      <c r="J5353" s="3">
        <v>0.62851389999999996</v>
      </c>
      <c r="K5353" s="3">
        <v>0.70626060000000002</v>
      </c>
      <c r="L5353" s="3">
        <v>0.78676259999999998</v>
      </c>
    </row>
    <row r="5354" spans="1:12" x14ac:dyDescent="0.25">
      <c r="A5354" t="s">
        <v>738</v>
      </c>
      <c r="B5354" t="s">
        <v>739</v>
      </c>
      <c r="I5354" t="s">
        <v>740</v>
      </c>
      <c r="J5354" s="3">
        <v>0.101728</v>
      </c>
      <c r="K5354" s="3">
        <v>0.1485322</v>
      </c>
      <c r="L5354" s="3">
        <v>7.8367249999999999E-2</v>
      </c>
    </row>
    <row r="5355" spans="1:12" x14ac:dyDescent="0.25">
      <c r="A5355" t="s">
        <v>735</v>
      </c>
      <c r="B5355" t="s">
        <v>736</v>
      </c>
      <c r="I5355" t="s">
        <v>737</v>
      </c>
      <c r="J5355" s="3">
        <v>-0.53635820000000001</v>
      </c>
      <c r="K5355" s="3">
        <v>-0.60206479999999996</v>
      </c>
      <c r="L5355" s="3">
        <v>-0.41969269999999997</v>
      </c>
    </row>
    <row r="5356" spans="1:12" x14ac:dyDescent="0.25">
      <c r="A5356" t="s">
        <v>732</v>
      </c>
      <c r="B5356" t="s">
        <v>733</v>
      </c>
      <c r="I5356" t="s">
        <v>734</v>
      </c>
      <c r="J5356" s="3">
        <v>-0.56106089999999997</v>
      </c>
      <c r="K5356" s="3">
        <v>-0.71533340000000001</v>
      </c>
      <c r="L5356" s="3">
        <v>-0.80645909999999998</v>
      </c>
    </row>
    <row r="5357" spans="1:12" x14ac:dyDescent="0.25">
      <c r="A5357" t="s">
        <v>729</v>
      </c>
      <c r="B5357" t="s">
        <v>730</v>
      </c>
      <c r="I5357" t="s">
        <v>731</v>
      </c>
      <c r="J5357" s="3">
        <v>-0.2214595</v>
      </c>
      <c r="K5357" s="3">
        <v>-0.17947959999999999</v>
      </c>
      <c r="L5357" s="3">
        <v>-0.30274519999999999</v>
      </c>
    </row>
    <row r="5358" spans="1:12" x14ac:dyDescent="0.25">
      <c r="A5358" t="s">
        <v>727</v>
      </c>
      <c r="B5358" t="s">
        <v>957</v>
      </c>
      <c r="I5358" t="s">
        <v>728</v>
      </c>
      <c r="J5358" s="3">
        <v>5.7484420000000001E-2</v>
      </c>
      <c r="K5358" s="3">
        <v>0.1473421</v>
      </c>
      <c r="L5358" s="3">
        <v>-0.32219029999999999</v>
      </c>
    </row>
    <row r="5359" spans="1:12" x14ac:dyDescent="0.25">
      <c r="A5359" t="s">
        <v>724</v>
      </c>
      <c r="B5359" t="s">
        <v>725</v>
      </c>
      <c r="I5359" t="s">
        <v>726</v>
      </c>
      <c r="J5359" s="3">
        <v>-0.19149240000000001</v>
      </c>
      <c r="K5359" s="3">
        <v>-0.92096230000000001</v>
      </c>
      <c r="L5359" s="3">
        <v>-0.18128040000000001</v>
      </c>
    </row>
    <row r="5360" spans="1:12" x14ac:dyDescent="0.25">
      <c r="A5360" t="s">
        <v>721</v>
      </c>
      <c r="B5360" t="s">
        <v>722</v>
      </c>
      <c r="I5360" t="s">
        <v>723</v>
      </c>
      <c r="J5360" s="3">
        <v>-0.43112099999999998</v>
      </c>
      <c r="K5360" s="3">
        <v>4.7374550000000001E-2</v>
      </c>
      <c r="L5360" s="3">
        <v>-0.42017520000000003</v>
      </c>
    </row>
    <row r="5361" spans="1:15" x14ac:dyDescent="0.25">
      <c r="A5361" t="s">
        <v>718</v>
      </c>
      <c r="B5361" t="s">
        <v>719</v>
      </c>
      <c r="I5361" t="s">
        <v>720</v>
      </c>
      <c r="J5361" s="3">
        <v>-1.287449E-3</v>
      </c>
      <c r="K5361" s="3">
        <v>-3.3300259999999998E-2</v>
      </c>
      <c r="L5361" s="3">
        <v>-0.24323210000000001</v>
      </c>
    </row>
    <row r="5362" spans="1:15" x14ac:dyDescent="0.25">
      <c r="A5362" t="s">
        <v>717</v>
      </c>
      <c r="B5362" t="s">
        <v>957</v>
      </c>
      <c r="I5362" t="s">
        <v>455</v>
      </c>
      <c r="J5362" s="3">
        <v>0.325291</v>
      </c>
      <c r="K5362" s="3">
        <v>0.20539360000000001</v>
      </c>
      <c r="L5362" s="3">
        <v>0.24579960000000001</v>
      </c>
    </row>
    <row r="5363" spans="1:15" x14ac:dyDescent="0.25">
      <c r="A5363" t="s">
        <v>714</v>
      </c>
      <c r="B5363" t="s">
        <v>715</v>
      </c>
      <c r="I5363" t="s">
        <v>716</v>
      </c>
      <c r="J5363" s="3">
        <v>0.51266319999999999</v>
      </c>
      <c r="K5363" s="3">
        <v>0.33547149999999998</v>
      </c>
      <c r="L5363" s="3">
        <v>0.52508350000000004</v>
      </c>
    </row>
    <row r="5364" spans="1:15" x14ac:dyDescent="0.25">
      <c r="A5364" t="s">
        <v>713</v>
      </c>
      <c r="B5364" t="s">
        <v>957</v>
      </c>
      <c r="I5364" t="s">
        <v>455</v>
      </c>
      <c r="J5364" s="3">
        <v>0.46014119999999997</v>
      </c>
      <c r="K5364" s="3">
        <v>0.96116480000000004</v>
      </c>
      <c r="L5364" s="3">
        <v>0.64159949999999999</v>
      </c>
    </row>
    <row r="5365" spans="1:15" x14ac:dyDescent="0.25">
      <c r="A5365" t="s">
        <v>710</v>
      </c>
      <c r="B5365" t="s">
        <v>711</v>
      </c>
      <c r="I5365" t="s">
        <v>712</v>
      </c>
      <c r="J5365" s="3">
        <v>0.41214590000000001</v>
      </c>
      <c r="K5365" s="3">
        <v>0.64602740000000003</v>
      </c>
      <c r="L5365" s="3">
        <v>0.49791800000000003</v>
      </c>
      <c r="O5365">
        <f>LOG(1.2)</f>
        <v>7.9181246047624818E-2</v>
      </c>
    </row>
    <row r="5366" spans="1:15" x14ac:dyDescent="0.25">
      <c r="A5366" t="s">
        <v>707</v>
      </c>
      <c r="B5366" t="s">
        <v>708</v>
      </c>
      <c r="I5366" t="s">
        <v>709</v>
      </c>
      <c r="J5366" s="3">
        <v>-0.58330000000000004</v>
      </c>
      <c r="K5366" s="3">
        <v>-1.091602</v>
      </c>
      <c r="L5366" s="3">
        <v>-0.58952850000000001</v>
      </c>
      <c r="O5366">
        <f>LOG(0.1)</f>
        <v>-1</v>
      </c>
    </row>
    <row r="5367" spans="1:15" x14ac:dyDescent="0.25">
      <c r="A5367" t="s">
        <v>107</v>
      </c>
      <c r="B5367" t="s">
        <v>108</v>
      </c>
      <c r="I5367" t="s">
        <v>706</v>
      </c>
      <c r="J5367" s="3">
        <v>-6.6272919999999999E-3</v>
      </c>
      <c r="K5367" s="3">
        <v>-0.33303369999999999</v>
      </c>
      <c r="L5367" s="3">
        <v>-1.9865020000000001E-2</v>
      </c>
    </row>
    <row r="5368" spans="1:15" x14ac:dyDescent="0.25">
      <c r="A5368" t="s">
        <v>104</v>
      </c>
      <c r="B5368" t="s">
        <v>105</v>
      </c>
      <c r="I5368" t="s">
        <v>106</v>
      </c>
      <c r="J5368" s="3">
        <v>0.31867279999999998</v>
      </c>
      <c r="K5368" s="3">
        <v>1.0807389999999999</v>
      </c>
      <c r="L5368" s="3">
        <v>0.40625630000000001</v>
      </c>
    </row>
    <row r="5369" spans="1:15" x14ac:dyDescent="0.25">
      <c r="A5369" t="s">
        <v>101</v>
      </c>
      <c r="B5369" t="s">
        <v>102</v>
      </c>
      <c r="I5369" t="s">
        <v>103</v>
      </c>
      <c r="J5369" s="3">
        <v>0.3918912</v>
      </c>
      <c r="K5369" s="3">
        <v>0.40165689999999998</v>
      </c>
      <c r="L5369" s="3">
        <v>0.53605380000000002</v>
      </c>
    </row>
    <row r="5370" spans="1:15" x14ac:dyDescent="0.25">
      <c r="A5370" t="s">
        <v>100</v>
      </c>
      <c r="B5370" t="s">
        <v>957</v>
      </c>
      <c r="I5370" t="s">
        <v>455</v>
      </c>
      <c r="J5370" s="3">
        <v>-7.5233990000000001E-2</v>
      </c>
      <c r="K5370" s="3">
        <v>-0.33310420000000002</v>
      </c>
      <c r="L5370" s="3">
        <v>-0.116198</v>
      </c>
    </row>
    <row r="5371" spans="1:15" x14ac:dyDescent="0.25">
      <c r="A5371" t="s">
        <v>97</v>
      </c>
      <c r="B5371" t="s">
        <v>98</v>
      </c>
      <c r="I5371" t="s">
        <v>99</v>
      </c>
      <c r="J5371" s="3">
        <v>-0.47960350000000002</v>
      </c>
      <c r="K5371" s="3">
        <v>-0.71478600000000003</v>
      </c>
      <c r="L5371" s="3">
        <v>-0.28248820000000002</v>
      </c>
    </row>
    <row r="5372" spans="1:15" x14ac:dyDescent="0.25">
      <c r="A5372" t="s">
        <v>94</v>
      </c>
      <c r="B5372" t="s">
        <v>95</v>
      </c>
      <c r="I5372" t="s">
        <v>96</v>
      </c>
      <c r="J5372" s="3">
        <v>0.31016199999999999</v>
      </c>
      <c r="K5372" s="3">
        <v>0.34747</v>
      </c>
      <c r="L5372" s="3">
        <v>0.34625980000000001</v>
      </c>
    </row>
    <row r="5373" spans="1:15" x14ac:dyDescent="0.25">
      <c r="A5373" t="s">
        <v>93</v>
      </c>
      <c r="B5373" t="s">
        <v>957</v>
      </c>
      <c r="I5373" t="s">
        <v>453</v>
      </c>
      <c r="J5373" s="3">
        <v>5.6185649999999997E-2</v>
      </c>
      <c r="K5373" s="3">
        <v>0.1006017</v>
      </c>
      <c r="L5373" s="3">
        <v>0.115175</v>
      </c>
    </row>
    <row r="5374" spans="1:15" x14ac:dyDescent="0.25">
      <c r="A5374" t="s">
        <v>90</v>
      </c>
      <c r="B5374" t="s">
        <v>91</v>
      </c>
      <c r="I5374" t="s">
        <v>92</v>
      </c>
      <c r="J5374" s="3">
        <v>0.21311720000000001</v>
      </c>
      <c r="K5374" s="3">
        <v>0.15619910000000001</v>
      </c>
      <c r="L5374" s="3">
        <v>0.29505609999999999</v>
      </c>
    </row>
    <row r="5375" spans="1:15" x14ac:dyDescent="0.25">
      <c r="A5375" t="s">
        <v>87</v>
      </c>
      <c r="B5375" t="s">
        <v>88</v>
      </c>
      <c r="I5375" t="s">
        <v>89</v>
      </c>
      <c r="J5375" s="3">
        <v>7.9005099999999995E-2</v>
      </c>
      <c r="K5375" s="3">
        <v>0.19481370000000001</v>
      </c>
      <c r="L5375" s="3">
        <v>-2.8892790000000002E-2</v>
      </c>
    </row>
    <row r="5376" spans="1:15" x14ac:dyDescent="0.25">
      <c r="A5376" t="s">
        <v>84</v>
      </c>
      <c r="B5376" t="s">
        <v>85</v>
      </c>
      <c r="I5376" t="s">
        <v>86</v>
      </c>
      <c r="J5376" s="3">
        <v>-1.17469</v>
      </c>
      <c r="K5376" s="3">
        <v>-1.2958609999999999</v>
      </c>
      <c r="L5376" s="3">
        <v>-0.91788409999999998</v>
      </c>
    </row>
    <row r="5377" spans="1:12" x14ac:dyDescent="0.25">
      <c r="A5377" t="s">
        <v>81</v>
      </c>
      <c r="B5377" t="s">
        <v>82</v>
      </c>
      <c r="I5377" t="s">
        <v>83</v>
      </c>
      <c r="J5377" s="3">
        <v>-3.5769700000000001E-3</v>
      </c>
      <c r="K5377" s="3">
        <v>-0.55468740000000005</v>
      </c>
      <c r="L5377" s="3">
        <v>-0.35015550000000001</v>
      </c>
    </row>
    <row r="5378" spans="1:12" x14ac:dyDescent="0.25">
      <c r="A5378" t="s">
        <v>78</v>
      </c>
      <c r="B5378" t="s">
        <v>79</v>
      </c>
      <c r="I5378" t="s">
        <v>80</v>
      </c>
      <c r="J5378" s="3">
        <v>3.4958080000000002E-2</v>
      </c>
      <c r="K5378" s="3">
        <v>-0.1160066</v>
      </c>
      <c r="L5378" s="3">
        <v>2.711945E-2</v>
      </c>
    </row>
    <row r="5379" spans="1:12" x14ac:dyDescent="0.25">
      <c r="A5379" t="s">
        <v>77</v>
      </c>
      <c r="B5379" t="s">
        <v>957</v>
      </c>
      <c r="I5379" t="s">
        <v>455</v>
      </c>
      <c r="J5379" s="3">
        <v>-0.5410123</v>
      </c>
      <c r="K5379" s="3">
        <v>-0.65481880000000003</v>
      </c>
      <c r="L5379" s="3">
        <v>-0.3025621</v>
      </c>
    </row>
    <row r="5380" spans="1:12" x14ac:dyDescent="0.25">
      <c r="A5380" t="s">
        <v>74</v>
      </c>
      <c r="B5380" t="s">
        <v>75</v>
      </c>
      <c r="I5380" t="s">
        <v>76</v>
      </c>
      <c r="J5380" s="3">
        <v>0.69724640000000004</v>
      </c>
      <c r="K5380" s="3">
        <v>0.22094900000000001</v>
      </c>
      <c r="L5380" s="3">
        <v>0.35577330000000001</v>
      </c>
    </row>
    <row r="5381" spans="1:12" x14ac:dyDescent="0.25">
      <c r="A5381" t="s">
        <v>71</v>
      </c>
      <c r="B5381" t="s">
        <v>72</v>
      </c>
      <c r="I5381" t="s">
        <v>73</v>
      </c>
      <c r="J5381" s="3">
        <v>0.71358239999999995</v>
      </c>
      <c r="K5381" s="3">
        <v>-6.5141569999999996E-2</v>
      </c>
      <c r="L5381" s="3">
        <v>0.39002219999999999</v>
      </c>
    </row>
    <row r="5382" spans="1:12" x14ac:dyDescent="0.25">
      <c r="A5382" t="s">
        <v>68</v>
      </c>
      <c r="B5382" t="s">
        <v>69</v>
      </c>
      <c r="I5382" t="s">
        <v>70</v>
      </c>
      <c r="J5382" s="3">
        <v>9.2146530000000004E-2</v>
      </c>
      <c r="K5382" s="3">
        <v>-0.21316460000000001</v>
      </c>
      <c r="L5382" s="3">
        <v>7.5863979999999998E-2</v>
      </c>
    </row>
    <row r="5383" spans="1:12" x14ac:dyDescent="0.25">
      <c r="A5383" t="s">
        <v>67</v>
      </c>
      <c r="B5383" t="s">
        <v>957</v>
      </c>
      <c r="I5383" t="s">
        <v>455</v>
      </c>
      <c r="J5383" s="3">
        <v>-0.23035530000000001</v>
      </c>
      <c r="K5383" s="3">
        <v>0.22692580000000001</v>
      </c>
      <c r="L5383" s="3">
        <v>5.1284059999999999E-2</v>
      </c>
    </row>
    <row r="5384" spans="1:12" x14ac:dyDescent="0.25">
      <c r="A5384" t="s">
        <v>64</v>
      </c>
      <c r="B5384" t="s">
        <v>65</v>
      </c>
      <c r="I5384" t="s">
        <v>66</v>
      </c>
      <c r="J5384" s="3">
        <v>-0.18995300000000001</v>
      </c>
      <c r="K5384" s="3">
        <v>-5.1557819999999997E-2</v>
      </c>
      <c r="L5384" s="3">
        <v>0.57748359999999999</v>
      </c>
    </row>
    <row r="5385" spans="1:12" x14ac:dyDescent="0.25">
      <c r="A5385" t="s">
        <v>61</v>
      </c>
      <c r="B5385" t="s">
        <v>62</v>
      </c>
      <c r="I5385" t="s">
        <v>63</v>
      </c>
      <c r="J5385" s="3">
        <v>-6.7433870000000007E-2</v>
      </c>
      <c r="K5385" s="3">
        <v>-0.28370380000000001</v>
      </c>
      <c r="L5385" s="3">
        <v>-0.29051529999999998</v>
      </c>
    </row>
    <row r="5386" spans="1:12" x14ac:dyDescent="0.25">
      <c r="A5386" t="s">
        <v>670</v>
      </c>
      <c r="B5386" t="s">
        <v>671</v>
      </c>
      <c r="I5386" t="s">
        <v>60</v>
      </c>
      <c r="J5386" s="3">
        <v>1.071761</v>
      </c>
      <c r="K5386" s="3">
        <v>1.733071</v>
      </c>
      <c r="L5386" s="3">
        <v>0.41741729999999999</v>
      </c>
    </row>
    <row r="5387" spans="1:12" x14ac:dyDescent="0.25">
      <c r="A5387" t="s">
        <v>669</v>
      </c>
      <c r="B5387" t="s">
        <v>957</v>
      </c>
      <c r="I5387" t="s">
        <v>475</v>
      </c>
      <c r="J5387" s="3">
        <v>0.2532779</v>
      </c>
      <c r="K5387" s="3">
        <v>0.27069650000000001</v>
      </c>
      <c r="L5387" s="3">
        <v>0.12343519999999999</v>
      </c>
    </row>
    <row r="5388" spans="1:12" x14ac:dyDescent="0.25">
      <c r="A5388" t="s">
        <v>666</v>
      </c>
      <c r="B5388" t="s">
        <v>667</v>
      </c>
      <c r="I5388" t="s">
        <v>668</v>
      </c>
      <c r="J5388" s="3">
        <v>0.3480782</v>
      </c>
      <c r="K5388" s="3">
        <v>0.14994499999999999</v>
      </c>
      <c r="L5388" s="3">
        <v>0.2291665</v>
      </c>
    </row>
    <row r="5389" spans="1:12" x14ac:dyDescent="0.25">
      <c r="A5389" t="s">
        <v>665</v>
      </c>
      <c r="B5389" t="s">
        <v>957</v>
      </c>
      <c r="I5389" t="s">
        <v>455</v>
      </c>
      <c r="J5389" s="3">
        <v>-1.4262210000000001E-2</v>
      </c>
      <c r="K5389" s="3">
        <v>0.12783340000000001</v>
      </c>
      <c r="L5389" s="3">
        <v>3.5638480000000001E-3</v>
      </c>
    </row>
    <row r="5390" spans="1:12" x14ac:dyDescent="0.25">
      <c r="A5390" t="s">
        <v>662</v>
      </c>
      <c r="B5390" t="s">
        <v>663</v>
      </c>
      <c r="I5390" t="s">
        <v>664</v>
      </c>
      <c r="J5390" s="3">
        <v>0.15581619999999999</v>
      </c>
      <c r="K5390" s="3">
        <v>-0.10916579999999999</v>
      </c>
      <c r="L5390" s="3">
        <v>-3.4985299999999997E-2</v>
      </c>
    </row>
    <row r="5391" spans="1:12" x14ac:dyDescent="0.25">
      <c r="A5391" t="s">
        <v>659</v>
      </c>
      <c r="B5391" t="s">
        <v>660</v>
      </c>
      <c r="I5391" t="s">
        <v>661</v>
      </c>
      <c r="J5391" s="3">
        <v>-4.268243E-2</v>
      </c>
      <c r="K5391" s="3">
        <v>-6.6996539999999993E-2</v>
      </c>
      <c r="L5391" s="3">
        <v>-3.7107929999999997E-2</v>
      </c>
    </row>
    <row r="5392" spans="1:12" x14ac:dyDescent="0.25">
      <c r="A5392" t="s">
        <v>656</v>
      </c>
      <c r="B5392" t="s">
        <v>657</v>
      </c>
      <c r="I5392" t="s">
        <v>658</v>
      </c>
      <c r="J5392" s="3">
        <v>0.14706929999999999</v>
      </c>
      <c r="K5392" s="3">
        <v>1.558775</v>
      </c>
      <c r="L5392" s="3">
        <v>0.49137130000000001</v>
      </c>
    </row>
    <row r="5393" spans="1:12" x14ac:dyDescent="0.25">
      <c r="A5393" t="s">
        <v>653</v>
      </c>
      <c r="B5393" t="s">
        <v>654</v>
      </c>
      <c r="I5393" t="s">
        <v>655</v>
      </c>
      <c r="J5393" s="3">
        <v>-0.20868800000000001</v>
      </c>
      <c r="K5393" s="3">
        <v>0.1840514</v>
      </c>
      <c r="L5393" s="3">
        <v>-0.43846010000000002</v>
      </c>
    </row>
    <row r="5394" spans="1:12" x14ac:dyDescent="0.25">
      <c r="A5394" t="s">
        <v>651</v>
      </c>
      <c r="B5394" t="s">
        <v>652</v>
      </c>
      <c r="I5394" t="s">
        <v>593</v>
      </c>
      <c r="J5394" s="3">
        <v>-0.54355980000000004</v>
      </c>
      <c r="K5394" s="3">
        <v>-1.1142540000000001</v>
      </c>
      <c r="L5394" s="3">
        <v>-0.71362729999999996</v>
      </c>
    </row>
    <row r="5395" spans="1:12" x14ac:dyDescent="0.25">
      <c r="A5395" t="s">
        <v>648</v>
      </c>
      <c r="B5395" t="s">
        <v>649</v>
      </c>
      <c r="I5395" t="s">
        <v>650</v>
      </c>
      <c r="J5395" s="3">
        <v>-0.2645942</v>
      </c>
      <c r="K5395" s="3">
        <v>-0.61342770000000002</v>
      </c>
      <c r="L5395" s="3">
        <v>-0.30221219999999999</v>
      </c>
    </row>
    <row r="5396" spans="1:12" x14ac:dyDescent="0.25">
      <c r="A5396" t="s">
        <v>645</v>
      </c>
      <c r="B5396" t="s">
        <v>646</v>
      </c>
      <c r="I5396" t="s">
        <v>647</v>
      </c>
      <c r="J5396" s="3">
        <v>-0.41672579999999998</v>
      </c>
      <c r="K5396" s="3">
        <v>2.25336E-4</v>
      </c>
      <c r="L5396" s="3">
        <v>-0.42724040000000002</v>
      </c>
    </row>
    <row r="5397" spans="1:12" x14ac:dyDescent="0.25">
      <c r="A5397" t="s">
        <v>643</v>
      </c>
      <c r="B5397" t="s">
        <v>957</v>
      </c>
      <c r="I5397" t="s">
        <v>644</v>
      </c>
      <c r="J5397" s="3">
        <v>-0.20680760000000001</v>
      </c>
      <c r="K5397" s="3">
        <v>-0.17278379999999999</v>
      </c>
      <c r="L5397" s="3">
        <v>-4.1300280000000002E-2</v>
      </c>
    </row>
    <row r="5398" spans="1:12" x14ac:dyDescent="0.25">
      <c r="A5398" t="s">
        <v>640</v>
      </c>
      <c r="B5398" t="s">
        <v>641</v>
      </c>
      <c r="I5398" t="s">
        <v>642</v>
      </c>
      <c r="J5398" s="3">
        <v>0.80270549999999996</v>
      </c>
      <c r="K5398" s="3">
        <v>0.5491433</v>
      </c>
      <c r="L5398" s="3">
        <v>0.42102420000000002</v>
      </c>
    </row>
    <row r="5399" spans="1:12" x14ac:dyDescent="0.25">
      <c r="A5399" t="s">
        <v>637</v>
      </c>
      <c r="B5399" t="s">
        <v>638</v>
      </c>
      <c r="I5399" t="s">
        <v>639</v>
      </c>
      <c r="J5399" s="3">
        <v>-0.34210620000000003</v>
      </c>
      <c r="K5399" s="3">
        <v>-0.58825570000000005</v>
      </c>
      <c r="L5399" s="3">
        <v>-0.20766109999999999</v>
      </c>
    </row>
    <row r="5400" spans="1:12" x14ac:dyDescent="0.25">
      <c r="A5400" t="s">
        <v>634</v>
      </c>
      <c r="B5400" t="s">
        <v>635</v>
      </c>
      <c r="I5400" t="s">
        <v>636</v>
      </c>
      <c r="J5400" s="3">
        <v>6.4456920000000001E-2</v>
      </c>
      <c r="K5400" s="3">
        <v>9.5059059999999997E-3</v>
      </c>
      <c r="L5400" s="3">
        <v>1.6007159999999999E-2</v>
      </c>
    </row>
    <row r="5401" spans="1:12" x14ac:dyDescent="0.25">
      <c r="A5401" t="s">
        <v>631</v>
      </c>
      <c r="B5401" t="s">
        <v>632</v>
      </c>
      <c r="I5401" t="s">
        <v>633</v>
      </c>
      <c r="J5401" s="3">
        <v>7.5959690000000002E-3</v>
      </c>
      <c r="K5401" s="3">
        <v>-0.55141490000000004</v>
      </c>
      <c r="L5401" s="3">
        <v>-0.1152338</v>
      </c>
    </row>
    <row r="5402" spans="1:12" x14ac:dyDescent="0.25">
      <c r="A5402" t="s">
        <v>628</v>
      </c>
      <c r="B5402" t="s">
        <v>629</v>
      </c>
      <c r="I5402" t="s">
        <v>630</v>
      </c>
      <c r="J5402" s="3">
        <v>-0.19518160000000001</v>
      </c>
      <c r="K5402" s="3">
        <v>-0.98819840000000003</v>
      </c>
      <c r="L5402" s="3">
        <v>-0.18829879999999999</v>
      </c>
    </row>
    <row r="5403" spans="1:12" x14ac:dyDescent="0.25">
      <c r="A5403" t="s">
        <v>627</v>
      </c>
      <c r="B5403" t="s">
        <v>957</v>
      </c>
      <c r="I5403" t="s">
        <v>455</v>
      </c>
      <c r="J5403" s="3">
        <v>-0.231542</v>
      </c>
      <c r="K5403" s="3">
        <v>0.23831269999999999</v>
      </c>
      <c r="L5403" s="3">
        <v>-0.15506329999999999</v>
      </c>
    </row>
    <row r="5404" spans="1:12" x14ac:dyDescent="0.25">
      <c r="A5404" t="s">
        <v>625</v>
      </c>
      <c r="B5404" t="s">
        <v>957</v>
      </c>
      <c r="I5404" t="s">
        <v>626</v>
      </c>
      <c r="J5404" s="3">
        <v>-0.1874826</v>
      </c>
      <c r="K5404" s="3">
        <v>-7.1497160000000004E-2</v>
      </c>
      <c r="L5404" s="3">
        <v>-0.2495966</v>
      </c>
    </row>
    <row r="5405" spans="1:12" x14ac:dyDescent="0.25">
      <c r="A5405" t="s">
        <v>624</v>
      </c>
      <c r="B5405" t="s">
        <v>957</v>
      </c>
      <c r="I5405" t="s">
        <v>455</v>
      </c>
      <c r="J5405" s="3">
        <v>-0.22136539999999999</v>
      </c>
      <c r="K5405" s="3">
        <v>-2.077994E-2</v>
      </c>
      <c r="L5405" s="3">
        <v>-0.1530608</v>
      </c>
    </row>
    <row r="5406" spans="1:12" x14ac:dyDescent="0.25">
      <c r="A5406" t="s">
        <v>621</v>
      </c>
      <c r="B5406" t="s">
        <v>622</v>
      </c>
      <c r="I5406" t="s">
        <v>623</v>
      </c>
      <c r="J5406" s="3">
        <v>0.57380430000000004</v>
      </c>
      <c r="K5406" s="3">
        <v>0.15403459999999999</v>
      </c>
      <c r="L5406" s="3">
        <v>0.74308419999999997</v>
      </c>
    </row>
    <row r="5407" spans="1:12" x14ac:dyDescent="0.25">
      <c r="A5407" t="s">
        <v>618</v>
      </c>
      <c r="B5407" t="s">
        <v>619</v>
      </c>
      <c r="I5407" t="s">
        <v>620</v>
      </c>
      <c r="J5407" s="3">
        <v>1.855157E-2</v>
      </c>
      <c r="K5407" s="3">
        <v>0.1201402</v>
      </c>
      <c r="L5407" s="3">
        <v>0.25281100000000001</v>
      </c>
    </row>
    <row r="5408" spans="1:12" x14ac:dyDescent="0.25">
      <c r="A5408" t="s">
        <v>615</v>
      </c>
      <c r="B5408" t="s">
        <v>616</v>
      </c>
      <c r="I5408" t="s">
        <v>617</v>
      </c>
      <c r="J5408" s="3">
        <v>0.29604219999999998</v>
      </c>
      <c r="K5408" s="3">
        <v>0.2103719</v>
      </c>
      <c r="L5408" s="3">
        <v>-7.4746729999999997E-2</v>
      </c>
    </row>
    <row r="5409" spans="1:12" x14ac:dyDescent="0.25">
      <c r="A5409" t="s">
        <v>613</v>
      </c>
      <c r="B5409" t="s">
        <v>957</v>
      </c>
      <c r="I5409" t="s">
        <v>614</v>
      </c>
      <c r="J5409" s="3">
        <v>-0.47718250000000001</v>
      </c>
      <c r="K5409" s="3">
        <v>-0.2276793</v>
      </c>
      <c r="L5409" s="3">
        <v>-0.43074390000000001</v>
      </c>
    </row>
    <row r="5410" spans="1:12" x14ac:dyDescent="0.25">
      <c r="A5410" t="s">
        <v>1599</v>
      </c>
      <c r="B5410" t="s">
        <v>1600</v>
      </c>
      <c r="I5410" t="s">
        <v>612</v>
      </c>
      <c r="J5410" s="3">
        <v>-0.7868773</v>
      </c>
      <c r="K5410" s="3">
        <v>0.55760719999999997</v>
      </c>
      <c r="L5410" s="3">
        <v>-0.28651450000000001</v>
      </c>
    </row>
    <row r="5411" spans="1:12" x14ac:dyDescent="0.25">
      <c r="A5411" t="s">
        <v>1596</v>
      </c>
      <c r="B5411" t="s">
        <v>1597</v>
      </c>
      <c r="I5411" t="s">
        <v>1598</v>
      </c>
      <c r="J5411" s="3">
        <v>-0.19375100000000001</v>
      </c>
      <c r="K5411" s="3">
        <v>-0.31436720000000001</v>
      </c>
      <c r="L5411" s="3">
        <v>-0.21394009999999999</v>
      </c>
    </row>
    <row r="5412" spans="1:12" x14ac:dyDescent="0.25">
      <c r="A5412" t="s">
        <v>1595</v>
      </c>
      <c r="B5412" t="s">
        <v>957</v>
      </c>
      <c r="I5412" t="s">
        <v>455</v>
      </c>
      <c r="J5412" s="3">
        <v>3.4443460000000002E-2</v>
      </c>
      <c r="K5412" s="3">
        <v>-0.45270840000000001</v>
      </c>
      <c r="L5412" s="3">
        <v>0.1805157</v>
      </c>
    </row>
    <row r="5413" spans="1:12" x14ac:dyDescent="0.25">
      <c r="A5413" t="s">
        <v>1592</v>
      </c>
      <c r="B5413" t="s">
        <v>1593</v>
      </c>
      <c r="I5413" t="s">
        <v>1594</v>
      </c>
      <c r="J5413" s="3">
        <v>-0.27613270000000001</v>
      </c>
      <c r="K5413" s="3">
        <v>-0.1322122</v>
      </c>
      <c r="L5413" s="3">
        <v>0.21104149999999999</v>
      </c>
    </row>
    <row r="5414" spans="1:12" x14ac:dyDescent="0.25">
      <c r="A5414" t="s">
        <v>1589</v>
      </c>
      <c r="B5414" t="s">
        <v>1590</v>
      </c>
      <c r="I5414" t="s">
        <v>1591</v>
      </c>
      <c r="J5414" s="3">
        <v>-7.4162779999999998E-2</v>
      </c>
      <c r="K5414" s="3">
        <v>-0.66816410000000004</v>
      </c>
      <c r="L5414" s="3">
        <v>-0.13302040000000001</v>
      </c>
    </row>
    <row r="5415" spans="1:12" x14ac:dyDescent="0.25">
      <c r="A5415" t="s">
        <v>1586</v>
      </c>
      <c r="B5415" t="s">
        <v>1587</v>
      </c>
      <c r="I5415" t="s">
        <v>1588</v>
      </c>
      <c r="J5415" s="3">
        <v>0.24110760000000001</v>
      </c>
      <c r="K5415" s="3">
        <v>-0.3767258</v>
      </c>
      <c r="L5415" s="3">
        <v>-3.4708650000000001E-2</v>
      </c>
    </row>
    <row r="5416" spans="1:12" x14ac:dyDescent="0.25">
      <c r="A5416" t="s">
        <v>1583</v>
      </c>
      <c r="B5416" t="s">
        <v>1584</v>
      </c>
      <c r="I5416" t="s">
        <v>1585</v>
      </c>
      <c r="J5416" s="3">
        <v>-5.97993E-2</v>
      </c>
      <c r="K5416" s="3">
        <v>-0.75119389999999997</v>
      </c>
      <c r="L5416" s="3">
        <v>-0.15403049999999999</v>
      </c>
    </row>
    <row r="5417" spans="1:12" x14ac:dyDescent="0.25">
      <c r="A5417" t="s">
        <v>1580</v>
      </c>
      <c r="B5417" t="s">
        <v>1581</v>
      </c>
      <c r="I5417" t="s">
        <v>1582</v>
      </c>
      <c r="J5417" s="3">
        <v>-0.50971330000000004</v>
      </c>
      <c r="K5417" s="3">
        <v>-0.70546160000000002</v>
      </c>
      <c r="L5417" s="3">
        <v>-0.119048</v>
      </c>
    </row>
    <row r="5418" spans="1:12" x14ac:dyDescent="0.25">
      <c r="A5418" t="s">
        <v>1579</v>
      </c>
      <c r="B5418" t="s">
        <v>957</v>
      </c>
      <c r="I5418" t="s">
        <v>455</v>
      </c>
      <c r="J5418" s="3">
        <v>-0.1625984</v>
      </c>
      <c r="K5418" s="3">
        <v>-0.97549810000000003</v>
      </c>
      <c r="L5418" s="3">
        <v>2.2936640000000001E-2</v>
      </c>
    </row>
    <row r="5419" spans="1:12" x14ac:dyDescent="0.25">
      <c r="A5419" t="s">
        <v>1576</v>
      </c>
      <c r="B5419" t="s">
        <v>1577</v>
      </c>
      <c r="I5419" t="s">
        <v>1578</v>
      </c>
      <c r="J5419" s="3">
        <v>-1.112134</v>
      </c>
      <c r="K5419" s="3">
        <v>-0.65099910000000005</v>
      </c>
      <c r="L5419" s="3">
        <v>-0.59901720000000003</v>
      </c>
    </row>
    <row r="5420" spans="1:12" x14ac:dyDescent="0.25">
      <c r="A5420" t="s">
        <v>1575</v>
      </c>
      <c r="B5420" t="s">
        <v>957</v>
      </c>
      <c r="I5420" t="s">
        <v>455</v>
      </c>
      <c r="J5420" s="3">
        <v>-1.0059309999999999</v>
      </c>
      <c r="K5420" s="3">
        <v>-1.1634260000000001</v>
      </c>
      <c r="L5420" s="3">
        <v>-0.90194289999999999</v>
      </c>
    </row>
    <row r="5421" spans="1:12" x14ac:dyDescent="0.25">
      <c r="A5421" t="s">
        <v>1572</v>
      </c>
      <c r="B5421" t="s">
        <v>1573</v>
      </c>
      <c r="I5421" t="s">
        <v>1574</v>
      </c>
      <c r="J5421" s="3">
        <v>0.12760299999999999</v>
      </c>
      <c r="K5421" s="3">
        <v>-0.27538449999999998</v>
      </c>
      <c r="L5421" s="3">
        <v>9.907529E-3</v>
      </c>
    </row>
    <row r="5422" spans="1:12" x14ac:dyDescent="0.25">
      <c r="A5422" t="s">
        <v>1569</v>
      </c>
      <c r="B5422" t="s">
        <v>1570</v>
      </c>
      <c r="I5422" t="s">
        <v>1571</v>
      </c>
      <c r="J5422" s="3">
        <v>0.153447</v>
      </c>
      <c r="K5422" s="3">
        <v>0.102329</v>
      </c>
      <c r="L5422" s="3">
        <v>9.0027839999999998E-2</v>
      </c>
    </row>
    <row r="5423" spans="1:12" x14ac:dyDescent="0.25">
      <c r="A5423" t="s">
        <v>574</v>
      </c>
      <c r="B5423" t="s">
        <v>575</v>
      </c>
      <c r="I5423" t="s">
        <v>1568</v>
      </c>
      <c r="J5423" s="3">
        <v>0.1332479</v>
      </c>
      <c r="K5423" s="3">
        <v>-0.6510203</v>
      </c>
      <c r="L5423" s="3">
        <v>-0.13584650000000001</v>
      </c>
    </row>
    <row r="5424" spans="1:12" x14ac:dyDescent="0.25">
      <c r="A5424" t="s">
        <v>572</v>
      </c>
      <c r="B5424" t="s">
        <v>957</v>
      </c>
      <c r="I5424" t="s">
        <v>573</v>
      </c>
      <c r="J5424" s="3">
        <v>0.28500189999999997</v>
      </c>
      <c r="K5424" s="3">
        <v>0.43961139999999999</v>
      </c>
      <c r="L5424" s="3">
        <v>0.35104600000000002</v>
      </c>
    </row>
    <row r="5425" spans="1:12" x14ac:dyDescent="0.25">
      <c r="A5425" t="s">
        <v>570</v>
      </c>
      <c r="B5425" t="s">
        <v>957</v>
      </c>
      <c r="I5425" t="s">
        <v>571</v>
      </c>
      <c r="J5425" s="3">
        <v>-0.9649103</v>
      </c>
      <c r="K5425" s="3">
        <v>-1.4381269999999999</v>
      </c>
      <c r="L5425" s="3">
        <v>-1.018999</v>
      </c>
    </row>
    <row r="5426" spans="1:12" x14ac:dyDescent="0.25">
      <c r="A5426" t="s">
        <v>569</v>
      </c>
      <c r="B5426" t="s">
        <v>957</v>
      </c>
      <c r="I5426" t="s">
        <v>455</v>
      </c>
      <c r="J5426" s="3">
        <v>-0.2366994</v>
      </c>
      <c r="K5426" s="3">
        <v>4.0702820000000001E-2</v>
      </c>
      <c r="L5426" s="3">
        <v>-0.15278929999999999</v>
      </c>
    </row>
    <row r="5427" spans="1:12" x14ac:dyDescent="0.25">
      <c r="A5427" t="s">
        <v>566</v>
      </c>
      <c r="B5427" t="s">
        <v>567</v>
      </c>
      <c r="I5427" t="s">
        <v>568</v>
      </c>
      <c r="J5427" s="3">
        <v>-0.1391723</v>
      </c>
      <c r="K5427" s="3">
        <v>-0.2817038</v>
      </c>
      <c r="L5427" s="3">
        <v>-9.9214720000000006E-2</v>
      </c>
    </row>
    <row r="5428" spans="1:12" x14ac:dyDescent="0.25">
      <c r="A5428" t="s">
        <v>564</v>
      </c>
      <c r="B5428" t="s">
        <v>565</v>
      </c>
      <c r="I5428" t="s">
        <v>1477</v>
      </c>
      <c r="J5428" s="3">
        <v>-0.17670939999999999</v>
      </c>
      <c r="K5428" s="3">
        <v>-0.82955199999999996</v>
      </c>
      <c r="L5428" s="3">
        <v>-0.38198579999999999</v>
      </c>
    </row>
    <row r="5429" spans="1:12" x14ac:dyDescent="0.25">
      <c r="A5429" t="s">
        <v>561</v>
      </c>
      <c r="B5429" t="s">
        <v>562</v>
      </c>
      <c r="I5429" t="s">
        <v>563</v>
      </c>
      <c r="J5429" s="3">
        <v>1.210692E-2</v>
      </c>
      <c r="K5429" s="3">
        <v>0.36496840000000003</v>
      </c>
      <c r="L5429" s="3">
        <v>6.0065350000000003E-2</v>
      </c>
    </row>
    <row r="5430" spans="1:12" x14ac:dyDescent="0.25">
      <c r="A5430" t="s">
        <v>558</v>
      </c>
      <c r="B5430" t="s">
        <v>559</v>
      </c>
      <c r="I5430" t="s">
        <v>560</v>
      </c>
      <c r="J5430" s="3">
        <v>0.23864060000000001</v>
      </c>
      <c r="K5430" s="3">
        <v>-5.2718099999999997E-2</v>
      </c>
      <c r="L5430" s="3">
        <v>0.1008573</v>
      </c>
    </row>
    <row r="5431" spans="1:12" x14ac:dyDescent="0.25">
      <c r="A5431" t="s">
        <v>555</v>
      </c>
      <c r="B5431" t="s">
        <v>556</v>
      </c>
      <c r="I5431" t="s">
        <v>557</v>
      </c>
      <c r="J5431" s="3">
        <v>-0.3728167</v>
      </c>
      <c r="K5431" s="3">
        <v>-0.57364689999999996</v>
      </c>
      <c r="L5431" s="3">
        <v>-6.9227739999999996E-2</v>
      </c>
    </row>
    <row r="5432" spans="1:12" x14ac:dyDescent="0.25">
      <c r="A5432" t="s">
        <v>552</v>
      </c>
      <c r="B5432" t="s">
        <v>553</v>
      </c>
      <c r="I5432" t="s">
        <v>554</v>
      </c>
      <c r="J5432" s="3">
        <v>-1.8137219999999999E-2</v>
      </c>
      <c r="K5432" s="3">
        <v>0.15294469999999999</v>
      </c>
      <c r="L5432" s="3">
        <v>-1.4170099999999999E-4</v>
      </c>
    </row>
    <row r="5433" spans="1:12" x14ac:dyDescent="0.25">
      <c r="A5433" t="s">
        <v>549</v>
      </c>
      <c r="B5433" t="s">
        <v>550</v>
      </c>
      <c r="I5433" t="s">
        <v>551</v>
      </c>
      <c r="J5433" s="3">
        <v>-0.33260780000000001</v>
      </c>
      <c r="K5433" s="3">
        <v>-0.77896759999999998</v>
      </c>
      <c r="L5433" s="3">
        <v>-0.52517639999999999</v>
      </c>
    </row>
    <row r="5434" spans="1:12" x14ac:dyDescent="0.25">
      <c r="A5434" t="s">
        <v>548</v>
      </c>
      <c r="B5434" t="s">
        <v>957</v>
      </c>
      <c r="I5434" t="s">
        <v>455</v>
      </c>
      <c r="J5434" s="3">
        <v>0.212754</v>
      </c>
      <c r="K5434" s="3">
        <v>0.37046829999999997</v>
      </c>
      <c r="L5434" s="3">
        <v>4.0629440000000003E-2</v>
      </c>
    </row>
    <row r="5435" spans="1:12" x14ac:dyDescent="0.25">
      <c r="A5435" t="s">
        <v>545</v>
      </c>
      <c r="B5435" t="s">
        <v>546</v>
      </c>
      <c r="I5435" t="s">
        <v>547</v>
      </c>
      <c r="J5435" s="3">
        <v>-0.43580790000000003</v>
      </c>
      <c r="K5435" s="3">
        <v>-0.65371140000000005</v>
      </c>
      <c r="L5435" s="3">
        <v>-0.14231009999999999</v>
      </c>
    </row>
    <row r="5436" spans="1:12" x14ac:dyDescent="0.25">
      <c r="A5436" t="s">
        <v>542</v>
      </c>
      <c r="B5436" t="s">
        <v>543</v>
      </c>
      <c r="I5436" t="s">
        <v>544</v>
      </c>
      <c r="J5436" s="3">
        <v>-7.1839810000000004E-2</v>
      </c>
      <c r="K5436" s="3">
        <v>-9.3196219999999996E-2</v>
      </c>
      <c r="L5436" s="3">
        <v>6.2797270000000002E-2</v>
      </c>
    </row>
    <row r="5437" spans="1:12" x14ac:dyDescent="0.25">
      <c r="A5437" t="s">
        <v>539</v>
      </c>
      <c r="B5437" t="s">
        <v>540</v>
      </c>
      <c r="I5437" t="s">
        <v>541</v>
      </c>
      <c r="J5437" s="3">
        <v>0.40785500000000002</v>
      </c>
      <c r="K5437" s="3">
        <v>0.31319409999999998</v>
      </c>
      <c r="L5437" s="3">
        <v>0.1845842</v>
      </c>
    </row>
    <row r="5438" spans="1:12" x14ac:dyDescent="0.25">
      <c r="A5438" t="s">
        <v>537</v>
      </c>
      <c r="B5438" t="s">
        <v>957</v>
      </c>
      <c r="I5438" t="s">
        <v>538</v>
      </c>
      <c r="J5438" s="3">
        <v>0.21639320000000001</v>
      </c>
      <c r="K5438" s="3">
        <v>-9.558005E-2</v>
      </c>
      <c r="L5438" s="3">
        <v>-0.32248270000000001</v>
      </c>
    </row>
    <row r="5439" spans="1:12" x14ac:dyDescent="0.25">
      <c r="A5439" t="s">
        <v>535</v>
      </c>
      <c r="B5439" t="s">
        <v>957</v>
      </c>
      <c r="I5439" t="s">
        <v>536</v>
      </c>
      <c r="J5439" s="3">
        <v>0.43914069999999999</v>
      </c>
      <c r="K5439" s="3">
        <v>0.39979900000000002</v>
      </c>
      <c r="L5439" s="3">
        <v>0.1179355</v>
      </c>
    </row>
    <row r="5440" spans="1:12" x14ac:dyDescent="0.25">
      <c r="A5440" t="s">
        <v>532</v>
      </c>
      <c r="B5440" t="s">
        <v>533</v>
      </c>
      <c r="I5440" t="s">
        <v>534</v>
      </c>
      <c r="J5440" s="3">
        <v>2.3375309999999998</v>
      </c>
      <c r="K5440" s="3">
        <v>2.3426260000000001</v>
      </c>
      <c r="L5440" s="3">
        <v>2.1395390000000001</v>
      </c>
    </row>
    <row r="5441" spans="1:12" x14ac:dyDescent="0.25">
      <c r="A5441" t="s">
        <v>529</v>
      </c>
      <c r="B5441" t="s">
        <v>530</v>
      </c>
      <c r="I5441" t="s">
        <v>531</v>
      </c>
      <c r="J5441" s="3">
        <v>-0.33865499999999998</v>
      </c>
      <c r="K5441" s="3">
        <v>4.882616E-2</v>
      </c>
      <c r="L5441" s="3">
        <v>-0.20354240000000001</v>
      </c>
    </row>
    <row r="5442" spans="1:12" x14ac:dyDescent="0.25">
      <c r="A5442" t="s">
        <v>528</v>
      </c>
      <c r="B5442" t="s">
        <v>957</v>
      </c>
      <c r="I5442" t="s">
        <v>455</v>
      </c>
      <c r="J5442" s="3">
        <v>7.9826220000000003E-2</v>
      </c>
      <c r="K5442" s="3">
        <v>7.3606969999999994E-2</v>
      </c>
      <c r="L5442" s="3">
        <v>4.7276569999999997E-2</v>
      </c>
    </row>
    <row r="5443" spans="1:12" x14ac:dyDescent="0.25">
      <c r="A5443" t="s">
        <v>525</v>
      </c>
      <c r="B5443" t="s">
        <v>526</v>
      </c>
      <c r="I5443" t="s">
        <v>527</v>
      </c>
      <c r="J5443" s="3">
        <v>0.44876820000000001</v>
      </c>
      <c r="K5443" s="3">
        <v>0.80176990000000004</v>
      </c>
      <c r="L5443" s="3">
        <v>0.54615780000000003</v>
      </c>
    </row>
    <row r="5444" spans="1:12" x14ac:dyDescent="0.25">
      <c r="A5444" t="s">
        <v>522</v>
      </c>
      <c r="B5444" t="s">
        <v>523</v>
      </c>
      <c r="I5444" t="s">
        <v>524</v>
      </c>
      <c r="J5444" s="3">
        <v>-0.15173819999999999</v>
      </c>
      <c r="K5444" s="3">
        <v>-1.4682829999999999E-2</v>
      </c>
      <c r="L5444" s="3">
        <v>-0.2014609</v>
      </c>
    </row>
    <row r="5445" spans="1:12" x14ac:dyDescent="0.25">
      <c r="A5445" t="s">
        <v>519</v>
      </c>
      <c r="B5445" t="s">
        <v>520</v>
      </c>
      <c r="I5445" t="s">
        <v>521</v>
      </c>
      <c r="J5445" s="3">
        <v>1.5814149999999999E-2</v>
      </c>
      <c r="K5445" s="3">
        <v>-0.56966300000000003</v>
      </c>
      <c r="L5445" s="3">
        <v>-0.17603579999999999</v>
      </c>
    </row>
    <row r="5446" spans="1:12" x14ac:dyDescent="0.25">
      <c r="A5446" t="s">
        <v>518</v>
      </c>
      <c r="B5446" t="s">
        <v>957</v>
      </c>
      <c r="I5446" t="s">
        <v>455</v>
      </c>
      <c r="J5446" s="3">
        <v>0.33958969999999999</v>
      </c>
      <c r="K5446" s="3">
        <v>0.4207379</v>
      </c>
      <c r="L5446" s="3">
        <v>0.34166770000000002</v>
      </c>
    </row>
    <row r="5447" spans="1:12" x14ac:dyDescent="0.25">
      <c r="A5447" t="s">
        <v>516</v>
      </c>
      <c r="B5447" t="s">
        <v>957</v>
      </c>
      <c r="I5447" t="s">
        <v>517</v>
      </c>
      <c r="J5447" s="3">
        <v>0.62226369999999998</v>
      </c>
      <c r="K5447" s="3">
        <v>0.60704119999999995</v>
      </c>
      <c r="L5447" s="3">
        <v>0.38646910000000001</v>
      </c>
    </row>
    <row r="5448" spans="1:12" x14ac:dyDescent="0.25">
      <c r="A5448" t="s">
        <v>513</v>
      </c>
      <c r="B5448" t="s">
        <v>514</v>
      </c>
      <c r="I5448" t="s">
        <v>515</v>
      </c>
      <c r="J5448" s="3">
        <v>-0.41116259999999999</v>
      </c>
      <c r="K5448" s="3">
        <v>-0.29797109999999999</v>
      </c>
      <c r="L5448" s="3">
        <v>0.16979669999999999</v>
      </c>
    </row>
    <row r="5449" spans="1:12" x14ac:dyDescent="0.25">
      <c r="A5449" t="s">
        <v>510</v>
      </c>
      <c r="B5449" t="s">
        <v>511</v>
      </c>
      <c r="I5449" t="s">
        <v>512</v>
      </c>
      <c r="J5449" s="3">
        <v>-9.1176270000000004E-2</v>
      </c>
      <c r="K5449" s="3">
        <v>-0.65362520000000002</v>
      </c>
      <c r="L5449" s="3">
        <v>-0.20163529999999999</v>
      </c>
    </row>
    <row r="5450" spans="1:12" x14ac:dyDescent="0.25">
      <c r="A5450" t="s">
        <v>507</v>
      </c>
      <c r="B5450" t="s">
        <v>508</v>
      </c>
      <c r="I5450" t="s">
        <v>509</v>
      </c>
      <c r="J5450" s="3">
        <v>-0.1968946</v>
      </c>
      <c r="K5450" s="3">
        <v>-0.60705149999999997</v>
      </c>
      <c r="L5450" s="3">
        <v>0.13069649999999999</v>
      </c>
    </row>
    <row r="5451" spans="1:12" x14ac:dyDescent="0.25">
      <c r="A5451" t="s">
        <v>504</v>
      </c>
      <c r="B5451" t="s">
        <v>505</v>
      </c>
      <c r="I5451" t="s">
        <v>506</v>
      </c>
      <c r="J5451" s="3">
        <v>-3.7271760000000001E-2</v>
      </c>
      <c r="K5451" s="3">
        <v>8.4291329999999998E-2</v>
      </c>
      <c r="L5451" s="3">
        <v>-4.6100229999999999E-2</v>
      </c>
    </row>
    <row r="5452" spans="1:12" x14ac:dyDescent="0.25">
      <c r="A5452" t="s">
        <v>501</v>
      </c>
      <c r="B5452" t="s">
        <v>502</v>
      </c>
      <c r="I5452" t="s">
        <v>503</v>
      </c>
      <c r="J5452" s="3">
        <v>-0.13839199999999999</v>
      </c>
      <c r="K5452" s="3">
        <v>-0.52617159999999996</v>
      </c>
      <c r="L5452" s="3">
        <v>-4.496145E-2</v>
      </c>
    </row>
    <row r="5453" spans="1:12" x14ac:dyDescent="0.25">
      <c r="A5453" t="s">
        <v>500</v>
      </c>
      <c r="B5453" t="s">
        <v>957</v>
      </c>
      <c r="I5453" t="s">
        <v>455</v>
      </c>
      <c r="J5453" s="3">
        <v>0.48050169999999998</v>
      </c>
      <c r="K5453" s="3">
        <v>0.71039739999999996</v>
      </c>
      <c r="L5453" s="3">
        <v>0.43252160000000001</v>
      </c>
    </row>
    <row r="5454" spans="1:12" x14ac:dyDescent="0.25">
      <c r="A5454" t="s">
        <v>497</v>
      </c>
      <c r="B5454" t="s">
        <v>498</v>
      </c>
      <c r="I5454" t="s">
        <v>499</v>
      </c>
      <c r="J5454" s="3">
        <v>-0.35603509999999999</v>
      </c>
      <c r="K5454" s="3">
        <v>-0.62053159999999996</v>
      </c>
      <c r="L5454" s="3">
        <v>-0.39574870000000001</v>
      </c>
    </row>
    <row r="5455" spans="1:12" x14ac:dyDescent="0.25">
      <c r="A5455" t="s">
        <v>494</v>
      </c>
      <c r="B5455" t="s">
        <v>495</v>
      </c>
      <c r="I5455" t="s">
        <v>496</v>
      </c>
      <c r="J5455" s="3">
        <v>-8.147037E-2</v>
      </c>
      <c r="K5455" s="3">
        <v>-0.22328110000000001</v>
      </c>
      <c r="L5455" s="3">
        <v>0.42930970000000002</v>
      </c>
    </row>
    <row r="5456" spans="1:12" x14ac:dyDescent="0.25">
      <c r="A5456" t="s">
        <v>492</v>
      </c>
      <c r="B5456" t="s">
        <v>14234</v>
      </c>
      <c r="C5456" t="s">
        <v>14235</v>
      </c>
      <c r="I5456" t="s">
        <v>493</v>
      </c>
      <c r="J5456" s="3">
        <v>-5.7509959999999999E-2</v>
      </c>
      <c r="K5456" s="3">
        <v>6.0718139999999997E-2</v>
      </c>
      <c r="L5456" s="3">
        <v>0.34509200000000001</v>
      </c>
    </row>
    <row r="5457" spans="1:12" x14ac:dyDescent="0.25">
      <c r="A5457" t="s">
        <v>489</v>
      </c>
      <c r="B5457" t="s">
        <v>490</v>
      </c>
      <c r="I5457" t="s">
        <v>491</v>
      </c>
      <c r="J5457" s="3">
        <v>-0.72941299999999998</v>
      </c>
      <c r="K5457" s="3">
        <v>-0.85330059999999996</v>
      </c>
      <c r="L5457" s="3">
        <v>-0.3599678</v>
      </c>
    </row>
    <row r="5458" spans="1:12" x14ac:dyDescent="0.25">
      <c r="A5458" t="s">
        <v>1478</v>
      </c>
      <c r="B5458" t="s">
        <v>1479</v>
      </c>
      <c r="I5458" t="s">
        <v>488</v>
      </c>
      <c r="J5458" s="3">
        <v>3.8949949999999997E-2</v>
      </c>
      <c r="K5458" s="3">
        <v>-0.26994010000000002</v>
      </c>
      <c r="L5458" s="3">
        <v>5.1535589999999999E-2</v>
      </c>
    </row>
    <row r="5459" spans="1:12" x14ac:dyDescent="0.25">
      <c r="A5459" t="s">
        <v>1475</v>
      </c>
      <c r="B5459" t="s">
        <v>1476</v>
      </c>
      <c r="I5459" t="s">
        <v>1477</v>
      </c>
      <c r="J5459" s="3">
        <v>-2.519124E-2</v>
      </c>
      <c r="K5459" s="3">
        <v>-0.27075589999999999</v>
      </c>
      <c r="L5459" s="3">
        <v>8.9866020000000005E-2</v>
      </c>
    </row>
    <row r="5460" spans="1:12" x14ac:dyDescent="0.25">
      <c r="A5460" t="s">
        <v>1472</v>
      </c>
      <c r="B5460" t="s">
        <v>1473</v>
      </c>
      <c r="I5460" t="s">
        <v>1474</v>
      </c>
      <c r="J5460" s="3">
        <v>-0.33520519999999998</v>
      </c>
      <c r="K5460" s="3">
        <v>0.4532969</v>
      </c>
      <c r="L5460" s="3">
        <v>-0.23045209999999999</v>
      </c>
    </row>
    <row r="5461" spans="1:12" x14ac:dyDescent="0.25">
      <c r="A5461" t="s">
        <v>1471</v>
      </c>
      <c r="B5461" t="s">
        <v>957</v>
      </c>
      <c r="I5461" t="s">
        <v>455</v>
      </c>
      <c r="J5461" s="3">
        <v>-0.29287869999999999</v>
      </c>
      <c r="K5461" s="3">
        <v>0.16851920000000001</v>
      </c>
      <c r="L5461" s="3">
        <v>7.5338749999999996E-2</v>
      </c>
    </row>
    <row r="5462" spans="1:12" x14ac:dyDescent="0.25">
      <c r="A5462" t="s">
        <v>1468</v>
      </c>
      <c r="B5462" t="s">
        <v>1469</v>
      </c>
      <c r="I5462" t="s">
        <v>1470</v>
      </c>
      <c r="J5462" s="3">
        <v>0.38891110000000001</v>
      </c>
      <c r="K5462" s="3">
        <v>1.304745</v>
      </c>
      <c r="L5462" s="3">
        <v>0.97714080000000003</v>
      </c>
    </row>
    <row r="5463" spans="1:12" x14ac:dyDescent="0.25">
      <c r="A5463" t="s">
        <v>1467</v>
      </c>
      <c r="B5463" t="s">
        <v>957</v>
      </c>
      <c r="I5463" t="s">
        <v>455</v>
      </c>
      <c r="J5463" s="3">
        <v>-0.1352923</v>
      </c>
      <c r="K5463" s="3">
        <v>0.58258080000000001</v>
      </c>
      <c r="L5463" s="3">
        <v>0.29338940000000002</v>
      </c>
    </row>
    <row r="5464" spans="1:12" x14ac:dyDescent="0.25">
      <c r="A5464" t="s">
        <v>1464</v>
      </c>
      <c r="B5464" t="s">
        <v>1465</v>
      </c>
      <c r="I5464" t="s">
        <v>1466</v>
      </c>
      <c r="J5464" s="3">
        <v>0.99698200000000003</v>
      </c>
      <c r="K5464" s="3">
        <v>0.54923149999999998</v>
      </c>
      <c r="L5464" s="3">
        <v>1.0796589999999999</v>
      </c>
    </row>
    <row r="5465" spans="1:12" x14ac:dyDescent="0.25">
      <c r="A5465" t="s">
        <v>1461</v>
      </c>
      <c r="B5465" t="s">
        <v>1462</v>
      </c>
      <c r="I5465" t="s">
        <v>1463</v>
      </c>
      <c r="J5465" s="3">
        <v>0.27303680000000002</v>
      </c>
      <c r="K5465" s="3">
        <v>-0.1017139</v>
      </c>
      <c r="L5465" s="3">
        <v>0.4724988</v>
      </c>
    </row>
    <row r="5466" spans="1:12" x14ac:dyDescent="0.25">
      <c r="A5466" t="s">
        <v>1458</v>
      </c>
      <c r="B5466" t="s">
        <v>1459</v>
      </c>
      <c r="I5466" t="s">
        <v>1460</v>
      </c>
      <c r="J5466" s="3">
        <v>-0.31930639999999999</v>
      </c>
      <c r="K5466" s="3">
        <v>0.23381289999999999</v>
      </c>
      <c r="L5466" s="3">
        <v>-0.60403689999999999</v>
      </c>
    </row>
    <row r="5467" spans="1:12" x14ac:dyDescent="0.25">
      <c r="A5467" t="s">
        <v>1455</v>
      </c>
      <c r="B5467" t="s">
        <v>1456</v>
      </c>
      <c r="I5467" t="s">
        <v>1457</v>
      </c>
      <c r="J5467" s="3">
        <v>-0.89665030000000001</v>
      </c>
      <c r="K5467" s="3">
        <v>-0.52821050000000003</v>
      </c>
      <c r="L5467" s="3">
        <v>-1.1053470000000001</v>
      </c>
    </row>
    <row r="5468" spans="1:12" x14ac:dyDescent="0.25">
      <c r="A5468" t="s">
        <v>1452</v>
      </c>
      <c r="B5468" t="s">
        <v>1453</v>
      </c>
      <c r="I5468" t="s">
        <v>1454</v>
      </c>
      <c r="J5468" s="3">
        <v>5.3321960000000002E-2</v>
      </c>
      <c r="K5468" s="3">
        <v>0.77343629999999997</v>
      </c>
      <c r="L5468" s="3">
        <v>0.25905050000000002</v>
      </c>
    </row>
    <row r="5469" spans="1:12" x14ac:dyDescent="0.25">
      <c r="A5469" t="s">
        <v>1449</v>
      </c>
      <c r="B5469" t="s">
        <v>1450</v>
      </c>
      <c r="I5469" t="s">
        <v>1451</v>
      </c>
      <c r="J5469" s="3">
        <v>5.9054910000000002E-2</v>
      </c>
      <c r="K5469" s="3">
        <v>0.21014669999999999</v>
      </c>
      <c r="L5469" s="3">
        <v>-0.1090477</v>
      </c>
    </row>
    <row r="5470" spans="1:12" x14ac:dyDescent="0.25">
      <c r="A5470" t="s">
        <v>253</v>
      </c>
      <c r="B5470" t="s">
        <v>254</v>
      </c>
      <c r="I5470" t="s">
        <v>1448</v>
      </c>
      <c r="J5470" s="3">
        <v>-0.14741850000000001</v>
      </c>
      <c r="K5470" s="3">
        <v>-0.1082264</v>
      </c>
      <c r="L5470" s="3">
        <v>-2.0664990000000001E-2</v>
      </c>
    </row>
    <row r="5471" spans="1:12" x14ac:dyDescent="0.25">
      <c r="A5471" t="s">
        <v>250</v>
      </c>
      <c r="B5471" t="s">
        <v>251</v>
      </c>
      <c r="I5471" t="s">
        <v>252</v>
      </c>
      <c r="J5471" s="3">
        <v>0.1428325</v>
      </c>
      <c r="K5471" s="3">
        <v>0.28845700000000002</v>
      </c>
      <c r="L5471" s="3">
        <v>0.57010499999999997</v>
      </c>
    </row>
    <row r="5472" spans="1:12" x14ac:dyDescent="0.25">
      <c r="A5472" t="s">
        <v>249</v>
      </c>
      <c r="B5472" t="s">
        <v>957</v>
      </c>
      <c r="I5472" t="s">
        <v>455</v>
      </c>
      <c r="J5472" s="3">
        <v>0.33740049999999999</v>
      </c>
      <c r="K5472" s="3">
        <v>0.96837439999999997</v>
      </c>
      <c r="L5472" s="3">
        <v>0.5670463</v>
      </c>
    </row>
    <row r="5473" spans="1:12" x14ac:dyDescent="0.25">
      <c r="A5473" t="s">
        <v>246</v>
      </c>
      <c r="B5473" t="s">
        <v>247</v>
      </c>
      <c r="I5473" t="s">
        <v>248</v>
      </c>
      <c r="J5473" s="3">
        <v>0.62917880000000004</v>
      </c>
      <c r="K5473" s="3">
        <v>1.118824</v>
      </c>
      <c r="L5473" s="3">
        <v>0.54216260000000005</v>
      </c>
    </row>
    <row r="5474" spans="1:12" x14ac:dyDescent="0.25">
      <c r="A5474" t="s">
        <v>243</v>
      </c>
      <c r="B5474" t="s">
        <v>244</v>
      </c>
      <c r="I5474" t="s">
        <v>245</v>
      </c>
      <c r="J5474" s="3">
        <v>-0.14534320000000001</v>
      </c>
      <c r="K5474" s="3">
        <v>-0.65187919999999999</v>
      </c>
      <c r="L5474" s="3">
        <v>-0.3497247</v>
      </c>
    </row>
    <row r="5475" spans="1:12" x14ac:dyDescent="0.25">
      <c r="A5475" t="s">
        <v>242</v>
      </c>
      <c r="B5475" t="s">
        <v>957</v>
      </c>
      <c r="I5475" t="s">
        <v>455</v>
      </c>
      <c r="J5475" s="3">
        <v>-0.34797980000000001</v>
      </c>
      <c r="K5475" s="3">
        <v>-1.0394950000000001</v>
      </c>
      <c r="L5475" s="3">
        <v>-0.53284359999999997</v>
      </c>
    </row>
    <row r="5476" spans="1:12" x14ac:dyDescent="0.25">
      <c r="A5476" t="s">
        <v>239</v>
      </c>
      <c r="B5476" t="s">
        <v>240</v>
      </c>
      <c r="I5476" t="s">
        <v>241</v>
      </c>
      <c r="J5476" s="3">
        <v>-0.14507010000000001</v>
      </c>
      <c r="K5476" s="3">
        <v>-8.0373860000000005E-2</v>
      </c>
      <c r="L5476" s="3">
        <v>-9.4979939999999999E-2</v>
      </c>
    </row>
    <row r="5477" spans="1:12" x14ac:dyDescent="0.25">
      <c r="A5477" t="s">
        <v>236</v>
      </c>
      <c r="B5477" t="s">
        <v>237</v>
      </c>
      <c r="I5477" t="s">
        <v>238</v>
      </c>
      <c r="J5477" s="3">
        <v>-0.50105140000000004</v>
      </c>
      <c r="K5477" s="3">
        <v>-0.82762919999999995</v>
      </c>
      <c r="L5477" s="3">
        <v>-0.45682919999999999</v>
      </c>
    </row>
    <row r="5478" spans="1:12" x14ac:dyDescent="0.25">
      <c r="A5478" t="s">
        <v>235</v>
      </c>
      <c r="B5478" t="s">
        <v>957</v>
      </c>
      <c r="I5478" t="s">
        <v>455</v>
      </c>
      <c r="J5478" s="3">
        <v>0.92684630000000001</v>
      </c>
      <c r="K5478" s="3">
        <v>1.387642</v>
      </c>
      <c r="L5478" s="3">
        <v>0.40080870000000002</v>
      </c>
    </row>
    <row r="5479" spans="1:12" x14ac:dyDescent="0.25">
      <c r="A5479" t="s">
        <v>232</v>
      </c>
      <c r="B5479" t="s">
        <v>233</v>
      </c>
      <c r="I5479" t="s">
        <v>234</v>
      </c>
      <c r="J5479" s="3">
        <v>-0.66369959999999995</v>
      </c>
      <c r="K5479" s="3">
        <v>-3.9309989999999999</v>
      </c>
      <c r="L5479" s="3">
        <v>-0.80563110000000004</v>
      </c>
    </row>
    <row r="5480" spans="1:12" x14ac:dyDescent="0.25">
      <c r="A5480" t="s">
        <v>229</v>
      </c>
      <c r="B5480" t="s">
        <v>230</v>
      </c>
      <c r="I5480" t="s">
        <v>231</v>
      </c>
      <c r="J5480" s="3">
        <v>-0.58432640000000002</v>
      </c>
      <c r="K5480" s="3">
        <v>-0.63051239999999997</v>
      </c>
      <c r="L5480" s="3">
        <v>-0.47964960000000001</v>
      </c>
    </row>
    <row r="5481" spans="1:12" x14ac:dyDescent="0.25">
      <c r="A5481" t="s">
        <v>227</v>
      </c>
      <c r="B5481" t="s">
        <v>957</v>
      </c>
      <c r="I5481" t="s">
        <v>228</v>
      </c>
      <c r="J5481" s="3">
        <v>0.34151749999999997</v>
      </c>
      <c r="K5481" s="3">
        <v>0.17431060000000001</v>
      </c>
      <c r="L5481" s="3">
        <v>0.64236749999999998</v>
      </c>
    </row>
    <row r="5482" spans="1:12" x14ac:dyDescent="0.25">
      <c r="A5482" t="s">
        <v>224</v>
      </c>
      <c r="B5482" t="s">
        <v>225</v>
      </c>
      <c r="I5482" t="s">
        <v>226</v>
      </c>
      <c r="J5482" s="3">
        <v>-0.69402419999999998</v>
      </c>
      <c r="K5482" s="3">
        <v>-0.94612640000000003</v>
      </c>
      <c r="L5482" s="3">
        <v>-0.56634549999999995</v>
      </c>
    </row>
    <row r="5483" spans="1:12" x14ac:dyDescent="0.25">
      <c r="A5483" t="s">
        <v>221</v>
      </c>
      <c r="B5483" t="s">
        <v>222</v>
      </c>
      <c r="I5483" t="s">
        <v>223</v>
      </c>
      <c r="J5483" s="3">
        <v>0.44128689999999998</v>
      </c>
      <c r="K5483" s="3">
        <v>0.61751180000000006</v>
      </c>
      <c r="L5483" s="3">
        <v>0.34698329999999999</v>
      </c>
    </row>
    <row r="5484" spans="1:12" x14ac:dyDescent="0.25">
      <c r="A5484" t="s">
        <v>218</v>
      </c>
      <c r="B5484" t="s">
        <v>219</v>
      </c>
      <c r="I5484" t="s">
        <v>220</v>
      </c>
      <c r="J5484" s="3">
        <v>-0.26578930000000001</v>
      </c>
      <c r="K5484" s="3">
        <v>-0.6887548</v>
      </c>
      <c r="L5484" s="3">
        <v>-0.4182496</v>
      </c>
    </row>
    <row r="5485" spans="1:12" x14ac:dyDescent="0.25">
      <c r="A5485" t="s">
        <v>215</v>
      </c>
      <c r="B5485" t="s">
        <v>216</v>
      </c>
      <c r="I5485" t="s">
        <v>217</v>
      </c>
      <c r="J5485" s="3">
        <v>-0.18279100000000001</v>
      </c>
      <c r="K5485" s="3">
        <v>-6.9579630000000003E-2</v>
      </c>
      <c r="L5485" s="3">
        <v>-5.1394509999999997E-2</v>
      </c>
    </row>
    <row r="5486" spans="1:12" x14ac:dyDescent="0.25">
      <c r="A5486" t="s">
        <v>214</v>
      </c>
      <c r="B5486" t="s">
        <v>957</v>
      </c>
      <c r="I5486" t="s">
        <v>455</v>
      </c>
      <c r="J5486" s="3">
        <v>-0.78768170000000004</v>
      </c>
      <c r="K5486" s="3">
        <v>-0.84374649999999995</v>
      </c>
      <c r="L5486" s="3">
        <v>-0.96732910000000005</v>
      </c>
    </row>
    <row r="5487" spans="1:12" x14ac:dyDescent="0.25">
      <c r="A5487" t="s">
        <v>211</v>
      </c>
      <c r="B5487" t="s">
        <v>212</v>
      </c>
      <c r="I5487" t="s">
        <v>213</v>
      </c>
      <c r="J5487" s="3">
        <v>-0.14528940000000001</v>
      </c>
      <c r="K5487" s="3">
        <v>-1.0876410000000001</v>
      </c>
      <c r="L5487" s="3">
        <v>-0.46304489999999998</v>
      </c>
    </row>
    <row r="5488" spans="1:12" x14ac:dyDescent="0.25">
      <c r="A5488" t="s">
        <v>208</v>
      </c>
      <c r="B5488" t="s">
        <v>209</v>
      </c>
      <c r="I5488" t="s">
        <v>210</v>
      </c>
      <c r="J5488" s="3">
        <v>-1.1706350000000001</v>
      </c>
      <c r="K5488" s="3">
        <v>-0.37542690000000001</v>
      </c>
      <c r="L5488" s="3">
        <v>-0.7825183</v>
      </c>
    </row>
    <row r="5489" spans="1:12" x14ac:dyDescent="0.25">
      <c r="A5489" t="s">
        <v>207</v>
      </c>
      <c r="B5489" t="s">
        <v>957</v>
      </c>
      <c r="I5489" t="s">
        <v>205</v>
      </c>
      <c r="J5489" s="3">
        <v>0.29306209999999999</v>
      </c>
      <c r="K5489" s="3">
        <v>0.40888479999999999</v>
      </c>
      <c r="L5489" s="3">
        <v>1.940393E-2</v>
      </c>
    </row>
    <row r="5490" spans="1:12" x14ac:dyDescent="0.25">
      <c r="A5490" t="s">
        <v>206</v>
      </c>
      <c r="B5490" t="s">
        <v>957</v>
      </c>
      <c r="I5490" t="s">
        <v>205</v>
      </c>
      <c r="J5490" s="3">
        <v>0.32520110000000002</v>
      </c>
      <c r="K5490" s="3">
        <v>0.50386900000000001</v>
      </c>
      <c r="L5490" s="3">
        <v>0.13009309999999999</v>
      </c>
    </row>
    <row r="5491" spans="1:12" x14ac:dyDescent="0.25">
      <c r="A5491" t="s">
        <v>204</v>
      </c>
      <c r="B5491" t="s">
        <v>957</v>
      </c>
      <c r="I5491" t="s">
        <v>205</v>
      </c>
      <c r="J5491" s="3">
        <v>-4.0452269999999999E-2</v>
      </c>
      <c r="K5491" s="3">
        <v>0.74217299999999997</v>
      </c>
      <c r="L5491" s="3">
        <v>-0.38882870000000003</v>
      </c>
    </row>
    <row r="5492" spans="1:12" x14ac:dyDescent="0.25">
      <c r="A5492" t="s">
        <v>788</v>
      </c>
      <c r="B5492" t="s">
        <v>789</v>
      </c>
      <c r="I5492" t="s">
        <v>203</v>
      </c>
      <c r="J5492" s="3">
        <v>-0.27233790000000002</v>
      </c>
      <c r="K5492" s="3">
        <v>-0.2475465</v>
      </c>
      <c r="L5492" s="3">
        <v>-0.37093009999999998</v>
      </c>
    </row>
    <row r="5493" spans="1:12" x14ac:dyDescent="0.25">
      <c r="A5493" t="s">
        <v>785</v>
      </c>
      <c r="B5493" t="s">
        <v>786</v>
      </c>
      <c r="I5493" t="s">
        <v>787</v>
      </c>
      <c r="J5493" s="3">
        <v>-0.89724150000000003</v>
      </c>
      <c r="K5493" s="3">
        <v>-1.6639390000000001</v>
      </c>
      <c r="L5493" s="3">
        <v>-0.89285479999999995</v>
      </c>
    </row>
    <row r="5494" spans="1:12" x14ac:dyDescent="0.25">
      <c r="A5494" t="s">
        <v>784</v>
      </c>
      <c r="B5494" t="s">
        <v>957</v>
      </c>
      <c r="I5494" t="s">
        <v>455</v>
      </c>
      <c r="J5494" s="3">
        <v>0.1163337</v>
      </c>
      <c r="K5494" s="3">
        <v>2.664687E-2</v>
      </c>
      <c r="L5494" s="3">
        <v>-6.081222E-2</v>
      </c>
    </row>
    <row r="5495" spans="1:12" x14ac:dyDescent="0.25">
      <c r="A5495" t="s">
        <v>783</v>
      </c>
      <c r="B5495" t="s">
        <v>957</v>
      </c>
      <c r="I5495" t="s">
        <v>455</v>
      </c>
      <c r="J5495" s="3">
        <v>-0.42229850000000002</v>
      </c>
      <c r="K5495" s="3">
        <v>-0.47599259999999999</v>
      </c>
      <c r="L5495" s="3">
        <v>-0.34907349999999998</v>
      </c>
    </row>
    <row r="5496" spans="1:12" x14ac:dyDescent="0.25">
      <c r="A5496" t="s">
        <v>780</v>
      </c>
      <c r="B5496" t="s">
        <v>781</v>
      </c>
      <c r="I5496" t="s">
        <v>782</v>
      </c>
      <c r="J5496" s="3">
        <v>0.38236979999999998</v>
      </c>
      <c r="K5496" s="3">
        <v>0.1195848</v>
      </c>
      <c r="L5496" s="3">
        <v>5.483851E-2</v>
      </c>
    </row>
    <row r="5497" spans="1:12" x14ac:dyDescent="0.25">
      <c r="A5497" t="s">
        <v>777</v>
      </c>
      <c r="B5497" t="s">
        <v>778</v>
      </c>
      <c r="I5497" t="s">
        <v>779</v>
      </c>
      <c r="J5497" s="3">
        <v>-0.35105449999999999</v>
      </c>
      <c r="K5497" s="3">
        <v>-0.49203069999999999</v>
      </c>
      <c r="L5497" s="3">
        <v>-0.32646510000000001</v>
      </c>
    </row>
    <row r="5498" spans="1:12" x14ac:dyDescent="0.25">
      <c r="A5498" t="s">
        <v>774</v>
      </c>
      <c r="B5498" t="s">
        <v>775</v>
      </c>
      <c r="I5498" t="s">
        <v>776</v>
      </c>
      <c r="J5498" s="3">
        <v>7.7456650000000002E-2</v>
      </c>
      <c r="K5498" s="3">
        <v>6.2844769999999994E-2</v>
      </c>
      <c r="L5498" s="3">
        <v>0.16461680000000001</v>
      </c>
    </row>
    <row r="5499" spans="1:12" x14ac:dyDescent="0.25">
      <c r="A5499" t="s">
        <v>771</v>
      </c>
      <c r="B5499" t="s">
        <v>772</v>
      </c>
      <c r="I5499" t="s">
        <v>773</v>
      </c>
      <c r="J5499" s="3">
        <v>0.39031260000000001</v>
      </c>
      <c r="K5499" s="3">
        <v>-4.9608960000000001E-2</v>
      </c>
      <c r="L5499" s="3">
        <v>8.6751030000000007E-2</v>
      </c>
    </row>
    <row r="5500" spans="1:12" x14ac:dyDescent="0.25">
      <c r="A5500" t="s">
        <v>768</v>
      </c>
      <c r="B5500" t="s">
        <v>769</v>
      </c>
      <c r="I5500" t="s">
        <v>770</v>
      </c>
      <c r="J5500" s="3">
        <v>0.56614830000000005</v>
      </c>
      <c r="K5500" s="3">
        <v>-0.5811096</v>
      </c>
      <c r="L5500" s="3">
        <v>-0.1262662</v>
      </c>
    </row>
    <row r="5501" spans="1:12" x14ac:dyDescent="0.25">
      <c r="A5501" t="s">
        <v>765</v>
      </c>
      <c r="B5501" t="s">
        <v>766</v>
      </c>
      <c r="I5501" t="s">
        <v>767</v>
      </c>
      <c r="J5501" s="3">
        <v>0.1446171</v>
      </c>
      <c r="K5501" s="3">
        <v>0.41128789999999998</v>
      </c>
      <c r="L5501" s="3">
        <v>0.18907789999999999</v>
      </c>
    </row>
    <row r="5502" spans="1:12" x14ac:dyDescent="0.25">
      <c r="A5502" t="s">
        <v>764</v>
      </c>
      <c r="B5502" t="s">
        <v>957</v>
      </c>
      <c r="I5502" t="s">
        <v>455</v>
      </c>
      <c r="J5502" s="3">
        <v>-0.9844908</v>
      </c>
      <c r="K5502" s="3">
        <v>-0.42463269999999997</v>
      </c>
      <c r="L5502" s="3">
        <v>-0.45463490000000001</v>
      </c>
    </row>
    <row r="5503" spans="1:12" x14ac:dyDescent="0.25">
      <c r="A5503" t="s">
        <v>763</v>
      </c>
      <c r="B5503" t="s">
        <v>957</v>
      </c>
      <c r="I5503" t="s">
        <v>455</v>
      </c>
      <c r="J5503" s="3">
        <v>0.59961589999999998</v>
      </c>
      <c r="K5503" s="3">
        <v>3.7478690000000002E-2</v>
      </c>
      <c r="L5503" s="3">
        <v>0.60001130000000003</v>
      </c>
    </row>
    <row r="5504" spans="1:12" x14ac:dyDescent="0.25">
      <c r="A5504" t="s">
        <v>762</v>
      </c>
      <c r="B5504" t="s">
        <v>957</v>
      </c>
      <c r="I5504" t="s">
        <v>455</v>
      </c>
      <c r="J5504" s="3">
        <v>0.1122102</v>
      </c>
      <c r="K5504" s="3">
        <v>0.39007360000000002</v>
      </c>
      <c r="L5504" s="3">
        <v>0.34491090000000002</v>
      </c>
    </row>
    <row r="5505" spans="1:12" x14ac:dyDescent="0.25">
      <c r="A5505" t="s">
        <v>759</v>
      </c>
      <c r="B5505" t="s">
        <v>760</v>
      </c>
      <c r="I5505" t="s">
        <v>761</v>
      </c>
      <c r="J5505" s="3">
        <v>-0.13882140000000001</v>
      </c>
      <c r="K5505" s="3">
        <v>9.2843800000000004E-2</v>
      </c>
      <c r="L5505" s="3">
        <v>-0.171819</v>
      </c>
    </row>
    <row r="5506" spans="1:12" x14ac:dyDescent="0.25">
      <c r="A5506" t="s">
        <v>756</v>
      </c>
      <c r="B5506" t="s">
        <v>757</v>
      </c>
      <c r="I5506" t="s">
        <v>758</v>
      </c>
      <c r="J5506" s="3">
        <v>-0.40543859999999998</v>
      </c>
      <c r="K5506" s="3">
        <v>-0.46087220000000001</v>
      </c>
      <c r="L5506" s="3">
        <v>-0.2463176</v>
      </c>
    </row>
    <row r="5507" spans="1:12" x14ac:dyDescent="0.25">
      <c r="A5507" t="s">
        <v>753</v>
      </c>
      <c r="B5507" t="s">
        <v>754</v>
      </c>
      <c r="I5507" t="s">
        <v>755</v>
      </c>
      <c r="J5507" s="3">
        <v>-5.8618139999999999E-2</v>
      </c>
      <c r="K5507" s="3">
        <v>-0.53638580000000002</v>
      </c>
      <c r="L5507" s="3">
        <v>-0.1494432</v>
      </c>
    </row>
    <row r="5508" spans="1:12" x14ac:dyDescent="0.25">
      <c r="A5508" t="s">
        <v>750</v>
      </c>
      <c r="B5508" t="s">
        <v>751</v>
      </c>
      <c r="I5508" t="s">
        <v>752</v>
      </c>
      <c r="J5508" s="3">
        <v>-0.1943397</v>
      </c>
      <c r="K5508" s="3">
        <v>-0.72532269999999999</v>
      </c>
      <c r="L5508" s="3">
        <v>-0.26336579999999998</v>
      </c>
    </row>
    <row r="5509" spans="1:12" x14ac:dyDescent="0.25">
      <c r="A5509" t="s">
        <v>350</v>
      </c>
      <c r="B5509" t="s">
        <v>351</v>
      </c>
      <c r="I5509" t="s">
        <v>749</v>
      </c>
      <c r="J5509" s="3">
        <v>-0.30667220000000001</v>
      </c>
      <c r="K5509" s="3">
        <v>-0.48324840000000002</v>
      </c>
      <c r="L5509" s="3">
        <v>-0.3856986</v>
      </c>
    </row>
    <row r="5510" spans="1:12" x14ac:dyDescent="0.25">
      <c r="A5510" t="s">
        <v>347</v>
      </c>
      <c r="B5510" t="s">
        <v>348</v>
      </c>
      <c r="I5510" t="s">
        <v>349</v>
      </c>
      <c r="J5510" s="3">
        <v>-0.2894737</v>
      </c>
      <c r="K5510" s="3">
        <v>0.29311789999999999</v>
      </c>
      <c r="L5510" s="3">
        <v>-0.27859099999999998</v>
      </c>
    </row>
    <row r="5511" spans="1:12" x14ac:dyDescent="0.25">
      <c r="A5511" t="s">
        <v>346</v>
      </c>
      <c r="B5511" t="s">
        <v>957</v>
      </c>
      <c r="I5511" t="s">
        <v>455</v>
      </c>
      <c r="J5511" s="3">
        <v>-0.3419355</v>
      </c>
      <c r="K5511" s="3">
        <v>-0.34638809999999998</v>
      </c>
      <c r="L5511" s="3">
        <v>-0.22668079999999999</v>
      </c>
    </row>
    <row r="5512" spans="1:12" x14ac:dyDescent="0.25">
      <c r="A5512" t="s">
        <v>343</v>
      </c>
      <c r="B5512" t="s">
        <v>344</v>
      </c>
      <c r="I5512" t="s">
        <v>345</v>
      </c>
      <c r="J5512" s="3">
        <v>-0.58671799999999996</v>
      </c>
      <c r="K5512" s="3">
        <v>-1.0694090000000001</v>
      </c>
      <c r="L5512" s="3">
        <v>-0.62570720000000002</v>
      </c>
    </row>
    <row r="5513" spans="1:12" x14ac:dyDescent="0.25">
      <c r="A5513" t="s">
        <v>340</v>
      </c>
      <c r="B5513" t="s">
        <v>341</v>
      </c>
      <c r="I5513" t="s">
        <v>342</v>
      </c>
      <c r="J5513" s="3">
        <v>-0.59516749999999996</v>
      </c>
      <c r="K5513" s="3">
        <v>-1.1163890000000001</v>
      </c>
      <c r="L5513" s="3">
        <v>-0.97599519999999995</v>
      </c>
    </row>
    <row r="5514" spans="1:12" x14ac:dyDescent="0.25">
      <c r="A5514" t="s">
        <v>337</v>
      </c>
      <c r="B5514" t="s">
        <v>338</v>
      </c>
      <c r="I5514" t="s">
        <v>339</v>
      </c>
      <c r="J5514" s="3">
        <v>0.554006</v>
      </c>
      <c r="K5514" s="3">
        <v>0.30412790000000001</v>
      </c>
      <c r="L5514" s="3">
        <v>0.1004031</v>
      </c>
    </row>
    <row r="5515" spans="1:12" x14ac:dyDescent="0.25">
      <c r="A5515" t="s">
        <v>334</v>
      </c>
      <c r="B5515" t="s">
        <v>335</v>
      </c>
      <c r="I5515" t="s">
        <v>336</v>
      </c>
      <c r="J5515" s="3">
        <v>7.5827799999999999E-3</v>
      </c>
      <c r="K5515" s="3">
        <v>-0.20463909999999999</v>
      </c>
      <c r="L5515" s="3">
        <v>-0.27777000000000002</v>
      </c>
    </row>
    <row r="5516" spans="1:12" x14ac:dyDescent="0.25">
      <c r="A5516" t="s">
        <v>333</v>
      </c>
      <c r="B5516" t="s">
        <v>957</v>
      </c>
      <c r="I5516" t="s">
        <v>455</v>
      </c>
      <c r="J5516" s="3">
        <v>-0.27970719999999999</v>
      </c>
      <c r="K5516" s="3">
        <v>0.29484149999999998</v>
      </c>
      <c r="L5516" s="3">
        <v>-3.2485760000000002E-2</v>
      </c>
    </row>
    <row r="5517" spans="1:12" x14ac:dyDescent="0.25">
      <c r="A5517" t="s">
        <v>330</v>
      </c>
      <c r="B5517" t="s">
        <v>331</v>
      </c>
      <c r="I5517" t="s">
        <v>332</v>
      </c>
      <c r="J5517" s="3">
        <v>0.18777920000000001</v>
      </c>
      <c r="K5517" s="3">
        <v>0.45614179999999999</v>
      </c>
      <c r="L5517" s="3">
        <v>0.2812344</v>
      </c>
    </row>
    <row r="5518" spans="1:12" x14ac:dyDescent="0.25">
      <c r="A5518" t="s">
        <v>327</v>
      </c>
      <c r="B5518" t="s">
        <v>328</v>
      </c>
      <c r="I5518" t="s">
        <v>329</v>
      </c>
      <c r="J5518" s="3">
        <v>0.31218800000000002</v>
      </c>
      <c r="K5518" s="3">
        <v>-0.31839260000000003</v>
      </c>
      <c r="L5518" s="3">
        <v>4.1211490000000003E-2</v>
      </c>
    </row>
    <row r="5519" spans="1:12" x14ac:dyDescent="0.25">
      <c r="A5519" t="s">
        <v>324</v>
      </c>
      <c r="B5519" t="s">
        <v>325</v>
      </c>
      <c r="I5519" t="s">
        <v>326</v>
      </c>
      <c r="J5519" s="3">
        <v>0.3338392</v>
      </c>
      <c r="K5519" s="3">
        <v>9.1078919999999994E-2</v>
      </c>
      <c r="L5519" s="3">
        <v>5.4722699999999999E-2</v>
      </c>
    </row>
    <row r="5520" spans="1:12" x14ac:dyDescent="0.25">
      <c r="A5520" t="s">
        <v>322</v>
      </c>
      <c r="B5520" t="s">
        <v>957</v>
      </c>
      <c r="I5520" t="s">
        <v>323</v>
      </c>
      <c r="J5520" s="3">
        <v>-7.4436219999999997E-2</v>
      </c>
      <c r="K5520" s="3">
        <v>-0.43909920000000002</v>
      </c>
      <c r="L5520" s="3">
        <v>-0.2282863</v>
      </c>
    </row>
    <row r="5521" spans="1:12" x14ac:dyDescent="0.25">
      <c r="A5521" t="s">
        <v>319</v>
      </c>
      <c r="B5521" t="s">
        <v>320</v>
      </c>
      <c r="I5521" t="s">
        <v>321</v>
      </c>
      <c r="J5521" s="3">
        <v>0.2166719</v>
      </c>
      <c r="K5521" s="3">
        <v>0.13263720000000001</v>
      </c>
      <c r="L5521" s="3">
        <v>0.15469530000000001</v>
      </c>
    </row>
    <row r="5522" spans="1:12" x14ac:dyDescent="0.25">
      <c r="A5522" t="s">
        <v>316</v>
      </c>
      <c r="B5522" t="s">
        <v>317</v>
      </c>
      <c r="I5522" t="s">
        <v>318</v>
      </c>
      <c r="J5522" s="3">
        <v>-0.54487260000000004</v>
      </c>
      <c r="K5522" s="3">
        <v>-0.52564460000000002</v>
      </c>
      <c r="L5522" s="3">
        <v>-0.42698399999999997</v>
      </c>
    </row>
    <row r="5523" spans="1:12" x14ac:dyDescent="0.25">
      <c r="A5523" t="s">
        <v>313</v>
      </c>
      <c r="B5523" t="s">
        <v>314</v>
      </c>
      <c r="I5523" t="s">
        <v>315</v>
      </c>
      <c r="J5523" s="3">
        <v>2.7596510000000001E-2</v>
      </c>
      <c r="K5523" s="3">
        <v>-0.3680139</v>
      </c>
      <c r="L5523" s="3">
        <v>3.4872829999999999E-3</v>
      </c>
    </row>
    <row r="5524" spans="1:12" x14ac:dyDescent="0.25">
      <c r="A5524" t="s">
        <v>310</v>
      </c>
      <c r="B5524" t="s">
        <v>311</v>
      </c>
      <c r="I5524" t="s">
        <v>312</v>
      </c>
      <c r="J5524" s="3">
        <v>-0.38770700000000002</v>
      </c>
      <c r="K5524" s="3">
        <v>-0.93027349999999998</v>
      </c>
      <c r="L5524" s="3">
        <v>-0.87102729999999995</v>
      </c>
    </row>
    <row r="5525" spans="1:12" x14ac:dyDescent="0.25">
      <c r="A5525" t="s">
        <v>307</v>
      </c>
      <c r="B5525" t="s">
        <v>308</v>
      </c>
      <c r="I5525" t="s">
        <v>309</v>
      </c>
      <c r="J5525" s="3">
        <v>-4.6639170000000001E-2</v>
      </c>
      <c r="K5525" s="3">
        <v>-0.6904863</v>
      </c>
      <c r="L5525" s="3">
        <v>0.1126805</v>
      </c>
    </row>
    <row r="5526" spans="1:12" x14ac:dyDescent="0.25">
      <c r="A5526" t="s">
        <v>306</v>
      </c>
      <c r="B5526" t="s">
        <v>957</v>
      </c>
      <c r="I5526" t="s">
        <v>957</v>
      </c>
      <c r="J5526" s="3">
        <v>-4.0633809999999999E-2</v>
      </c>
      <c r="K5526" s="3">
        <v>-0.12988089999999999</v>
      </c>
      <c r="L5526" s="3">
        <v>-0.26224720000000001</v>
      </c>
    </row>
    <row r="5527" spans="1:12" x14ac:dyDescent="0.25">
      <c r="A5527" t="s">
        <v>303</v>
      </c>
      <c r="B5527" t="s">
        <v>304</v>
      </c>
      <c r="I5527" t="s">
        <v>305</v>
      </c>
      <c r="J5527" s="3">
        <v>1.2545249999999999</v>
      </c>
      <c r="K5527" s="3">
        <v>0.52556119999999995</v>
      </c>
      <c r="L5527" s="3">
        <v>1.3962490000000001</v>
      </c>
    </row>
    <row r="5528" spans="1:12" x14ac:dyDescent="0.25">
      <c r="A5528" t="s">
        <v>300</v>
      </c>
      <c r="B5528" t="s">
        <v>301</v>
      </c>
      <c r="I5528" t="s">
        <v>302</v>
      </c>
      <c r="J5528" s="3">
        <v>6.3239760000000006E-2</v>
      </c>
      <c r="K5528" s="3">
        <v>-0.74117569999999999</v>
      </c>
      <c r="L5528" s="3">
        <v>-7.1254100000000001E-2</v>
      </c>
    </row>
    <row r="5529" spans="1:12" x14ac:dyDescent="0.25">
      <c r="A5529" t="s">
        <v>297</v>
      </c>
      <c r="B5529" t="s">
        <v>298</v>
      </c>
      <c r="I5529" t="s">
        <v>299</v>
      </c>
      <c r="J5529" s="3">
        <v>-6.83589E-2</v>
      </c>
      <c r="K5529" s="3">
        <v>-0.29838120000000001</v>
      </c>
      <c r="L5529" s="3">
        <v>-0.4599722</v>
      </c>
    </row>
    <row r="5530" spans="1:12" x14ac:dyDescent="0.25">
      <c r="A5530" t="s">
        <v>1308</v>
      </c>
      <c r="B5530" t="s">
        <v>1309</v>
      </c>
      <c r="I5530" t="s">
        <v>296</v>
      </c>
      <c r="J5530" s="3">
        <v>-2.8380839999999998E-3</v>
      </c>
      <c r="K5530" s="3">
        <v>-6.3630469999999995E-2</v>
      </c>
      <c r="L5530" s="3">
        <v>-4.3836260000000002E-2</v>
      </c>
    </row>
    <row r="5531" spans="1:12" x14ac:dyDescent="0.25">
      <c r="A5531" t="s">
        <v>1305</v>
      </c>
      <c r="B5531" t="s">
        <v>1306</v>
      </c>
      <c r="I5531" t="s">
        <v>1307</v>
      </c>
      <c r="J5531" s="3">
        <v>0.44709100000000002</v>
      </c>
      <c r="K5531" s="3">
        <v>0.30377749999999998</v>
      </c>
      <c r="L5531" s="3">
        <v>0.49811509999999998</v>
      </c>
    </row>
    <row r="5532" spans="1:12" x14ac:dyDescent="0.25">
      <c r="A5532" t="s">
        <v>1304</v>
      </c>
      <c r="B5532" t="s">
        <v>957</v>
      </c>
      <c r="I5532" t="s">
        <v>455</v>
      </c>
      <c r="J5532" s="3">
        <v>-0.96772020000000003</v>
      </c>
      <c r="K5532" s="3">
        <v>-1.7931410000000001</v>
      </c>
      <c r="L5532" s="3">
        <v>-0.96503700000000003</v>
      </c>
    </row>
    <row r="5533" spans="1:12" x14ac:dyDescent="0.25">
      <c r="A5533" t="s">
        <v>1301</v>
      </c>
      <c r="B5533" t="s">
        <v>1302</v>
      </c>
      <c r="I5533" t="s">
        <v>1303</v>
      </c>
      <c r="J5533" s="3">
        <v>0.1015455</v>
      </c>
      <c r="K5533" s="3">
        <v>0.121458</v>
      </c>
      <c r="L5533" s="3">
        <v>0.33763399999999999</v>
      </c>
    </row>
    <row r="5534" spans="1:12" x14ac:dyDescent="0.25">
      <c r="A5534" t="s">
        <v>1298</v>
      </c>
      <c r="B5534" t="s">
        <v>1299</v>
      </c>
      <c r="I5534" t="s">
        <v>1300</v>
      </c>
      <c r="J5534" s="3">
        <v>-0.71629279999999995</v>
      </c>
      <c r="K5534" s="3">
        <v>-0.57968589999999998</v>
      </c>
      <c r="L5534" s="3">
        <v>-0.38407219999999997</v>
      </c>
    </row>
    <row r="5535" spans="1:12" x14ac:dyDescent="0.25">
      <c r="A5535" t="s">
        <v>1295</v>
      </c>
      <c r="B5535" t="s">
        <v>1296</v>
      </c>
      <c r="I5535" t="s">
        <v>1297</v>
      </c>
      <c r="J5535" s="3">
        <v>0.16664599999999999</v>
      </c>
      <c r="K5535" s="3">
        <v>-0.31979940000000001</v>
      </c>
      <c r="L5535" s="3">
        <v>-9.9613579999999993E-2</v>
      </c>
    </row>
    <row r="5536" spans="1:12" x14ac:dyDescent="0.25">
      <c r="A5536" t="s">
        <v>1292</v>
      </c>
      <c r="B5536" t="s">
        <v>1293</v>
      </c>
      <c r="I5536" t="s">
        <v>1294</v>
      </c>
      <c r="J5536" s="3">
        <v>0.13745740000000001</v>
      </c>
      <c r="K5536" s="3">
        <v>-4.9826460000000003E-2</v>
      </c>
      <c r="L5536" s="3">
        <v>0.18487600000000001</v>
      </c>
    </row>
    <row r="5537" spans="1:12" x14ac:dyDescent="0.25">
      <c r="A5537" t="s">
        <v>1289</v>
      </c>
      <c r="B5537" t="s">
        <v>1290</v>
      </c>
      <c r="I5537" t="s">
        <v>1291</v>
      </c>
      <c r="J5537" s="3">
        <v>9.5442510000000001E-3</v>
      </c>
      <c r="K5537" s="3">
        <v>-0.41260360000000001</v>
      </c>
      <c r="L5537" s="3">
        <v>3.563376E-2</v>
      </c>
    </row>
    <row r="5538" spans="1:12" x14ac:dyDescent="0.25">
      <c r="A5538" t="s">
        <v>1286</v>
      </c>
      <c r="B5538" t="s">
        <v>1287</v>
      </c>
      <c r="I5538" t="s">
        <v>1288</v>
      </c>
      <c r="J5538" s="3">
        <v>0.2919562</v>
      </c>
      <c r="K5538" s="3">
        <v>0.56085309999999999</v>
      </c>
      <c r="L5538" s="3">
        <v>0.65915469999999998</v>
      </c>
    </row>
    <row r="5539" spans="1:12" x14ac:dyDescent="0.25">
      <c r="A5539" t="s">
        <v>1283</v>
      </c>
      <c r="B5539" t="s">
        <v>1284</v>
      </c>
      <c r="I5539" t="s">
        <v>1285</v>
      </c>
      <c r="J5539" s="3">
        <v>0.16097210000000001</v>
      </c>
      <c r="K5539" s="3">
        <v>0.48936600000000002</v>
      </c>
      <c r="L5539" s="3">
        <v>2.170391E-2</v>
      </c>
    </row>
    <row r="5540" spans="1:12" x14ac:dyDescent="0.25">
      <c r="A5540" t="s">
        <v>1280</v>
      </c>
      <c r="B5540" t="s">
        <v>1281</v>
      </c>
      <c r="I5540" t="s">
        <v>1282</v>
      </c>
      <c r="J5540" s="3">
        <v>-0.28759469999999998</v>
      </c>
      <c r="K5540" s="3">
        <v>-0.61925629999999998</v>
      </c>
      <c r="L5540" s="3">
        <v>-0.15460889999999999</v>
      </c>
    </row>
    <row r="5541" spans="1:12" x14ac:dyDescent="0.25">
      <c r="A5541" t="s">
        <v>1277</v>
      </c>
      <c r="B5541" t="s">
        <v>1278</v>
      </c>
      <c r="I5541" t="s">
        <v>1279</v>
      </c>
      <c r="J5541" s="3">
        <v>-0.25252049999999998</v>
      </c>
      <c r="K5541" s="3">
        <v>-0.52351179999999997</v>
      </c>
      <c r="L5541" s="3">
        <v>-0.1547607</v>
      </c>
    </row>
    <row r="5542" spans="1:12" x14ac:dyDescent="0.25">
      <c r="A5542" t="s">
        <v>1274</v>
      </c>
      <c r="B5542" t="s">
        <v>1275</v>
      </c>
      <c r="I5542" t="s">
        <v>1276</v>
      </c>
      <c r="J5542" s="3">
        <v>0.1418895</v>
      </c>
      <c r="K5542" s="3">
        <v>-0.79356380000000004</v>
      </c>
      <c r="L5542" s="3">
        <v>-0.15007690000000001</v>
      </c>
    </row>
    <row r="5543" spans="1:12" x14ac:dyDescent="0.25">
      <c r="A5543" t="s">
        <v>58</v>
      </c>
      <c r="B5543" t="s">
        <v>59</v>
      </c>
      <c r="I5543" t="s">
        <v>1273</v>
      </c>
      <c r="J5543" s="3">
        <v>0.1204218</v>
      </c>
      <c r="K5543" s="3">
        <v>0.23016149999999999</v>
      </c>
      <c r="L5543" s="3">
        <v>-4.0090140000000003E-2</v>
      </c>
    </row>
    <row r="5544" spans="1:12" x14ac:dyDescent="0.25">
      <c r="A5544" t="s">
        <v>55</v>
      </c>
      <c r="B5544" t="s">
        <v>56</v>
      </c>
      <c r="I5544" t="s">
        <v>57</v>
      </c>
      <c r="J5544" s="3">
        <v>-5.8084459999999997E-2</v>
      </c>
      <c r="K5544" s="3">
        <v>2.402897E-2</v>
      </c>
      <c r="L5544" s="3">
        <v>7.7211489999999994E-2</v>
      </c>
    </row>
    <row r="5545" spans="1:12" x14ac:dyDescent="0.25">
      <c r="A5545" t="s">
        <v>52</v>
      </c>
      <c r="B5545" t="s">
        <v>53</v>
      </c>
      <c r="I5545" t="s">
        <v>54</v>
      </c>
      <c r="J5545" s="3">
        <v>-0.22389139999999999</v>
      </c>
      <c r="K5545" s="3">
        <v>-0.33102949999999998</v>
      </c>
      <c r="L5545" s="3">
        <v>-0.1236517</v>
      </c>
    </row>
    <row r="5546" spans="1:12" x14ac:dyDescent="0.25">
      <c r="A5546" t="s">
        <v>49</v>
      </c>
      <c r="B5546" t="s">
        <v>50</v>
      </c>
      <c r="I5546" t="s">
        <v>51</v>
      </c>
      <c r="J5546" s="3">
        <v>-0.81916029999999995</v>
      </c>
      <c r="K5546" s="3">
        <v>-0.76951760000000002</v>
      </c>
      <c r="L5546" s="3">
        <v>-0.56904339999999998</v>
      </c>
    </row>
    <row r="5547" spans="1:12" x14ac:dyDescent="0.25">
      <c r="A5547" t="s">
        <v>48</v>
      </c>
      <c r="B5547" t="s">
        <v>957</v>
      </c>
      <c r="I5547" t="s">
        <v>455</v>
      </c>
      <c r="J5547" s="3">
        <v>-2.7724539999999999E-2</v>
      </c>
      <c r="K5547" s="3">
        <v>0.3412057</v>
      </c>
      <c r="L5547" s="3">
        <v>8.4032380000000004E-2</v>
      </c>
    </row>
    <row r="5548" spans="1:12" x14ac:dyDescent="0.25">
      <c r="A5548" t="s">
        <v>45</v>
      </c>
      <c r="B5548" t="s">
        <v>46</v>
      </c>
      <c r="I5548" t="s">
        <v>47</v>
      </c>
      <c r="J5548" s="3">
        <v>0.17856340000000001</v>
      </c>
      <c r="K5548" s="3">
        <v>3.4021099999999999E-2</v>
      </c>
      <c r="L5548" s="3">
        <v>-0.30268139999999999</v>
      </c>
    </row>
    <row r="5549" spans="1:12" x14ac:dyDescent="0.25">
      <c r="A5549" t="s">
        <v>42</v>
      </c>
      <c r="B5549" t="s">
        <v>43</v>
      </c>
      <c r="I5549" t="s">
        <v>44</v>
      </c>
      <c r="J5549" s="3">
        <v>0.33148840000000002</v>
      </c>
      <c r="K5549" s="3">
        <v>0.64505020000000002</v>
      </c>
      <c r="L5549" s="3">
        <v>0.64277810000000002</v>
      </c>
    </row>
    <row r="5550" spans="1:12" x14ac:dyDescent="0.25">
      <c r="A5550" t="s">
        <v>39</v>
      </c>
      <c r="B5550" t="s">
        <v>40</v>
      </c>
      <c r="I5550" t="s">
        <v>41</v>
      </c>
      <c r="J5550" s="3">
        <v>-0.31205310000000003</v>
      </c>
      <c r="K5550" s="3">
        <v>-0.39024900000000001</v>
      </c>
      <c r="L5550" s="3">
        <v>-0.3584618</v>
      </c>
    </row>
    <row r="5551" spans="1:12" x14ac:dyDescent="0.25">
      <c r="A5551" t="s">
        <v>36</v>
      </c>
      <c r="B5551" t="s">
        <v>37</v>
      </c>
      <c r="I5551" t="s">
        <v>38</v>
      </c>
      <c r="J5551" s="3">
        <v>1.9338049999999999E-2</v>
      </c>
      <c r="K5551" s="3">
        <v>0.1154314</v>
      </c>
      <c r="L5551" s="3">
        <v>0.10679470000000001</v>
      </c>
    </row>
    <row r="5552" spans="1:12" x14ac:dyDescent="0.25">
      <c r="A5552" t="s">
        <v>33</v>
      </c>
      <c r="B5552" t="s">
        <v>34</v>
      </c>
      <c r="I5552" t="s">
        <v>35</v>
      </c>
      <c r="J5552" s="3">
        <v>1.0145660000000001</v>
      </c>
      <c r="K5552" s="3">
        <v>1.2822789999999999</v>
      </c>
      <c r="L5552" s="3">
        <v>1.0657430000000001</v>
      </c>
    </row>
    <row r="5553" spans="1:12" x14ac:dyDescent="0.25">
      <c r="A5553" t="s">
        <v>30</v>
      </c>
      <c r="B5553" t="s">
        <v>31</v>
      </c>
      <c r="I5553" t="s">
        <v>32</v>
      </c>
      <c r="J5553" s="3">
        <v>-0.50522230000000001</v>
      </c>
      <c r="K5553" s="3">
        <v>-0.92987850000000005</v>
      </c>
      <c r="L5553" s="3">
        <v>-0.46210020000000002</v>
      </c>
    </row>
    <row r="5554" spans="1:12" x14ac:dyDescent="0.25">
      <c r="A5554" t="s">
        <v>29</v>
      </c>
      <c r="B5554" t="s">
        <v>957</v>
      </c>
      <c r="I5554" t="s">
        <v>455</v>
      </c>
      <c r="J5554" s="3">
        <v>-7.9042009999999996E-2</v>
      </c>
      <c r="K5554" s="3">
        <v>0.43512040000000002</v>
      </c>
      <c r="L5554" s="3">
        <v>5.0943620000000002E-2</v>
      </c>
    </row>
    <row r="5555" spans="1:12" x14ac:dyDescent="0.25">
      <c r="A5555" t="s">
        <v>26</v>
      </c>
      <c r="B5555" t="s">
        <v>27</v>
      </c>
      <c r="I5555" t="s">
        <v>28</v>
      </c>
      <c r="J5555" s="3">
        <v>-0.36139959999999999</v>
      </c>
      <c r="K5555" s="3">
        <v>-1.0114339999999999</v>
      </c>
      <c r="L5555" s="3">
        <v>-0.32026660000000001</v>
      </c>
    </row>
    <row r="5556" spans="1:12" x14ac:dyDescent="0.25">
      <c r="A5556" t="s">
        <v>23</v>
      </c>
      <c r="B5556" t="s">
        <v>24</v>
      </c>
      <c r="I5556" t="s">
        <v>25</v>
      </c>
      <c r="J5556" s="3">
        <v>-0.37154619999999999</v>
      </c>
      <c r="K5556" s="3">
        <v>-0.73902159999999995</v>
      </c>
      <c r="L5556" s="3">
        <v>8.4683969999999997E-2</v>
      </c>
    </row>
    <row r="5557" spans="1:12" x14ac:dyDescent="0.25">
      <c r="A5557" t="s">
        <v>20</v>
      </c>
      <c r="B5557" t="s">
        <v>21</v>
      </c>
      <c r="I5557" t="s">
        <v>22</v>
      </c>
      <c r="J5557" s="3">
        <v>-0.55953459999999999</v>
      </c>
      <c r="K5557" s="3">
        <v>-0.21313960000000001</v>
      </c>
      <c r="L5557" s="3">
        <v>-0.436635</v>
      </c>
    </row>
    <row r="5558" spans="1:12" x14ac:dyDescent="0.25">
      <c r="A5558" t="s">
        <v>17</v>
      </c>
      <c r="B5558" t="s">
        <v>18</v>
      </c>
      <c r="I5558" t="s">
        <v>19</v>
      </c>
      <c r="J5558" s="3">
        <v>-0.38118039999999997</v>
      </c>
      <c r="K5558" s="3">
        <v>-0.97182310000000005</v>
      </c>
      <c r="L5558" s="3">
        <v>-0.57079550000000001</v>
      </c>
    </row>
    <row r="5559" spans="1:12" x14ac:dyDescent="0.25">
      <c r="A5559" t="s">
        <v>16</v>
      </c>
      <c r="B5559" t="s">
        <v>957</v>
      </c>
      <c r="I5559" t="s">
        <v>455</v>
      </c>
      <c r="J5559" s="3">
        <v>0.54638390000000003</v>
      </c>
      <c r="K5559" s="3">
        <v>0.2417629</v>
      </c>
      <c r="L5559" s="3">
        <v>0.28696569999999999</v>
      </c>
    </row>
    <row r="5560" spans="1:12" x14ac:dyDescent="0.25">
      <c r="A5560" t="s">
        <v>13</v>
      </c>
      <c r="B5560" t="s">
        <v>14</v>
      </c>
      <c r="I5560" t="s">
        <v>15</v>
      </c>
      <c r="J5560" s="3">
        <v>0.82862749999999996</v>
      </c>
      <c r="K5560" s="3">
        <v>0.62549140000000003</v>
      </c>
      <c r="L5560" s="3">
        <v>0.40556510000000001</v>
      </c>
    </row>
    <row r="5561" spans="1:12" x14ac:dyDescent="0.25">
      <c r="A5561" t="s">
        <v>10</v>
      </c>
      <c r="B5561" t="s">
        <v>11</v>
      </c>
      <c r="I5561" t="s">
        <v>12</v>
      </c>
      <c r="J5561" s="3">
        <v>-4.7018789999999998E-2</v>
      </c>
      <c r="K5561" s="3">
        <v>-0.49207070000000003</v>
      </c>
      <c r="L5561" s="3">
        <v>4.4102719999999998E-2</v>
      </c>
    </row>
    <row r="5562" spans="1:12" x14ac:dyDescent="0.25">
      <c r="A5562" t="s">
        <v>7</v>
      </c>
      <c r="B5562" t="s">
        <v>8</v>
      </c>
      <c r="I5562" t="s">
        <v>9</v>
      </c>
      <c r="J5562" s="3">
        <v>-0.3235478</v>
      </c>
      <c r="K5562" s="3">
        <v>-0.42406060000000001</v>
      </c>
      <c r="L5562" s="3">
        <v>-4.9658109999999998E-2</v>
      </c>
    </row>
    <row r="5563" spans="1:12" x14ac:dyDescent="0.25">
      <c r="A5563" t="s">
        <v>4</v>
      </c>
      <c r="B5563" t="s">
        <v>5</v>
      </c>
      <c r="I5563" t="s">
        <v>6</v>
      </c>
      <c r="J5563" s="3">
        <v>1.9884550000000001E-2</v>
      </c>
      <c r="K5563" s="3">
        <v>-0.4521599</v>
      </c>
      <c r="L5563" s="3">
        <v>1.697864E-2</v>
      </c>
    </row>
    <row r="5564" spans="1:12" x14ac:dyDescent="0.25">
      <c r="A5564" t="s">
        <v>3</v>
      </c>
      <c r="B5564" t="s">
        <v>957</v>
      </c>
      <c r="I5564" t="s">
        <v>455</v>
      </c>
      <c r="J5564" s="3">
        <v>0.44844620000000002</v>
      </c>
      <c r="K5564" s="3">
        <v>0.1433508</v>
      </c>
      <c r="L5564" s="3">
        <v>1.604328E-2</v>
      </c>
    </row>
    <row r="5565" spans="1:12" x14ac:dyDescent="0.25">
      <c r="A5565" t="s">
        <v>1</v>
      </c>
      <c r="B5565" t="s">
        <v>957</v>
      </c>
      <c r="I5565" t="s">
        <v>2</v>
      </c>
      <c r="J5565" s="3">
        <v>0.36427280000000001</v>
      </c>
      <c r="K5565" s="3">
        <v>2.639474E-2</v>
      </c>
      <c r="L5565" s="3">
        <v>0.1431066</v>
      </c>
    </row>
    <row r="5566" spans="1:12" x14ac:dyDescent="0.25">
      <c r="A5566" t="s">
        <v>610</v>
      </c>
      <c r="B5566" t="s">
        <v>611</v>
      </c>
      <c r="I5566" t="s">
        <v>0</v>
      </c>
      <c r="J5566" s="3">
        <v>-0.4397875</v>
      </c>
      <c r="K5566" s="3">
        <v>-0.63252560000000002</v>
      </c>
      <c r="L5566" s="3">
        <v>-0.33102229999999999</v>
      </c>
    </row>
    <row r="5567" spans="1:12" x14ac:dyDescent="0.25">
      <c r="A5567" t="s">
        <v>607</v>
      </c>
      <c r="B5567" t="s">
        <v>608</v>
      </c>
      <c r="I5567" t="s">
        <v>609</v>
      </c>
      <c r="J5567" s="3">
        <v>-0.54142069999999998</v>
      </c>
      <c r="K5567" s="3">
        <v>-0.88872329999999999</v>
      </c>
      <c r="L5567" s="3">
        <v>-0.3312003</v>
      </c>
    </row>
    <row r="5568" spans="1:12" x14ac:dyDescent="0.25">
      <c r="A5568" t="s">
        <v>606</v>
      </c>
      <c r="B5568" t="s">
        <v>957</v>
      </c>
      <c r="I5568" t="s">
        <v>455</v>
      </c>
      <c r="J5568" s="3">
        <v>0.30395430000000001</v>
      </c>
      <c r="K5568" s="3">
        <v>2.892929E-2</v>
      </c>
      <c r="L5568" s="3">
        <v>0.21236940000000001</v>
      </c>
    </row>
    <row r="5569" spans="1:12" x14ac:dyDescent="0.25">
      <c r="A5569" t="s">
        <v>605</v>
      </c>
      <c r="B5569" t="s">
        <v>957</v>
      </c>
      <c r="I5569" t="s">
        <v>455</v>
      </c>
      <c r="J5569" s="3">
        <v>-2.8895339999999999E-2</v>
      </c>
      <c r="K5569" s="3">
        <v>-0.2399847</v>
      </c>
      <c r="L5569" s="3">
        <v>-2.3850369999999999E-2</v>
      </c>
    </row>
    <row r="5570" spans="1:12" x14ac:dyDescent="0.25">
      <c r="A5570" t="s">
        <v>602</v>
      </c>
      <c r="B5570" t="s">
        <v>603</v>
      </c>
      <c r="I5570" t="s">
        <v>604</v>
      </c>
      <c r="J5570" s="3">
        <v>-9.4134179999999998E-2</v>
      </c>
      <c r="K5570" s="3">
        <v>-0.15530269999999999</v>
      </c>
      <c r="L5570" s="3">
        <v>0.35656860000000001</v>
      </c>
    </row>
    <row r="5571" spans="1:12" x14ac:dyDescent="0.25">
      <c r="A5571" t="s">
        <v>599</v>
      </c>
      <c r="B5571" t="s">
        <v>600</v>
      </c>
      <c r="I5571" t="s">
        <v>601</v>
      </c>
      <c r="J5571" s="3">
        <v>0.177812</v>
      </c>
      <c r="K5571" s="3">
        <v>0.41000490000000001</v>
      </c>
      <c r="L5571" s="3">
        <v>0.64460720000000005</v>
      </c>
    </row>
    <row r="5572" spans="1:12" x14ac:dyDescent="0.25">
      <c r="A5572" t="s">
        <v>596</v>
      </c>
      <c r="B5572" t="s">
        <v>597</v>
      </c>
      <c r="I5572" t="s">
        <v>598</v>
      </c>
      <c r="J5572" s="3">
        <v>8.5635660000000002E-2</v>
      </c>
      <c r="K5572" s="3">
        <v>-0.38941969999999998</v>
      </c>
      <c r="L5572" s="3">
        <v>7.2649900000000002E-4</v>
      </c>
    </row>
    <row r="5573" spans="1:12" x14ac:dyDescent="0.25">
      <c r="A5573" t="s">
        <v>595</v>
      </c>
      <c r="B5573" t="s">
        <v>957</v>
      </c>
      <c r="I5573" t="s">
        <v>455</v>
      </c>
      <c r="J5573" s="3">
        <v>-0.17469419999999999</v>
      </c>
      <c r="K5573" s="3">
        <v>-0.48730119999999999</v>
      </c>
      <c r="L5573" s="3">
        <v>-0.1393143</v>
      </c>
    </row>
    <row r="5574" spans="1:12" x14ac:dyDescent="0.25">
      <c r="A5574" t="s">
        <v>594</v>
      </c>
      <c r="B5574" t="s">
        <v>957</v>
      </c>
      <c r="I5574" t="s">
        <v>455</v>
      </c>
      <c r="J5574" s="3">
        <v>4.901146E-2</v>
      </c>
      <c r="K5574" s="3">
        <v>0.33123849999999999</v>
      </c>
      <c r="L5574" s="3">
        <v>0.18184</v>
      </c>
    </row>
    <row r="5575" spans="1:12" x14ac:dyDescent="0.25">
      <c r="A5575" t="s">
        <v>591</v>
      </c>
      <c r="B5575" t="s">
        <v>592</v>
      </c>
      <c r="I5575" t="s">
        <v>593</v>
      </c>
      <c r="J5575" s="3">
        <v>-1.0530489999999999</v>
      </c>
      <c r="K5575" s="3">
        <v>-1.4346559999999999</v>
      </c>
      <c r="L5575" s="3">
        <v>-0.75522480000000003</v>
      </c>
    </row>
    <row r="5576" spans="1:12" x14ac:dyDescent="0.25">
      <c r="A5576" t="s">
        <v>588</v>
      </c>
      <c r="B5576" t="s">
        <v>589</v>
      </c>
      <c r="I5576" t="s">
        <v>590</v>
      </c>
      <c r="J5576" s="3">
        <v>-0.44937529999999998</v>
      </c>
      <c r="K5576" s="3">
        <v>-0.54952089999999998</v>
      </c>
      <c r="L5576" s="3">
        <v>0.248582</v>
      </c>
    </row>
    <row r="5577" spans="1:12" x14ac:dyDescent="0.25">
      <c r="A5577" t="s">
        <v>586</v>
      </c>
      <c r="B5577" t="s">
        <v>14195</v>
      </c>
      <c r="C5577" t="s">
        <v>14196</v>
      </c>
      <c r="I5577" t="s">
        <v>587</v>
      </c>
      <c r="J5577" s="3">
        <v>0.87035249999999997</v>
      </c>
      <c r="K5577" s="3">
        <v>0.81870189999999998</v>
      </c>
      <c r="L5577" s="3">
        <v>1.01675</v>
      </c>
    </row>
    <row r="5578" spans="1:12" x14ac:dyDescent="0.25">
      <c r="A5578" t="s">
        <v>583</v>
      </c>
      <c r="B5578" t="s">
        <v>584</v>
      </c>
      <c r="I5578" t="s">
        <v>585</v>
      </c>
      <c r="J5578" s="3">
        <v>0.25705630000000002</v>
      </c>
      <c r="K5578" s="3">
        <v>4.5255759999999999E-2</v>
      </c>
      <c r="L5578" s="3">
        <v>0.26704990000000001</v>
      </c>
    </row>
    <row r="5579" spans="1:12" x14ac:dyDescent="0.25">
      <c r="A5579" t="s">
        <v>580</v>
      </c>
      <c r="B5579" t="s">
        <v>581</v>
      </c>
      <c r="I5579" t="s">
        <v>582</v>
      </c>
      <c r="J5579" s="3">
        <v>-0.30507570000000001</v>
      </c>
      <c r="K5579" s="3">
        <v>-0.83393110000000004</v>
      </c>
      <c r="L5579" s="3">
        <v>-0.44245259999999997</v>
      </c>
    </row>
    <row r="5580" spans="1:12" x14ac:dyDescent="0.25">
      <c r="A5580" t="s">
        <v>577</v>
      </c>
      <c r="B5580" t="s">
        <v>578</v>
      </c>
      <c r="I5580" t="s">
        <v>579</v>
      </c>
      <c r="J5580" s="3">
        <v>-0.14149909999999999</v>
      </c>
      <c r="K5580" s="3">
        <v>-0.49666559999999998</v>
      </c>
      <c r="L5580" s="3">
        <v>-0.28063260000000001</v>
      </c>
    </row>
    <row r="5581" spans="1:12" x14ac:dyDescent="0.25">
      <c r="A5581" t="s">
        <v>163</v>
      </c>
      <c r="B5581" t="s">
        <v>164</v>
      </c>
      <c r="I5581" t="s">
        <v>576</v>
      </c>
      <c r="J5581" s="3">
        <v>0.34242660000000003</v>
      </c>
      <c r="K5581" s="3">
        <v>0.48995929999999999</v>
      </c>
      <c r="L5581" s="3">
        <v>0.47674870000000003</v>
      </c>
    </row>
    <row r="5582" spans="1:12" x14ac:dyDescent="0.25">
      <c r="A5582" t="s">
        <v>160</v>
      </c>
      <c r="B5582" t="s">
        <v>161</v>
      </c>
      <c r="I5582" t="s">
        <v>162</v>
      </c>
      <c r="J5582" s="3">
        <v>-0.27315899999999999</v>
      </c>
      <c r="K5582" s="3">
        <v>-0.54347400000000001</v>
      </c>
      <c r="L5582" s="3">
        <v>-0.1178493</v>
      </c>
    </row>
    <row r="5583" spans="1:12" x14ac:dyDescent="0.25">
      <c r="A5583" t="s">
        <v>157</v>
      </c>
      <c r="B5583" t="s">
        <v>158</v>
      </c>
      <c r="I5583" t="s">
        <v>159</v>
      </c>
      <c r="J5583" s="3">
        <v>-3.122084E-2</v>
      </c>
      <c r="K5583" s="3">
        <v>-0.48108630000000002</v>
      </c>
      <c r="L5583" s="3">
        <v>-4.0551219999999999E-2</v>
      </c>
    </row>
    <row r="5584" spans="1:12" x14ac:dyDescent="0.25">
      <c r="A5584" t="s">
        <v>155</v>
      </c>
      <c r="B5584" t="s">
        <v>957</v>
      </c>
      <c r="I5584" t="s">
        <v>156</v>
      </c>
      <c r="J5584" s="3">
        <v>-0.39551809999999998</v>
      </c>
      <c r="K5584" s="3">
        <v>-5.3632739999999998E-2</v>
      </c>
      <c r="L5584" s="3">
        <v>-0.17947009999999999</v>
      </c>
    </row>
    <row r="5585" spans="1:12" x14ac:dyDescent="0.25">
      <c r="A5585" t="s">
        <v>154</v>
      </c>
      <c r="B5585" t="s">
        <v>957</v>
      </c>
      <c r="I5585" t="s">
        <v>455</v>
      </c>
      <c r="J5585" s="3">
        <v>-4.7653399999999999E-2</v>
      </c>
      <c r="K5585" s="3">
        <v>8.2570050000000006E-2</v>
      </c>
      <c r="L5585" s="3">
        <v>-6.7626480000000003E-2</v>
      </c>
    </row>
    <row r="5586" spans="1:12" x14ac:dyDescent="0.25">
      <c r="A5586" t="s">
        <v>151</v>
      </c>
      <c r="B5586" t="s">
        <v>152</v>
      </c>
      <c r="I5586" t="s">
        <v>153</v>
      </c>
      <c r="J5586" s="3">
        <v>0.14979400000000001</v>
      </c>
      <c r="K5586" s="3">
        <v>0.21225150000000001</v>
      </c>
      <c r="L5586" s="3">
        <v>-7.9229439999999998E-2</v>
      </c>
    </row>
    <row r="5587" spans="1:12" x14ac:dyDescent="0.25">
      <c r="A5587" t="s">
        <v>148</v>
      </c>
      <c r="B5587" t="s">
        <v>149</v>
      </c>
      <c r="I5587" t="s">
        <v>150</v>
      </c>
      <c r="J5587" s="3">
        <v>-0.258741</v>
      </c>
      <c r="K5587" s="3">
        <v>-0.83155699999999999</v>
      </c>
      <c r="L5587" s="3">
        <v>-0.63834659999999999</v>
      </c>
    </row>
    <row r="5588" spans="1:12" x14ac:dyDescent="0.25">
      <c r="A5588" t="s">
        <v>145</v>
      </c>
      <c r="B5588" t="s">
        <v>146</v>
      </c>
      <c r="I5588" t="s">
        <v>147</v>
      </c>
      <c r="J5588" s="3">
        <v>-0.33720430000000001</v>
      </c>
      <c r="K5588" s="3">
        <v>-0.56843330000000003</v>
      </c>
      <c r="L5588" s="3">
        <v>-0.44022470000000002</v>
      </c>
    </row>
    <row r="5589" spans="1:12" x14ac:dyDescent="0.25">
      <c r="A5589" t="s">
        <v>142</v>
      </c>
      <c r="B5589" t="s">
        <v>143</v>
      </c>
      <c r="I5589" t="s">
        <v>144</v>
      </c>
      <c r="J5589" s="3">
        <v>-0.68593380000000004</v>
      </c>
      <c r="K5589" s="3">
        <v>-9.655097E-2</v>
      </c>
      <c r="L5589" s="3">
        <v>-0.1840376</v>
      </c>
    </row>
    <row r="5590" spans="1:12" x14ac:dyDescent="0.25">
      <c r="A5590" t="s">
        <v>141</v>
      </c>
      <c r="B5590" t="s">
        <v>957</v>
      </c>
      <c r="I5590" t="s">
        <v>455</v>
      </c>
      <c r="J5590" s="3">
        <v>-0.16429079999999999</v>
      </c>
      <c r="K5590" s="3">
        <v>0.33304260000000002</v>
      </c>
      <c r="L5590" s="3">
        <v>1.4663890000000001E-2</v>
      </c>
    </row>
    <row r="5591" spans="1:12" x14ac:dyDescent="0.25">
      <c r="A5591" t="s">
        <v>140</v>
      </c>
      <c r="B5591" t="s">
        <v>957</v>
      </c>
      <c r="I5591" t="s">
        <v>455</v>
      </c>
      <c r="J5591" s="3">
        <v>-0.24885119999999999</v>
      </c>
      <c r="K5591" s="3">
        <v>-0.72677700000000001</v>
      </c>
      <c r="L5591" s="3">
        <v>-0.24595410000000001</v>
      </c>
    </row>
    <row r="5592" spans="1:12" x14ac:dyDescent="0.25">
      <c r="A5592" t="s">
        <v>139</v>
      </c>
      <c r="B5592" t="s">
        <v>957</v>
      </c>
      <c r="I5592" t="s">
        <v>455</v>
      </c>
      <c r="J5592" s="3">
        <v>0.24233479999999999</v>
      </c>
      <c r="K5592" s="3">
        <v>0.6042227</v>
      </c>
      <c r="L5592" s="3">
        <v>3.243716E-2</v>
      </c>
    </row>
    <row r="5593" spans="1:12" x14ac:dyDescent="0.25">
      <c r="A5593" t="s">
        <v>138</v>
      </c>
      <c r="B5593" t="s">
        <v>957</v>
      </c>
      <c r="I5593" t="s">
        <v>455</v>
      </c>
      <c r="J5593" s="3">
        <v>-3.9415859999999997E-2</v>
      </c>
      <c r="K5593" s="3">
        <v>-4.7613919999999997E-2</v>
      </c>
      <c r="L5593" s="3">
        <v>-0.37810110000000002</v>
      </c>
    </row>
    <row r="5594" spans="1:12" x14ac:dyDescent="0.25">
      <c r="A5594" t="s">
        <v>136</v>
      </c>
      <c r="B5594" t="s">
        <v>957</v>
      </c>
      <c r="I5594" t="s">
        <v>137</v>
      </c>
      <c r="J5594" s="3">
        <v>0.43107210000000001</v>
      </c>
      <c r="K5594" s="3">
        <v>0.2137763</v>
      </c>
      <c r="L5594" s="3">
        <v>0.43361090000000002</v>
      </c>
    </row>
    <row r="5595" spans="1:12" x14ac:dyDescent="0.25">
      <c r="A5595" t="s">
        <v>133</v>
      </c>
      <c r="B5595" t="s">
        <v>134</v>
      </c>
      <c r="I5595" t="s">
        <v>135</v>
      </c>
      <c r="J5595" s="3">
        <v>-0.1256901</v>
      </c>
      <c r="K5595" s="3">
        <v>7.6789360000000001E-2</v>
      </c>
      <c r="L5595" s="3">
        <v>2.446889E-2</v>
      </c>
    </row>
    <row r="5596" spans="1:12" x14ac:dyDescent="0.25">
      <c r="A5596" t="s">
        <v>130</v>
      </c>
      <c r="B5596" t="s">
        <v>131</v>
      </c>
      <c r="I5596" t="s">
        <v>132</v>
      </c>
      <c r="J5596" s="3">
        <v>-4.3368520000000001E-2</v>
      </c>
      <c r="K5596" s="3">
        <v>0.23258580000000001</v>
      </c>
      <c r="L5596" s="3">
        <v>0.23475409999999999</v>
      </c>
    </row>
    <row r="5597" spans="1:12" x14ac:dyDescent="0.25">
      <c r="A5597" t="s">
        <v>127</v>
      </c>
      <c r="B5597" t="s">
        <v>128</v>
      </c>
      <c r="I5597" t="s">
        <v>129</v>
      </c>
      <c r="J5597" s="3">
        <v>0.77499099999999999</v>
      </c>
      <c r="K5597" s="3">
        <v>0.93624799999999997</v>
      </c>
      <c r="L5597" s="3">
        <v>0.3691912</v>
      </c>
    </row>
    <row r="5598" spans="1:12" x14ac:dyDescent="0.25">
      <c r="A5598" t="s">
        <v>124</v>
      </c>
      <c r="B5598" t="s">
        <v>125</v>
      </c>
      <c r="I5598" t="s">
        <v>126</v>
      </c>
      <c r="J5598" s="3">
        <v>0.77351789999999998</v>
      </c>
      <c r="K5598" s="3">
        <v>0.70635579999999998</v>
      </c>
      <c r="L5598" s="3">
        <v>0.48770170000000002</v>
      </c>
    </row>
    <row r="5599" spans="1:12" x14ac:dyDescent="0.25">
      <c r="A5599" t="s">
        <v>121</v>
      </c>
      <c r="B5599" t="s">
        <v>122</v>
      </c>
      <c r="I5599" t="s">
        <v>123</v>
      </c>
      <c r="J5599" s="3">
        <v>-0.14440629999999999</v>
      </c>
      <c r="K5599" s="3">
        <v>0.25310440000000001</v>
      </c>
      <c r="L5599" s="3">
        <v>-3.056505E-2</v>
      </c>
    </row>
    <row r="5600" spans="1:12" x14ac:dyDescent="0.25">
      <c r="A5600" t="s">
        <v>120</v>
      </c>
      <c r="B5600" t="s">
        <v>957</v>
      </c>
      <c r="I5600" t="s">
        <v>455</v>
      </c>
      <c r="J5600" s="3">
        <v>0.1517396</v>
      </c>
      <c r="K5600" s="3">
        <v>-0.23337769999999999</v>
      </c>
      <c r="L5600" s="3">
        <v>-0.1454481</v>
      </c>
    </row>
    <row r="5601" spans="1:12" x14ac:dyDescent="0.25">
      <c r="A5601" t="s">
        <v>119</v>
      </c>
      <c r="B5601" t="s">
        <v>957</v>
      </c>
      <c r="I5601" t="s">
        <v>455</v>
      </c>
      <c r="J5601" s="3">
        <v>0.73695239999999995</v>
      </c>
      <c r="K5601" s="3">
        <v>1.036619</v>
      </c>
      <c r="L5601" s="3">
        <v>0.52705340000000001</v>
      </c>
    </row>
    <row r="5602" spans="1:12" x14ac:dyDescent="0.25">
      <c r="A5602" t="s">
        <v>116</v>
      </c>
      <c r="B5602" t="s">
        <v>117</v>
      </c>
      <c r="I5602" t="s">
        <v>118</v>
      </c>
      <c r="J5602" s="3">
        <v>1.0941799999999999</v>
      </c>
      <c r="K5602" s="3">
        <v>1.4554279999999999</v>
      </c>
      <c r="L5602" s="3">
        <v>0.98439180000000004</v>
      </c>
    </row>
    <row r="5603" spans="1:12" x14ac:dyDescent="0.25">
      <c r="A5603" t="s">
        <v>113</v>
      </c>
      <c r="B5603" t="s">
        <v>114</v>
      </c>
      <c r="I5603" t="s">
        <v>115</v>
      </c>
      <c r="J5603" s="3">
        <v>0.32850430000000003</v>
      </c>
      <c r="K5603" s="3">
        <v>-0.23728920000000001</v>
      </c>
      <c r="L5603" s="3">
        <v>0.27829330000000002</v>
      </c>
    </row>
    <row r="5604" spans="1:12" x14ac:dyDescent="0.25">
      <c r="A5604" t="s">
        <v>110</v>
      </c>
      <c r="B5604" t="s">
        <v>111</v>
      </c>
      <c r="I5604" t="s">
        <v>112</v>
      </c>
      <c r="J5604" s="3">
        <v>0.87726490000000001</v>
      </c>
      <c r="K5604" s="3">
        <v>0.20681769999999999</v>
      </c>
      <c r="L5604" s="3">
        <v>0.72807279999999996</v>
      </c>
    </row>
    <row r="5605" spans="1:12" x14ac:dyDescent="0.25">
      <c r="A5605" t="s">
        <v>1111</v>
      </c>
      <c r="B5605" s="4" t="s">
        <v>14197</v>
      </c>
      <c r="C5605" s="4" t="s">
        <v>14198</v>
      </c>
      <c r="D5605" s="4"/>
      <c r="E5605" s="4"/>
      <c r="F5605" s="4"/>
      <c r="G5605" s="4"/>
      <c r="H5605" s="4"/>
      <c r="I5605" t="s">
        <v>109</v>
      </c>
      <c r="J5605" s="3">
        <v>0.26060420000000001</v>
      </c>
      <c r="K5605" s="3">
        <v>-0.15795989999999999</v>
      </c>
      <c r="L5605" s="3">
        <v>0.27699289999999999</v>
      </c>
    </row>
    <row r="5606" spans="1:12" x14ac:dyDescent="0.25">
      <c r="A5606" t="s">
        <v>1108</v>
      </c>
      <c r="B5606" t="s">
        <v>1109</v>
      </c>
      <c r="I5606" t="s">
        <v>1110</v>
      </c>
      <c r="J5606" s="3">
        <v>-0.19719539999999999</v>
      </c>
      <c r="K5606" s="3">
        <v>-0.9409014</v>
      </c>
      <c r="L5606" s="3">
        <v>-0.200319</v>
      </c>
    </row>
    <row r="5607" spans="1:12" x14ac:dyDescent="0.25">
      <c r="A5607" t="s">
        <v>1105</v>
      </c>
      <c r="B5607" t="s">
        <v>1106</v>
      </c>
      <c r="I5607" t="s">
        <v>1107</v>
      </c>
      <c r="J5607" s="3">
        <v>-0.41751929999999998</v>
      </c>
      <c r="K5607" s="3">
        <v>-0.61907920000000005</v>
      </c>
      <c r="L5607" s="3">
        <v>-0.63259980000000005</v>
      </c>
    </row>
    <row r="5608" spans="1:12" x14ac:dyDescent="0.25">
      <c r="A5608" t="s">
        <v>1102</v>
      </c>
      <c r="B5608" t="s">
        <v>1103</v>
      </c>
      <c r="I5608" t="s">
        <v>1104</v>
      </c>
      <c r="J5608" s="3">
        <v>0.13485559999999999</v>
      </c>
      <c r="K5608" s="3">
        <v>2.727249E-2</v>
      </c>
      <c r="L5608" s="3">
        <v>0.43630150000000001</v>
      </c>
    </row>
    <row r="5609" spans="1:12" x14ac:dyDescent="0.25">
      <c r="A5609" t="s">
        <v>1099</v>
      </c>
      <c r="B5609" t="s">
        <v>1100</v>
      </c>
      <c r="I5609" t="s">
        <v>1101</v>
      </c>
      <c r="J5609" s="3">
        <v>0.2345227</v>
      </c>
      <c r="K5609" s="3">
        <v>-0.1865503</v>
      </c>
      <c r="L5609" s="3">
        <v>0.21237400000000001</v>
      </c>
    </row>
    <row r="5610" spans="1:12" x14ac:dyDescent="0.25">
      <c r="A5610" t="s">
        <v>1096</v>
      </c>
      <c r="B5610" t="s">
        <v>1097</v>
      </c>
      <c r="I5610" t="s">
        <v>1098</v>
      </c>
      <c r="J5610" s="3">
        <v>-0.62330220000000003</v>
      </c>
      <c r="K5610" s="3">
        <v>-0.22064990000000001</v>
      </c>
      <c r="L5610" s="3">
        <v>-0.75217900000000004</v>
      </c>
    </row>
    <row r="5611" spans="1:12" x14ac:dyDescent="0.25">
      <c r="A5611" t="s">
        <v>1093</v>
      </c>
      <c r="B5611" t="s">
        <v>1094</v>
      </c>
      <c r="I5611" t="s">
        <v>1095</v>
      </c>
      <c r="J5611" s="3">
        <v>-0.26033830000000002</v>
      </c>
      <c r="K5611" s="3">
        <v>-0.39690189999999997</v>
      </c>
      <c r="L5611" s="3">
        <v>-0.37137579999999998</v>
      </c>
    </row>
    <row r="5612" spans="1:12" x14ac:dyDescent="0.25">
      <c r="A5612" t="s">
        <v>1090</v>
      </c>
      <c r="B5612" t="s">
        <v>1091</v>
      </c>
      <c r="I5612" t="s">
        <v>1092</v>
      </c>
      <c r="J5612" s="3">
        <v>0.50897179999999997</v>
      </c>
      <c r="K5612" s="3">
        <v>0.51284019999999997</v>
      </c>
      <c r="L5612" s="3">
        <v>0.83447800000000005</v>
      </c>
    </row>
    <row r="5613" spans="1:12" x14ac:dyDescent="0.25">
      <c r="A5613" t="s">
        <v>1087</v>
      </c>
      <c r="B5613" t="s">
        <v>1088</v>
      </c>
      <c r="I5613" t="s">
        <v>1089</v>
      </c>
      <c r="J5613" s="3">
        <v>0.1296609</v>
      </c>
      <c r="K5613" s="3">
        <v>-0.25564209999999998</v>
      </c>
      <c r="L5613" s="3">
        <v>-0.12755939999999999</v>
      </c>
    </row>
    <row r="5614" spans="1:12" x14ac:dyDescent="0.25">
      <c r="A5614" t="s">
        <v>486</v>
      </c>
      <c r="B5614" t="s">
        <v>487</v>
      </c>
      <c r="I5614" t="s">
        <v>1086</v>
      </c>
      <c r="J5614" s="3">
        <v>-0.18820509999999999</v>
      </c>
      <c r="K5614" s="3">
        <v>-0.84448599999999996</v>
      </c>
      <c r="L5614" s="3">
        <v>-0.39795009999999997</v>
      </c>
    </row>
    <row r="5615" spans="1:12" x14ac:dyDescent="0.25">
      <c r="A5615" t="s">
        <v>483</v>
      </c>
      <c r="B5615" t="s">
        <v>484</v>
      </c>
      <c r="I5615" t="s">
        <v>485</v>
      </c>
      <c r="J5615" s="3">
        <v>-0.88691620000000004</v>
      </c>
      <c r="K5615" s="3">
        <v>-1.3533759999999999</v>
      </c>
      <c r="L5615" s="3">
        <v>-0.77238099999999998</v>
      </c>
    </row>
    <row r="5616" spans="1:12" x14ac:dyDescent="0.25">
      <c r="A5616" t="s">
        <v>480</v>
      </c>
      <c r="B5616" t="s">
        <v>481</v>
      </c>
      <c r="I5616" t="s">
        <v>482</v>
      </c>
      <c r="J5616" s="3">
        <v>2.3133899999999999E-2</v>
      </c>
      <c r="K5616" s="3">
        <v>0.76315549999999999</v>
      </c>
      <c r="L5616" s="3">
        <v>1.6577310000000001E-2</v>
      </c>
    </row>
    <row r="5617" spans="1:12" x14ac:dyDescent="0.25">
      <c r="A5617" t="s">
        <v>477</v>
      </c>
      <c r="B5617" t="s">
        <v>478</v>
      </c>
      <c r="I5617" t="s">
        <v>479</v>
      </c>
      <c r="J5617" s="3">
        <v>0.13621169999999999</v>
      </c>
      <c r="K5617" s="3">
        <v>-0.65466930000000001</v>
      </c>
      <c r="L5617" s="3">
        <v>-0.37594129999999998</v>
      </c>
    </row>
    <row r="5618" spans="1:12" x14ac:dyDescent="0.25">
      <c r="A5618" t="s">
        <v>476</v>
      </c>
      <c r="B5618" t="s">
        <v>957</v>
      </c>
      <c r="I5618" t="s">
        <v>455</v>
      </c>
      <c r="J5618" s="3">
        <v>-0.35164109999999998</v>
      </c>
      <c r="K5618" s="3">
        <v>-8.6011829999999997E-2</v>
      </c>
      <c r="L5618" s="3">
        <v>-0.33895779999999998</v>
      </c>
    </row>
    <row r="5619" spans="1:12" x14ac:dyDescent="0.25">
      <c r="A5619" t="s">
        <v>474</v>
      </c>
      <c r="B5619" t="s">
        <v>957</v>
      </c>
      <c r="I5619" t="s">
        <v>475</v>
      </c>
      <c r="J5619" s="3">
        <v>-0.4770913</v>
      </c>
      <c r="K5619" s="3">
        <v>-1.1236109999999999</v>
      </c>
      <c r="L5619" s="3">
        <v>-0.31061309999999998</v>
      </c>
    </row>
    <row r="5620" spans="1:12" x14ac:dyDescent="0.25">
      <c r="A5620" t="s">
        <v>471</v>
      </c>
      <c r="B5620" t="s">
        <v>472</v>
      </c>
      <c r="I5620" t="s">
        <v>473</v>
      </c>
      <c r="J5620" s="3">
        <v>0.18150740000000001</v>
      </c>
      <c r="K5620" s="3">
        <v>0.1767213</v>
      </c>
      <c r="L5620" s="3">
        <v>7.0750129999999994E-2</v>
      </c>
    </row>
    <row r="5621" spans="1:12" x14ac:dyDescent="0.25">
      <c r="A5621" t="s">
        <v>468</v>
      </c>
      <c r="B5621" t="s">
        <v>469</v>
      </c>
      <c r="I5621" t="s">
        <v>470</v>
      </c>
      <c r="J5621" s="3">
        <v>0.47410400000000003</v>
      </c>
      <c r="K5621" s="3">
        <v>6.8214759999999999E-2</v>
      </c>
      <c r="L5621" s="3">
        <v>0.75848349999999998</v>
      </c>
    </row>
    <row r="5622" spans="1:12" x14ac:dyDescent="0.25">
      <c r="A5622" t="s">
        <v>467</v>
      </c>
      <c r="B5622" t="s">
        <v>957</v>
      </c>
      <c r="I5622" t="s">
        <v>455</v>
      </c>
      <c r="J5622" s="3">
        <v>0.13705120000000001</v>
      </c>
      <c r="K5622" s="3">
        <v>0.26088699999999998</v>
      </c>
      <c r="L5622" s="3">
        <v>0.2044204</v>
      </c>
    </row>
    <row r="5623" spans="1:12" x14ac:dyDescent="0.25">
      <c r="A5623" t="s">
        <v>466</v>
      </c>
      <c r="B5623" t="s">
        <v>957</v>
      </c>
      <c r="I5623" t="s">
        <v>455</v>
      </c>
      <c r="J5623" s="3">
        <v>-0.12709500000000001</v>
      </c>
      <c r="K5623" s="3">
        <v>0.57364550000000003</v>
      </c>
      <c r="L5623" s="3">
        <v>-8.3934949999999994E-2</v>
      </c>
    </row>
    <row r="5624" spans="1:12" x14ac:dyDescent="0.25">
      <c r="A5624" t="s">
        <v>463</v>
      </c>
      <c r="B5624" t="s">
        <v>464</v>
      </c>
      <c r="I5624" t="s">
        <v>465</v>
      </c>
      <c r="J5624" s="3">
        <v>0.1418702</v>
      </c>
      <c r="K5624" s="3">
        <v>4.4487499999999999E-2</v>
      </c>
      <c r="L5624" s="3">
        <v>0.2384203</v>
      </c>
    </row>
    <row r="5625" spans="1:12" x14ac:dyDescent="0.25">
      <c r="A5625" t="s">
        <v>460</v>
      </c>
      <c r="B5625" t="s">
        <v>461</v>
      </c>
      <c r="I5625" t="s">
        <v>462</v>
      </c>
      <c r="J5625" s="3">
        <v>0.48227930000000002</v>
      </c>
      <c r="K5625" s="3">
        <v>0.1974448</v>
      </c>
      <c r="L5625" s="3">
        <v>0.4142634</v>
      </c>
    </row>
    <row r="5626" spans="1:12" x14ac:dyDescent="0.25">
      <c r="A5626" t="s">
        <v>457</v>
      </c>
      <c r="B5626" t="s">
        <v>458</v>
      </c>
      <c r="I5626" t="s">
        <v>459</v>
      </c>
      <c r="J5626" s="3">
        <v>-0.2429085</v>
      </c>
      <c r="K5626" s="3">
        <v>0.5008397</v>
      </c>
      <c r="L5626" s="3">
        <v>-8.3803160000000002E-2</v>
      </c>
    </row>
    <row r="5627" spans="1:12" x14ac:dyDescent="0.25">
      <c r="A5627" t="s">
        <v>456</v>
      </c>
      <c r="B5627" t="s">
        <v>957</v>
      </c>
      <c r="I5627" t="s">
        <v>455</v>
      </c>
      <c r="J5627" s="3">
        <v>4.7966050000000003E-2</v>
      </c>
      <c r="K5627" s="3">
        <v>1.0491410000000001</v>
      </c>
      <c r="L5627" s="3">
        <v>-0.42328120000000002</v>
      </c>
    </row>
    <row r="5628" spans="1:12" x14ac:dyDescent="0.25">
      <c r="A5628" t="s">
        <v>454</v>
      </c>
      <c r="B5628" t="s">
        <v>957</v>
      </c>
      <c r="I5628" t="s">
        <v>455</v>
      </c>
      <c r="J5628" s="3">
        <v>0.64411510000000005</v>
      </c>
      <c r="K5628" s="3">
        <v>0.62152540000000001</v>
      </c>
      <c r="L5628" s="3">
        <v>0.58557159999999997</v>
      </c>
    </row>
    <row r="5629" spans="1:12" x14ac:dyDescent="0.25">
      <c r="A5629" t="s">
        <v>452</v>
      </c>
      <c r="B5629" t="s">
        <v>957</v>
      </c>
      <c r="I5629" t="s">
        <v>453</v>
      </c>
      <c r="J5629" s="3">
        <v>-0.51363950000000003</v>
      </c>
      <c r="K5629" s="3">
        <v>-0.15249370000000001</v>
      </c>
      <c r="L5629" s="3">
        <v>-0.49375330000000001</v>
      </c>
    </row>
    <row r="5630" spans="1:12" x14ac:dyDescent="0.25">
      <c r="A5630" t="s">
        <v>449</v>
      </c>
      <c r="B5630" t="s">
        <v>450</v>
      </c>
      <c r="I5630" t="s">
        <v>451</v>
      </c>
      <c r="J5630" s="3">
        <v>-0.1504886</v>
      </c>
      <c r="K5630" s="3">
        <v>-0.17114219999999999</v>
      </c>
      <c r="L5630" s="3">
        <v>-0.1393877</v>
      </c>
    </row>
    <row r="5631" spans="1:12" x14ac:dyDescent="0.25">
      <c r="A5631" t="s">
        <v>446</v>
      </c>
      <c r="B5631" t="s">
        <v>447</v>
      </c>
      <c r="I5631" t="s">
        <v>448</v>
      </c>
      <c r="J5631" s="3">
        <v>-6.3792970000000004E-2</v>
      </c>
      <c r="K5631" s="3">
        <v>0.41965649999999999</v>
      </c>
      <c r="L5631" s="3">
        <v>0.4348302</v>
      </c>
    </row>
    <row r="5632" spans="1:12" x14ac:dyDescent="0.25">
      <c r="A5632" t="s">
        <v>443</v>
      </c>
      <c r="B5632" t="s">
        <v>444</v>
      </c>
      <c r="I5632" t="s">
        <v>445</v>
      </c>
      <c r="J5632" s="3">
        <v>-0.21174860000000001</v>
      </c>
      <c r="K5632" s="3">
        <v>-0.28272269999999999</v>
      </c>
      <c r="L5632" s="3">
        <v>-0.1495348</v>
      </c>
    </row>
    <row r="5633" spans="1:12" x14ac:dyDescent="0.25">
      <c r="A5633" t="s">
        <v>440</v>
      </c>
      <c r="B5633" t="s">
        <v>441</v>
      </c>
      <c r="I5633" t="s">
        <v>442</v>
      </c>
      <c r="J5633" s="3">
        <v>0.16855400000000001</v>
      </c>
      <c r="K5633" s="3">
        <v>0.23757210000000001</v>
      </c>
      <c r="L5633" s="3">
        <v>0.5061253</v>
      </c>
    </row>
    <row r="5634" spans="1:12" x14ac:dyDescent="0.25">
      <c r="A5634" t="s">
        <v>437</v>
      </c>
      <c r="B5634" t="s">
        <v>438</v>
      </c>
      <c r="I5634" t="s">
        <v>439</v>
      </c>
      <c r="J5634" s="3">
        <v>0.3667842</v>
      </c>
      <c r="K5634" s="3">
        <v>-0.41204869999999999</v>
      </c>
      <c r="L5634" s="3">
        <v>6.6723900000000003E-2</v>
      </c>
    </row>
    <row r="5635" spans="1:12" x14ac:dyDescent="0.25">
      <c r="A5635" t="s">
        <v>434</v>
      </c>
      <c r="B5635" t="s">
        <v>435</v>
      </c>
      <c r="I5635" t="s">
        <v>436</v>
      </c>
      <c r="J5635" s="3">
        <v>0.48869639999999998</v>
      </c>
      <c r="K5635" s="3">
        <v>0.54464829999999997</v>
      </c>
      <c r="L5635" s="3">
        <v>0.51192300000000002</v>
      </c>
    </row>
    <row r="5636" spans="1:12" x14ac:dyDescent="0.25">
      <c r="A5636" t="s">
        <v>431</v>
      </c>
      <c r="B5636" t="s">
        <v>432</v>
      </c>
      <c r="I5636" t="s">
        <v>433</v>
      </c>
      <c r="J5636" s="3">
        <v>0.14290439999999999</v>
      </c>
      <c r="K5636" s="3">
        <v>-8.7693919999999995E-2</v>
      </c>
      <c r="L5636" s="3">
        <v>-1.5954900000000001E-2</v>
      </c>
    </row>
    <row r="5637" spans="1:12" x14ac:dyDescent="0.25">
      <c r="A5637" t="s">
        <v>428</v>
      </c>
      <c r="B5637" t="s">
        <v>429</v>
      </c>
      <c r="I5637" t="s">
        <v>430</v>
      </c>
      <c r="J5637" s="3">
        <v>-1.080981</v>
      </c>
      <c r="K5637" s="3">
        <v>-1.4146049999999999</v>
      </c>
      <c r="L5637" s="3">
        <v>-0.67073839999999996</v>
      </c>
    </row>
    <row r="5638" spans="1:12" x14ac:dyDescent="0.25">
      <c r="A5638" t="s">
        <v>425</v>
      </c>
      <c r="B5638" t="s">
        <v>426</v>
      </c>
      <c r="I5638" t="s">
        <v>427</v>
      </c>
      <c r="J5638" s="3">
        <v>0.28263769999999999</v>
      </c>
      <c r="K5638" s="3">
        <v>0.73841159999999995</v>
      </c>
      <c r="L5638" s="3">
        <v>-4.4373820000000001E-2</v>
      </c>
    </row>
    <row r="5639" spans="1:12" x14ac:dyDescent="0.25">
      <c r="A5639" t="s">
        <v>422</v>
      </c>
      <c r="B5639" t="s">
        <v>423</v>
      </c>
      <c r="I5639" t="s">
        <v>424</v>
      </c>
      <c r="J5639" s="3">
        <v>0.28995549999999998</v>
      </c>
      <c r="K5639" s="3">
        <v>0.47567999999999999</v>
      </c>
      <c r="L5639" s="3">
        <v>4.037516E-2</v>
      </c>
    </row>
    <row r="5640" spans="1:12" x14ac:dyDescent="0.25">
      <c r="A5640" t="s">
        <v>420</v>
      </c>
      <c r="B5640" t="s">
        <v>957</v>
      </c>
      <c r="I5640" t="s">
        <v>421</v>
      </c>
      <c r="J5640" s="3">
        <v>-2.4506690000000001E-2</v>
      </c>
      <c r="K5640" s="3">
        <v>-0.31464890000000001</v>
      </c>
      <c r="L5640" s="3">
        <v>-0.125252</v>
      </c>
    </row>
    <row r="5641" spans="1:12" x14ac:dyDescent="0.25">
      <c r="A5641" t="s">
        <v>417</v>
      </c>
      <c r="B5641" t="s">
        <v>418</v>
      </c>
      <c r="I5641" t="s">
        <v>419</v>
      </c>
      <c r="J5641" s="3">
        <v>-0.14411499999999999</v>
      </c>
      <c r="K5641" s="3">
        <v>-0.53560140000000001</v>
      </c>
      <c r="L5641" s="3">
        <v>-0.2456198</v>
      </c>
    </row>
    <row r="5642" spans="1:12" x14ac:dyDescent="0.25">
      <c r="A5642" t="s">
        <v>415</v>
      </c>
      <c r="B5642" t="s">
        <v>957</v>
      </c>
      <c r="I5642" t="s">
        <v>416</v>
      </c>
      <c r="J5642" s="3">
        <v>0.68750020000000001</v>
      </c>
      <c r="K5642" s="3">
        <v>1.2773570000000001</v>
      </c>
      <c r="L5642" s="3">
        <v>0.65430710000000003</v>
      </c>
    </row>
    <row r="5643" spans="1:12" x14ac:dyDescent="0.25">
      <c r="A5643" t="s">
        <v>412</v>
      </c>
      <c r="B5643" t="s">
        <v>413</v>
      </c>
      <c r="I5643" t="s">
        <v>414</v>
      </c>
      <c r="J5643" s="3">
        <v>-0.3337272</v>
      </c>
      <c r="K5643" s="3">
        <v>-0.88994629999999997</v>
      </c>
      <c r="L5643" s="3">
        <v>-0.2607179</v>
      </c>
    </row>
    <row r="5644" spans="1:12" x14ac:dyDescent="0.25">
      <c r="A5644" t="s">
        <v>410</v>
      </c>
      <c r="B5644" t="s">
        <v>957</v>
      </c>
      <c r="I5644" t="s">
        <v>411</v>
      </c>
      <c r="J5644" s="3">
        <v>-0.118159</v>
      </c>
      <c r="K5644" s="3">
        <v>-0.35245979999999999</v>
      </c>
      <c r="L5644" s="3">
        <v>0.25593090000000002</v>
      </c>
    </row>
    <row r="5645" spans="1:12" x14ac:dyDescent="0.25">
      <c r="A5645" t="s">
        <v>407</v>
      </c>
      <c r="B5645" t="s">
        <v>408</v>
      </c>
      <c r="I5645" t="s">
        <v>409</v>
      </c>
      <c r="J5645" s="3">
        <v>-0.26662960000000002</v>
      </c>
      <c r="K5645" s="3">
        <v>0.37157519999999999</v>
      </c>
      <c r="L5645" s="3">
        <v>3.472869E-2</v>
      </c>
    </row>
    <row r="5646" spans="1:12" x14ac:dyDescent="0.25">
      <c r="A5646" t="s">
        <v>404</v>
      </c>
      <c r="B5646" t="s">
        <v>405</v>
      </c>
      <c r="I5646" t="s">
        <v>406</v>
      </c>
      <c r="J5646" s="3">
        <v>-4.3954340000000001E-2</v>
      </c>
      <c r="K5646" s="3">
        <v>0.3200633</v>
      </c>
      <c r="L5646" s="3">
        <v>1.430265E-2</v>
      </c>
    </row>
    <row r="5647" spans="1:12" x14ac:dyDescent="0.25">
      <c r="A5647" t="s">
        <v>401</v>
      </c>
      <c r="B5647" t="s">
        <v>402</v>
      </c>
      <c r="I5647" t="s">
        <v>403</v>
      </c>
      <c r="J5647" s="3">
        <v>-0.20397709999999999</v>
      </c>
      <c r="K5647" s="3">
        <v>-0.43169819999999998</v>
      </c>
      <c r="L5647" s="3">
        <v>-0.1420314</v>
      </c>
    </row>
    <row r="5648" spans="1:12" x14ac:dyDescent="0.25">
      <c r="A5648" t="s">
        <v>398</v>
      </c>
      <c r="B5648" t="s">
        <v>399</v>
      </c>
      <c r="I5648" t="s">
        <v>400</v>
      </c>
      <c r="J5648" s="3">
        <v>-0.61050150000000003</v>
      </c>
      <c r="K5648" s="3">
        <v>-0.49802649999999998</v>
      </c>
      <c r="L5648" s="3">
        <v>-0.28006320000000001</v>
      </c>
    </row>
    <row r="5649" spans="1:12" x14ac:dyDescent="0.25">
      <c r="A5649" t="s">
        <v>395</v>
      </c>
      <c r="B5649" t="s">
        <v>396</v>
      </c>
      <c r="I5649" t="s">
        <v>397</v>
      </c>
      <c r="J5649" s="3">
        <v>0.15666659999999999</v>
      </c>
      <c r="K5649" s="3">
        <v>-0.36065930000000002</v>
      </c>
      <c r="L5649" s="3">
        <v>0.2341174</v>
      </c>
    </row>
    <row r="5650" spans="1:12" x14ac:dyDescent="0.25">
      <c r="A5650" t="s">
        <v>392</v>
      </c>
      <c r="B5650" t="s">
        <v>393</v>
      </c>
      <c r="I5650" t="s">
        <v>394</v>
      </c>
      <c r="J5650" s="3">
        <v>-3.9850299999999998E-2</v>
      </c>
      <c r="K5650" s="3">
        <v>0.14532590000000001</v>
      </c>
      <c r="L5650" s="3">
        <v>0.11526260000000001</v>
      </c>
    </row>
    <row r="5651" spans="1:12" x14ac:dyDescent="0.25">
      <c r="A5651" t="s">
        <v>389</v>
      </c>
      <c r="B5651" t="s">
        <v>390</v>
      </c>
      <c r="I5651" t="s">
        <v>391</v>
      </c>
      <c r="J5651" s="3">
        <v>0.49365409999999998</v>
      </c>
      <c r="K5651" s="3">
        <v>0.57532899999999998</v>
      </c>
      <c r="L5651" s="3">
        <v>0.88372059999999997</v>
      </c>
    </row>
    <row r="5652" spans="1:12" x14ac:dyDescent="0.25">
      <c r="A5652" t="s">
        <v>992</v>
      </c>
      <c r="B5652" t="s">
        <v>993</v>
      </c>
      <c r="I5652" t="s">
        <v>388</v>
      </c>
      <c r="J5652" s="3">
        <v>0.29017219999999999</v>
      </c>
      <c r="K5652" s="3">
        <v>1.0983769999999999</v>
      </c>
      <c r="L5652" s="3">
        <v>0.88946170000000002</v>
      </c>
    </row>
    <row r="5653" spans="1:12" x14ac:dyDescent="0.25">
      <c r="A5653" t="s">
        <v>989</v>
      </c>
      <c r="B5653" t="s">
        <v>990</v>
      </c>
      <c r="I5653" t="s">
        <v>991</v>
      </c>
      <c r="J5653" s="3">
        <v>-4.0388859999999999E-2</v>
      </c>
      <c r="K5653" s="3">
        <v>0.13152259999999999</v>
      </c>
      <c r="L5653" s="3">
        <v>7.1922509999999995E-2</v>
      </c>
    </row>
    <row r="5654" spans="1:12" x14ac:dyDescent="0.25">
      <c r="A5654" t="s">
        <v>986</v>
      </c>
      <c r="B5654" t="s">
        <v>987</v>
      </c>
      <c r="I5654" t="s">
        <v>988</v>
      </c>
      <c r="J5654" s="3">
        <v>0.36047990000000002</v>
      </c>
      <c r="K5654" s="3">
        <v>-0.58125570000000004</v>
      </c>
      <c r="L5654" s="3">
        <v>-0.180784</v>
      </c>
    </row>
    <row r="5655" spans="1:12" x14ac:dyDescent="0.25">
      <c r="A5655" t="s">
        <v>983</v>
      </c>
      <c r="B5655" t="s">
        <v>984</v>
      </c>
      <c r="I5655" t="s">
        <v>985</v>
      </c>
      <c r="J5655" s="3">
        <v>-0.36983640000000001</v>
      </c>
      <c r="K5655" s="3">
        <v>-0.40638819999999998</v>
      </c>
      <c r="L5655" s="3">
        <v>-0.48785210000000001</v>
      </c>
    </row>
    <row r="5656" spans="1:12" x14ac:dyDescent="0.25">
      <c r="A5656" t="s">
        <v>980</v>
      </c>
      <c r="B5656" t="s">
        <v>981</v>
      </c>
      <c r="I5656" t="s">
        <v>982</v>
      </c>
      <c r="J5656" s="3">
        <v>-0.21325169999999999</v>
      </c>
      <c r="K5656" s="3">
        <v>-0.33305800000000002</v>
      </c>
      <c r="L5656" s="3">
        <v>9.1226779999999993E-2</v>
      </c>
    </row>
    <row r="5657" spans="1:12" x14ac:dyDescent="0.25">
      <c r="A5657" t="s">
        <v>977</v>
      </c>
      <c r="B5657" t="s">
        <v>978</v>
      </c>
      <c r="I5657" t="s">
        <v>979</v>
      </c>
      <c r="J5657" s="3">
        <v>-0.50093390000000004</v>
      </c>
      <c r="K5657" s="3">
        <v>-0.56255129999999998</v>
      </c>
      <c r="L5657" s="3">
        <v>-9.1127689999999997E-2</v>
      </c>
    </row>
    <row r="5658" spans="1:12" x14ac:dyDescent="0.25">
      <c r="A5658" t="s">
        <v>974</v>
      </c>
      <c r="B5658" t="s">
        <v>975</v>
      </c>
      <c r="I5658" t="s">
        <v>976</v>
      </c>
      <c r="J5658" s="3">
        <v>0.15045929999999999</v>
      </c>
      <c r="K5658" s="3">
        <v>-0.22636419999999999</v>
      </c>
      <c r="L5658" s="3">
        <v>1.6698830000000001E-2</v>
      </c>
    </row>
    <row r="5659" spans="1:12" x14ac:dyDescent="0.25">
      <c r="A5659" t="s">
        <v>971</v>
      </c>
      <c r="B5659" t="s">
        <v>972</v>
      </c>
      <c r="I5659" t="s">
        <v>973</v>
      </c>
      <c r="J5659" s="3">
        <v>-0.45982040000000002</v>
      </c>
      <c r="K5659" s="3">
        <v>-0.7630863</v>
      </c>
      <c r="L5659" s="3">
        <v>-0.70138630000000002</v>
      </c>
    </row>
    <row r="5660" spans="1:12" x14ac:dyDescent="0.25">
      <c r="A5660" t="s">
        <v>968</v>
      </c>
      <c r="B5660" t="s">
        <v>969</v>
      </c>
      <c r="I5660" t="s">
        <v>970</v>
      </c>
      <c r="J5660" s="3">
        <v>-0.36937170000000003</v>
      </c>
      <c r="K5660" s="3">
        <v>-0.4636653</v>
      </c>
      <c r="L5660" s="3">
        <v>-0.38035210000000003</v>
      </c>
    </row>
    <row r="5661" spans="1:12" x14ac:dyDescent="0.25">
      <c r="A5661" t="s">
        <v>965</v>
      </c>
      <c r="B5661" t="s">
        <v>966</v>
      </c>
      <c r="I5661" t="s">
        <v>967</v>
      </c>
      <c r="J5661" s="3">
        <v>1.2208639999999999</v>
      </c>
      <c r="K5661" s="3">
        <v>3.8397570000000001</v>
      </c>
      <c r="L5661" s="3">
        <v>0.35210669999999999</v>
      </c>
    </row>
    <row r="5662" spans="1:12" x14ac:dyDescent="0.25">
      <c r="A5662" t="s">
        <v>962</v>
      </c>
      <c r="B5662" t="s">
        <v>963</v>
      </c>
      <c r="I5662" t="s">
        <v>964</v>
      </c>
      <c r="J5662" s="3">
        <v>1.1878709999999999</v>
      </c>
      <c r="K5662" s="3">
        <v>1.3704909999999999</v>
      </c>
      <c r="L5662" s="3">
        <v>0.91512919999999998</v>
      </c>
    </row>
    <row r="5663" spans="1:12" x14ac:dyDescent="0.25">
      <c r="A5663" t="s">
        <v>959</v>
      </c>
      <c r="B5663" t="s">
        <v>960</v>
      </c>
      <c r="I5663" t="s">
        <v>961</v>
      </c>
      <c r="J5663" s="3">
        <v>0.57246819999999998</v>
      </c>
      <c r="K5663" s="3">
        <v>2.5108350000000002</v>
      </c>
      <c r="L5663" s="3">
        <v>1.553083</v>
      </c>
    </row>
    <row r="5664" spans="1:12" x14ac:dyDescent="0.25">
      <c r="A5664" t="s">
        <v>956</v>
      </c>
      <c r="B5664" t="s">
        <v>957</v>
      </c>
      <c r="I5664" t="s">
        <v>958</v>
      </c>
      <c r="J5664" s="3">
        <v>-0.32073679999999999</v>
      </c>
      <c r="K5664" s="3">
        <v>-3.116383E-2</v>
      </c>
      <c r="L5664" s="3">
        <v>-0.39285389999999998</v>
      </c>
    </row>
    <row r="5665" spans="1:12" x14ac:dyDescent="0.25">
      <c r="A5665" t="s">
        <v>953</v>
      </c>
      <c r="B5665" t="s">
        <v>954</v>
      </c>
      <c r="I5665" t="s">
        <v>955</v>
      </c>
      <c r="J5665" s="3">
        <v>0.27103110000000002</v>
      </c>
      <c r="K5665" s="3">
        <v>-0.2528107</v>
      </c>
      <c r="L5665" s="3">
        <v>-4.6796299999999999E-2</v>
      </c>
    </row>
    <row r="5666" spans="1:12" x14ac:dyDescent="0.25">
      <c r="A5666" t="s">
        <v>950</v>
      </c>
      <c r="B5666" t="s">
        <v>951</v>
      </c>
      <c r="I5666" t="s">
        <v>952</v>
      </c>
      <c r="J5666" s="3">
        <v>0.65801889999999996</v>
      </c>
      <c r="K5666" s="3">
        <v>0.63562759999999996</v>
      </c>
      <c r="L5666" s="3">
        <v>0.35550359999999998</v>
      </c>
    </row>
    <row r="5667" spans="1:12" x14ac:dyDescent="0.25">
      <c r="A5667" t="s">
        <v>947</v>
      </c>
      <c r="B5667" t="s">
        <v>948</v>
      </c>
      <c r="I5667" t="s">
        <v>949</v>
      </c>
      <c r="J5667" s="3">
        <v>0.24372479999999999</v>
      </c>
      <c r="K5667" s="3">
        <v>0.52656250000000004</v>
      </c>
      <c r="L5667" s="3">
        <v>0.142619</v>
      </c>
    </row>
    <row r="5668" spans="1:12" x14ac:dyDescent="0.25">
      <c r="A5668" t="s">
        <v>944</v>
      </c>
      <c r="B5668" t="s">
        <v>945</v>
      </c>
      <c r="I5668" t="s">
        <v>946</v>
      </c>
      <c r="J5668" s="3">
        <v>0.44223950000000001</v>
      </c>
      <c r="K5668" s="3">
        <v>0.83006860000000005</v>
      </c>
      <c r="L5668" s="3">
        <v>0.42025899999999999</v>
      </c>
    </row>
  </sheetData>
  <phoneticPr fontId="3"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4E851-0563-40B3-92E5-EA6CB6C95AF4}">
  <dimension ref="A1:T5668"/>
  <sheetViews>
    <sheetView workbookViewId="0">
      <selection activeCell="T23" sqref="T23"/>
    </sheetView>
  </sheetViews>
  <sheetFormatPr defaultRowHeight="13.2" x14ac:dyDescent="0.25"/>
  <sheetData>
    <row r="1" spans="1:20" x14ac:dyDescent="0.25">
      <c r="A1" s="5" t="s">
        <v>14260</v>
      </c>
      <c r="B1" s="5" t="s">
        <v>14261</v>
      </c>
      <c r="C1" s="5" t="s">
        <v>14262</v>
      </c>
      <c r="D1" s="5" t="s">
        <v>14263</v>
      </c>
      <c r="E1" s="5" t="s">
        <v>14264</v>
      </c>
      <c r="F1" s="5" t="s">
        <v>14265</v>
      </c>
      <c r="G1" s="5" t="s">
        <v>14266</v>
      </c>
      <c r="M1" s="4" t="s">
        <v>14259</v>
      </c>
    </row>
    <row r="2" spans="1:20" x14ac:dyDescent="0.25">
      <c r="A2" s="6" t="s">
        <v>14075</v>
      </c>
      <c r="B2" s="6"/>
      <c r="C2" s="6"/>
      <c r="D2" s="6"/>
      <c r="E2" s="6"/>
      <c r="F2" s="6"/>
      <c r="G2" s="6"/>
      <c r="M2" s="8" t="s">
        <v>14251</v>
      </c>
      <c r="N2" s="8" t="s">
        <v>14252</v>
      </c>
      <c r="O2" s="8" t="s">
        <v>14253</v>
      </c>
      <c r="P2" s="8" t="s">
        <v>14254</v>
      </c>
      <c r="Q2" s="8" t="s">
        <v>14255</v>
      </c>
      <c r="R2" s="8" t="s">
        <v>14256</v>
      </c>
      <c r="S2" s="8" t="s">
        <v>14257</v>
      </c>
      <c r="T2" s="8" t="s">
        <v>14258</v>
      </c>
    </row>
    <row r="3" spans="1:20" x14ac:dyDescent="0.25">
      <c r="A3" s="6" t="s">
        <v>14072</v>
      </c>
      <c r="B3" s="6"/>
      <c r="C3" s="6"/>
      <c r="D3" s="6"/>
      <c r="E3" s="6"/>
      <c r="F3" s="6"/>
      <c r="G3" s="6"/>
      <c r="M3" s="6">
        <f>COUNTA(A$2:A$5668)</f>
        <v>5667</v>
      </c>
      <c r="N3" s="6">
        <f t="shared" ref="N3:Q3" si="0">COUNTA(B$2:B$5668)</f>
        <v>131</v>
      </c>
      <c r="O3" s="6">
        <f t="shared" si="0"/>
        <v>29</v>
      </c>
      <c r="P3" s="6">
        <f t="shared" si="0"/>
        <v>21</v>
      </c>
      <c r="Q3" s="6">
        <f t="shared" si="0"/>
        <v>17</v>
      </c>
      <c r="R3" s="6">
        <f>COUNTA(F$2:F$5668)</f>
        <v>10</v>
      </c>
      <c r="S3" s="6">
        <f>COUNTA(G$2:G$5668)</f>
        <v>5</v>
      </c>
      <c r="T3" s="6">
        <f>COUNTA(H$2:H$5668)</f>
        <v>0</v>
      </c>
    </row>
    <row r="4" spans="1:20" x14ac:dyDescent="0.25">
      <c r="A4" s="6" t="s">
        <v>14069</v>
      </c>
      <c r="B4" s="6"/>
      <c r="C4" s="6"/>
      <c r="D4" s="6"/>
      <c r="E4" s="6"/>
      <c r="F4" s="6"/>
      <c r="G4" s="6"/>
    </row>
    <row r="5" spans="1:20" x14ac:dyDescent="0.25">
      <c r="A5" s="6" t="s">
        <v>14081</v>
      </c>
      <c r="B5" s="6" t="s">
        <v>14082</v>
      </c>
      <c r="C5" s="6"/>
      <c r="D5" s="6"/>
      <c r="E5" s="6"/>
      <c r="F5" s="6"/>
      <c r="G5" s="6"/>
    </row>
    <row r="6" spans="1:20" x14ac:dyDescent="0.25">
      <c r="A6" s="6" t="s">
        <v>14065</v>
      </c>
      <c r="B6" s="6"/>
      <c r="C6" s="6"/>
      <c r="D6" s="6"/>
      <c r="E6" s="6"/>
      <c r="F6" s="6"/>
      <c r="G6" s="6"/>
      <c r="K6" t="s">
        <v>14267</v>
      </c>
      <c r="L6" t="s">
        <v>14268</v>
      </c>
      <c r="P6" t="s">
        <v>14288</v>
      </c>
      <c r="Q6" t="s">
        <v>14289</v>
      </c>
      <c r="R6" t="s">
        <v>14268</v>
      </c>
    </row>
    <row r="7" spans="1:20" x14ac:dyDescent="0.25">
      <c r="A7" s="6" t="s">
        <v>14063</v>
      </c>
      <c r="B7" s="6"/>
      <c r="C7" s="6"/>
      <c r="D7" s="6"/>
      <c r="E7" s="6"/>
      <c r="F7" s="6"/>
      <c r="G7" s="6"/>
      <c r="K7" t="s">
        <v>14269</v>
      </c>
      <c r="L7">
        <f>COUNTIF($A$2:$G$5668,K7)</f>
        <v>0</v>
      </c>
      <c r="P7" t="s">
        <v>12941</v>
      </c>
      <c r="Q7">
        <f>COUNTIF($A$2:$G$5668,P7)</f>
        <v>1</v>
      </c>
    </row>
    <row r="8" spans="1:20" x14ac:dyDescent="0.25">
      <c r="A8" s="6" t="s">
        <v>14060</v>
      </c>
      <c r="B8" s="6"/>
      <c r="C8" s="6"/>
      <c r="D8" s="6"/>
      <c r="E8" s="6"/>
      <c r="F8" s="6"/>
      <c r="G8" s="6"/>
      <c r="K8" t="s">
        <v>9310</v>
      </c>
      <c r="L8">
        <f t="shared" ref="L8:L27" si="1">COUNTIF($A$2:$G$5668,K8)</f>
        <v>1</v>
      </c>
      <c r="P8" t="s">
        <v>6044</v>
      </c>
      <c r="Q8">
        <f t="shared" ref="Q8:Q31" si="2">COUNTIF($A$2:$G$5668,P8)</f>
        <v>1</v>
      </c>
    </row>
    <row r="9" spans="1:20" x14ac:dyDescent="0.25">
      <c r="A9" s="6" t="s">
        <v>14057</v>
      </c>
      <c r="B9" s="6"/>
      <c r="C9" s="6"/>
      <c r="D9" s="6"/>
      <c r="E9" s="6"/>
      <c r="F9" s="6"/>
      <c r="G9" s="6"/>
      <c r="K9" t="s">
        <v>1450</v>
      </c>
      <c r="L9">
        <f t="shared" si="1"/>
        <v>1</v>
      </c>
      <c r="P9" t="s">
        <v>7147</v>
      </c>
      <c r="Q9">
        <f t="shared" si="2"/>
        <v>1</v>
      </c>
    </row>
    <row r="10" spans="1:20" x14ac:dyDescent="0.25">
      <c r="A10" s="6" t="s">
        <v>14054</v>
      </c>
      <c r="B10" s="6"/>
      <c r="C10" s="6"/>
      <c r="D10" s="6"/>
      <c r="E10" s="6"/>
      <c r="F10" s="6"/>
      <c r="G10" s="6"/>
      <c r="K10" t="s">
        <v>11612</v>
      </c>
      <c r="L10">
        <f t="shared" si="1"/>
        <v>1</v>
      </c>
      <c r="P10" t="s">
        <v>2316</v>
      </c>
      <c r="Q10">
        <f t="shared" si="2"/>
        <v>1</v>
      </c>
    </row>
    <row r="11" spans="1:20" x14ac:dyDescent="0.25">
      <c r="A11" s="6" t="s">
        <v>14051</v>
      </c>
      <c r="B11" s="6"/>
      <c r="C11" s="6"/>
      <c r="D11" s="6"/>
      <c r="E11" s="6"/>
      <c r="F11" s="6"/>
      <c r="G11" s="6"/>
      <c r="K11" t="s">
        <v>11320</v>
      </c>
      <c r="L11">
        <f t="shared" si="1"/>
        <v>1</v>
      </c>
      <c r="P11" t="s">
        <v>3542</v>
      </c>
      <c r="Q11">
        <f t="shared" si="2"/>
        <v>1</v>
      </c>
    </row>
    <row r="12" spans="1:20" x14ac:dyDescent="0.25">
      <c r="A12" s="6" t="s">
        <v>14048</v>
      </c>
      <c r="B12" s="6"/>
      <c r="C12" s="6"/>
      <c r="D12" s="6"/>
      <c r="E12" s="6"/>
      <c r="F12" s="6"/>
      <c r="G12" s="6"/>
      <c r="K12" t="s">
        <v>2513</v>
      </c>
      <c r="L12">
        <f t="shared" si="1"/>
        <v>1</v>
      </c>
      <c r="P12" t="s">
        <v>5381</v>
      </c>
      <c r="Q12">
        <f t="shared" si="2"/>
        <v>1</v>
      </c>
    </row>
    <row r="13" spans="1:20" x14ac:dyDescent="0.25">
      <c r="A13" s="6" t="s">
        <v>14045</v>
      </c>
      <c r="B13" s="6"/>
      <c r="C13" s="6"/>
      <c r="D13" s="6"/>
      <c r="E13" s="6"/>
      <c r="F13" s="6"/>
      <c r="G13" s="6"/>
      <c r="K13" t="s">
        <v>1204</v>
      </c>
      <c r="L13">
        <f t="shared" si="1"/>
        <v>1</v>
      </c>
      <c r="P13" t="s">
        <v>6316</v>
      </c>
      <c r="Q13">
        <f t="shared" si="2"/>
        <v>1</v>
      </c>
    </row>
    <row r="14" spans="1:20" x14ac:dyDescent="0.25">
      <c r="A14" s="6" t="s">
        <v>14042</v>
      </c>
      <c r="B14" s="6"/>
      <c r="C14" s="6"/>
      <c r="D14" s="6"/>
      <c r="E14" s="6"/>
      <c r="F14" s="6"/>
      <c r="G14" s="6"/>
      <c r="K14" t="s">
        <v>5474</v>
      </c>
      <c r="L14">
        <f t="shared" si="1"/>
        <v>1</v>
      </c>
      <c r="P14" t="s">
        <v>1080</v>
      </c>
      <c r="Q14">
        <f t="shared" si="2"/>
        <v>1</v>
      </c>
    </row>
    <row r="15" spans="1:20" x14ac:dyDescent="0.25">
      <c r="A15" s="6" t="s">
        <v>957</v>
      </c>
      <c r="B15" s="6"/>
      <c r="C15" s="6"/>
      <c r="D15" s="6"/>
      <c r="E15" s="6"/>
      <c r="F15" s="6"/>
      <c r="G15" s="6"/>
      <c r="K15" t="s">
        <v>5907</v>
      </c>
      <c r="L15">
        <f t="shared" si="1"/>
        <v>1</v>
      </c>
      <c r="P15" t="s">
        <v>13971</v>
      </c>
      <c r="Q15">
        <f t="shared" si="2"/>
        <v>1</v>
      </c>
    </row>
    <row r="16" spans="1:20" x14ac:dyDescent="0.25">
      <c r="A16" s="6" t="s">
        <v>14038</v>
      </c>
      <c r="B16" s="6"/>
      <c r="C16" s="6"/>
      <c r="D16" s="6"/>
      <c r="E16" s="6"/>
      <c r="F16" s="6"/>
      <c r="G16" s="6"/>
      <c r="K16" t="s">
        <v>12696</v>
      </c>
      <c r="L16">
        <f t="shared" si="1"/>
        <v>1</v>
      </c>
      <c r="P16" t="s">
        <v>325</v>
      </c>
      <c r="Q16">
        <f t="shared" si="2"/>
        <v>1</v>
      </c>
    </row>
    <row r="17" spans="1:17" x14ac:dyDescent="0.25">
      <c r="A17" s="6" t="s">
        <v>14035</v>
      </c>
      <c r="B17" s="6"/>
      <c r="C17" s="6"/>
      <c r="D17" s="6"/>
      <c r="E17" s="6"/>
      <c r="F17" s="6"/>
      <c r="G17" s="6"/>
      <c r="K17" t="s">
        <v>5406</v>
      </c>
      <c r="L17">
        <f t="shared" si="1"/>
        <v>1</v>
      </c>
      <c r="P17" t="s">
        <v>8399</v>
      </c>
      <c r="Q17">
        <f t="shared" si="2"/>
        <v>1</v>
      </c>
    </row>
    <row r="18" spans="1:17" x14ac:dyDescent="0.25">
      <c r="A18" s="6" t="s">
        <v>957</v>
      </c>
      <c r="B18" s="6"/>
      <c r="C18" s="6"/>
      <c r="D18" s="6"/>
      <c r="E18" s="6"/>
      <c r="F18" s="6"/>
      <c r="G18" s="6"/>
      <c r="K18" t="s">
        <v>5901</v>
      </c>
      <c r="L18">
        <f t="shared" si="1"/>
        <v>1</v>
      </c>
      <c r="P18" t="s">
        <v>7801</v>
      </c>
      <c r="Q18">
        <f t="shared" si="2"/>
        <v>1</v>
      </c>
    </row>
    <row r="19" spans="1:17" x14ac:dyDescent="0.25">
      <c r="A19" s="6" t="s">
        <v>14031</v>
      </c>
      <c r="B19" s="6"/>
      <c r="C19" s="6"/>
      <c r="D19" s="6"/>
      <c r="E19" s="6"/>
      <c r="F19" s="6"/>
      <c r="G19" s="6"/>
      <c r="K19" t="s">
        <v>13542</v>
      </c>
      <c r="L19">
        <f t="shared" si="1"/>
        <v>1</v>
      </c>
      <c r="P19" t="s">
        <v>7381</v>
      </c>
      <c r="Q19">
        <f t="shared" si="2"/>
        <v>1</v>
      </c>
    </row>
    <row r="20" spans="1:17" x14ac:dyDescent="0.25">
      <c r="A20" s="6" t="s">
        <v>14028</v>
      </c>
      <c r="B20" s="6"/>
      <c r="C20" s="6"/>
      <c r="D20" s="6"/>
      <c r="E20" s="6"/>
      <c r="F20" s="6"/>
      <c r="G20" s="6"/>
      <c r="K20" t="s">
        <v>12791</v>
      </c>
      <c r="L20">
        <f t="shared" si="1"/>
        <v>1</v>
      </c>
      <c r="P20" t="s">
        <v>6248</v>
      </c>
      <c r="Q20">
        <f t="shared" si="2"/>
        <v>1</v>
      </c>
    </row>
    <row r="21" spans="1:17" x14ac:dyDescent="0.25">
      <c r="A21" s="6" t="s">
        <v>14025</v>
      </c>
      <c r="B21" s="6"/>
      <c r="C21" s="6"/>
      <c r="D21" s="6"/>
      <c r="E21" s="6"/>
      <c r="F21" s="6"/>
      <c r="G21" s="6"/>
      <c r="K21" t="s">
        <v>14270</v>
      </c>
      <c r="L21">
        <f t="shared" si="1"/>
        <v>0</v>
      </c>
      <c r="P21" t="s">
        <v>5219</v>
      </c>
      <c r="Q21">
        <f t="shared" si="2"/>
        <v>1</v>
      </c>
    </row>
    <row r="22" spans="1:17" x14ac:dyDescent="0.25">
      <c r="A22" s="6" t="s">
        <v>14022</v>
      </c>
      <c r="B22" s="6"/>
      <c r="C22" s="6"/>
      <c r="D22" s="6"/>
      <c r="E22" s="6"/>
      <c r="F22" s="6"/>
      <c r="G22" s="6"/>
      <c r="K22" t="s">
        <v>14271</v>
      </c>
      <c r="L22">
        <f t="shared" si="1"/>
        <v>0</v>
      </c>
      <c r="P22" t="s">
        <v>7074</v>
      </c>
      <c r="Q22">
        <f t="shared" si="2"/>
        <v>1</v>
      </c>
    </row>
    <row r="23" spans="1:17" x14ac:dyDescent="0.25">
      <c r="A23" s="6" t="s">
        <v>14019</v>
      </c>
      <c r="B23" s="6"/>
      <c r="C23" s="6"/>
      <c r="D23" s="6"/>
      <c r="E23" s="6"/>
      <c r="F23" s="6"/>
      <c r="G23" s="6"/>
      <c r="K23" t="s">
        <v>10817</v>
      </c>
      <c r="L23">
        <f t="shared" si="1"/>
        <v>1</v>
      </c>
      <c r="P23" t="s">
        <v>11871</v>
      </c>
      <c r="Q23">
        <f t="shared" si="2"/>
        <v>1</v>
      </c>
    </row>
    <row r="24" spans="1:17" x14ac:dyDescent="0.25">
      <c r="A24" s="6" t="s">
        <v>14016</v>
      </c>
      <c r="B24" s="6"/>
      <c r="C24" s="6"/>
      <c r="D24" s="6"/>
      <c r="E24" s="6"/>
      <c r="F24" s="6"/>
      <c r="G24" s="6"/>
      <c r="K24" t="s">
        <v>6411</v>
      </c>
      <c r="L24">
        <f t="shared" si="1"/>
        <v>1</v>
      </c>
      <c r="P24" t="s">
        <v>8036</v>
      </c>
      <c r="Q24">
        <f t="shared" si="2"/>
        <v>1</v>
      </c>
    </row>
    <row r="25" spans="1:17" x14ac:dyDescent="0.25">
      <c r="A25" s="6" t="s">
        <v>14013</v>
      </c>
      <c r="B25" s="6"/>
      <c r="C25" s="6"/>
      <c r="D25" s="6"/>
      <c r="E25" s="6"/>
      <c r="F25" s="6"/>
      <c r="G25" s="6"/>
      <c r="K25" t="s">
        <v>1845</v>
      </c>
      <c r="L25">
        <f t="shared" si="1"/>
        <v>0</v>
      </c>
      <c r="P25" t="s">
        <v>11157</v>
      </c>
      <c r="Q25">
        <f t="shared" si="2"/>
        <v>1</v>
      </c>
    </row>
    <row r="26" spans="1:17" x14ac:dyDescent="0.25">
      <c r="A26" s="6" t="s">
        <v>14010</v>
      </c>
      <c r="B26" s="6"/>
      <c r="C26" s="6"/>
      <c r="D26" s="6"/>
      <c r="E26" s="6"/>
      <c r="F26" s="6"/>
      <c r="G26" s="6"/>
      <c r="K26" t="s">
        <v>274</v>
      </c>
      <c r="L26">
        <f t="shared" si="1"/>
        <v>1</v>
      </c>
      <c r="P26" t="s">
        <v>10213</v>
      </c>
      <c r="Q26">
        <f t="shared" si="2"/>
        <v>1</v>
      </c>
    </row>
    <row r="27" spans="1:17" x14ac:dyDescent="0.25">
      <c r="A27" s="6" t="s">
        <v>957</v>
      </c>
      <c r="B27" s="6"/>
      <c r="C27" s="6"/>
      <c r="D27" s="6"/>
      <c r="E27" s="6"/>
      <c r="F27" s="6"/>
      <c r="G27" s="6"/>
      <c r="K27" t="s">
        <v>5653</v>
      </c>
      <c r="L27">
        <f t="shared" si="1"/>
        <v>0</v>
      </c>
      <c r="P27" t="s">
        <v>12318</v>
      </c>
      <c r="Q27">
        <f t="shared" si="2"/>
        <v>1</v>
      </c>
    </row>
    <row r="28" spans="1:17" x14ac:dyDescent="0.25">
      <c r="A28" s="6" t="s">
        <v>14006</v>
      </c>
      <c r="B28" s="6"/>
      <c r="C28" s="6"/>
      <c r="D28" s="6"/>
      <c r="E28" s="6"/>
      <c r="F28" s="6"/>
      <c r="G28" s="6"/>
      <c r="K28" t="s">
        <v>11729</v>
      </c>
      <c r="L28">
        <f t="shared" ref="L28:L71" si="3">COUNTIF($A$2:$G$5668,K28)</f>
        <v>1</v>
      </c>
      <c r="P28" t="s">
        <v>5715</v>
      </c>
      <c r="Q28">
        <f t="shared" si="2"/>
        <v>1</v>
      </c>
    </row>
    <row r="29" spans="1:17" x14ac:dyDescent="0.25">
      <c r="A29" s="6" t="s">
        <v>14003</v>
      </c>
      <c r="B29" s="6"/>
      <c r="C29" s="6"/>
      <c r="D29" s="6"/>
      <c r="E29" s="6"/>
      <c r="F29" s="6"/>
      <c r="G29" s="6"/>
      <c r="K29" t="s">
        <v>2401</v>
      </c>
      <c r="L29">
        <f t="shared" si="3"/>
        <v>1</v>
      </c>
      <c r="P29" t="s">
        <v>11042</v>
      </c>
      <c r="Q29">
        <f t="shared" si="2"/>
        <v>1</v>
      </c>
    </row>
    <row r="30" spans="1:17" x14ac:dyDescent="0.25">
      <c r="A30" s="6" t="s">
        <v>14000</v>
      </c>
      <c r="B30" s="6"/>
      <c r="C30" s="6"/>
      <c r="D30" s="6"/>
      <c r="E30" s="6"/>
      <c r="F30" s="6"/>
      <c r="G30" s="6"/>
      <c r="K30" t="s">
        <v>869</v>
      </c>
      <c r="L30">
        <f t="shared" si="3"/>
        <v>1</v>
      </c>
      <c r="P30" t="s">
        <v>7612</v>
      </c>
      <c r="Q30">
        <f t="shared" si="2"/>
        <v>1</v>
      </c>
    </row>
    <row r="31" spans="1:17" x14ac:dyDescent="0.25">
      <c r="A31" s="6" t="s">
        <v>957</v>
      </c>
      <c r="B31" s="6"/>
      <c r="C31" s="6"/>
      <c r="D31" s="6"/>
      <c r="E31" s="6"/>
      <c r="F31" s="6"/>
      <c r="G31" s="6"/>
      <c r="K31" t="s">
        <v>9025</v>
      </c>
      <c r="L31">
        <f t="shared" si="3"/>
        <v>1</v>
      </c>
      <c r="P31" t="s">
        <v>5149</v>
      </c>
      <c r="Q31">
        <f t="shared" si="2"/>
        <v>1</v>
      </c>
    </row>
    <row r="32" spans="1:17" x14ac:dyDescent="0.25">
      <c r="A32" s="6" t="s">
        <v>13995</v>
      </c>
      <c r="B32" s="6"/>
      <c r="C32" s="6"/>
      <c r="D32" s="6"/>
      <c r="E32" s="6"/>
      <c r="F32" s="6"/>
      <c r="G32" s="6"/>
      <c r="K32" t="s">
        <v>2255</v>
      </c>
      <c r="L32">
        <f t="shared" si="3"/>
        <v>1</v>
      </c>
      <c r="P32" t="s">
        <v>1064</v>
      </c>
      <c r="Q32">
        <f t="shared" ref="Q32:Q71" si="4">COUNTIF($A$2:$G$5668,P32)</f>
        <v>1</v>
      </c>
    </row>
    <row r="33" spans="1:17" x14ac:dyDescent="0.25">
      <c r="A33" s="6" t="s">
        <v>13993</v>
      </c>
      <c r="B33" s="6"/>
      <c r="C33" s="6"/>
      <c r="D33" s="6"/>
      <c r="E33" s="6"/>
      <c r="F33" s="6"/>
      <c r="G33" s="6"/>
      <c r="K33" t="s">
        <v>1137</v>
      </c>
      <c r="L33">
        <f t="shared" si="3"/>
        <v>1</v>
      </c>
      <c r="P33" t="s">
        <v>9628</v>
      </c>
      <c r="Q33">
        <f t="shared" si="4"/>
        <v>1</v>
      </c>
    </row>
    <row r="34" spans="1:17" x14ac:dyDescent="0.25">
      <c r="A34" s="6" t="s">
        <v>13991</v>
      </c>
      <c r="B34" s="6"/>
      <c r="C34" s="6"/>
      <c r="D34" s="6"/>
      <c r="E34" s="6"/>
      <c r="F34" s="6"/>
      <c r="G34" s="6"/>
      <c r="K34" t="s">
        <v>14272</v>
      </c>
      <c r="L34">
        <f t="shared" si="3"/>
        <v>0</v>
      </c>
      <c r="P34" t="s">
        <v>1666</v>
      </c>
      <c r="Q34">
        <f t="shared" si="4"/>
        <v>1</v>
      </c>
    </row>
    <row r="35" spans="1:17" x14ac:dyDescent="0.25">
      <c r="A35" s="6" t="s">
        <v>13988</v>
      </c>
      <c r="B35" s="6"/>
      <c r="C35" s="6"/>
      <c r="D35" s="6"/>
      <c r="E35" s="6"/>
      <c r="F35" s="6"/>
      <c r="G35" s="6"/>
      <c r="K35" t="s">
        <v>1644</v>
      </c>
      <c r="L35">
        <f t="shared" si="3"/>
        <v>1</v>
      </c>
      <c r="P35" t="s">
        <v>8476</v>
      </c>
      <c r="Q35">
        <f t="shared" si="4"/>
        <v>1</v>
      </c>
    </row>
    <row r="36" spans="1:17" x14ac:dyDescent="0.25">
      <c r="A36" s="6" t="s">
        <v>13985</v>
      </c>
      <c r="B36" s="6"/>
      <c r="C36" s="6"/>
      <c r="D36" s="6"/>
      <c r="E36" s="6"/>
      <c r="F36" s="6"/>
      <c r="G36" s="6"/>
      <c r="K36" t="s">
        <v>4096</v>
      </c>
      <c r="L36">
        <f t="shared" si="3"/>
        <v>1</v>
      </c>
      <c r="P36" t="s">
        <v>7939</v>
      </c>
      <c r="Q36">
        <f t="shared" si="4"/>
        <v>1</v>
      </c>
    </row>
    <row r="37" spans="1:17" x14ac:dyDescent="0.25">
      <c r="A37" s="6" t="s">
        <v>13982</v>
      </c>
      <c r="B37" s="6"/>
      <c r="C37" s="6"/>
      <c r="D37" s="6"/>
      <c r="E37" s="6"/>
      <c r="F37" s="6"/>
      <c r="G37" s="6"/>
      <c r="K37" t="s">
        <v>3267</v>
      </c>
      <c r="L37">
        <f t="shared" si="3"/>
        <v>1</v>
      </c>
      <c r="P37" t="s">
        <v>2689</v>
      </c>
      <c r="Q37">
        <f t="shared" si="4"/>
        <v>1</v>
      </c>
    </row>
    <row r="38" spans="1:17" x14ac:dyDescent="0.25">
      <c r="A38" s="6" t="s">
        <v>957</v>
      </c>
      <c r="B38" s="6"/>
      <c r="C38" s="6"/>
      <c r="D38" s="6"/>
      <c r="E38" s="6"/>
      <c r="F38" s="6"/>
      <c r="G38" s="6"/>
      <c r="K38" t="s">
        <v>3426</v>
      </c>
      <c r="L38">
        <f t="shared" si="3"/>
        <v>1</v>
      </c>
      <c r="P38" t="s">
        <v>8113</v>
      </c>
      <c r="Q38">
        <f t="shared" si="4"/>
        <v>1</v>
      </c>
    </row>
    <row r="39" spans="1:17" x14ac:dyDescent="0.25">
      <c r="A39" s="6" t="s">
        <v>957</v>
      </c>
      <c r="B39" s="6"/>
      <c r="C39" s="6"/>
      <c r="D39" s="6"/>
      <c r="E39" s="6"/>
      <c r="F39" s="6"/>
      <c r="G39" s="6"/>
      <c r="K39" t="s">
        <v>1936</v>
      </c>
      <c r="L39">
        <f t="shared" si="3"/>
        <v>1</v>
      </c>
      <c r="P39" t="s">
        <v>13012</v>
      </c>
      <c r="Q39">
        <f t="shared" si="4"/>
        <v>1</v>
      </c>
    </row>
    <row r="40" spans="1:17" x14ac:dyDescent="0.25">
      <c r="A40" s="6" t="s">
        <v>13977</v>
      </c>
      <c r="B40" s="6"/>
      <c r="C40" s="6"/>
      <c r="D40" s="6"/>
      <c r="E40" s="6"/>
      <c r="F40" s="6"/>
      <c r="G40" s="6"/>
      <c r="K40" t="s">
        <v>9763</v>
      </c>
      <c r="L40">
        <f t="shared" si="3"/>
        <v>1</v>
      </c>
      <c r="P40" t="s">
        <v>2525</v>
      </c>
      <c r="Q40">
        <f t="shared" si="4"/>
        <v>1</v>
      </c>
    </row>
    <row r="41" spans="1:17" x14ac:dyDescent="0.25">
      <c r="A41" s="6" t="s">
        <v>13974</v>
      </c>
      <c r="B41" s="6"/>
      <c r="C41" s="6"/>
      <c r="D41" s="6"/>
      <c r="E41" s="6"/>
      <c r="F41" s="6"/>
      <c r="G41" s="6"/>
      <c r="K41" t="s">
        <v>14273</v>
      </c>
      <c r="L41">
        <f t="shared" si="3"/>
        <v>0</v>
      </c>
      <c r="P41" t="s">
        <v>1094</v>
      </c>
      <c r="Q41">
        <f t="shared" si="4"/>
        <v>1</v>
      </c>
    </row>
    <row r="42" spans="1:17" x14ac:dyDescent="0.25">
      <c r="A42" s="6" t="s">
        <v>13971</v>
      </c>
      <c r="B42" s="6"/>
      <c r="C42" s="6"/>
      <c r="D42" s="6"/>
      <c r="E42" s="6"/>
      <c r="F42" s="6"/>
      <c r="G42" s="6"/>
      <c r="K42" t="s">
        <v>3264</v>
      </c>
      <c r="L42">
        <f t="shared" si="3"/>
        <v>1</v>
      </c>
      <c r="P42" t="s">
        <v>8765</v>
      </c>
      <c r="Q42">
        <f t="shared" si="4"/>
        <v>1</v>
      </c>
    </row>
    <row r="43" spans="1:17" x14ac:dyDescent="0.25">
      <c r="A43" s="6" t="s">
        <v>13968</v>
      </c>
      <c r="B43" s="6"/>
      <c r="C43" s="6"/>
      <c r="D43" s="6"/>
      <c r="E43" s="6"/>
      <c r="F43" s="6"/>
      <c r="G43" s="6"/>
      <c r="K43" t="s">
        <v>6442</v>
      </c>
      <c r="L43">
        <f t="shared" si="3"/>
        <v>1</v>
      </c>
      <c r="P43" t="s">
        <v>11151</v>
      </c>
      <c r="Q43">
        <f t="shared" si="4"/>
        <v>1</v>
      </c>
    </row>
    <row r="44" spans="1:17" x14ac:dyDescent="0.25">
      <c r="A44" s="6" t="s">
        <v>13965</v>
      </c>
      <c r="B44" s="6"/>
      <c r="C44" s="6"/>
      <c r="D44" s="6"/>
      <c r="E44" s="6"/>
      <c r="F44" s="6"/>
      <c r="G44" s="6"/>
      <c r="K44" t="s">
        <v>10233</v>
      </c>
      <c r="L44">
        <f t="shared" si="3"/>
        <v>1</v>
      </c>
      <c r="P44" t="s">
        <v>3303</v>
      </c>
      <c r="Q44">
        <f t="shared" si="4"/>
        <v>1</v>
      </c>
    </row>
    <row r="45" spans="1:17" x14ac:dyDescent="0.25">
      <c r="A45" s="6" t="s">
        <v>13962</v>
      </c>
      <c r="B45" s="6"/>
      <c r="C45" s="6"/>
      <c r="D45" s="6"/>
      <c r="E45" s="6"/>
      <c r="F45" s="6"/>
      <c r="G45" s="6"/>
      <c r="K45" t="s">
        <v>3232</v>
      </c>
      <c r="L45">
        <f t="shared" si="3"/>
        <v>1</v>
      </c>
      <c r="P45" t="s">
        <v>12218</v>
      </c>
      <c r="Q45">
        <f t="shared" si="4"/>
        <v>1</v>
      </c>
    </row>
    <row r="46" spans="1:17" x14ac:dyDescent="0.25">
      <c r="A46" s="6" t="s">
        <v>13959</v>
      </c>
      <c r="B46" s="6"/>
      <c r="C46" s="6"/>
      <c r="D46" s="6"/>
      <c r="E46" s="6"/>
      <c r="F46" s="6"/>
      <c r="G46" s="6"/>
      <c r="K46" t="s">
        <v>907</v>
      </c>
      <c r="L46">
        <f t="shared" si="3"/>
        <v>1</v>
      </c>
      <c r="P46" t="s">
        <v>3677</v>
      </c>
      <c r="Q46">
        <f t="shared" si="4"/>
        <v>1</v>
      </c>
    </row>
    <row r="47" spans="1:17" x14ac:dyDescent="0.25">
      <c r="A47" s="6" t="s">
        <v>957</v>
      </c>
      <c r="B47" s="6"/>
      <c r="C47" s="6"/>
      <c r="D47" s="6"/>
      <c r="E47" s="6"/>
      <c r="F47" s="6"/>
      <c r="G47" s="6"/>
      <c r="K47" t="s">
        <v>450</v>
      </c>
      <c r="L47">
        <f t="shared" si="3"/>
        <v>1</v>
      </c>
      <c r="P47" t="s">
        <v>1336</v>
      </c>
      <c r="Q47">
        <f t="shared" si="4"/>
        <v>1</v>
      </c>
    </row>
    <row r="48" spans="1:17" x14ac:dyDescent="0.25">
      <c r="A48" s="6" t="s">
        <v>957</v>
      </c>
      <c r="B48" s="6"/>
      <c r="C48" s="6"/>
      <c r="D48" s="6"/>
      <c r="E48" s="6"/>
      <c r="F48" s="6"/>
      <c r="G48" s="6"/>
      <c r="K48" t="s">
        <v>6832</v>
      </c>
      <c r="L48">
        <f t="shared" si="3"/>
        <v>1</v>
      </c>
      <c r="P48" t="s">
        <v>8324</v>
      </c>
      <c r="Q48">
        <f t="shared" si="4"/>
        <v>1</v>
      </c>
    </row>
    <row r="49" spans="1:17" x14ac:dyDescent="0.25">
      <c r="A49" s="6" t="s">
        <v>13953</v>
      </c>
      <c r="B49" s="6"/>
      <c r="C49" s="6"/>
      <c r="D49" s="6"/>
      <c r="E49" s="6"/>
      <c r="F49" s="6"/>
      <c r="G49" s="6"/>
      <c r="K49" t="s">
        <v>11941</v>
      </c>
      <c r="L49">
        <f t="shared" si="3"/>
        <v>1</v>
      </c>
      <c r="P49" t="s">
        <v>9106</v>
      </c>
      <c r="Q49">
        <f t="shared" si="4"/>
        <v>1</v>
      </c>
    </row>
    <row r="50" spans="1:17" x14ac:dyDescent="0.25">
      <c r="A50" s="6" t="s">
        <v>13950</v>
      </c>
      <c r="B50" s="6"/>
      <c r="C50" s="6"/>
      <c r="D50" s="6"/>
      <c r="E50" s="6"/>
      <c r="F50" s="6"/>
      <c r="G50" s="6"/>
      <c r="K50" t="s">
        <v>3459</v>
      </c>
      <c r="L50">
        <f t="shared" si="3"/>
        <v>1</v>
      </c>
      <c r="P50" t="s">
        <v>5706</v>
      </c>
      <c r="Q50">
        <f t="shared" si="4"/>
        <v>1</v>
      </c>
    </row>
    <row r="51" spans="1:17" x14ac:dyDescent="0.25">
      <c r="A51" s="6" t="s">
        <v>957</v>
      </c>
      <c r="B51" s="6"/>
      <c r="C51" s="6"/>
      <c r="D51" s="6"/>
      <c r="E51" s="6"/>
      <c r="F51" s="6"/>
      <c r="G51" s="6"/>
      <c r="K51" t="s">
        <v>13702</v>
      </c>
      <c r="L51">
        <f t="shared" si="3"/>
        <v>1</v>
      </c>
      <c r="P51" t="s">
        <v>1634</v>
      </c>
      <c r="Q51">
        <f t="shared" si="4"/>
        <v>1</v>
      </c>
    </row>
    <row r="52" spans="1:17" x14ac:dyDescent="0.25">
      <c r="A52" s="6" t="s">
        <v>13946</v>
      </c>
      <c r="B52" s="6"/>
      <c r="C52" s="6"/>
      <c r="D52" s="6"/>
      <c r="E52" s="6"/>
      <c r="F52" s="6"/>
      <c r="G52" s="6"/>
      <c r="K52" t="s">
        <v>13731</v>
      </c>
      <c r="L52">
        <f t="shared" si="3"/>
        <v>0</v>
      </c>
      <c r="P52" t="s">
        <v>10890</v>
      </c>
      <c r="Q52">
        <f t="shared" si="4"/>
        <v>1</v>
      </c>
    </row>
    <row r="53" spans="1:17" x14ac:dyDescent="0.25">
      <c r="A53" s="6" t="s">
        <v>957</v>
      </c>
      <c r="B53" s="6"/>
      <c r="C53" s="6"/>
      <c r="D53" s="6"/>
      <c r="E53" s="6"/>
      <c r="F53" s="6"/>
      <c r="G53" s="6"/>
      <c r="K53" t="s">
        <v>1022</v>
      </c>
      <c r="L53">
        <f t="shared" si="3"/>
        <v>1</v>
      </c>
      <c r="P53" t="s">
        <v>4927</v>
      </c>
      <c r="Q53">
        <f t="shared" si="4"/>
        <v>1</v>
      </c>
    </row>
    <row r="54" spans="1:17" x14ac:dyDescent="0.25">
      <c r="A54" s="6" t="s">
        <v>13942</v>
      </c>
      <c r="B54" s="6"/>
      <c r="C54" s="6"/>
      <c r="D54" s="6"/>
      <c r="E54" s="6"/>
      <c r="F54" s="6"/>
      <c r="G54" s="6"/>
      <c r="K54" t="s">
        <v>5733</v>
      </c>
      <c r="L54">
        <f t="shared" si="3"/>
        <v>1</v>
      </c>
      <c r="P54" t="s">
        <v>12154</v>
      </c>
      <c r="Q54">
        <f t="shared" si="4"/>
        <v>1</v>
      </c>
    </row>
    <row r="55" spans="1:17" x14ac:dyDescent="0.25">
      <c r="A55" s="6" t="s">
        <v>13939</v>
      </c>
      <c r="B55" s="6"/>
      <c r="C55" s="6"/>
      <c r="D55" s="6"/>
      <c r="E55" s="6"/>
      <c r="F55" s="6"/>
      <c r="G55" s="6"/>
      <c r="K55" t="s">
        <v>13826</v>
      </c>
      <c r="L55">
        <f t="shared" si="3"/>
        <v>1</v>
      </c>
      <c r="P55" t="s">
        <v>12417</v>
      </c>
      <c r="Q55">
        <f t="shared" si="4"/>
        <v>1</v>
      </c>
    </row>
    <row r="56" spans="1:17" x14ac:dyDescent="0.25">
      <c r="A56" s="6" t="s">
        <v>13936</v>
      </c>
      <c r="B56" s="6"/>
      <c r="C56" s="6"/>
      <c r="D56" s="6"/>
      <c r="E56" s="6"/>
      <c r="F56" s="6"/>
      <c r="G56" s="6"/>
      <c r="K56" t="s">
        <v>3958</v>
      </c>
      <c r="L56">
        <f t="shared" si="3"/>
        <v>1</v>
      </c>
      <c r="P56" t="s">
        <v>1744</v>
      </c>
      <c r="Q56">
        <f t="shared" si="4"/>
        <v>1</v>
      </c>
    </row>
    <row r="57" spans="1:17" x14ac:dyDescent="0.25">
      <c r="A57" s="6" t="s">
        <v>13933</v>
      </c>
      <c r="B57" s="6"/>
      <c r="C57" s="6"/>
      <c r="D57" s="6"/>
      <c r="E57" s="6"/>
      <c r="F57" s="6"/>
      <c r="G57" s="6"/>
      <c r="K57" t="s">
        <v>12606</v>
      </c>
      <c r="L57">
        <f t="shared" si="3"/>
        <v>1</v>
      </c>
      <c r="P57" t="s">
        <v>2626</v>
      </c>
      <c r="Q57">
        <f t="shared" si="4"/>
        <v>1</v>
      </c>
    </row>
    <row r="58" spans="1:17" x14ac:dyDescent="0.25">
      <c r="A58" s="6" t="s">
        <v>13930</v>
      </c>
      <c r="B58" s="6"/>
      <c r="C58" s="6"/>
      <c r="D58" s="6"/>
      <c r="E58" s="6"/>
      <c r="F58" s="6"/>
      <c r="G58" s="6"/>
      <c r="K58" t="s">
        <v>5493</v>
      </c>
      <c r="L58">
        <f t="shared" si="3"/>
        <v>1</v>
      </c>
      <c r="P58" t="s">
        <v>12777</v>
      </c>
      <c r="Q58">
        <f t="shared" si="4"/>
        <v>1</v>
      </c>
    </row>
    <row r="59" spans="1:17" x14ac:dyDescent="0.25">
      <c r="A59" s="6" t="s">
        <v>13927</v>
      </c>
      <c r="B59" s="6"/>
      <c r="C59" s="6"/>
      <c r="D59" s="6"/>
      <c r="E59" s="6"/>
      <c r="F59" s="6"/>
      <c r="G59" s="6"/>
      <c r="K59" t="s">
        <v>8604</v>
      </c>
      <c r="L59">
        <f t="shared" si="3"/>
        <v>1</v>
      </c>
      <c r="P59" t="s">
        <v>9421</v>
      </c>
      <c r="Q59">
        <f t="shared" si="4"/>
        <v>1</v>
      </c>
    </row>
    <row r="60" spans="1:17" x14ac:dyDescent="0.25">
      <c r="A60" s="6" t="s">
        <v>957</v>
      </c>
      <c r="B60" s="6"/>
      <c r="C60" s="6"/>
      <c r="D60" s="6"/>
      <c r="E60" s="6"/>
      <c r="F60" s="6"/>
      <c r="G60" s="6"/>
      <c r="K60" t="s">
        <v>1774</v>
      </c>
      <c r="L60">
        <f t="shared" si="3"/>
        <v>1</v>
      </c>
      <c r="P60" t="s">
        <v>5234</v>
      </c>
      <c r="Q60">
        <f t="shared" si="4"/>
        <v>1</v>
      </c>
    </row>
    <row r="61" spans="1:17" x14ac:dyDescent="0.25">
      <c r="A61" s="6" t="s">
        <v>13922</v>
      </c>
      <c r="B61" s="6"/>
      <c r="C61" s="6"/>
      <c r="D61" s="6"/>
      <c r="E61" s="6"/>
      <c r="F61" s="6"/>
      <c r="G61" s="6"/>
      <c r="K61" t="s">
        <v>1336</v>
      </c>
      <c r="L61">
        <f t="shared" si="3"/>
        <v>1</v>
      </c>
      <c r="P61" t="s">
        <v>2119</v>
      </c>
      <c r="Q61">
        <f t="shared" si="4"/>
        <v>1</v>
      </c>
    </row>
    <row r="62" spans="1:17" x14ac:dyDescent="0.25">
      <c r="A62" s="6" t="s">
        <v>14083</v>
      </c>
      <c r="B62" s="6" t="s">
        <v>14084</v>
      </c>
      <c r="C62" s="6" t="s">
        <v>14085</v>
      </c>
      <c r="D62" s="6"/>
      <c r="E62" s="6"/>
      <c r="F62" s="6"/>
      <c r="G62" s="6"/>
      <c r="K62" t="s">
        <v>14022</v>
      </c>
      <c r="L62">
        <f t="shared" si="3"/>
        <v>1</v>
      </c>
      <c r="P62" t="s">
        <v>5929</v>
      </c>
      <c r="Q62">
        <f t="shared" si="4"/>
        <v>1</v>
      </c>
    </row>
    <row r="63" spans="1:17" x14ac:dyDescent="0.25">
      <c r="A63" s="6" t="s">
        <v>957</v>
      </c>
      <c r="B63" s="6"/>
      <c r="C63" s="6"/>
      <c r="D63" s="6"/>
      <c r="E63" s="6"/>
      <c r="F63" s="6"/>
      <c r="G63" s="6"/>
      <c r="K63" t="s">
        <v>7417</v>
      </c>
      <c r="L63">
        <f t="shared" si="3"/>
        <v>1</v>
      </c>
      <c r="P63" t="s">
        <v>14138</v>
      </c>
      <c r="Q63">
        <f t="shared" si="4"/>
        <v>2</v>
      </c>
    </row>
    <row r="64" spans="1:17" x14ac:dyDescent="0.25">
      <c r="A64" s="6" t="s">
        <v>957</v>
      </c>
      <c r="B64" s="6"/>
      <c r="C64" s="6"/>
      <c r="D64" s="6"/>
      <c r="E64" s="6"/>
      <c r="F64" s="6"/>
      <c r="G64" s="6"/>
      <c r="K64" t="s">
        <v>3361</v>
      </c>
      <c r="L64">
        <f t="shared" si="3"/>
        <v>0</v>
      </c>
      <c r="P64" t="s">
        <v>4028</v>
      </c>
      <c r="Q64">
        <f t="shared" si="4"/>
        <v>1</v>
      </c>
    </row>
    <row r="65" spans="1:17" x14ac:dyDescent="0.25">
      <c r="A65" s="6" t="s">
        <v>957</v>
      </c>
      <c r="B65" s="6"/>
      <c r="C65" s="6"/>
      <c r="D65" s="6"/>
      <c r="E65" s="6"/>
      <c r="F65" s="6"/>
      <c r="G65" s="6"/>
      <c r="K65" t="s">
        <v>12112</v>
      </c>
      <c r="L65">
        <f t="shared" si="3"/>
        <v>1</v>
      </c>
      <c r="P65" t="s">
        <v>9410</v>
      </c>
      <c r="Q65">
        <f t="shared" si="4"/>
        <v>1</v>
      </c>
    </row>
    <row r="66" spans="1:17" x14ac:dyDescent="0.25">
      <c r="A66" s="6" t="s">
        <v>957</v>
      </c>
      <c r="B66" s="6"/>
      <c r="C66" s="6"/>
      <c r="D66" s="6"/>
      <c r="E66" s="6"/>
      <c r="F66" s="6"/>
      <c r="G66" s="6"/>
      <c r="K66" t="s">
        <v>6363</v>
      </c>
      <c r="L66">
        <f t="shared" si="3"/>
        <v>0</v>
      </c>
      <c r="P66" t="s">
        <v>14174</v>
      </c>
      <c r="Q66">
        <f t="shared" si="4"/>
        <v>2</v>
      </c>
    </row>
    <row r="67" spans="1:17" x14ac:dyDescent="0.25">
      <c r="A67" s="6" t="s">
        <v>957</v>
      </c>
      <c r="B67" s="6"/>
      <c r="C67" s="6"/>
      <c r="D67" s="6"/>
      <c r="E67" s="6"/>
      <c r="F67" s="6"/>
      <c r="G67" s="6"/>
      <c r="K67" t="s">
        <v>14274</v>
      </c>
      <c r="L67">
        <f t="shared" si="3"/>
        <v>0</v>
      </c>
      <c r="P67" t="s">
        <v>14173</v>
      </c>
      <c r="Q67">
        <f t="shared" si="4"/>
        <v>2</v>
      </c>
    </row>
    <row r="68" spans="1:17" x14ac:dyDescent="0.25">
      <c r="A68" s="6" t="s">
        <v>13912</v>
      </c>
      <c r="B68" s="6"/>
      <c r="C68" s="6"/>
      <c r="D68" s="6"/>
      <c r="E68" s="6"/>
      <c r="F68" s="6"/>
      <c r="G68" s="6"/>
      <c r="K68" t="s">
        <v>1917</v>
      </c>
      <c r="L68">
        <f t="shared" si="3"/>
        <v>1</v>
      </c>
      <c r="P68" t="s">
        <v>14119</v>
      </c>
      <c r="Q68">
        <f t="shared" si="4"/>
        <v>1</v>
      </c>
    </row>
    <row r="69" spans="1:17" x14ac:dyDescent="0.25">
      <c r="A69" s="6" t="s">
        <v>957</v>
      </c>
      <c r="B69" s="6"/>
      <c r="C69" s="6"/>
      <c r="D69" s="6"/>
      <c r="E69" s="6"/>
      <c r="F69" s="6"/>
      <c r="G69" s="6"/>
      <c r="K69" t="s">
        <v>14275</v>
      </c>
      <c r="L69">
        <f t="shared" si="3"/>
        <v>0</v>
      </c>
      <c r="P69" t="s">
        <v>12916</v>
      </c>
      <c r="Q69">
        <f t="shared" si="4"/>
        <v>1</v>
      </c>
    </row>
    <row r="70" spans="1:17" x14ac:dyDescent="0.25">
      <c r="A70" s="8" t="s">
        <v>14086</v>
      </c>
      <c r="B70" s="6" t="s">
        <v>14087</v>
      </c>
      <c r="C70" s="8" t="s">
        <v>14088</v>
      </c>
      <c r="D70" s="6" t="s">
        <v>14089</v>
      </c>
      <c r="E70" s="6" t="s">
        <v>14090</v>
      </c>
      <c r="F70" s="6"/>
      <c r="G70" s="6"/>
      <c r="K70" t="s">
        <v>13779</v>
      </c>
      <c r="L70">
        <f t="shared" si="3"/>
        <v>1</v>
      </c>
      <c r="P70" t="s">
        <v>8363</v>
      </c>
      <c r="Q70">
        <f t="shared" si="4"/>
        <v>1</v>
      </c>
    </row>
    <row r="71" spans="1:17" x14ac:dyDescent="0.25">
      <c r="A71" s="6" t="s">
        <v>13907</v>
      </c>
      <c r="B71" s="6"/>
      <c r="C71" s="6"/>
      <c r="D71" s="6"/>
      <c r="E71" s="6"/>
      <c r="F71" s="6"/>
      <c r="G71" s="6"/>
      <c r="K71" t="s">
        <v>5471</v>
      </c>
      <c r="L71">
        <f t="shared" si="3"/>
        <v>1</v>
      </c>
      <c r="P71" t="s">
        <v>1557</v>
      </c>
      <c r="Q71">
        <f t="shared" si="4"/>
        <v>1</v>
      </c>
    </row>
    <row r="72" spans="1:17" x14ac:dyDescent="0.25">
      <c r="A72" s="6" t="s">
        <v>13904</v>
      </c>
      <c r="B72" s="6"/>
      <c r="C72" s="6"/>
      <c r="D72" s="6"/>
      <c r="E72" s="6"/>
      <c r="F72" s="6"/>
      <c r="G72" s="6"/>
      <c r="K72" t="s">
        <v>14028</v>
      </c>
      <c r="L72">
        <f t="shared" ref="L72:L127" si="5">COUNTIF($A$2:$G$5668,K72)</f>
        <v>1</v>
      </c>
      <c r="P72" t="s">
        <v>4228</v>
      </c>
      <c r="Q72">
        <f t="shared" ref="Q72:Q92" si="6">COUNTIF($A$2:$G$5668,P72)</f>
        <v>1</v>
      </c>
    </row>
    <row r="73" spans="1:17" x14ac:dyDescent="0.25">
      <c r="A73" s="6" t="s">
        <v>13901</v>
      </c>
      <c r="B73" s="6"/>
      <c r="C73" s="6"/>
      <c r="D73" s="6"/>
      <c r="E73" s="6"/>
      <c r="F73" s="6"/>
      <c r="G73" s="6"/>
      <c r="K73" t="s">
        <v>5105</v>
      </c>
      <c r="L73">
        <f t="shared" si="5"/>
        <v>1</v>
      </c>
      <c r="P73" t="s">
        <v>8695</v>
      </c>
      <c r="Q73">
        <f t="shared" si="6"/>
        <v>1</v>
      </c>
    </row>
    <row r="74" spans="1:17" x14ac:dyDescent="0.25">
      <c r="A74" s="6" t="s">
        <v>13899</v>
      </c>
      <c r="B74" s="6"/>
      <c r="C74" s="6"/>
      <c r="D74" s="6"/>
      <c r="E74" s="6"/>
      <c r="F74" s="6"/>
      <c r="G74" s="6"/>
      <c r="K74" t="s">
        <v>11283</v>
      </c>
      <c r="L74">
        <f t="shared" si="5"/>
        <v>1</v>
      </c>
      <c r="P74" t="s">
        <v>14290</v>
      </c>
      <c r="Q74">
        <f t="shared" si="6"/>
        <v>1</v>
      </c>
    </row>
    <row r="75" spans="1:17" x14ac:dyDescent="0.25">
      <c r="A75" s="6" t="s">
        <v>13896</v>
      </c>
      <c r="B75" s="6"/>
      <c r="C75" s="6"/>
      <c r="D75" s="6"/>
      <c r="E75" s="6"/>
      <c r="F75" s="6"/>
      <c r="G75" s="6"/>
      <c r="K75" t="s">
        <v>888</v>
      </c>
      <c r="L75">
        <f t="shared" si="5"/>
        <v>1</v>
      </c>
      <c r="P75" t="s">
        <v>14291</v>
      </c>
      <c r="Q75">
        <f t="shared" si="6"/>
        <v>1</v>
      </c>
    </row>
    <row r="76" spans="1:17" x14ac:dyDescent="0.25">
      <c r="A76" s="6" t="s">
        <v>957</v>
      </c>
      <c r="B76" s="6"/>
      <c r="C76" s="6"/>
      <c r="D76" s="6"/>
      <c r="E76" s="6"/>
      <c r="F76" s="6"/>
      <c r="G76" s="6"/>
      <c r="K76" t="s">
        <v>3394</v>
      </c>
      <c r="L76">
        <f t="shared" si="5"/>
        <v>1</v>
      </c>
      <c r="P76" t="s">
        <v>14292</v>
      </c>
      <c r="Q76">
        <f t="shared" si="6"/>
        <v>1</v>
      </c>
    </row>
    <row r="77" spans="1:17" x14ac:dyDescent="0.25">
      <c r="A77" s="6" t="s">
        <v>957</v>
      </c>
      <c r="B77" s="6"/>
      <c r="C77" s="6"/>
      <c r="D77" s="6"/>
      <c r="E77" s="6"/>
      <c r="F77" s="6"/>
      <c r="G77" s="6"/>
      <c r="K77" t="s">
        <v>14276</v>
      </c>
      <c r="L77">
        <f t="shared" si="5"/>
        <v>0</v>
      </c>
      <c r="P77" t="s">
        <v>10365</v>
      </c>
      <c r="Q77">
        <f t="shared" si="6"/>
        <v>1</v>
      </c>
    </row>
    <row r="78" spans="1:17" x14ac:dyDescent="0.25">
      <c r="A78" s="6" t="s">
        <v>13890</v>
      </c>
      <c r="B78" s="6"/>
      <c r="C78" s="6"/>
      <c r="D78" s="6"/>
      <c r="E78" s="6"/>
      <c r="F78" s="6"/>
      <c r="G78" s="6"/>
      <c r="K78" t="s">
        <v>3428</v>
      </c>
      <c r="L78">
        <f t="shared" si="5"/>
        <v>1</v>
      </c>
      <c r="P78" t="s">
        <v>9980</v>
      </c>
      <c r="Q78">
        <f t="shared" si="6"/>
        <v>1</v>
      </c>
    </row>
    <row r="79" spans="1:17" x14ac:dyDescent="0.25">
      <c r="A79" s="6" t="s">
        <v>13887</v>
      </c>
      <c r="B79" s="6"/>
      <c r="C79" s="6"/>
      <c r="D79" s="6"/>
      <c r="E79" s="6"/>
      <c r="F79" s="6"/>
      <c r="G79" s="6"/>
      <c r="K79" t="s">
        <v>10067</v>
      </c>
      <c r="L79">
        <f t="shared" si="5"/>
        <v>1</v>
      </c>
      <c r="P79" t="s">
        <v>14293</v>
      </c>
      <c r="Q79">
        <f t="shared" si="6"/>
        <v>1</v>
      </c>
    </row>
    <row r="80" spans="1:17" x14ac:dyDescent="0.25">
      <c r="A80" s="6" t="s">
        <v>13885</v>
      </c>
      <c r="B80" s="6"/>
      <c r="C80" s="6"/>
      <c r="D80" s="6"/>
      <c r="E80" s="6"/>
      <c r="F80" s="6"/>
      <c r="G80" s="6"/>
      <c r="K80" t="s">
        <v>3500</v>
      </c>
      <c r="L80">
        <f t="shared" si="5"/>
        <v>1</v>
      </c>
      <c r="P80" t="s">
        <v>14294</v>
      </c>
      <c r="Q80">
        <f t="shared" si="6"/>
        <v>1</v>
      </c>
    </row>
    <row r="81" spans="1:17" x14ac:dyDescent="0.25">
      <c r="A81" s="6" t="s">
        <v>13882</v>
      </c>
      <c r="B81" s="6"/>
      <c r="C81" s="6"/>
      <c r="D81" s="6"/>
      <c r="E81" s="6"/>
      <c r="F81" s="6"/>
      <c r="G81" s="6"/>
      <c r="K81" t="s">
        <v>1769</v>
      </c>
      <c r="L81">
        <f t="shared" si="5"/>
        <v>0</v>
      </c>
      <c r="P81" t="s">
        <v>11261</v>
      </c>
      <c r="Q81">
        <f t="shared" si="6"/>
        <v>1</v>
      </c>
    </row>
    <row r="82" spans="1:17" x14ac:dyDescent="0.25">
      <c r="A82" s="6" t="s">
        <v>13879</v>
      </c>
      <c r="B82" s="6"/>
      <c r="C82" s="6"/>
      <c r="D82" s="6"/>
      <c r="E82" s="6"/>
      <c r="F82" s="6"/>
      <c r="G82" s="6"/>
      <c r="K82" t="s">
        <v>10468</v>
      </c>
      <c r="L82">
        <f t="shared" si="5"/>
        <v>1</v>
      </c>
      <c r="P82" t="s">
        <v>14295</v>
      </c>
      <c r="Q82">
        <f t="shared" si="6"/>
        <v>0</v>
      </c>
    </row>
    <row r="83" spans="1:17" x14ac:dyDescent="0.25">
      <c r="A83" s="6" t="s">
        <v>957</v>
      </c>
      <c r="B83" s="6"/>
      <c r="C83" s="6"/>
      <c r="D83" s="6"/>
      <c r="E83" s="6"/>
      <c r="F83" s="6"/>
      <c r="G83" s="6"/>
      <c r="K83" t="s">
        <v>6368</v>
      </c>
      <c r="L83">
        <f t="shared" si="5"/>
        <v>1</v>
      </c>
      <c r="P83" t="s">
        <v>6161</v>
      </c>
      <c r="Q83">
        <f t="shared" si="6"/>
        <v>1</v>
      </c>
    </row>
    <row r="84" spans="1:17" x14ac:dyDescent="0.25">
      <c r="A84" s="6" t="s">
        <v>13875</v>
      </c>
      <c r="B84" s="6"/>
      <c r="C84" s="6"/>
      <c r="D84" s="6"/>
      <c r="E84" s="6"/>
      <c r="F84" s="6"/>
      <c r="G84" s="6"/>
      <c r="K84" t="s">
        <v>1963</v>
      </c>
      <c r="L84">
        <f t="shared" si="5"/>
        <v>1</v>
      </c>
      <c r="P84" t="s">
        <v>1570</v>
      </c>
      <c r="Q84">
        <f t="shared" si="6"/>
        <v>1</v>
      </c>
    </row>
    <row r="85" spans="1:17" x14ac:dyDescent="0.25">
      <c r="A85" s="6" t="s">
        <v>957</v>
      </c>
      <c r="B85" s="6"/>
      <c r="C85" s="6"/>
      <c r="D85" s="6"/>
      <c r="E85" s="6"/>
      <c r="F85" s="6"/>
      <c r="G85" s="6"/>
      <c r="K85" t="s">
        <v>9653</v>
      </c>
      <c r="L85">
        <f t="shared" si="5"/>
        <v>1</v>
      </c>
      <c r="P85" t="s">
        <v>14296</v>
      </c>
      <c r="Q85">
        <f t="shared" si="6"/>
        <v>1</v>
      </c>
    </row>
    <row r="86" spans="1:17" x14ac:dyDescent="0.25">
      <c r="A86" s="6" t="s">
        <v>957</v>
      </c>
      <c r="B86" s="6"/>
      <c r="C86" s="6"/>
      <c r="D86" s="6"/>
      <c r="E86" s="6"/>
      <c r="F86" s="6"/>
      <c r="G86" s="6"/>
      <c r="K86" t="s">
        <v>8686</v>
      </c>
      <c r="L86">
        <f t="shared" si="5"/>
        <v>0</v>
      </c>
      <c r="P86" t="s">
        <v>3394</v>
      </c>
      <c r="Q86">
        <f t="shared" si="6"/>
        <v>1</v>
      </c>
    </row>
    <row r="87" spans="1:17" x14ac:dyDescent="0.25">
      <c r="A87" s="6" t="s">
        <v>13869</v>
      </c>
      <c r="B87" s="6"/>
      <c r="C87" s="6"/>
      <c r="D87" s="6"/>
      <c r="E87" s="6"/>
      <c r="F87" s="6"/>
      <c r="G87" s="6"/>
      <c r="K87" t="s">
        <v>14277</v>
      </c>
      <c r="L87">
        <f t="shared" si="5"/>
        <v>0</v>
      </c>
      <c r="P87" t="s">
        <v>6398</v>
      </c>
      <c r="Q87">
        <f t="shared" si="6"/>
        <v>1</v>
      </c>
    </row>
    <row r="88" spans="1:17" x14ac:dyDescent="0.25">
      <c r="A88" s="6" t="s">
        <v>14091</v>
      </c>
      <c r="B88" s="6" t="s">
        <v>14092</v>
      </c>
      <c r="C88" s="6"/>
      <c r="D88" s="6"/>
      <c r="E88" s="6"/>
      <c r="F88" s="6"/>
      <c r="G88" s="6"/>
      <c r="K88" t="s">
        <v>12426</v>
      </c>
      <c r="L88">
        <f t="shared" si="5"/>
        <v>1</v>
      </c>
      <c r="P88" t="s">
        <v>12841</v>
      </c>
      <c r="Q88">
        <f t="shared" si="6"/>
        <v>0</v>
      </c>
    </row>
    <row r="89" spans="1:17" x14ac:dyDescent="0.25">
      <c r="A89" s="6" t="s">
        <v>957</v>
      </c>
      <c r="B89" s="6"/>
      <c r="C89" s="6"/>
      <c r="D89" s="6"/>
      <c r="E89" s="6"/>
      <c r="F89" s="6"/>
      <c r="G89" s="6"/>
      <c r="K89" t="s">
        <v>3382</v>
      </c>
      <c r="L89">
        <f t="shared" si="5"/>
        <v>1</v>
      </c>
      <c r="P89" t="s">
        <v>12802</v>
      </c>
      <c r="Q89">
        <f t="shared" si="6"/>
        <v>0</v>
      </c>
    </row>
    <row r="90" spans="1:17" x14ac:dyDescent="0.25">
      <c r="A90" s="6" t="s">
        <v>13864</v>
      </c>
      <c r="B90" s="6"/>
      <c r="C90" s="6"/>
      <c r="D90" s="6"/>
      <c r="E90" s="6"/>
      <c r="F90" s="6"/>
      <c r="G90" s="6"/>
      <c r="K90" t="s">
        <v>13725</v>
      </c>
      <c r="L90">
        <f t="shared" si="5"/>
        <v>1</v>
      </c>
      <c r="P90" t="s">
        <v>3993</v>
      </c>
      <c r="Q90">
        <f t="shared" si="6"/>
        <v>1</v>
      </c>
    </row>
    <row r="91" spans="1:17" x14ac:dyDescent="0.25">
      <c r="A91" s="6" t="s">
        <v>13861</v>
      </c>
      <c r="B91" s="6"/>
      <c r="C91" s="6"/>
      <c r="D91" s="6"/>
      <c r="E91" s="6"/>
      <c r="F91" s="6"/>
      <c r="G91" s="6"/>
      <c r="K91" t="s">
        <v>14278</v>
      </c>
      <c r="L91">
        <f t="shared" si="5"/>
        <v>0</v>
      </c>
      <c r="P91" t="s">
        <v>4401</v>
      </c>
      <c r="Q91">
        <f t="shared" si="6"/>
        <v>1</v>
      </c>
    </row>
    <row r="92" spans="1:17" x14ac:dyDescent="0.25">
      <c r="A92" s="6" t="s">
        <v>14084</v>
      </c>
      <c r="B92" s="6" t="s">
        <v>14085</v>
      </c>
      <c r="C92" s="6"/>
      <c r="D92" s="6"/>
      <c r="E92" s="6"/>
      <c r="F92" s="6"/>
      <c r="G92" s="6"/>
      <c r="K92" t="s">
        <v>14279</v>
      </c>
      <c r="L92">
        <f t="shared" si="5"/>
        <v>0</v>
      </c>
      <c r="P92" t="s">
        <v>2985</v>
      </c>
      <c r="Q92">
        <f t="shared" si="6"/>
        <v>1</v>
      </c>
    </row>
    <row r="93" spans="1:17" x14ac:dyDescent="0.25">
      <c r="A93" s="6" t="s">
        <v>957</v>
      </c>
      <c r="B93" s="6"/>
      <c r="C93" s="6"/>
      <c r="D93" s="6"/>
      <c r="E93" s="6"/>
      <c r="F93" s="6"/>
      <c r="G93" s="6"/>
      <c r="K93" t="s">
        <v>14280</v>
      </c>
      <c r="L93">
        <f t="shared" si="5"/>
        <v>0</v>
      </c>
    </row>
    <row r="94" spans="1:17" x14ac:dyDescent="0.25">
      <c r="A94" s="6" t="s">
        <v>957</v>
      </c>
      <c r="B94" s="6"/>
      <c r="C94" s="6"/>
      <c r="D94" s="6"/>
      <c r="E94" s="6"/>
      <c r="F94" s="6"/>
      <c r="G94" s="6"/>
      <c r="K94" t="s">
        <v>290</v>
      </c>
      <c r="L94">
        <f t="shared" si="5"/>
        <v>0</v>
      </c>
    </row>
    <row r="95" spans="1:17" x14ac:dyDescent="0.25">
      <c r="A95" s="6" t="s">
        <v>957</v>
      </c>
      <c r="B95" s="6"/>
      <c r="C95" s="6"/>
      <c r="D95" s="6"/>
      <c r="E95" s="6"/>
      <c r="F95" s="6"/>
      <c r="G95" s="6"/>
      <c r="K95" t="s">
        <v>14281</v>
      </c>
      <c r="L95">
        <f t="shared" si="5"/>
        <v>0</v>
      </c>
    </row>
    <row r="96" spans="1:17" x14ac:dyDescent="0.25">
      <c r="A96" s="6" t="s">
        <v>14093</v>
      </c>
      <c r="B96" s="6" t="s">
        <v>14094</v>
      </c>
      <c r="C96" s="6"/>
      <c r="D96" s="6"/>
      <c r="E96" s="6"/>
      <c r="F96" s="6"/>
      <c r="G96" s="6"/>
      <c r="K96" t="s">
        <v>14282</v>
      </c>
      <c r="L96">
        <f t="shared" si="5"/>
        <v>0</v>
      </c>
    </row>
    <row r="97" spans="1:12" x14ac:dyDescent="0.25">
      <c r="A97" s="6" t="s">
        <v>14095</v>
      </c>
      <c r="B97" s="6" t="s">
        <v>14096</v>
      </c>
      <c r="C97" s="6"/>
      <c r="D97" s="6"/>
      <c r="E97" s="6"/>
      <c r="F97" s="6"/>
      <c r="G97" s="6"/>
      <c r="K97" t="s">
        <v>7367</v>
      </c>
      <c r="L97">
        <f t="shared" si="5"/>
        <v>1</v>
      </c>
    </row>
    <row r="98" spans="1:12" x14ac:dyDescent="0.25">
      <c r="A98" s="6" t="s">
        <v>4061</v>
      </c>
      <c r="B98" s="6" t="s">
        <v>14095</v>
      </c>
      <c r="C98" s="6" t="s">
        <v>14096</v>
      </c>
      <c r="D98" s="6"/>
      <c r="E98" s="6"/>
      <c r="F98" s="6"/>
      <c r="G98" s="6"/>
      <c r="K98" t="s">
        <v>14283</v>
      </c>
      <c r="L98">
        <f t="shared" si="5"/>
        <v>0</v>
      </c>
    </row>
    <row r="99" spans="1:12" x14ac:dyDescent="0.25">
      <c r="A99" s="6" t="s">
        <v>13846</v>
      </c>
      <c r="B99" s="6"/>
      <c r="C99" s="6"/>
      <c r="D99" s="6"/>
      <c r="E99" s="6"/>
      <c r="F99" s="6"/>
      <c r="G99" s="6"/>
      <c r="K99" t="s">
        <v>6380</v>
      </c>
      <c r="L99">
        <f t="shared" si="5"/>
        <v>1</v>
      </c>
    </row>
    <row r="100" spans="1:12" x14ac:dyDescent="0.25">
      <c r="A100" s="6" t="s">
        <v>13843</v>
      </c>
      <c r="B100" s="6"/>
      <c r="C100" s="6"/>
      <c r="D100" s="6"/>
      <c r="E100" s="6"/>
      <c r="F100" s="6"/>
      <c r="G100" s="6"/>
      <c r="K100" t="s">
        <v>1860</v>
      </c>
      <c r="L100">
        <f t="shared" si="5"/>
        <v>1</v>
      </c>
    </row>
    <row r="101" spans="1:12" x14ac:dyDescent="0.25">
      <c r="A101" s="6" t="s">
        <v>13840</v>
      </c>
      <c r="B101" s="6"/>
      <c r="C101" s="6"/>
      <c r="D101" s="6"/>
      <c r="E101" s="6"/>
      <c r="F101" s="6"/>
      <c r="G101" s="6"/>
      <c r="K101" t="s">
        <v>8992</v>
      </c>
      <c r="L101">
        <f t="shared" si="5"/>
        <v>1</v>
      </c>
    </row>
    <row r="102" spans="1:12" x14ac:dyDescent="0.25">
      <c r="A102" s="8" t="s">
        <v>13837</v>
      </c>
      <c r="B102" s="6"/>
      <c r="C102" s="6"/>
      <c r="D102" s="6"/>
      <c r="E102" s="6"/>
      <c r="F102" s="6"/>
      <c r="G102" s="6"/>
      <c r="K102" t="s">
        <v>11127</v>
      </c>
      <c r="L102">
        <f t="shared" si="5"/>
        <v>0</v>
      </c>
    </row>
    <row r="103" spans="1:12" x14ac:dyDescent="0.25">
      <c r="A103" s="6" t="s">
        <v>13834</v>
      </c>
      <c r="B103" s="6"/>
      <c r="C103" s="6"/>
      <c r="D103" s="6"/>
      <c r="E103" s="6"/>
      <c r="F103" s="6"/>
      <c r="G103" s="6"/>
      <c r="K103" t="s">
        <v>4469</v>
      </c>
      <c r="L103">
        <f t="shared" si="5"/>
        <v>1</v>
      </c>
    </row>
    <row r="104" spans="1:12" x14ac:dyDescent="0.25">
      <c r="A104" s="6" t="s">
        <v>957</v>
      </c>
      <c r="B104" s="6"/>
      <c r="C104" s="6"/>
      <c r="D104" s="6"/>
      <c r="E104" s="6"/>
      <c r="F104" s="6"/>
      <c r="G104" s="6"/>
      <c r="K104" t="s">
        <v>875</v>
      </c>
      <c r="L104">
        <f t="shared" si="5"/>
        <v>1</v>
      </c>
    </row>
    <row r="105" spans="1:12" x14ac:dyDescent="0.25">
      <c r="A105" s="6" t="s">
        <v>13829</v>
      </c>
      <c r="B105" s="6"/>
      <c r="C105" s="6"/>
      <c r="D105" s="6"/>
      <c r="E105" s="6"/>
      <c r="F105" s="6"/>
      <c r="G105" s="6"/>
      <c r="K105" t="s">
        <v>12614</v>
      </c>
      <c r="L105">
        <f t="shared" si="5"/>
        <v>1</v>
      </c>
    </row>
    <row r="106" spans="1:12" x14ac:dyDescent="0.25">
      <c r="A106" s="6" t="s">
        <v>13826</v>
      </c>
      <c r="B106" s="6"/>
      <c r="C106" s="6"/>
      <c r="D106" s="6"/>
      <c r="E106" s="6"/>
      <c r="F106" s="6"/>
      <c r="G106" s="6"/>
      <c r="K106" t="s">
        <v>6304</v>
      </c>
      <c r="L106">
        <f t="shared" si="5"/>
        <v>1</v>
      </c>
    </row>
    <row r="107" spans="1:12" x14ac:dyDescent="0.25">
      <c r="A107" s="6" t="s">
        <v>13823</v>
      </c>
      <c r="B107" s="6"/>
      <c r="C107" s="6"/>
      <c r="D107" s="6"/>
      <c r="E107" s="6"/>
      <c r="F107" s="6"/>
      <c r="G107" s="6"/>
      <c r="K107" t="s">
        <v>13819</v>
      </c>
      <c r="L107">
        <f t="shared" si="5"/>
        <v>0</v>
      </c>
    </row>
    <row r="108" spans="1:12" x14ac:dyDescent="0.25">
      <c r="A108" s="6" t="s">
        <v>957</v>
      </c>
      <c r="B108" s="6"/>
      <c r="C108" s="6"/>
      <c r="D108" s="6"/>
      <c r="E108" s="6"/>
      <c r="F108" s="6"/>
      <c r="G108" s="6"/>
      <c r="K108" t="s">
        <v>6337</v>
      </c>
      <c r="L108">
        <f t="shared" si="5"/>
        <v>0</v>
      </c>
    </row>
    <row r="109" spans="1:12" x14ac:dyDescent="0.25">
      <c r="A109" s="6" t="s">
        <v>957</v>
      </c>
      <c r="B109" s="6"/>
      <c r="C109" s="6"/>
      <c r="D109" s="6"/>
      <c r="E109" s="6"/>
      <c r="F109" s="6"/>
      <c r="G109" s="6"/>
      <c r="K109" t="s">
        <v>1418</v>
      </c>
      <c r="L109">
        <f t="shared" si="5"/>
        <v>0</v>
      </c>
    </row>
    <row r="110" spans="1:12" x14ac:dyDescent="0.25">
      <c r="A110" s="6" t="s">
        <v>957</v>
      </c>
      <c r="B110" s="6"/>
      <c r="C110" s="6"/>
      <c r="D110" s="6"/>
      <c r="E110" s="6"/>
      <c r="F110" s="6"/>
      <c r="G110" s="6"/>
      <c r="K110" t="s">
        <v>1322</v>
      </c>
      <c r="L110">
        <f t="shared" si="5"/>
        <v>0</v>
      </c>
    </row>
    <row r="111" spans="1:12" x14ac:dyDescent="0.25">
      <c r="A111" s="6" t="s">
        <v>13816</v>
      </c>
      <c r="B111" s="6"/>
      <c r="C111" s="6"/>
      <c r="D111" s="6"/>
      <c r="E111" s="6"/>
      <c r="F111" s="6"/>
      <c r="G111" s="6"/>
      <c r="K111" t="s">
        <v>6526</v>
      </c>
      <c r="L111">
        <f t="shared" si="5"/>
        <v>1</v>
      </c>
    </row>
    <row r="112" spans="1:12" x14ac:dyDescent="0.25">
      <c r="A112" s="6" t="s">
        <v>13813</v>
      </c>
      <c r="B112" s="6"/>
      <c r="C112" s="6"/>
      <c r="D112" s="6"/>
      <c r="E112" s="6"/>
      <c r="F112" s="6"/>
      <c r="G112" s="6"/>
      <c r="K112" t="s">
        <v>14284</v>
      </c>
      <c r="L112">
        <f t="shared" si="5"/>
        <v>0</v>
      </c>
    </row>
    <row r="113" spans="1:12" x14ac:dyDescent="0.25">
      <c r="A113" s="6" t="s">
        <v>13810</v>
      </c>
      <c r="B113" s="6"/>
      <c r="C113" s="6"/>
      <c r="D113" s="6"/>
      <c r="E113" s="6"/>
      <c r="F113" s="6"/>
      <c r="G113" s="6"/>
      <c r="K113" t="s">
        <v>703</v>
      </c>
      <c r="L113">
        <f t="shared" si="5"/>
        <v>0</v>
      </c>
    </row>
    <row r="114" spans="1:12" x14ac:dyDescent="0.25">
      <c r="A114" s="6" t="s">
        <v>13807</v>
      </c>
      <c r="B114" s="6"/>
      <c r="C114" s="6"/>
      <c r="D114" s="6"/>
      <c r="E114" s="6"/>
      <c r="F114" s="6"/>
      <c r="G114" s="6"/>
      <c r="K114" t="s">
        <v>14285</v>
      </c>
      <c r="L114">
        <f t="shared" si="5"/>
        <v>0</v>
      </c>
    </row>
    <row r="115" spans="1:12" x14ac:dyDescent="0.25">
      <c r="A115" s="6" t="s">
        <v>13804</v>
      </c>
      <c r="B115" s="6"/>
      <c r="C115" s="6"/>
      <c r="D115" s="6"/>
      <c r="E115" s="6"/>
      <c r="F115" s="6"/>
      <c r="G115" s="6"/>
      <c r="K115" t="s">
        <v>2395</v>
      </c>
      <c r="L115">
        <f t="shared" si="5"/>
        <v>1</v>
      </c>
    </row>
    <row r="116" spans="1:12" x14ac:dyDescent="0.25">
      <c r="A116" s="6" t="s">
        <v>13801</v>
      </c>
      <c r="B116" s="6"/>
      <c r="C116" s="6"/>
      <c r="D116" s="6"/>
      <c r="E116" s="6"/>
      <c r="F116" s="6"/>
      <c r="G116" s="6"/>
      <c r="K116" t="s">
        <v>1384</v>
      </c>
      <c r="L116">
        <f t="shared" si="5"/>
        <v>1</v>
      </c>
    </row>
    <row r="117" spans="1:12" x14ac:dyDescent="0.25">
      <c r="A117" s="6" t="s">
        <v>13799</v>
      </c>
      <c r="B117" s="6"/>
      <c r="C117" s="6"/>
      <c r="D117" s="6"/>
      <c r="E117" s="6"/>
      <c r="F117" s="6"/>
      <c r="G117" s="6"/>
      <c r="K117" t="s">
        <v>916</v>
      </c>
      <c r="L117">
        <f t="shared" si="5"/>
        <v>1</v>
      </c>
    </row>
    <row r="118" spans="1:12" x14ac:dyDescent="0.25">
      <c r="A118" s="6" t="s">
        <v>13796</v>
      </c>
      <c r="B118" s="6"/>
      <c r="C118" s="6"/>
      <c r="D118" s="6"/>
      <c r="E118" s="6"/>
      <c r="F118" s="6"/>
      <c r="G118" s="6"/>
      <c r="K118" t="s">
        <v>6541</v>
      </c>
      <c r="L118">
        <f t="shared" si="5"/>
        <v>1</v>
      </c>
    </row>
    <row r="119" spans="1:12" x14ac:dyDescent="0.25">
      <c r="A119" s="6" t="s">
        <v>13793</v>
      </c>
      <c r="B119" s="6"/>
      <c r="C119" s="6"/>
      <c r="D119" s="6"/>
      <c r="E119" s="6"/>
      <c r="F119" s="6"/>
      <c r="G119" s="6"/>
      <c r="K119" t="s">
        <v>6524</v>
      </c>
      <c r="L119">
        <f t="shared" si="5"/>
        <v>0</v>
      </c>
    </row>
    <row r="120" spans="1:12" x14ac:dyDescent="0.25">
      <c r="A120" s="6" t="s">
        <v>13790</v>
      </c>
      <c r="B120" s="6"/>
      <c r="C120" s="6"/>
      <c r="D120" s="6"/>
      <c r="E120" s="6"/>
      <c r="F120" s="6"/>
      <c r="G120" s="6"/>
      <c r="K120" t="s">
        <v>13660</v>
      </c>
      <c r="L120">
        <f t="shared" si="5"/>
        <v>1</v>
      </c>
    </row>
    <row r="121" spans="1:12" x14ac:dyDescent="0.25">
      <c r="A121" s="6" t="s">
        <v>13787</v>
      </c>
      <c r="B121" s="6"/>
      <c r="C121" s="6"/>
      <c r="D121" s="6"/>
      <c r="E121" s="6"/>
      <c r="F121" s="6"/>
      <c r="G121" s="6"/>
      <c r="K121" t="s">
        <v>14286</v>
      </c>
      <c r="L121">
        <f t="shared" si="5"/>
        <v>0</v>
      </c>
    </row>
    <row r="122" spans="1:12" x14ac:dyDescent="0.25">
      <c r="A122" s="6" t="s">
        <v>13785</v>
      </c>
      <c r="B122" s="6"/>
      <c r="C122" s="6"/>
      <c r="D122" s="6"/>
      <c r="E122" s="6"/>
      <c r="F122" s="6"/>
      <c r="G122" s="6"/>
      <c r="K122" t="s">
        <v>13216</v>
      </c>
      <c r="L122">
        <f t="shared" si="5"/>
        <v>1</v>
      </c>
    </row>
    <row r="123" spans="1:12" x14ac:dyDescent="0.25">
      <c r="A123" s="6" t="s">
        <v>13782</v>
      </c>
      <c r="B123" s="6"/>
      <c r="C123" s="6"/>
      <c r="D123" s="6"/>
      <c r="E123" s="6"/>
      <c r="F123" s="6"/>
      <c r="G123" s="6"/>
      <c r="K123" t="s">
        <v>9179</v>
      </c>
      <c r="L123">
        <f t="shared" si="5"/>
        <v>1</v>
      </c>
    </row>
    <row r="124" spans="1:12" x14ac:dyDescent="0.25">
      <c r="A124" s="6" t="s">
        <v>13779</v>
      </c>
      <c r="B124" s="6"/>
      <c r="C124" s="6"/>
      <c r="D124" s="6"/>
      <c r="E124" s="6"/>
      <c r="F124" s="6"/>
      <c r="G124" s="6"/>
      <c r="K124" t="s">
        <v>14287</v>
      </c>
      <c r="L124">
        <f t="shared" si="5"/>
        <v>0</v>
      </c>
    </row>
    <row r="125" spans="1:12" x14ac:dyDescent="0.25">
      <c r="A125" s="6" t="s">
        <v>13777</v>
      </c>
      <c r="B125" s="6"/>
      <c r="C125" s="6"/>
      <c r="D125" s="6"/>
      <c r="E125" s="6"/>
      <c r="F125" s="6"/>
      <c r="G125" s="6"/>
      <c r="K125" t="s">
        <v>3253</v>
      </c>
      <c r="L125">
        <f t="shared" si="5"/>
        <v>1</v>
      </c>
    </row>
    <row r="126" spans="1:12" x14ac:dyDescent="0.25">
      <c r="A126" s="6" t="s">
        <v>14097</v>
      </c>
      <c r="B126" s="6" t="s">
        <v>14098</v>
      </c>
      <c r="C126" s="6"/>
      <c r="D126" s="6"/>
      <c r="E126" s="6"/>
      <c r="F126" s="6"/>
      <c r="G126" s="6"/>
      <c r="K126" t="s">
        <v>380</v>
      </c>
      <c r="L126">
        <f t="shared" si="5"/>
        <v>1</v>
      </c>
    </row>
    <row r="127" spans="1:12" x14ac:dyDescent="0.25">
      <c r="A127" s="6" t="s">
        <v>957</v>
      </c>
      <c r="B127" s="6"/>
      <c r="C127" s="6"/>
      <c r="D127" s="6"/>
      <c r="E127" s="6"/>
      <c r="F127" s="6"/>
      <c r="G127" s="6"/>
      <c r="K127" t="s">
        <v>2119</v>
      </c>
      <c r="L127">
        <f t="shared" si="5"/>
        <v>1</v>
      </c>
    </row>
    <row r="128" spans="1:12" x14ac:dyDescent="0.25">
      <c r="A128" s="6" t="s">
        <v>957</v>
      </c>
      <c r="B128" s="6"/>
      <c r="C128" s="6"/>
      <c r="D128" s="6"/>
      <c r="E128" s="6"/>
      <c r="F128" s="6"/>
      <c r="G128" s="6"/>
    </row>
    <row r="129" spans="1:7" x14ac:dyDescent="0.25">
      <c r="A129" s="6" t="s">
        <v>957</v>
      </c>
      <c r="B129" s="6"/>
      <c r="C129" s="6"/>
      <c r="D129" s="6"/>
      <c r="E129" s="6"/>
      <c r="F129" s="6"/>
      <c r="G129" s="6"/>
    </row>
    <row r="130" spans="1:7" x14ac:dyDescent="0.25">
      <c r="A130" s="6" t="s">
        <v>13769</v>
      </c>
      <c r="B130" s="6"/>
      <c r="C130" s="6"/>
      <c r="D130" s="6"/>
      <c r="E130" s="6"/>
      <c r="F130" s="6"/>
      <c r="G130" s="6"/>
    </row>
    <row r="131" spans="1:7" x14ac:dyDescent="0.25">
      <c r="A131" s="6" t="s">
        <v>13766</v>
      </c>
      <c r="B131" s="6"/>
      <c r="C131" s="6"/>
      <c r="D131" s="6"/>
      <c r="E131" s="6"/>
      <c r="F131" s="6"/>
      <c r="G131" s="6"/>
    </row>
    <row r="132" spans="1:7" x14ac:dyDescent="0.25">
      <c r="A132" s="6" t="s">
        <v>13763</v>
      </c>
      <c r="B132" s="6"/>
      <c r="C132" s="6"/>
      <c r="D132" s="6"/>
      <c r="E132" s="6"/>
      <c r="F132" s="6"/>
      <c r="G132" s="6"/>
    </row>
    <row r="133" spans="1:7" x14ac:dyDescent="0.25">
      <c r="A133" s="6" t="s">
        <v>13760</v>
      </c>
      <c r="B133" s="6"/>
      <c r="C133" s="6"/>
      <c r="D133" s="6"/>
      <c r="E133" s="6"/>
      <c r="F133" s="6"/>
      <c r="G133" s="6"/>
    </row>
    <row r="134" spans="1:7" x14ac:dyDescent="0.25">
      <c r="A134" s="6" t="s">
        <v>13757</v>
      </c>
      <c r="B134" s="6"/>
      <c r="C134" s="6"/>
      <c r="D134" s="6"/>
      <c r="E134" s="6"/>
      <c r="F134" s="6"/>
      <c r="G134" s="6"/>
    </row>
    <row r="135" spans="1:7" x14ac:dyDescent="0.25">
      <c r="A135" s="6" t="s">
        <v>13754</v>
      </c>
      <c r="B135" s="6"/>
      <c r="C135" s="6"/>
      <c r="D135" s="6"/>
      <c r="E135" s="6"/>
      <c r="F135" s="6"/>
      <c r="G135" s="6"/>
    </row>
    <row r="136" spans="1:7" x14ac:dyDescent="0.25">
      <c r="A136" s="6" t="s">
        <v>957</v>
      </c>
      <c r="B136" s="6"/>
      <c r="C136" s="6"/>
      <c r="D136" s="6"/>
      <c r="E136" s="6"/>
      <c r="F136" s="6"/>
      <c r="G136" s="6"/>
    </row>
    <row r="137" spans="1:7" x14ac:dyDescent="0.25">
      <c r="A137" s="6" t="s">
        <v>13749</v>
      </c>
      <c r="B137" s="6"/>
      <c r="C137" s="6"/>
      <c r="D137" s="6"/>
      <c r="E137" s="6"/>
      <c r="F137" s="6"/>
      <c r="G137" s="6"/>
    </row>
    <row r="138" spans="1:7" x14ac:dyDescent="0.25">
      <c r="A138" s="6" t="s">
        <v>13747</v>
      </c>
      <c r="B138" s="6"/>
      <c r="C138" s="6"/>
      <c r="D138" s="6"/>
      <c r="E138" s="6"/>
      <c r="F138" s="6"/>
      <c r="G138" s="6"/>
    </row>
    <row r="139" spans="1:7" x14ac:dyDescent="0.25">
      <c r="A139" s="6" t="s">
        <v>13744</v>
      </c>
      <c r="B139" s="6"/>
      <c r="C139" s="6"/>
      <c r="D139" s="6"/>
      <c r="E139" s="6"/>
      <c r="F139" s="6"/>
      <c r="G139" s="6"/>
    </row>
    <row r="140" spans="1:7" x14ac:dyDescent="0.25">
      <c r="A140" s="6" t="s">
        <v>957</v>
      </c>
      <c r="B140" s="6"/>
      <c r="C140" s="6"/>
      <c r="D140" s="6"/>
      <c r="E140" s="6"/>
      <c r="F140" s="6"/>
      <c r="G140" s="6"/>
    </row>
    <row r="141" spans="1:7" x14ac:dyDescent="0.25">
      <c r="A141" s="6" t="s">
        <v>13740</v>
      </c>
      <c r="B141" s="6"/>
      <c r="C141" s="6"/>
      <c r="D141" s="6"/>
      <c r="E141" s="6"/>
      <c r="F141" s="6"/>
      <c r="G141" s="6"/>
    </row>
    <row r="142" spans="1:7" x14ac:dyDescent="0.25">
      <c r="A142" s="6" t="s">
        <v>13738</v>
      </c>
      <c r="B142" s="6"/>
      <c r="C142" s="6"/>
      <c r="D142" s="6"/>
      <c r="E142" s="6"/>
      <c r="F142" s="6"/>
      <c r="G142" s="6"/>
    </row>
    <row r="143" spans="1:7" x14ac:dyDescent="0.25">
      <c r="A143" s="6" t="s">
        <v>13735</v>
      </c>
      <c r="B143" s="6"/>
      <c r="C143" s="6"/>
      <c r="D143" s="6"/>
      <c r="E143" s="6"/>
      <c r="F143" s="6"/>
      <c r="G143" s="6"/>
    </row>
    <row r="144" spans="1:7" x14ac:dyDescent="0.25">
      <c r="A144" s="6" t="s">
        <v>13733</v>
      </c>
      <c r="B144" s="6"/>
      <c r="C144" s="6"/>
      <c r="D144" s="6"/>
      <c r="E144" s="6"/>
      <c r="F144" s="6"/>
      <c r="G144" s="6"/>
    </row>
    <row r="145" spans="1:7" x14ac:dyDescent="0.25">
      <c r="A145" s="6" t="s">
        <v>957</v>
      </c>
      <c r="B145" s="6"/>
      <c r="C145" s="6"/>
      <c r="D145" s="6"/>
      <c r="E145" s="6"/>
      <c r="F145" s="6"/>
      <c r="G145" s="6"/>
    </row>
    <row r="146" spans="1:7" x14ac:dyDescent="0.25">
      <c r="A146" s="6" t="s">
        <v>13729</v>
      </c>
      <c r="B146" s="6"/>
      <c r="C146" s="6"/>
      <c r="D146" s="6"/>
      <c r="E146" s="6"/>
      <c r="F146" s="6"/>
      <c r="G146" s="6"/>
    </row>
    <row r="147" spans="1:7" x14ac:dyDescent="0.25">
      <c r="A147" s="6" t="s">
        <v>957</v>
      </c>
      <c r="B147" s="6"/>
      <c r="C147" s="6"/>
      <c r="D147" s="6"/>
      <c r="E147" s="6"/>
      <c r="F147" s="6"/>
      <c r="G147" s="6"/>
    </row>
    <row r="148" spans="1:7" x14ac:dyDescent="0.25">
      <c r="A148" s="6" t="s">
        <v>13725</v>
      </c>
      <c r="B148" s="6"/>
      <c r="C148" s="6"/>
      <c r="D148" s="6"/>
      <c r="E148" s="6"/>
      <c r="F148" s="6"/>
      <c r="G148" s="6"/>
    </row>
    <row r="149" spans="1:7" x14ac:dyDescent="0.25">
      <c r="A149" s="6" t="s">
        <v>13722</v>
      </c>
      <c r="B149" s="6"/>
      <c r="C149" s="6"/>
      <c r="D149" s="6"/>
      <c r="E149" s="6"/>
      <c r="F149" s="6"/>
      <c r="G149" s="6"/>
    </row>
    <row r="150" spans="1:7" x14ac:dyDescent="0.25">
      <c r="A150" s="6" t="s">
        <v>13719</v>
      </c>
      <c r="B150" s="6"/>
      <c r="C150" s="6"/>
      <c r="D150" s="6"/>
      <c r="E150" s="6"/>
      <c r="F150" s="6"/>
      <c r="G150" s="6"/>
    </row>
    <row r="151" spans="1:7" x14ac:dyDescent="0.25">
      <c r="A151" s="6" t="s">
        <v>13716</v>
      </c>
      <c r="B151" s="6"/>
      <c r="C151" s="6"/>
      <c r="D151" s="6"/>
      <c r="E151" s="6"/>
      <c r="F151" s="6"/>
      <c r="G151" s="6"/>
    </row>
    <row r="152" spans="1:7" x14ac:dyDescent="0.25">
      <c r="A152" s="6" t="s">
        <v>13713</v>
      </c>
      <c r="B152" s="6"/>
      <c r="C152" s="6"/>
      <c r="D152" s="6"/>
      <c r="E152" s="6"/>
      <c r="F152" s="6"/>
      <c r="G152" s="6"/>
    </row>
    <row r="153" spans="1:7" x14ac:dyDescent="0.25">
      <c r="A153" s="6" t="s">
        <v>957</v>
      </c>
      <c r="B153" s="6"/>
      <c r="C153" s="6"/>
      <c r="D153" s="6"/>
      <c r="E153" s="6"/>
      <c r="F153" s="6"/>
      <c r="G153" s="6"/>
    </row>
    <row r="154" spans="1:7" x14ac:dyDescent="0.25">
      <c r="A154" s="6" t="s">
        <v>957</v>
      </c>
      <c r="B154" s="6"/>
      <c r="C154" s="6"/>
      <c r="D154" s="6"/>
      <c r="E154" s="6"/>
      <c r="F154" s="6"/>
      <c r="G154" s="6"/>
    </row>
    <row r="155" spans="1:7" x14ac:dyDescent="0.25">
      <c r="A155" s="6" t="s">
        <v>13708</v>
      </c>
      <c r="B155" s="6"/>
      <c r="C155" s="6"/>
      <c r="D155" s="6"/>
      <c r="E155" s="6"/>
      <c r="F155" s="6"/>
      <c r="G155" s="6"/>
    </row>
    <row r="156" spans="1:7" x14ac:dyDescent="0.25">
      <c r="A156" s="6" t="s">
        <v>13705</v>
      </c>
      <c r="B156" s="6"/>
      <c r="C156" s="6"/>
      <c r="D156" s="6"/>
      <c r="E156" s="6"/>
      <c r="F156" s="6"/>
      <c r="G156" s="6"/>
    </row>
    <row r="157" spans="1:7" x14ac:dyDescent="0.25">
      <c r="A157" s="6" t="s">
        <v>13702</v>
      </c>
      <c r="B157" s="6"/>
      <c r="C157" s="6"/>
      <c r="D157" s="6"/>
      <c r="E157" s="6"/>
      <c r="F157" s="6"/>
      <c r="G157" s="6"/>
    </row>
    <row r="158" spans="1:7" x14ac:dyDescent="0.25">
      <c r="A158" s="6" t="s">
        <v>957</v>
      </c>
      <c r="B158" s="6"/>
      <c r="C158" s="6"/>
      <c r="D158" s="6"/>
      <c r="E158" s="6"/>
      <c r="F158" s="6"/>
      <c r="G158" s="6"/>
    </row>
    <row r="159" spans="1:7" x14ac:dyDescent="0.25">
      <c r="A159" s="6" t="s">
        <v>957</v>
      </c>
      <c r="B159" s="6"/>
      <c r="C159" s="6"/>
      <c r="D159" s="6"/>
      <c r="E159" s="6"/>
      <c r="F159" s="6"/>
      <c r="G159" s="6"/>
    </row>
    <row r="160" spans="1:7" x14ac:dyDescent="0.25">
      <c r="A160" s="6" t="s">
        <v>957</v>
      </c>
      <c r="B160" s="6"/>
      <c r="C160" s="6"/>
      <c r="D160" s="6"/>
      <c r="E160" s="6"/>
      <c r="F160" s="6"/>
      <c r="G160" s="6"/>
    </row>
    <row r="161" spans="1:7" x14ac:dyDescent="0.25">
      <c r="A161" s="6" t="s">
        <v>13696</v>
      </c>
      <c r="B161" s="6"/>
      <c r="C161" s="6"/>
      <c r="D161" s="6"/>
      <c r="E161" s="6"/>
      <c r="F161" s="6"/>
      <c r="G161" s="6"/>
    </row>
    <row r="162" spans="1:7" x14ac:dyDescent="0.25">
      <c r="A162" s="6" t="s">
        <v>13693</v>
      </c>
      <c r="B162" s="6"/>
      <c r="C162" s="6"/>
      <c r="D162" s="6"/>
      <c r="E162" s="6"/>
      <c r="F162" s="6"/>
      <c r="G162" s="6"/>
    </row>
    <row r="163" spans="1:7" x14ac:dyDescent="0.25">
      <c r="A163" s="6" t="s">
        <v>13690</v>
      </c>
      <c r="B163" s="6"/>
      <c r="C163" s="6"/>
      <c r="D163" s="6"/>
      <c r="E163" s="6"/>
      <c r="F163" s="6"/>
      <c r="G163" s="6"/>
    </row>
    <row r="164" spans="1:7" x14ac:dyDescent="0.25">
      <c r="A164" s="6" t="s">
        <v>13687</v>
      </c>
      <c r="B164" s="6"/>
      <c r="C164" s="6"/>
      <c r="D164" s="6"/>
      <c r="E164" s="6"/>
      <c r="F164" s="6"/>
      <c r="G164" s="6"/>
    </row>
    <row r="165" spans="1:7" x14ac:dyDescent="0.25">
      <c r="A165" s="6" t="s">
        <v>13685</v>
      </c>
      <c r="B165" s="6"/>
      <c r="C165" s="6"/>
      <c r="D165" s="6"/>
      <c r="E165" s="6"/>
      <c r="F165" s="6"/>
      <c r="G165" s="6"/>
    </row>
    <row r="166" spans="1:7" x14ac:dyDescent="0.25">
      <c r="A166" s="6" t="s">
        <v>13683</v>
      </c>
      <c r="B166" s="6"/>
      <c r="C166" s="6"/>
      <c r="D166" s="6"/>
      <c r="E166" s="6"/>
      <c r="F166" s="6"/>
      <c r="G166" s="6"/>
    </row>
    <row r="167" spans="1:7" x14ac:dyDescent="0.25">
      <c r="A167" s="6" t="s">
        <v>13680</v>
      </c>
      <c r="B167" s="6"/>
      <c r="C167" s="6"/>
      <c r="D167" s="6"/>
      <c r="E167" s="6"/>
      <c r="F167" s="6"/>
      <c r="G167" s="6"/>
    </row>
    <row r="168" spans="1:7" x14ac:dyDescent="0.25">
      <c r="A168" s="6" t="s">
        <v>957</v>
      </c>
      <c r="B168" s="6"/>
      <c r="C168" s="6"/>
      <c r="D168" s="6"/>
      <c r="E168" s="6"/>
      <c r="F168" s="6"/>
      <c r="G168" s="6"/>
    </row>
    <row r="169" spans="1:7" x14ac:dyDescent="0.25">
      <c r="A169" s="6" t="s">
        <v>13676</v>
      </c>
      <c r="B169" s="6"/>
      <c r="C169" s="6"/>
      <c r="D169" s="6"/>
      <c r="E169" s="6"/>
      <c r="F169" s="6"/>
      <c r="G169" s="6"/>
    </row>
    <row r="170" spans="1:7" x14ac:dyDescent="0.25">
      <c r="A170" s="6" t="s">
        <v>14099</v>
      </c>
      <c r="B170" s="6" t="s">
        <v>14100</v>
      </c>
      <c r="C170" s="6"/>
      <c r="D170" s="6"/>
      <c r="E170" s="6"/>
      <c r="F170" s="6"/>
      <c r="G170" s="6"/>
    </row>
    <row r="171" spans="1:7" x14ac:dyDescent="0.25">
      <c r="A171" s="6" t="s">
        <v>13672</v>
      </c>
      <c r="B171" s="6"/>
      <c r="C171" s="6"/>
      <c r="D171" s="6"/>
      <c r="E171" s="6"/>
      <c r="F171" s="6"/>
      <c r="G171" s="6"/>
    </row>
    <row r="172" spans="1:7" x14ac:dyDescent="0.25">
      <c r="A172" s="6" t="s">
        <v>13669</v>
      </c>
      <c r="B172" s="6"/>
      <c r="C172" s="6"/>
      <c r="D172" s="6"/>
      <c r="E172" s="6"/>
      <c r="F172" s="6"/>
      <c r="G172" s="6"/>
    </row>
    <row r="173" spans="1:7" x14ac:dyDescent="0.25">
      <c r="A173" s="6" t="s">
        <v>13666</v>
      </c>
      <c r="B173" s="6"/>
      <c r="C173" s="6"/>
      <c r="D173" s="6"/>
      <c r="E173" s="6"/>
      <c r="F173" s="6"/>
      <c r="G173" s="6"/>
    </row>
    <row r="174" spans="1:7" x14ac:dyDescent="0.25">
      <c r="A174" s="6" t="s">
        <v>13663</v>
      </c>
      <c r="B174" s="6"/>
      <c r="C174" s="6"/>
      <c r="D174" s="6"/>
      <c r="E174" s="6"/>
      <c r="F174" s="6"/>
      <c r="G174" s="6"/>
    </row>
    <row r="175" spans="1:7" x14ac:dyDescent="0.25">
      <c r="A175" s="6" t="s">
        <v>13660</v>
      </c>
      <c r="B175" s="6"/>
      <c r="C175" s="6"/>
      <c r="D175" s="6"/>
      <c r="E175" s="6"/>
      <c r="F175" s="6"/>
      <c r="G175" s="6"/>
    </row>
    <row r="176" spans="1:7" x14ac:dyDescent="0.25">
      <c r="A176" s="6" t="s">
        <v>13657</v>
      </c>
      <c r="B176" s="6"/>
      <c r="C176" s="6"/>
      <c r="D176" s="6"/>
      <c r="E176" s="6"/>
      <c r="F176" s="6"/>
      <c r="G176" s="6"/>
    </row>
    <row r="177" spans="1:7" x14ac:dyDescent="0.25">
      <c r="A177" s="6" t="s">
        <v>957</v>
      </c>
      <c r="B177" s="6"/>
      <c r="C177" s="6"/>
      <c r="D177" s="6"/>
      <c r="E177" s="6"/>
      <c r="F177" s="6"/>
      <c r="G177" s="6"/>
    </row>
    <row r="178" spans="1:7" x14ac:dyDescent="0.25">
      <c r="A178" s="6" t="s">
        <v>13653</v>
      </c>
      <c r="B178" s="6"/>
      <c r="C178" s="6"/>
      <c r="D178" s="6"/>
      <c r="E178" s="6"/>
      <c r="F178" s="6"/>
      <c r="G178" s="6"/>
    </row>
    <row r="179" spans="1:7" x14ac:dyDescent="0.25">
      <c r="A179" s="6" t="s">
        <v>13651</v>
      </c>
      <c r="B179" s="6"/>
      <c r="C179" s="6"/>
      <c r="D179" s="6"/>
      <c r="E179" s="6"/>
      <c r="F179" s="6"/>
      <c r="G179" s="6"/>
    </row>
    <row r="180" spans="1:7" x14ac:dyDescent="0.25">
      <c r="A180" s="6" t="s">
        <v>13648</v>
      </c>
      <c r="B180" s="6"/>
      <c r="C180" s="6"/>
      <c r="D180" s="6"/>
      <c r="E180" s="6"/>
      <c r="F180" s="6"/>
      <c r="G180" s="6"/>
    </row>
    <row r="181" spans="1:7" x14ac:dyDescent="0.25">
      <c r="A181" s="6" t="s">
        <v>957</v>
      </c>
      <c r="B181" s="6"/>
      <c r="C181" s="6"/>
      <c r="D181" s="6"/>
      <c r="E181" s="6"/>
      <c r="F181" s="6"/>
      <c r="G181" s="6"/>
    </row>
    <row r="182" spans="1:7" x14ac:dyDescent="0.25">
      <c r="A182" s="6" t="s">
        <v>13644</v>
      </c>
      <c r="B182" s="6"/>
      <c r="C182" s="6"/>
      <c r="D182" s="6"/>
      <c r="E182" s="6"/>
      <c r="F182" s="6"/>
      <c r="G182" s="6"/>
    </row>
    <row r="183" spans="1:7" x14ac:dyDescent="0.25">
      <c r="A183" s="6" t="s">
        <v>13641</v>
      </c>
      <c r="B183" s="6"/>
      <c r="C183" s="6"/>
      <c r="D183" s="6"/>
      <c r="E183" s="6"/>
      <c r="F183" s="6"/>
      <c r="G183" s="6"/>
    </row>
    <row r="184" spans="1:7" x14ac:dyDescent="0.25">
      <c r="A184" s="6" t="s">
        <v>13639</v>
      </c>
      <c r="B184" s="6"/>
      <c r="C184" s="6"/>
      <c r="D184" s="6"/>
      <c r="E184" s="6"/>
      <c r="F184" s="6"/>
      <c r="G184" s="6"/>
    </row>
    <row r="185" spans="1:7" x14ac:dyDescent="0.25">
      <c r="A185" s="6" t="s">
        <v>13636</v>
      </c>
      <c r="B185" s="6"/>
      <c r="C185" s="6"/>
      <c r="D185" s="6"/>
      <c r="E185" s="6"/>
      <c r="F185" s="6"/>
      <c r="G185" s="6"/>
    </row>
    <row r="186" spans="1:7" x14ac:dyDescent="0.25">
      <c r="A186" s="6" t="s">
        <v>13633</v>
      </c>
      <c r="B186" s="6"/>
      <c r="C186" s="6"/>
      <c r="D186" s="6"/>
      <c r="E186" s="6"/>
      <c r="F186" s="6"/>
      <c r="G186" s="6"/>
    </row>
    <row r="187" spans="1:7" x14ac:dyDescent="0.25">
      <c r="A187" s="6" t="s">
        <v>13630</v>
      </c>
      <c r="B187" s="6"/>
      <c r="C187" s="6"/>
      <c r="D187" s="6"/>
      <c r="E187" s="6"/>
      <c r="F187" s="6"/>
      <c r="G187" s="6"/>
    </row>
    <row r="188" spans="1:7" x14ac:dyDescent="0.25">
      <c r="A188" s="6" t="s">
        <v>13627</v>
      </c>
      <c r="B188" s="6"/>
      <c r="C188" s="6"/>
      <c r="D188" s="6"/>
      <c r="E188" s="6"/>
      <c r="F188" s="6"/>
      <c r="G188" s="6"/>
    </row>
    <row r="189" spans="1:7" x14ac:dyDescent="0.25">
      <c r="A189" s="6" t="s">
        <v>13625</v>
      </c>
      <c r="B189" s="6"/>
      <c r="C189" s="6"/>
      <c r="D189" s="6"/>
      <c r="E189" s="6"/>
      <c r="F189" s="6"/>
      <c r="G189" s="6"/>
    </row>
    <row r="190" spans="1:7" x14ac:dyDescent="0.25">
      <c r="A190" s="6" t="s">
        <v>957</v>
      </c>
      <c r="B190" s="6"/>
      <c r="C190" s="6"/>
      <c r="D190" s="6"/>
      <c r="E190" s="6"/>
      <c r="F190" s="6"/>
      <c r="G190" s="6"/>
    </row>
    <row r="191" spans="1:7" x14ac:dyDescent="0.25">
      <c r="A191" s="6" t="s">
        <v>13621</v>
      </c>
      <c r="B191" s="6"/>
      <c r="C191" s="6"/>
      <c r="D191" s="6"/>
      <c r="E191" s="6"/>
      <c r="F191" s="6"/>
      <c r="G191" s="6"/>
    </row>
    <row r="192" spans="1:7" x14ac:dyDescent="0.25">
      <c r="A192" s="6" t="s">
        <v>13618</v>
      </c>
      <c r="B192" s="6"/>
      <c r="C192" s="6"/>
      <c r="D192" s="6"/>
      <c r="E192" s="6"/>
      <c r="F192" s="6"/>
      <c r="G192" s="6"/>
    </row>
    <row r="193" spans="1:7" x14ac:dyDescent="0.25">
      <c r="A193" s="6" t="s">
        <v>13615</v>
      </c>
      <c r="B193" s="6"/>
      <c r="C193" s="6"/>
      <c r="D193" s="6"/>
      <c r="E193" s="6"/>
      <c r="F193" s="6"/>
      <c r="G193" s="6"/>
    </row>
    <row r="194" spans="1:7" x14ac:dyDescent="0.25">
      <c r="A194" s="6" t="s">
        <v>13612</v>
      </c>
      <c r="B194" s="6"/>
      <c r="C194" s="6"/>
      <c r="D194" s="6"/>
      <c r="E194" s="6"/>
      <c r="F194" s="6"/>
      <c r="G194" s="6"/>
    </row>
    <row r="195" spans="1:7" x14ac:dyDescent="0.25">
      <c r="A195" s="6" t="s">
        <v>957</v>
      </c>
      <c r="B195" s="6"/>
      <c r="C195" s="6"/>
      <c r="D195" s="6"/>
      <c r="E195" s="6"/>
      <c r="F195" s="6"/>
      <c r="G195" s="6"/>
    </row>
    <row r="196" spans="1:7" x14ac:dyDescent="0.25">
      <c r="A196" s="6" t="s">
        <v>957</v>
      </c>
      <c r="B196" s="6"/>
      <c r="C196" s="6"/>
      <c r="D196" s="6"/>
      <c r="E196" s="6"/>
      <c r="F196" s="6"/>
      <c r="G196" s="6"/>
    </row>
    <row r="197" spans="1:7" x14ac:dyDescent="0.25">
      <c r="A197" s="6" t="s">
        <v>957</v>
      </c>
      <c r="B197" s="6"/>
      <c r="C197" s="6"/>
      <c r="D197" s="6"/>
      <c r="E197" s="6"/>
      <c r="F197" s="6"/>
      <c r="G197" s="6"/>
    </row>
    <row r="198" spans="1:7" x14ac:dyDescent="0.25">
      <c r="A198" s="6" t="s">
        <v>12919</v>
      </c>
      <c r="B198" s="6"/>
      <c r="C198" s="6"/>
      <c r="D198" s="6"/>
      <c r="E198" s="6"/>
      <c r="F198" s="6"/>
      <c r="G198" s="6"/>
    </row>
    <row r="199" spans="1:7" x14ac:dyDescent="0.25">
      <c r="A199" s="6" t="s">
        <v>12916</v>
      </c>
      <c r="B199" s="6"/>
      <c r="C199" s="6"/>
      <c r="D199" s="6"/>
      <c r="E199" s="6"/>
      <c r="F199" s="6"/>
      <c r="G199" s="6"/>
    </row>
    <row r="200" spans="1:7" x14ac:dyDescent="0.25">
      <c r="A200" s="6" t="s">
        <v>957</v>
      </c>
      <c r="B200" s="6"/>
      <c r="C200" s="6"/>
      <c r="D200" s="6"/>
      <c r="E200" s="6"/>
      <c r="F200" s="6"/>
      <c r="G200" s="6"/>
    </row>
    <row r="201" spans="1:7" x14ac:dyDescent="0.25">
      <c r="A201" s="6" t="s">
        <v>12912</v>
      </c>
      <c r="B201" s="6"/>
      <c r="C201" s="6"/>
      <c r="D201" s="6"/>
      <c r="E201" s="6"/>
      <c r="F201" s="6"/>
      <c r="G201" s="6"/>
    </row>
    <row r="202" spans="1:7" x14ac:dyDescent="0.25">
      <c r="A202" s="6" t="s">
        <v>12909</v>
      </c>
      <c r="B202" s="6"/>
      <c r="C202" s="6"/>
      <c r="D202" s="6"/>
      <c r="E202" s="6"/>
      <c r="F202" s="6"/>
      <c r="G202" s="6"/>
    </row>
    <row r="203" spans="1:7" x14ac:dyDescent="0.25">
      <c r="A203" s="6" t="s">
        <v>957</v>
      </c>
      <c r="B203" s="6"/>
      <c r="C203" s="6"/>
      <c r="D203" s="6"/>
      <c r="E203" s="6"/>
      <c r="F203" s="6"/>
      <c r="G203" s="6"/>
    </row>
    <row r="204" spans="1:7" x14ac:dyDescent="0.25">
      <c r="A204" s="6" t="s">
        <v>14086</v>
      </c>
      <c r="B204" s="6" t="s">
        <v>14087</v>
      </c>
      <c r="C204" s="6" t="s">
        <v>14088</v>
      </c>
      <c r="D204" s="6" t="s">
        <v>14101</v>
      </c>
      <c r="E204" s="6" t="s">
        <v>14089</v>
      </c>
      <c r="F204" s="6" t="s">
        <v>14090</v>
      </c>
      <c r="G204" s="6"/>
    </row>
    <row r="205" spans="1:7" x14ac:dyDescent="0.25">
      <c r="A205" s="6" t="s">
        <v>14102</v>
      </c>
      <c r="B205" s="6" t="s">
        <v>14103</v>
      </c>
      <c r="C205" s="6" t="s">
        <v>14104</v>
      </c>
      <c r="D205" s="6" t="s">
        <v>14105</v>
      </c>
      <c r="E205" s="6" t="s">
        <v>14106</v>
      </c>
      <c r="F205" s="6" t="s">
        <v>14107</v>
      </c>
      <c r="G205" s="8" t="s">
        <v>14108</v>
      </c>
    </row>
    <row r="206" spans="1:7" x14ac:dyDescent="0.25">
      <c r="A206" s="6" t="s">
        <v>14102</v>
      </c>
      <c r="B206" s="6" t="s">
        <v>14103</v>
      </c>
      <c r="C206" s="6" t="s">
        <v>14104</v>
      </c>
      <c r="D206" s="6" t="s">
        <v>14105</v>
      </c>
      <c r="E206" s="6" t="s">
        <v>14106</v>
      </c>
      <c r="F206" s="6" t="s">
        <v>14107</v>
      </c>
      <c r="G206" s="6" t="s">
        <v>14108</v>
      </c>
    </row>
    <row r="207" spans="1:7" x14ac:dyDescent="0.25">
      <c r="A207" s="6" t="s">
        <v>14102</v>
      </c>
      <c r="B207" s="6" t="s">
        <v>14103</v>
      </c>
      <c r="C207" s="6" t="s">
        <v>14104</v>
      </c>
      <c r="D207" s="6" t="s">
        <v>14105</v>
      </c>
      <c r="E207" s="6" t="s">
        <v>14106</v>
      </c>
      <c r="F207" s="6" t="s">
        <v>14107</v>
      </c>
      <c r="G207" s="6" t="s">
        <v>14108</v>
      </c>
    </row>
    <row r="208" spans="1:7" x14ac:dyDescent="0.25">
      <c r="A208" s="6" t="s">
        <v>12731</v>
      </c>
      <c r="B208" s="6"/>
      <c r="C208" s="6"/>
      <c r="D208" s="6"/>
      <c r="E208" s="6"/>
      <c r="F208" s="6"/>
      <c r="G208" s="6"/>
    </row>
    <row r="209" spans="1:7" x14ac:dyDescent="0.25">
      <c r="A209" s="6" t="s">
        <v>12728</v>
      </c>
      <c r="B209" s="6"/>
      <c r="C209" s="6"/>
      <c r="D209" s="6"/>
      <c r="E209" s="6"/>
      <c r="F209" s="6"/>
      <c r="G209" s="6"/>
    </row>
    <row r="210" spans="1:7" x14ac:dyDescent="0.25">
      <c r="A210" s="6" t="s">
        <v>12725</v>
      </c>
      <c r="B210" s="6"/>
      <c r="C210" s="6"/>
      <c r="D210" s="6"/>
      <c r="E210" s="6"/>
      <c r="F210" s="6"/>
      <c r="G210" s="6"/>
    </row>
    <row r="211" spans="1:7" x14ac:dyDescent="0.25">
      <c r="A211" s="6" t="s">
        <v>12722</v>
      </c>
      <c r="B211" s="6"/>
      <c r="C211" s="6"/>
      <c r="D211" s="6"/>
      <c r="E211" s="6"/>
      <c r="F211" s="6"/>
      <c r="G211" s="6"/>
    </row>
    <row r="212" spans="1:7" x14ac:dyDescent="0.25">
      <c r="A212" s="6" t="s">
        <v>12719</v>
      </c>
      <c r="B212" s="6"/>
      <c r="C212" s="6"/>
      <c r="D212" s="6"/>
      <c r="E212" s="6"/>
      <c r="F212" s="6"/>
      <c r="G212" s="6"/>
    </row>
    <row r="213" spans="1:7" x14ac:dyDescent="0.25">
      <c r="A213" s="6" t="s">
        <v>12716</v>
      </c>
      <c r="B213" s="6"/>
      <c r="C213" s="6"/>
      <c r="D213" s="6"/>
      <c r="E213" s="6"/>
      <c r="F213" s="6"/>
      <c r="G213" s="6"/>
    </row>
    <row r="214" spans="1:7" x14ac:dyDescent="0.25">
      <c r="A214" s="6" t="s">
        <v>957</v>
      </c>
      <c r="B214" s="6"/>
      <c r="C214" s="6"/>
      <c r="D214" s="6"/>
      <c r="E214" s="6"/>
      <c r="F214" s="6"/>
      <c r="G214" s="6"/>
    </row>
    <row r="215" spans="1:7" x14ac:dyDescent="0.25">
      <c r="A215" s="6" t="s">
        <v>12712</v>
      </c>
      <c r="B215" s="6"/>
      <c r="C215" s="6"/>
      <c r="D215" s="6"/>
      <c r="E215" s="6"/>
      <c r="F215" s="6"/>
      <c r="G215" s="6"/>
    </row>
    <row r="216" spans="1:7" x14ac:dyDescent="0.25">
      <c r="A216" s="6" t="s">
        <v>14109</v>
      </c>
      <c r="B216" s="6" t="s">
        <v>14110</v>
      </c>
      <c r="C216" s="6"/>
      <c r="D216" s="6"/>
      <c r="E216" s="6"/>
      <c r="F216" s="6"/>
      <c r="G216" s="6"/>
    </row>
    <row r="217" spans="1:7" x14ac:dyDescent="0.25">
      <c r="A217" s="6" t="s">
        <v>14111</v>
      </c>
      <c r="B217" s="6" t="s">
        <v>14112</v>
      </c>
      <c r="C217" s="6"/>
      <c r="D217" s="6"/>
      <c r="E217" s="6"/>
      <c r="F217" s="6"/>
      <c r="G217" s="6"/>
    </row>
    <row r="218" spans="1:7" x14ac:dyDescent="0.25">
      <c r="A218" s="6" t="s">
        <v>12706</v>
      </c>
      <c r="B218" s="6"/>
      <c r="C218" s="6"/>
      <c r="D218" s="6"/>
      <c r="E218" s="6"/>
      <c r="F218" s="6"/>
      <c r="G218" s="6"/>
    </row>
    <row r="219" spans="1:7" x14ac:dyDescent="0.25">
      <c r="A219" s="6" t="s">
        <v>957</v>
      </c>
      <c r="B219" s="6"/>
      <c r="C219" s="6"/>
      <c r="D219" s="6"/>
      <c r="E219" s="6"/>
      <c r="F219" s="6"/>
      <c r="G219" s="6"/>
    </row>
    <row r="220" spans="1:7" x14ac:dyDescent="0.25">
      <c r="A220" s="6" t="s">
        <v>957</v>
      </c>
      <c r="B220" s="6"/>
      <c r="C220" s="6"/>
      <c r="D220" s="6"/>
      <c r="E220" s="6"/>
      <c r="F220" s="6"/>
      <c r="G220" s="6"/>
    </row>
    <row r="221" spans="1:7" x14ac:dyDescent="0.25">
      <c r="A221" s="6" t="s">
        <v>12701</v>
      </c>
      <c r="B221" s="6"/>
      <c r="C221" s="6"/>
      <c r="D221" s="6"/>
      <c r="E221" s="6"/>
      <c r="F221" s="6"/>
      <c r="G221" s="6"/>
    </row>
    <row r="222" spans="1:7" x14ac:dyDescent="0.25">
      <c r="A222" s="6" t="s">
        <v>957</v>
      </c>
      <c r="B222" s="6"/>
      <c r="C222" s="6"/>
      <c r="D222" s="6"/>
      <c r="E222" s="6"/>
      <c r="F222" s="6"/>
      <c r="G222" s="6"/>
    </row>
    <row r="223" spans="1:7" x14ac:dyDescent="0.25">
      <c r="A223" s="6" t="s">
        <v>13526</v>
      </c>
      <c r="B223" s="6"/>
      <c r="C223" s="6"/>
      <c r="D223" s="6"/>
      <c r="E223" s="6"/>
      <c r="F223" s="6"/>
      <c r="G223" s="6"/>
    </row>
    <row r="224" spans="1:7" x14ac:dyDescent="0.25">
      <c r="A224" s="6" t="s">
        <v>13523</v>
      </c>
      <c r="B224" s="6"/>
      <c r="C224" s="6"/>
      <c r="D224" s="6"/>
      <c r="E224" s="6"/>
      <c r="F224" s="6"/>
      <c r="G224" s="6"/>
    </row>
    <row r="225" spans="1:7" x14ac:dyDescent="0.25">
      <c r="A225" s="6" t="s">
        <v>13520</v>
      </c>
      <c r="B225" s="6"/>
      <c r="C225" s="6"/>
      <c r="D225" s="6"/>
      <c r="E225" s="6"/>
      <c r="F225" s="6"/>
      <c r="G225" s="6"/>
    </row>
    <row r="226" spans="1:7" x14ac:dyDescent="0.25">
      <c r="A226" s="6" t="s">
        <v>13517</v>
      </c>
      <c r="B226" s="6"/>
      <c r="C226" s="6"/>
      <c r="D226" s="6"/>
      <c r="E226" s="6"/>
      <c r="F226" s="6"/>
      <c r="G226" s="6"/>
    </row>
    <row r="227" spans="1:7" x14ac:dyDescent="0.25">
      <c r="A227" s="6" t="s">
        <v>13514</v>
      </c>
      <c r="B227" s="6"/>
      <c r="C227" s="6"/>
      <c r="D227" s="6"/>
      <c r="E227" s="6"/>
      <c r="F227" s="6"/>
      <c r="G227" s="6"/>
    </row>
    <row r="228" spans="1:7" x14ac:dyDescent="0.25">
      <c r="A228" s="6" t="s">
        <v>13511</v>
      </c>
      <c r="B228" s="6"/>
      <c r="C228" s="6"/>
      <c r="D228" s="6"/>
      <c r="E228" s="6"/>
      <c r="F228" s="6"/>
      <c r="G228" s="6"/>
    </row>
    <row r="229" spans="1:7" x14ac:dyDescent="0.25">
      <c r="A229" s="6" t="s">
        <v>13508</v>
      </c>
      <c r="B229" s="6"/>
      <c r="C229" s="6"/>
      <c r="D229" s="6"/>
      <c r="E229" s="6"/>
      <c r="F229" s="6"/>
      <c r="G229" s="6"/>
    </row>
    <row r="230" spans="1:7" x14ac:dyDescent="0.25">
      <c r="A230" s="6" t="s">
        <v>13505</v>
      </c>
      <c r="B230" s="6"/>
      <c r="C230" s="6"/>
      <c r="D230" s="6"/>
      <c r="E230" s="6"/>
      <c r="F230" s="6"/>
      <c r="G230" s="6"/>
    </row>
    <row r="231" spans="1:7" x14ac:dyDescent="0.25">
      <c r="A231" s="6" t="s">
        <v>957</v>
      </c>
      <c r="B231" s="6"/>
      <c r="C231" s="6"/>
      <c r="D231" s="6"/>
      <c r="E231" s="6"/>
      <c r="F231" s="6"/>
      <c r="G231" s="6"/>
    </row>
    <row r="232" spans="1:7" x14ac:dyDescent="0.25">
      <c r="A232" s="6" t="s">
        <v>13501</v>
      </c>
      <c r="B232" s="6"/>
      <c r="C232" s="6"/>
      <c r="D232" s="6"/>
      <c r="E232" s="6"/>
      <c r="F232" s="6"/>
      <c r="G232" s="6"/>
    </row>
    <row r="233" spans="1:7" x14ac:dyDescent="0.25">
      <c r="A233" s="6" t="s">
        <v>957</v>
      </c>
      <c r="B233" s="6"/>
      <c r="C233" s="6"/>
      <c r="D233" s="6"/>
      <c r="E233" s="6"/>
      <c r="F233" s="6"/>
      <c r="G233" s="6"/>
    </row>
    <row r="234" spans="1:7" x14ac:dyDescent="0.25">
      <c r="A234" s="6" t="s">
        <v>13497</v>
      </c>
      <c r="B234" s="6"/>
      <c r="C234" s="6"/>
      <c r="D234" s="6"/>
      <c r="E234" s="6"/>
      <c r="F234" s="6"/>
      <c r="G234" s="6"/>
    </row>
    <row r="235" spans="1:7" x14ac:dyDescent="0.25">
      <c r="A235" s="6" t="s">
        <v>957</v>
      </c>
      <c r="B235" s="6"/>
      <c r="C235" s="6"/>
      <c r="D235" s="6"/>
      <c r="E235" s="6"/>
      <c r="F235" s="6"/>
      <c r="G235" s="6"/>
    </row>
    <row r="236" spans="1:7" x14ac:dyDescent="0.25">
      <c r="A236" s="6" t="s">
        <v>12761</v>
      </c>
      <c r="B236" s="6" t="s">
        <v>14113</v>
      </c>
      <c r="C236" s="6"/>
      <c r="D236" s="6"/>
      <c r="E236" s="6"/>
      <c r="F236" s="6"/>
      <c r="G236" s="6"/>
    </row>
    <row r="237" spans="1:7" x14ac:dyDescent="0.25">
      <c r="A237" s="6" t="s">
        <v>957</v>
      </c>
      <c r="B237" s="6"/>
      <c r="C237" s="6"/>
      <c r="D237" s="6"/>
      <c r="E237" s="6"/>
      <c r="F237" s="6"/>
      <c r="G237" s="6"/>
    </row>
    <row r="238" spans="1:7" x14ac:dyDescent="0.25">
      <c r="A238" s="6" t="s">
        <v>12573</v>
      </c>
      <c r="B238" s="6"/>
      <c r="C238" s="6"/>
      <c r="D238" s="6"/>
      <c r="E238" s="6"/>
      <c r="F238" s="6"/>
      <c r="G238" s="6"/>
    </row>
    <row r="239" spans="1:7" x14ac:dyDescent="0.25">
      <c r="A239" s="6" t="s">
        <v>12570</v>
      </c>
      <c r="B239" s="6"/>
      <c r="C239" s="6"/>
      <c r="D239" s="6"/>
      <c r="E239" s="6"/>
      <c r="F239" s="6"/>
      <c r="G239" s="6"/>
    </row>
    <row r="240" spans="1:7" x14ac:dyDescent="0.25">
      <c r="A240" s="6" t="s">
        <v>12567</v>
      </c>
      <c r="B240" s="6"/>
      <c r="C240" s="6"/>
      <c r="D240" s="6"/>
      <c r="E240" s="6"/>
      <c r="F240" s="6"/>
      <c r="G240" s="6"/>
    </row>
    <row r="241" spans="1:7" x14ac:dyDescent="0.25">
      <c r="A241" s="6" t="s">
        <v>12564</v>
      </c>
      <c r="B241" s="6"/>
      <c r="C241" s="6"/>
      <c r="D241" s="6"/>
      <c r="E241" s="6"/>
      <c r="F241" s="6"/>
      <c r="G241" s="6"/>
    </row>
    <row r="242" spans="1:7" x14ac:dyDescent="0.25">
      <c r="A242" s="6" t="s">
        <v>12561</v>
      </c>
      <c r="B242" s="6"/>
      <c r="C242" s="6"/>
      <c r="D242" s="6"/>
      <c r="E242" s="6"/>
      <c r="F242" s="6"/>
      <c r="G242" s="6"/>
    </row>
    <row r="243" spans="1:7" x14ac:dyDescent="0.25">
      <c r="A243" s="6" t="s">
        <v>12558</v>
      </c>
      <c r="B243" s="6"/>
      <c r="C243" s="6"/>
      <c r="D243" s="6"/>
      <c r="E243" s="6"/>
      <c r="F243" s="6"/>
      <c r="G243" s="6"/>
    </row>
    <row r="244" spans="1:7" x14ac:dyDescent="0.25">
      <c r="A244" s="6" t="s">
        <v>12555</v>
      </c>
      <c r="B244" s="6"/>
      <c r="C244" s="6"/>
      <c r="D244" s="6"/>
      <c r="E244" s="6"/>
      <c r="F244" s="6"/>
      <c r="G244" s="6"/>
    </row>
    <row r="245" spans="1:7" x14ac:dyDescent="0.25">
      <c r="A245" s="6" t="s">
        <v>12552</v>
      </c>
      <c r="B245" s="6"/>
      <c r="C245" s="6"/>
      <c r="D245" s="6"/>
      <c r="E245" s="6"/>
      <c r="F245" s="6"/>
      <c r="G245" s="6"/>
    </row>
    <row r="246" spans="1:7" x14ac:dyDescent="0.25">
      <c r="A246" s="6" t="s">
        <v>957</v>
      </c>
      <c r="B246" s="6"/>
      <c r="C246" s="6"/>
      <c r="D246" s="6"/>
      <c r="E246" s="6"/>
      <c r="F246" s="6"/>
      <c r="G246" s="6"/>
    </row>
    <row r="247" spans="1:7" x14ac:dyDescent="0.25">
      <c r="A247" s="6" t="s">
        <v>12549</v>
      </c>
      <c r="B247" s="6"/>
      <c r="C247" s="6"/>
      <c r="D247" s="6"/>
      <c r="E247" s="6"/>
      <c r="F247" s="6"/>
      <c r="G247" s="6"/>
    </row>
    <row r="248" spans="1:7" x14ac:dyDescent="0.25">
      <c r="A248" s="6" t="s">
        <v>12546</v>
      </c>
      <c r="B248" s="6"/>
      <c r="C248" s="6"/>
      <c r="D248" s="6"/>
      <c r="E248" s="6"/>
      <c r="F248" s="6"/>
      <c r="G248" s="6"/>
    </row>
    <row r="249" spans="1:7" x14ac:dyDescent="0.25">
      <c r="A249" s="6" t="s">
        <v>12543</v>
      </c>
      <c r="B249" s="6"/>
      <c r="C249" s="6"/>
      <c r="D249" s="6"/>
      <c r="E249" s="6"/>
      <c r="F249" s="6"/>
      <c r="G249" s="6"/>
    </row>
    <row r="250" spans="1:7" x14ac:dyDescent="0.25">
      <c r="A250" s="6" t="s">
        <v>12540</v>
      </c>
      <c r="B250" s="6"/>
      <c r="C250" s="6"/>
      <c r="D250" s="6"/>
      <c r="E250" s="6"/>
      <c r="F250" s="6"/>
      <c r="G250" s="6"/>
    </row>
    <row r="251" spans="1:7" x14ac:dyDescent="0.25">
      <c r="A251" s="6" t="s">
        <v>957</v>
      </c>
      <c r="B251" s="6"/>
      <c r="C251" s="6"/>
      <c r="D251" s="6"/>
      <c r="E251" s="6"/>
      <c r="F251" s="6"/>
      <c r="G251" s="6"/>
    </row>
    <row r="252" spans="1:7" x14ac:dyDescent="0.25">
      <c r="A252" s="6" t="s">
        <v>14114</v>
      </c>
      <c r="B252" s="6" t="s">
        <v>14115</v>
      </c>
      <c r="C252" s="6"/>
      <c r="D252" s="6"/>
      <c r="E252" s="6"/>
      <c r="F252" s="6"/>
      <c r="G252" s="6"/>
    </row>
    <row r="253" spans="1:7" x14ac:dyDescent="0.25">
      <c r="A253" s="6" t="s">
        <v>12535</v>
      </c>
      <c r="B253" s="6"/>
      <c r="C253" s="6"/>
      <c r="D253" s="6"/>
      <c r="E253" s="6"/>
      <c r="F253" s="6"/>
      <c r="G253" s="6"/>
    </row>
    <row r="254" spans="1:7" x14ac:dyDescent="0.25">
      <c r="A254" s="6" t="s">
        <v>12532</v>
      </c>
      <c r="B254" s="6"/>
      <c r="C254" s="6"/>
      <c r="D254" s="6"/>
      <c r="E254" s="6"/>
      <c r="F254" s="6"/>
      <c r="G254" s="6"/>
    </row>
    <row r="255" spans="1:7" x14ac:dyDescent="0.25">
      <c r="A255" s="6" t="s">
        <v>957</v>
      </c>
      <c r="B255" s="6"/>
      <c r="C255" s="6"/>
      <c r="D255" s="6"/>
      <c r="E255" s="6"/>
      <c r="F255" s="6"/>
      <c r="G255" s="6"/>
    </row>
    <row r="256" spans="1:7" x14ac:dyDescent="0.25">
      <c r="A256" s="6" t="s">
        <v>957</v>
      </c>
      <c r="B256" s="6"/>
      <c r="C256" s="6"/>
      <c r="D256" s="6"/>
      <c r="E256" s="6"/>
      <c r="F256" s="6"/>
      <c r="G256" s="6"/>
    </row>
    <row r="257" spans="1:7" x14ac:dyDescent="0.25">
      <c r="A257" s="6" t="s">
        <v>12526</v>
      </c>
      <c r="B257" s="6"/>
      <c r="C257" s="6"/>
      <c r="D257" s="6"/>
      <c r="E257" s="6"/>
      <c r="F257" s="6"/>
      <c r="G257" s="6"/>
    </row>
    <row r="258" spans="1:7" x14ac:dyDescent="0.25">
      <c r="A258" s="6" t="s">
        <v>12524</v>
      </c>
      <c r="B258" s="6"/>
      <c r="C258" s="6"/>
      <c r="D258" s="6"/>
      <c r="E258" s="6"/>
      <c r="F258" s="6"/>
      <c r="G258" s="6"/>
    </row>
    <row r="259" spans="1:7" x14ac:dyDescent="0.25">
      <c r="A259" s="6" t="s">
        <v>957</v>
      </c>
      <c r="B259" s="6"/>
      <c r="C259" s="6"/>
      <c r="D259" s="6"/>
      <c r="E259" s="6"/>
      <c r="F259" s="6"/>
      <c r="G259" s="6"/>
    </row>
    <row r="260" spans="1:7" x14ac:dyDescent="0.25">
      <c r="A260" s="6" t="s">
        <v>957</v>
      </c>
      <c r="B260" s="6"/>
      <c r="C260" s="6"/>
      <c r="D260" s="6"/>
      <c r="E260" s="6"/>
      <c r="F260" s="6"/>
      <c r="G260" s="6"/>
    </row>
    <row r="261" spans="1:7" x14ac:dyDescent="0.25">
      <c r="A261" s="6" t="s">
        <v>12519</v>
      </c>
      <c r="B261" s="6"/>
      <c r="C261" s="6"/>
      <c r="D261" s="6"/>
      <c r="E261" s="6"/>
      <c r="F261" s="6"/>
      <c r="G261" s="6"/>
    </row>
    <row r="262" spans="1:7" x14ac:dyDescent="0.25">
      <c r="A262" s="6" t="s">
        <v>12516</v>
      </c>
      <c r="B262" s="6"/>
      <c r="C262" s="6"/>
      <c r="D262" s="6"/>
      <c r="E262" s="6"/>
      <c r="F262" s="6"/>
      <c r="G262" s="6"/>
    </row>
    <row r="263" spans="1:7" x14ac:dyDescent="0.25">
      <c r="A263" s="6" t="s">
        <v>13483</v>
      </c>
      <c r="B263" s="6"/>
      <c r="C263" s="6"/>
      <c r="D263" s="6"/>
      <c r="E263" s="6"/>
      <c r="F263" s="6"/>
      <c r="G263" s="6"/>
    </row>
    <row r="264" spans="1:7" x14ac:dyDescent="0.25">
      <c r="A264" s="6" t="s">
        <v>13480</v>
      </c>
      <c r="B264" s="6"/>
      <c r="C264" s="6"/>
      <c r="D264" s="6"/>
      <c r="E264" s="6"/>
      <c r="F264" s="6"/>
      <c r="G264" s="6"/>
    </row>
    <row r="265" spans="1:7" x14ac:dyDescent="0.25">
      <c r="A265" s="6" t="s">
        <v>13478</v>
      </c>
      <c r="B265" s="6"/>
      <c r="C265" s="6"/>
      <c r="D265" s="6"/>
      <c r="E265" s="6"/>
      <c r="F265" s="6"/>
      <c r="G265" s="6"/>
    </row>
    <row r="266" spans="1:7" x14ac:dyDescent="0.25">
      <c r="A266" s="6" t="s">
        <v>13475</v>
      </c>
      <c r="B266" s="6"/>
      <c r="C266" s="6"/>
      <c r="D266" s="6"/>
      <c r="E266" s="6"/>
      <c r="F266" s="6"/>
      <c r="G266" s="6"/>
    </row>
    <row r="267" spans="1:7" x14ac:dyDescent="0.25">
      <c r="A267" s="6" t="s">
        <v>957</v>
      </c>
      <c r="B267" s="6"/>
      <c r="C267" s="6"/>
      <c r="D267" s="6"/>
      <c r="E267" s="6"/>
      <c r="F267" s="6"/>
      <c r="G267" s="6"/>
    </row>
    <row r="268" spans="1:7" x14ac:dyDescent="0.25">
      <c r="A268" s="6" t="s">
        <v>957</v>
      </c>
      <c r="B268" s="6"/>
      <c r="C268" s="6"/>
      <c r="D268" s="6"/>
      <c r="E268" s="6"/>
      <c r="F268" s="6"/>
      <c r="G268" s="6"/>
    </row>
    <row r="269" spans="1:7" x14ac:dyDescent="0.25">
      <c r="A269" s="6" t="s">
        <v>13470</v>
      </c>
      <c r="B269" s="6"/>
      <c r="C269" s="6"/>
      <c r="D269" s="6"/>
      <c r="E269" s="6"/>
      <c r="F269" s="6"/>
      <c r="G269" s="6"/>
    </row>
    <row r="270" spans="1:7" x14ac:dyDescent="0.25">
      <c r="A270" s="6" t="s">
        <v>13467</v>
      </c>
      <c r="B270" s="6"/>
      <c r="C270" s="6"/>
      <c r="D270" s="6"/>
      <c r="E270" s="6"/>
      <c r="F270" s="6"/>
      <c r="G270" s="6"/>
    </row>
    <row r="271" spans="1:7" x14ac:dyDescent="0.25">
      <c r="A271" s="6" t="s">
        <v>13464</v>
      </c>
      <c r="B271" s="6"/>
      <c r="C271" s="6"/>
      <c r="D271" s="6"/>
      <c r="E271" s="6"/>
      <c r="F271" s="6"/>
      <c r="G271" s="6"/>
    </row>
    <row r="272" spans="1:7" x14ac:dyDescent="0.25">
      <c r="A272" s="6" t="s">
        <v>13461</v>
      </c>
      <c r="B272" s="6"/>
      <c r="C272" s="6"/>
      <c r="D272" s="6"/>
      <c r="E272" s="6"/>
      <c r="F272" s="6"/>
      <c r="G272" s="6"/>
    </row>
    <row r="273" spans="1:7" x14ac:dyDescent="0.25">
      <c r="A273" s="6" t="s">
        <v>13458</v>
      </c>
      <c r="B273" s="6"/>
      <c r="C273" s="6"/>
      <c r="D273" s="6"/>
      <c r="E273" s="6"/>
      <c r="F273" s="6"/>
      <c r="G273" s="6"/>
    </row>
    <row r="274" spans="1:7" x14ac:dyDescent="0.25">
      <c r="A274" s="6" t="s">
        <v>13456</v>
      </c>
      <c r="B274" s="6"/>
      <c r="C274" s="6"/>
      <c r="D274" s="6"/>
      <c r="E274" s="6"/>
      <c r="F274" s="6"/>
      <c r="G274" s="6"/>
    </row>
    <row r="275" spans="1:7" x14ac:dyDescent="0.25">
      <c r="A275" s="6" t="s">
        <v>957</v>
      </c>
      <c r="B275" s="6"/>
      <c r="C275" s="6"/>
      <c r="D275" s="6"/>
      <c r="E275" s="6"/>
      <c r="F275" s="6"/>
      <c r="G275" s="6"/>
    </row>
    <row r="276" spans="1:7" x14ac:dyDescent="0.25">
      <c r="A276" s="6" t="s">
        <v>957</v>
      </c>
      <c r="B276" s="6"/>
      <c r="C276" s="6"/>
      <c r="D276" s="6"/>
      <c r="E276" s="6"/>
      <c r="F276" s="6"/>
      <c r="G276" s="6"/>
    </row>
    <row r="277" spans="1:7" x14ac:dyDescent="0.25">
      <c r="A277" s="6" t="s">
        <v>13451</v>
      </c>
      <c r="B277" s="6"/>
      <c r="C277" s="6"/>
      <c r="D277" s="6"/>
      <c r="E277" s="6"/>
      <c r="F277" s="6"/>
      <c r="G277" s="6"/>
    </row>
    <row r="278" spans="1:7" x14ac:dyDescent="0.25">
      <c r="A278" s="6" t="s">
        <v>13448</v>
      </c>
      <c r="B278" s="6"/>
      <c r="C278" s="6"/>
      <c r="D278" s="6"/>
      <c r="E278" s="6"/>
      <c r="F278" s="6"/>
      <c r="G278" s="6"/>
    </row>
    <row r="279" spans="1:7" x14ac:dyDescent="0.25">
      <c r="A279" s="6" t="s">
        <v>957</v>
      </c>
      <c r="B279" s="6"/>
      <c r="C279" s="6"/>
      <c r="D279" s="6"/>
      <c r="E279" s="6"/>
      <c r="F279" s="6"/>
      <c r="G279" s="6"/>
    </row>
    <row r="280" spans="1:7" x14ac:dyDescent="0.25">
      <c r="A280" s="6" t="s">
        <v>13445</v>
      </c>
      <c r="B280" s="6"/>
      <c r="C280" s="6"/>
      <c r="D280" s="6"/>
      <c r="E280" s="6"/>
      <c r="F280" s="6"/>
      <c r="G280" s="6"/>
    </row>
    <row r="281" spans="1:7" x14ac:dyDescent="0.25">
      <c r="A281" s="6" t="s">
        <v>13442</v>
      </c>
      <c r="B281" s="6"/>
      <c r="C281" s="6"/>
      <c r="D281" s="6"/>
      <c r="E281" s="6"/>
      <c r="F281" s="6"/>
      <c r="G281" s="6"/>
    </row>
    <row r="282" spans="1:7" x14ac:dyDescent="0.25">
      <c r="A282" s="6" t="s">
        <v>13439</v>
      </c>
      <c r="B282" s="6"/>
      <c r="C282" s="6"/>
      <c r="D282" s="6"/>
      <c r="E282" s="6"/>
      <c r="F282" s="6"/>
      <c r="G282" s="6"/>
    </row>
    <row r="283" spans="1:7" x14ac:dyDescent="0.25">
      <c r="A283" s="6" t="s">
        <v>13437</v>
      </c>
      <c r="B283" s="6"/>
      <c r="C283" s="6"/>
      <c r="D283" s="6"/>
      <c r="E283" s="6"/>
      <c r="F283" s="6"/>
      <c r="G283" s="6"/>
    </row>
    <row r="284" spans="1:7" x14ac:dyDescent="0.25">
      <c r="A284" s="6" t="s">
        <v>13434</v>
      </c>
      <c r="B284" s="6"/>
      <c r="C284" s="6"/>
      <c r="D284" s="6"/>
      <c r="E284" s="6"/>
      <c r="F284" s="6"/>
      <c r="G284" s="6"/>
    </row>
    <row r="285" spans="1:7" x14ac:dyDescent="0.25">
      <c r="A285" s="6" t="s">
        <v>13431</v>
      </c>
      <c r="B285" s="6"/>
      <c r="C285" s="6"/>
      <c r="D285" s="6"/>
      <c r="E285" s="6"/>
      <c r="F285" s="6"/>
      <c r="G285" s="6"/>
    </row>
    <row r="286" spans="1:7" x14ac:dyDescent="0.25">
      <c r="A286" s="6" t="s">
        <v>13428</v>
      </c>
      <c r="B286" s="6"/>
      <c r="C286" s="6"/>
      <c r="D286" s="6"/>
      <c r="E286" s="6"/>
      <c r="F286" s="6"/>
      <c r="G286" s="6"/>
    </row>
    <row r="287" spans="1:7" x14ac:dyDescent="0.25">
      <c r="A287" s="6" t="s">
        <v>13425</v>
      </c>
      <c r="B287" s="6"/>
      <c r="C287" s="6"/>
      <c r="D287" s="6"/>
      <c r="E287" s="6"/>
      <c r="F287" s="6"/>
      <c r="G287" s="6"/>
    </row>
    <row r="288" spans="1:7" x14ac:dyDescent="0.25">
      <c r="A288" s="6" t="s">
        <v>14097</v>
      </c>
      <c r="B288" s="6" t="s">
        <v>14098</v>
      </c>
      <c r="C288" s="6"/>
      <c r="D288" s="6"/>
      <c r="E288" s="6"/>
      <c r="F288" s="6"/>
      <c r="G288" s="6"/>
    </row>
    <row r="289" spans="1:7" x14ac:dyDescent="0.25">
      <c r="A289" s="6" t="s">
        <v>13420</v>
      </c>
      <c r="B289" s="6"/>
      <c r="C289" s="6"/>
      <c r="D289" s="6"/>
      <c r="E289" s="6"/>
      <c r="F289" s="6"/>
      <c r="G289" s="6"/>
    </row>
    <row r="290" spans="1:7" x14ac:dyDescent="0.25">
      <c r="A290" s="6" t="s">
        <v>957</v>
      </c>
      <c r="B290" s="6"/>
      <c r="C290" s="6"/>
      <c r="D290" s="6"/>
      <c r="E290" s="6"/>
      <c r="F290" s="6"/>
      <c r="G290" s="6"/>
    </row>
    <row r="291" spans="1:7" x14ac:dyDescent="0.25">
      <c r="A291" s="6" t="s">
        <v>13416</v>
      </c>
      <c r="B291" s="6"/>
      <c r="C291" s="6"/>
      <c r="D291" s="6"/>
      <c r="E291" s="6"/>
      <c r="F291" s="6"/>
      <c r="G291" s="6"/>
    </row>
    <row r="292" spans="1:7" x14ac:dyDescent="0.25">
      <c r="A292" s="6" t="s">
        <v>13413</v>
      </c>
      <c r="B292" s="6"/>
      <c r="C292" s="6"/>
      <c r="D292" s="6"/>
      <c r="E292" s="6"/>
      <c r="F292" s="6"/>
      <c r="G292" s="6"/>
    </row>
    <row r="293" spans="1:7" x14ac:dyDescent="0.25">
      <c r="A293" s="6" t="s">
        <v>13411</v>
      </c>
      <c r="B293" s="6"/>
      <c r="C293" s="6"/>
      <c r="D293" s="6"/>
      <c r="E293" s="6"/>
      <c r="F293" s="6"/>
      <c r="G293" s="6"/>
    </row>
    <row r="294" spans="1:7" x14ac:dyDescent="0.25">
      <c r="A294" s="6" t="s">
        <v>13408</v>
      </c>
      <c r="B294" s="6"/>
      <c r="C294" s="6"/>
      <c r="D294" s="6"/>
      <c r="E294" s="6"/>
      <c r="F294" s="6"/>
      <c r="G294" s="6"/>
    </row>
    <row r="295" spans="1:7" x14ac:dyDescent="0.25">
      <c r="A295" s="6" t="s">
        <v>13404</v>
      </c>
      <c r="B295" s="6"/>
      <c r="C295" s="6"/>
      <c r="D295" s="6"/>
      <c r="E295" s="6"/>
      <c r="F295" s="6"/>
      <c r="G295" s="6"/>
    </row>
    <row r="296" spans="1:7" x14ac:dyDescent="0.25">
      <c r="A296" s="6" t="s">
        <v>13404</v>
      </c>
      <c r="B296" s="6"/>
      <c r="C296" s="6"/>
      <c r="D296" s="6"/>
      <c r="E296" s="6"/>
      <c r="F296" s="6"/>
      <c r="G296" s="6"/>
    </row>
    <row r="297" spans="1:7" x14ac:dyDescent="0.25">
      <c r="A297" s="6" t="s">
        <v>13401</v>
      </c>
      <c r="B297" s="6"/>
      <c r="C297" s="6"/>
      <c r="D297" s="6"/>
      <c r="E297" s="6"/>
      <c r="F297" s="6"/>
      <c r="G297" s="6"/>
    </row>
    <row r="298" spans="1:7" x14ac:dyDescent="0.25">
      <c r="A298" s="6" t="s">
        <v>13398</v>
      </c>
      <c r="B298" s="6"/>
      <c r="C298" s="6"/>
      <c r="D298" s="6"/>
      <c r="E298" s="6"/>
      <c r="F298" s="6"/>
      <c r="G298" s="6"/>
    </row>
    <row r="299" spans="1:7" x14ac:dyDescent="0.25">
      <c r="A299" s="6" t="s">
        <v>12198</v>
      </c>
      <c r="B299" s="6"/>
      <c r="C299" s="6"/>
      <c r="D299" s="6"/>
      <c r="E299" s="6"/>
      <c r="F299" s="6"/>
      <c r="G299" s="6"/>
    </row>
    <row r="300" spans="1:7" x14ac:dyDescent="0.25">
      <c r="A300" s="6" t="s">
        <v>957</v>
      </c>
      <c r="B300" s="6"/>
      <c r="C300" s="6"/>
      <c r="D300" s="6"/>
      <c r="E300" s="6"/>
      <c r="F300" s="6"/>
      <c r="G300" s="6"/>
    </row>
    <row r="301" spans="1:7" x14ac:dyDescent="0.25">
      <c r="A301" s="6" t="s">
        <v>957</v>
      </c>
      <c r="B301" s="6"/>
      <c r="C301" s="6"/>
      <c r="D301" s="6"/>
      <c r="E301" s="6"/>
      <c r="F301" s="6"/>
      <c r="G301" s="6"/>
    </row>
    <row r="302" spans="1:7" x14ac:dyDescent="0.25">
      <c r="A302" s="6" t="s">
        <v>957</v>
      </c>
      <c r="B302" s="6"/>
      <c r="C302" s="6"/>
      <c r="D302" s="6"/>
      <c r="E302" s="6"/>
      <c r="F302" s="6"/>
      <c r="G302" s="6"/>
    </row>
    <row r="303" spans="1:7" x14ac:dyDescent="0.25">
      <c r="A303" s="6" t="s">
        <v>12191</v>
      </c>
      <c r="B303" s="6"/>
      <c r="C303" s="6"/>
      <c r="D303" s="6"/>
      <c r="E303" s="6"/>
      <c r="F303" s="6"/>
      <c r="G303" s="6"/>
    </row>
    <row r="304" spans="1:7" x14ac:dyDescent="0.25">
      <c r="A304" s="6" t="s">
        <v>12188</v>
      </c>
      <c r="B304" s="6"/>
      <c r="C304" s="6"/>
      <c r="D304" s="6"/>
      <c r="E304" s="6"/>
      <c r="F304" s="6"/>
      <c r="G304" s="6"/>
    </row>
    <row r="305" spans="1:7" x14ac:dyDescent="0.25">
      <c r="A305" s="6" t="s">
        <v>13378</v>
      </c>
      <c r="B305" s="6"/>
      <c r="C305" s="6"/>
      <c r="D305" s="6"/>
      <c r="E305" s="6"/>
      <c r="F305" s="6"/>
      <c r="G305" s="6"/>
    </row>
    <row r="306" spans="1:7" x14ac:dyDescent="0.25">
      <c r="A306" s="6" t="s">
        <v>13375</v>
      </c>
      <c r="B306" s="6"/>
      <c r="C306" s="6"/>
      <c r="D306" s="6"/>
      <c r="E306" s="6"/>
      <c r="F306" s="6"/>
      <c r="G306" s="6"/>
    </row>
    <row r="307" spans="1:7" x14ac:dyDescent="0.25">
      <c r="A307" s="6" t="s">
        <v>13372</v>
      </c>
      <c r="B307" s="6"/>
      <c r="C307" s="6"/>
      <c r="D307" s="6"/>
      <c r="E307" s="6"/>
      <c r="F307" s="6"/>
      <c r="G307" s="6"/>
    </row>
    <row r="308" spans="1:7" x14ac:dyDescent="0.25">
      <c r="A308" s="6" t="s">
        <v>13370</v>
      </c>
      <c r="B308" s="6"/>
      <c r="C308" s="6"/>
      <c r="D308" s="6"/>
      <c r="E308" s="6"/>
      <c r="F308" s="6"/>
      <c r="G308" s="6"/>
    </row>
    <row r="309" spans="1:7" x14ac:dyDescent="0.25">
      <c r="A309" s="6" t="s">
        <v>13367</v>
      </c>
      <c r="B309" s="6"/>
      <c r="C309" s="6"/>
      <c r="D309" s="6"/>
      <c r="E309" s="6"/>
      <c r="F309" s="6"/>
      <c r="G309" s="6"/>
    </row>
    <row r="310" spans="1:7" x14ac:dyDescent="0.25">
      <c r="A310" s="6" t="s">
        <v>13364</v>
      </c>
      <c r="B310" s="6"/>
      <c r="C310" s="6"/>
      <c r="D310" s="6"/>
      <c r="E310" s="6"/>
      <c r="F310" s="6"/>
      <c r="G310" s="6"/>
    </row>
    <row r="311" spans="1:7" x14ac:dyDescent="0.25">
      <c r="A311" s="6" t="s">
        <v>13361</v>
      </c>
      <c r="B311" s="6"/>
      <c r="C311" s="6"/>
      <c r="D311" s="6"/>
      <c r="E311" s="6"/>
      <c r="F311" s="6"/>
      <c r="G311" s="6"/>
    </row>
    <row r="312" spans="1:7" x14ac:dyDescent="0.25">
      <c r="A312" s="6" t="s">
        <v>957</v>
      </c>
      <c r="B312" s="6"/>
      <c r="C312" s="6"/>
      <c r="D312" s="6"/>
      <c r="E312" s="6"/>
      <c r="F312" s="6"/>
      <c r="G312" s="6"/>
    </row>
    <row r="313" spans="1:7" x14ac:dyDescent="0.25">
      <c r="A313" s="6" t="s">
        <v>13356</v>
      </c>
      <c r="B313" s="6"/>
      <c r="C313" s="6"/>
      <c r="D313" s="6"/>
      <c r="E313" s="6"/>
      <c r="F313" s="6"/>
      <c r="G313" s="6"/>
    </row>
    <row r="314" spans="1:7" x14ac:dyDescent="0.25">
      <c r="A314" s="6" t="s">
        <v>13353</v>
      </c>
      <c r="B314" s="6"/>
      <c r="C314" s="6"/>
      <c r="D314" s="6"/>
      <c r="E314" s="6"/>
      <c r="F314" s="6"/>
      <c r="G314" s="6"/>
    </row>
    <row r="315" spans="1:7" x14ac:dyDescent="0.25">
      <c r="A315" s="6" t="s">
        <v>13350</v>
      </c>
      <c r="B315" s="6"/>
      <c r="C315" s="6"/>
      <c r="D315" s="6"/>
      <c r="E315" s="6"/>
      <c r="F315" s="6"/>
      <c r="G315" s="6"/>
    </row>
    <row r="316" spans="1:7" x14ac:dyDescent="0.25">
      <c r="A316" s="6" t="s">
        <v>13347</v>
      </c>
      <c r="B316" s="6"/>
      <c r="C316" s="6"/>
      <c r="D316" s="6"/>
      <c r="E316" s="6"/>
      <c r="F316" s="6"/>
      <c r="G316" s="6"/>
    </row>
    <row r="317" spans="1:7" x14ac:dyDescent="0.25">
      <c r="A317" s="6" t="s">
        <v>13344</v>
      </c>
      <c r="B317" s="6"/>
      <c r="C317" s="6"/>
      <c r="D317" s="6"/>
      <c r="E317" s="6"/>
      <c r="F317" s="6"/>
      <c r="G317" s="6"/>
    </row>
    <row r="318" spans="1:7" x14ac:dyDescent="0.25">
      <c r="A318" s="6" t="s">
        <v>13341</v>
      </c>
      <c r="B318" s="6"/>
      <c r="C318" s="6"/>
      <c r="D318" s="6"/>
      <c r="E318" s="6"/>
      <c r="F318" s="6"/>
      <c r="G318" s="6"/>
    </row>
    <row r="319" spans="1:7" x14ac:dyDescent="0.25">
      <c r="A319" s="6" t="s">
        <v>13338</v>
      </c>
      <c r="B319" s="6"/>
      <c r="C319" s="6"/>
      <c r="D319" s="6"/>
      <c r="E319" s="6"/>
      <c r="F319" s="6"/>
      <c r="G319" s="6"/>
    </row>
    <row r="320" spans="1:7" x14ac:dyDescent="0.25">
      <c r="A320" s="6" t="s">
        <v>13335</v>
      </c>
      <c r="B320" s="6"/>
      <c r="C320" s="6"/>
      <c r="D320" s="6"/>
      <c r="E320" s="6"/>
      <c r="F320" s="6"/>
      <c r="G320" s="6"/>
    </row>
    <row r="321" spans="1:7" x14ac:dyDescent="0.25">
      <c r="A321" s="6" t="s">
        <v>14116</v>
      </c>
      <c r="B321" s="6" t="s">
        <v>14117</v>
      </c>
      <c r="C321" s="6"/>
      <c r="D321" s="6"/>
      <c r="E321" s="6"/>
      <c r="F321" s="6"/>
      <c r="G321" s="6"/>
    </row>
    <row r="322" spans="1:7" x14ac:dyDescent="0.25">
      <c r="A322" s="6" t="s">
        <v>13330</v>
      </c>
      <c r="B322" s="6"/>
      <c r="C322" s="6"/>
      <c r="D322" s="6"/>
      <c r="E322" s="6"/>
      <c r="F322" s="6"/>
      <c r="G322" s="6"/>
    </row>
    <row r="323" spans="1:7" x14ac:dyDescent="0.25">
      <c r="A323" s="6" t="s">
        <v>13327</v>
      </c>
      <c r="B323" s="6"/>
      <c r="C323" s="6"/>
      <c r="D323" s="6"/>
      <c r="E323" s="6"/>
      <c r="F323" s="6"/>
      <c r="G323" s="6"/>
    </row>
    <row r="324" spans="1:7" x14ac:dyDescent="0.25">
      <c r="A324" s="6" t="s">
        <v>13324</v>
      </c>
      <c r="B324" s="6"/>
      <c r="C324" s="6"/>
      <c r="D324" s="6"/>
      <c r="E324" s="6"/>
      <c r="F324" s="6"/>
      <c r="G324" s="6"/>
    </row>
    <row r="325" spans="1:7" x14ac:dyDescent="0.25">
      <c r="A325" s="6" t="s">
        <v>13321</v>
      </c>
      <c r="B325" s="6"/>
      <c r="C325" s="6"/>
      <c r="D325" s="6"/>
      <c r="E325" s="6"/>
      <c r="F325" s="6"/>
      <c r="G325" s="6"/>
    </row>
    <row r="326" spans="1:7" x14ac:dyDescent="0.25">
      <c r="A326" s="6" t="s">
        <v>13318</v>
      </c>
      <c r="B326" s="6"/>
      <c r="C326" s="6"/>
      <c r="D326" s="6"/>
      <c r="E326" s="6"/>
      <c r="F326" s="6"/>
      <c r="G326" s="6"/>
    </row>
    <row r="327" spans="1:7" x14ac:dyDescent="0.25">
      <c r="A327" s="6" t="s">
        <v>13315</v>
      </c>
      <c r="B327" s="6"/>
      <c r="C327" s="6"/>
      <c r="D327" s="6"/>
      <c r="E327" s="6"/>
      <c r="F327" s="6"/>
      <c r="G327" s="6"/>
    </row>
    <row r="328" spans="1:7" x14ac:dyDescent="0.25">
      <c r="A328" s="6" t="s">
        <v>13312</v>
      </c>
      <c r="B328" s="6"/>
      <c r="C328" s="6"/>
      <c r="D328" s="6"/>
      <c r="E328" s="6"/>
      <c r="F328" s="6"/>
      <c r="G328" s="6"/>
    </row>
    <row r="329" spans="1:7" x14ac:dyDescent="0.25">
      <c r="A329" s="6" t="s">
        <v>13309</v>
      </c>
      <c r="B329" s="6"/>
      <c r="C329" s="6"/>
      <c r="D329" s="6"/>
      <c r="E329" s="6"/>
      <c r="F329" s="6"/>
      <c r="G329" s="6"/>
    </row>
    <row r="330" spans="1:7" x14ac:dyDescent="0.25">
      <c r="A330" s="6" t="s">
        <v>13306</v>
      </c>
      <c r="B330" s="6"/>
      <c r="C330" s="6"/>
      <c r="D330" s="6"/>
      <c r="E330" s="6"/>
      <c r="F330" s="6"/>
      <c r="G330" s="6"/>
    </row>
    <row r="331" spans="1:7" x14ac:dyDescent="0.25">
      <c r="A331" s="6" t="s">
        <v>13304</v>
      </c>
      <c r="B331" s="6"/>
      <c r="C331" s="6"/>
      <c r="D331" s="6"/>
      <c r="E331" s="6"/>
      <c r="F331" s="6"/>
      <c r="G331" s="6"/>
    </row>
    <row r="332" spans="1:7" x14ac:dyDescent="0.25">
      <c r="A332" s="6" t="s">
        <v>13301</v>
      </c>
      <c r="B332" s="6"/>
      <c r="C332" s="6"/>
      <c r="D332" s="6"/>
      <c r="E332" s="6"/>
      <c r="F332" s="6"/>
      <c r="G332" s="6"/>
    </row>
    <row r="333" spans="1:7" x14ac:dyDescent="0.25">
      <c r="A333" s="6" t="s">
        <v>13298</v>
      </c>
      <c r="B333" s="6"/>
      <c r="C333" s="6"/>
      <c r="D333" s="6"/>
      <c r="E333" s="6"/>
      <c r="F333" s="6"/>
      <c r="G333" s="6"/>
    </row>
    <row r="334" spans="1:7" x14ac:dyDescent="0.25">
      <c r="A334" s="6" t="s">
        <v>13295</v>
      </c>
      <c r="B334" s="6"/>
      <c r="C334" s="6"/>
      <c r="D334" s="6"/>
      <c r="E334" s="6"/>
      <c r="F334" s="6"/>
      <c r="G334" s="6"/>
    </row>
    <row r="335" spans="1:7" x14ac:dyDescent="0.25">
      <c r="A335" s="6" t="s">
        <v>13018</v>
      </c>
      <c r="B335" s="6"/>
      <c r="C335" s="6"/>
      <c r="D335" s="6"/>
      <c r="E335" s="6"/>
      <c r="F335" s="6"/>
      <c r="G335" s="6"/>
    </row>
    <row r="336" spans="1:7" x14ac:dyDescent="0.25">
      <c r="A336" s="6" t="s">
        <v>13015</v>
      </c>
      <c r="B336" s="6"/>
      <c r="C336" s="6"/>
      <c r="D336" s="6"/>
      <c r="E336" s="6"/>
      <c r="F336" s="6"/>
      <c r="G336" s="6"/>
    </row>
    <row r="337" spans="1:7" x14ac:dyDescent="0.25">
      <c r="A337" s="6" t="s">
        <v>13012</v>
      </c>
      <c r="B337" s="6"/>
      <c r="C337" s="6"/>
      <c r="D337" s="6"/>
      <c r="E337" s="6"/>
      <c r="F337" s="6"/>
      <c r="G337" s="6"/>
    </row>
    <row r="338" spans="1:7" x14ac:dyDescent="0.25">
      <c r="A338" s="6" t="s">
        <v>957</v>
      </c>
      <c r="B338" s="6"/>
      <c r="C338" s="6"/>
      <c r="D338" s="6"/>
      <c r="E338" s="6"/>
      <c r="F338" s="6"/>
      <c r="G338" s="6"/>
    </row>
    <row r="339" spans="1:7" x14ac:dyDescent="0.25">
      <c r="A339" s="6" t="s">
        <v>957</v>
      </c>
      <c r="B339" s="6"/>
      <c r="C339" s="6"/>
      <c r="D339" s="6"/>
      <c r="E339" s="6"/>
      <c r="F339" s="6"/>
      <c r="G339" s="6"/>
    </row>
    <row r="340" spans="1:7" x14ac:dyDescent="0.25">
      <c r="A340" s="6" t="s">
        <v>957</v>
      </c>
      <c r="B340" s="6"/>
      <c r="C340" s="6"/>
      <c r="D340" s="6"/>
      <c r="E340" s="6"/>
      <c r="F340" s="6"/>
      <c r="G340" s="6"/>
    </row>
    <row r="341" spans="1:7" x14ac:dyDescent="0.25">
      <c r="A341" s="6" t="s">
        <v>13005</v>
      </c>
      <c r="B341" s="6"/>
      <c r="C341" s="6"/>
      <c r="D341" s="6"/>
      <c r="E341" s="6"/>
      <c r="F341" s="6"/>
      <c r="G341" s="6"/>
    </row>
    <row r="342" spans="1:7" x14ac:dyDescent="0.25">
      <c r="A342" s="6" t="s">
        <v>957</v>
      </c>
      <c r="B342" s="6"/>
      <c r="C342" s="6"/>
      <c r="D342" s="6"/>
      <c r="E342" s="6"/>
      <c r="F342" s="6"/>
      <c r="G342" s="6"/>
    </row>
    <row r="343" spans="1:7" x14ac:dyDescent="0.25">
      <c r="A343" s="6" t="s">
        <v>13001</v>
      </c>
      <c r="B343" s="6"/>
      <c r="C343" s="6"/>
      <c r="D343" s="6"/>
      <c r="E343" s="6"/>
      <c r="F343" s="6"/>
      <c r="G343" s="6"/>
    </row>
    <row r="344" spans="1:7" x14ac:dyDescent="0.25">
      <c r="A344" s="6" t="s">
        <v>12998</v>
      </c>
      <c r="B344" s="6"/>
      <c r="C344" s="6"/>
      <c r="D344" s="6"/>
      <c r="E344" s="6"/>
      <c r="F344" s="6"/>
      <c r="G344" s="6"/>
    </row>
    <row r="345" spans="1:7" x14ac:dyDescent="0.25">
      <c r="A345" s="6" t="s">
        <v>12995</v>
      </c>
      <c r="B345" s="6"/>
      <c r="C345" s="6"/>
      <c r="D345" s="6"/>
      <c r="E345" s="6"/>
      <c r="F345" s="6"/>
      <c r="G345" s="6"/>
    </row>
    <row r="346" spans="1:7" x14ac:dyDescent="0.25">
      <c r="A346" s="6" t="s">
        <v>12993</v>
      </c>
      <c r="B346" s="6"/>
      <c r="C346" s="6"/>
      <c r="D346" s="6"/>
      <c r="E346" s="6"/>
      <c r="F346" s="6"/>
      <c r="G346" s="6"/>
    </row>
    <row r="347" spans="1:7" x14ac:dyDescent="0.25">
      <c r="A347" s="6" t="s">
        <v>957</v>
      </c>
      <c r="B347" s="6"/>
      <c r="C347" s="6"/>
      <c r="D347" s="6"/>
      <c r="E347" s="6"/>
      <c r="F347" s="6"/>
      <c r="G347" s="6"/>
    </row>
    <row r="348" spans="1:7" x14ac:dyDescent="0.25">
      <c r="A348" s="6" t="s">
        <v>12989</v>
      </c>
      <c r="B348" s="6"/>
      <c r="C348" s="6"/>
      <c r="D348" s="6"/>
      <c r="E348" s="6"/>
      <c r="F348" s="6"/>
      <c r="G348" s="6"/>
    </row>
    <row r="349" spans="1:7" x14ac:dyDescent="0.25">
      <c r="A349" s="6" t="s">
        <v>12986</v>
      </c>
      <c r="B349" s="6"/>
      <c r="C349" s="6"/>
      <c r="D349" s="6"/>
      <c r="E349" s="6"/>
      <c r="F349" s="6"/>
      <c r="G349" s="6"/>
    </row>
    <row r="350" spans="1:7" x14ac:dyDescent="0.25">
      <c r="A350" s="6" t="s">
        <v>12983</v>
      </c>
      <c r="B350" s="6"/>
      <c r="C350" s="6"/>
      <c r="D350" s="6"/>
      <c r="E350" s="6"/>
      <c r="F350" s="6"/>
      <c r="G350" s="6"/>
    </row>
    <row r="351" spans="1:7" x14ac:dyDescent="0.25">
      <c r="A351" s="6" t="s">
        <v>12980</v>
      </c>
      <c r="B351" s="6"/>
      <c r="C351" s="6"/>
      <c r="D351" s="6"/>
      <c r="E351" s="6"/>
      <c r="F351" s="6"/>
      <c r="G351" s="6"/>
    </row>
    <row r="352" spans="1:7" x14ac:dyDescent="0.25">
      <c r="A352" s="6" t="s">
        <v>12977</v>
      </c>
      <c r="B352" s="6"/>
      <c r="C352" s="6"/>
      <c r="D352" s="6"/>
      <c r="E352" s="6"/>
      <c r="F352" s="6"/>
      <c r="G352" s="6"/>
    </row>
    <row r="353" spans="1:7" x14ac:dyDescent="0.25">
      <c r="A353" s="6" t="s">
        <v>12082</v>
      </c>
      <c r="B353" s="6"/>
      <c r="C353" s="6"/>
      <c r="D353" s="6"/>
      <c r="E353" s="6"/>
      <c r="F353" s="6"/>
      <c r="G353" s="6"/>
    </row>
    <row r="354" spans="1:7" x14ac:dyDescent="0.25">
      <c r="A354" s="6" t="s">
        <v>12079</v>
      </c>
      <c r="B354" s="6"/>
      <c r="C354" s="6"/>
      <c r="D354" s="6"/>
      <c r="E354" s="6"/>
      <c r="F354" s="6"/>
      <c r="G354" s="6"/>
    </row>
    <row r="355" spans="1:7" x14ac:dyDescent="0.25">
      <c r="A355" s="6" t="s">
        <v>12076</v>
      </c>
      <c r="B355" s="6"/>
      <c r="C355" s="6"/>
      <c r="D355" s="6"/>
      <c r="E355" s="6"/>
      <c r="F355" s="6"/>
      <c r="G355" s="6"/>
    </row>
    <row r="356" spans="1:7" x14ac:dyDescent="0.25">
      <c r="A356" s="6" t="s">
        <v>12073</v>
      </c>
      <c r="B356" s="6"/>
      <c r="C356" s="6"/>
      <c r="D356" s="6"/>
      <c r="E356" s="6"/>
      <c r="F356" s="6"/>
      <c r="G356" s="6"/>
    </row>
    <row r="357" spans="1:7" x14ac:dyDescent="0.25">
      <c r="A357" s="6" t="s">
        <v>12070</v>
      </c>
      <c r="B357" s="6"/>
      <c r="C357" s="6"/>
      <c r="D357" s="6"/>
      <c r="E357" s="6"/>
      <c r="F357" s="6"/>
      <c r="G357" s="6"/>
    </row>
    <row r="358" spans="1:7" x14ac:dyDescent="0.25">
      <c r="A358" s="6" t="s">
        <v>12067</v>
      </c>
      <c r="B358" s="6"/>
      <c r="C358" s="6"/>
      <c r="D358" s="6"/>
      <c r="E358" s="6"/>
      <c r="F358" s="6"/>
      <c r="G358" s="6"/>
    </row>
    <row r="359" spans="1:7" x14ac:dyDescent="0.25">
      <c r="A359" s="6" t="s">
        <v>957</v>
      </c>
      <c r="B359" s="6"/>
      <c r="C359" s="6"/>
      <c r="D359" s="6"/>
      <c r="E359" s="6"/>
      <c r="F359" s="6"/>
      <c r="G359" s="6"/>
    </row>
    <row r="360" spans="1:7" x14ac:dyDescent="0.25">
      <c r="A360" s="6" t="s">
        <v>12062</v>
      </c>
      <c r="B360" s="6"/>
      <c r="C360" s="6"/>
      <c r="D360" s="6"/>
      <c r="E360" s="6"/>
      <c r="F360" s="6"/>
      <c r="G360" s="6"/>
    </row>
    <row r="361" spans="1:7" x14ac:dyDescent="0.25">
      <c r="A361" s="6" t="s">
        <v>12059</v>
      </c>
      <c r="B361" s="6"/>
      <c r="C361" s="6"/>
      <c r="D361" s="6"/>
      <c r="E361" s="6"/>
      <c r="F361" s="6"/>
      <c r="G361" s="6"/>
    </row>
    <row r="362" spans="1:7" x14ac:dyDescent="0.25">
      <c r="A362" s="6" t="s">
        <v>12056</v>
      </c>
      <c r="B362" s="6"/>
      <c r="C362" s="6"/>
      <c r="D362" s="6"/>
      <c r="E362" s="6"/>
      <c r="F362" s="6"/>
      <c r="G362" s="6"/>
    </row>
    <row r="363" spans="1:7" x14ac:dyDescent="0.25">
      <c r="A363" s="6" t="s">
        <v>12053</v>
      </c>
      <c r="B363" s="6"/>
      <c r="C363" s="6"/>
      <c r="D363" s="6"/>
      <c r="E363" s="6"/>
      <c r="F363" s="6"/>
      <c r="G363" s="6"/>
    </row>
    <row r="364" spans="1:7" x14ac:dyDescent="0.25">
      <c r="A364" s="6" t="s">
        <v>12050</v>
      </c>
      <c r="B364" s="6"/>
      <c r="C364" s="6"/>
      <c r="D364" s="6"/>
      <c r="E364" s="6"/>
      <c r="F364" s="6"/>
      <c r="G364" s="6"/>
    </row>
    <row r="365" spans="1:7" x14ac:dyDescent="0.25">
      <c r="A365" s="6" t="s">
        <v>12047</v>
      </c>
      <c r="B365" s="6"/>
      <c r="C365" s="6"/>
      <c r="D365" s="6"/>
      <c r="E365" s="6"/>
      <c r="F365" s="6"/>
      <c r="G365" s="6"/>
    </row>
    <row r="366" spans="1:7" x14ac:dyDescent="0.25">
      <c r="A366" s="6" t="s">
        <v>12044</v>
      </c>
      <c r="B366" s="6"/>
      <c r="C366" s="6"/>
      <c r="D366" s="6"/>
      <c r="E366" s="6"/>
      <c r="F366" s="6"/>
      <c r="G366" s="6"/>
    </row>
    <row r="367" spans="1:7" x14ac:dyDescent="0.25">
      <c r="A367" s="6" t="s">
        <v>12041</v>
      </c>
      <c r="B367" s="6"/>
      <c r="C367" s="6"/>
      <c r="D367" s="6"/>
      <c r="E367" s="6"/>
      <c r="F367" s="6"/>
      <c r="G367" s="6"/>
    </row>
    <row r="368" spans="1:7" x14ac:dyDescent="0.25">
      <c r="A368" s="6" t="s">
        <v>12039</v>
      </c>
      <c r="B368" s="6"/>
      <c r="C368" s="6"/>
      <c r="D368" s="6"/>
      <c r="E368" s="6"/>
      <c r="F368" s="6"/>
      <c r="G368" s="6"/>
    </row>
    <row r="369" spans="1:7" x14ac:dyDescent="0.25">
      <c r="A369" s="6" t="s">
        <v>12036</v>
      </c>
      <c r="B369" s="6"/>
      <c r="C369" s="6"/>
      <c r="D369" s="6"/>
      <c r="E369" s="6"/>
      <c r="F369" s="6"/>
      <c r="G369" s="6"/>
    </row>
    <row r="370" spans="1:7" x14ac:dyDescent="0.25">
      <c r="A370" s="6" t="s">
        <v>12033</v>
      </c>
      <c r="B370" s="6"/>
      <c r="C370" s="6"/>
      <c r="D370" s="6"/>
      <c r="E370" s="6"/>
      <c r="F370" s="6"/>
      <c r="G370" s="6"/>
    </row>
    <row r="371" spans="1:7" x14ac:dyDescent="0.25">
      <c r="A371" s="6" t="s">
        <v>12030</v>
      </c>
      <c r="B371" s="6"/>
      <c r="C371" s="6"/>
      <c r="D371" s="6"/>
      <c r="E371" s="6"/>
      <c r="F371" s="6"/>
      <c r="G371" s="6"/>
    </row>
    <row r="372" spans="1:7" x14ac:dyDescent="0.25">
      <c r="A372" s="6" t="s">
        <v>12028</v>
      </c>
      <c r="B372" s="6"/>
      <c r="C372" s="6"/>
      <c r="D372" s="6"/>
      <c r="E372" s="6"/>
      <c r="F372" s="6"/>
      <c r="G372" s="6"/>
    </row>
    <row r="373" spans="1:7" x14ac:dyDescent="0.25">
      <c r="A373" s="6" t="s">
        <v>12025</v>
      </c>
      <c r="B373" s="6"/>
      <c r="C373" s="6"/>
      <c r="D373" s="6"/>
      <c r="E373" s="6"/>
      <c r="F373" s="6"/>
      <c r="G373" s="6"/>
    </row>
    <row r="374" spans="1:7" x14ac:dyDescent="0.25">
      <c r="A374" s="6" t="s">
        <v>12022</v>
      </c>
      <c r="B374" s="6"/>
      <c r="C374" s="6"/>
      <c r="D374" s="6"/>
      <c r="E374" s="6"/>
      <c r="F374" s="6"/>
      <c r="G374" s="6"/>
    </row>
    <row r="375" spans="1:7" x14ac:dyDescent="0.25">
      <c r="A375" s="6" t="s">
        <v>12019</v>
      </c>
      <c r="B375" s="6"/>
      <c r="C375" s="6"/>
      <c r="D375" s="6"/>
      <c r="E375" s="6"/>
      <c r="F375" s="6"/>
      <c r="G375" s="6"/>
    </row>
    <row r="376" spans="1:7" x14ac:dyDescent="0.25">
      <c r="A376" s="6" t="s">
        <v>13292</v>
      </c>
      <c r="B376" s="6"/>
      <c r="C376" s="6"/>
      <c r="D376" s="6"/>
      <c r="E376" s="6"/>
      <c r="F376" s="6"/>
      <c r="G376" s="6"/>
    </row>
    <row r="377" spans="1:7" x14ac:dyDescent="0.25">
      <c r="A377" s="6" t="s">
        <v>13289</v>
      </c>
      <c r="B377" s="6"/>
      <c r="C377" s="6"/>
      <c r="D377" s="6"/>
      <c r="E377" s="6"/>
      <c r="F377" s="6"/>
      <c r="G377" s="6"/>
    </row>
    <row r="378" spans="1:7" x14ac:dyDescent="0.25">
      <c r="A378" s="6" t="s">
        <v>13286</v>
      </c>
      <c r="B378" s="6"/>
      <c r="C378" s="6"/>
      <c r="D378" s="6"/>
      <c r="E378" s="6"/>
      <c r="F378" s="6"/>
      <c r="G378" s="6"/>
    </row>
    <row r="379" spans="1:7" x14ac:dyDescent="0.25">
      <c r="A379" s="6" t="s">
        <v>13283</v>
      </c>
      <c r="B379" s="6"/>
      <c r="C379" s="6"/>
      <c r="D379" s="6"/>
      <c r="E379" s="6"/>
      <c r="F379" s="6"/>
      <c r="G379" s="6"/>
    </row>
    <row r="380" spans="1:7" x14ac:dyDescent="0.25">
      <c r="A380" s="6" t="s">
        <v>14118</v>
      </c>
      <c r="B380" s="6" t="s">
        <v>14119</v>
      </c>
      <c r="C380" s="6"/>
      <c r="D380" s="6"/>
      <c r="E380" s="6"/>
      <c r="F380" s="6"/>
      <c r="G380" s="6"/>
    </row>
    <row r="381" spans="1:7" x14ac:dyDescent="0.25">
      <c r="A381" s="6" t="s">
        <v>13278</v>
      </c>
      <c r="B381" s="6"/>
      <c r="C381" s="6"/>
      <c r="D381" s="6"/>
      <c r="E381" s="6"/>
      <c r="F381" s="6"/>
      <c r="G381" s="6"/>
    </row>
    <row r="382" spans="1:7" x14ac:dyDescent="0.25">
      <c r="A382" s="6" t="s">
        <v>957</v>
      </c>
      <c r="B382" s="6"/>
      <c r="C382" s="6"/>
      <c r="D382" s="6"/>
      <c r="E382" s="6"/>
      <c r="F382" s="6"/>
      <c r="G382" s="6"/>
    </row>
    <row r="383" spans="1:7" x14ac:dyDescent="0.25">
      <c r="A383" s="6" t="s">
        <v>13274</v>
      </c>
      <c r="B383" s="6"/>
      <c r="C383" s="6"/>
      <c r="D383" s="6"/>
      <c r="E383" s="6"/>
      <c r="F383" s="6"/>
      <c r="G383" s="6"/>
    </row>
    <row r="384" spans="1:7" x14ac:dyDescent="0.25">
      <c r="A384" s="6" t="s">
        <v>957</v>
      </c>
      <c r="B384" s="6"/>
      <c r="C384" s="6"/>
      <c r="D384" s="6"/>
      <c r="E384" s="6"/>
      <c r="F384" s="6"/>
      <c r="G384" s="6"/>
    </row>
    <row r="385" spans="1:7" x14ac:dyDescent="0.25">
      <c r="A385" s="6" t="s">
        <v>13270</v>
      </c>
      <c r="B385" s="6"/>
      <c r="C385" s="6"/>
      <c r="D385" s="6"/>
      <c r="E385" s="6"/>
      <c r="F385" s="6"/>
      <c r="G385" s="6"/>
    </row>
    <row r="386" spans="1:7" x14ac:dyDescent="0.25">
      <c r="A386" s="6" t="s">
        <v>13267</v>
      </c>
      <c r="B386" s="6"/>
      <c r="C386" s="6"/>
      <c r="D386" s="6"/>
      <c r="E386" s="6"/>
      <c r="F386" s="6"/>
      <c r="G386" s="6"/>
    </row>
    <row r="387" spans="1:7" x14ac:dyDescent="0.25">
      <c r="A387" s="6" t="s">
        <v>957</v>
      </c>
      <c r="B387" s="6"/>
      <c r="C387" s="6"/>
      <c r="D387" s="6"/>
      <c r="E387" s="6"/>
      <c r="F387" s="6"/>
      <c r="G387" s="6"/>
    </row>
    <row r="388" spans="1:7" x14ac:dyDescent="0.25">
      <c r="A388" s="6" t="s">
        <v>13263</v>
      </c>
      <c r="B388" s="6"/>
      <c r="C388" s="6"/>
      <c r="D388" s="6"/>
      <c r="E388" s="6"/>
      <c r="F388" s="6"/>
      <c r="G388" s="6"/>
    </row>
    <row r="389" spans="1:7" x14ac:dyDescent="0.25">
      <c r="A389" s="6" t="s">
        <v>13260</v>
      </c>
      <c r="B389" s="6"/>
      <c r="C389" s="6"/>
      <c r="D389" s="6"/>
      <c r="E389" s="6"/>
      <c r="F389" s="6"/>
      <c r="G389" s="6"/>
    </row>
    <row r="390" spans="1:7" x14ac:dyDescent="0.25">
      <c r="A390" s="6" t="s">
        <v>14120</v>
      </c>
      <c r="B390" s="6" t="s">
        <v>14121</v>
      </c>
      <c r="C390" s="6"/>
      <c r="D390" s="6"/>
      <c r="E390" s="6"/>
      <c r="F390" s="6"/>
      <c r="G390" s="6"/>
    </row>
    <row r="391" spans="1:7" x14ac:dyDescent="0.25">
      <c r="A391" s="6" t="s">
        <v>13256</v>
      </c>
      <c r="B391" s="6"/>
      <c r="C391" s="6"/>
      <c r="D391" s="6"/>
      <c r="E391" s="6"/>
      <c r="F391" s="6"/>
      <c r="G391" s="6"/>
    </row>
    <row r="392" spans="1:7" x14ac:dyDescent="0.25">
      <c r="A392" s="6" t="s">
        <v>13254</v>
      </c>
      <c r="B392" s="6"/>
      <c r="C392" s="6"/>
      <c r="D392" s="6"/>
      <c r="E392" s="6"/>
      <c r="F392" s="6"/>
      <c r="G392" s="6"/>
    </row>
    <row r="393" spans="1:7" x14ac:dyDescent="0.25">
      <c r="A393" s="6" t="s">
        <v>957</v>
      </c>
      <c r="B393" s="6"/>
      <c r="C393" s="6"/>
      <c r="D393" s="6"/>
      <c r="E393" s="6"/>
      <c r="F393" s="6"/>
      <c r="G393" s="6"/>
    </row>
    <row r="394" spans="1:7" x14ac:dyDescent="0.25">
      <c r="A394" s="6" t="s">
        <v>13249</v>
      </c>
      <c r="B394" s="6"/>
      <c r="C394" s="6"/>
      <c r="D394" s="6"/>
      <c r="E394" s="6"/>
      <c r="F394" s="6"/>
      <c r="G394" s="6"/>
    </row>
    <row r="395" spans="1:7" x14ac:dyDescent="0.25">
      <c r="A395" s="6" t="s">
        <v>13246</v>
      </c>
      <c r="B395" s="6"/>
      <c r="C395" s="6"/>
      <c r="D395" s="6"/>
      <c r="E395" s="6"/>
      <c r="F395" s="6"/>
      <c r="G395" s="6"/>
    </row>
    <row r="396" spans="1:7" x14ac:dyDescent="0.25">
      <c r="A396" s="6" t="s">
        <v>957</v>
      </c>
      <c r="B396" s="6"/>
      <c r="C396" s="6"/>
      <c r="D396" s="6"/>
      <c r="E396" s="6"/>
      <c r="F396" s="6"/>
      <c r="G396" s="6"/>
    </row>
    <row r="397" spans="1:7" x14ac:dyDescent="0.25">
      <c r="A397" s="6" t="s">
        <v>957</v>
      </c>
      <c r="B397" s="6"/>
      <c r="C397" s="6"/>
      <c r="D397" s="6"/>
      <c r="E397" s="6"/>
      <c r="F397" s="6"/>
      <c r="G397" s="6"/>
    </row>
    <row r="398" spans="1:7" x14ac:dyDescent="0.25">
      <c r="A398" s="6" t="s">
        <v>957</v>
      </c>
      <c r="B398" s="6"/>
      <c r="C398" s="6"/>
      <c r="D398" s="6"/>
      <c r="E398" s="6"/>
      <c r="F398" s="6"/>
      <c r="G398" s="6"/>
    </row>
    <row r="399" spans="1:7" x14ac:dyDescent="0.25">
      <c r="A399" s="6" t="s">
        <v>13240</v>
      </c>
      <c r="B399" s="6"/>
      <c r="C399" s="6"/>
      <c r="D399" s="6"/>
      <c r="E399" s="6"/>
      <c r="F399" s="6"/>
      <c r="G399" s="6"/>
    </row>
    <row r="400" spans="1:7" x14ac:dyDescent="0.25">
      <c r="A400" s="6" t="s">
        <v>13238</v>
      </c>
      <c r="B400" s="6"/>
      <c r="C400" s="6"/>
      <c r="D400" s="6"/>
      <c r="E400" s="6"/>
      <c r="F400" s="6"/>
      <c r="G400" s="6"/>
    </row>
    <row r="401" spans="1:7" x14ac:dyDescent="0.25">
      <c r="A401" s="6" t="s">
        <v>13235</v>
      </c>
      <c r="B401" s="6"/>
      <c r="C401" s="6"/>
      <c r="D401" s="6"/>
      <c r="E401" s="6"/>
      <c r="F401" s="6"/>
      <c r="G401" s="6"/>
    </row>
    <row r="402" spans="1:7" x14ac:dyDescent="0.25">
      <c r="A402" s="6" t="s">
        <v>957</v>
      </c>
      <c r="B402" s="6"/>
      <c r="C402" s="6"/>
      <c r="D402" s="6"/>
      <c r="E402" s="6"/>
      <c r="F402" s="6"/>
      <c r="G402" s="6"/>
    </row>
    <row r="403" spans="1:7" x14ac:dyDescent="0.25">
      <c r="A403" s="6" t="s">
        <v>13231</v>
      </c>
      <c r="B403" s="6"/>
      <c r="C403" s="6"/>
      <c r="D403" s="6"/>
      <c r="E403" s="6"/>
      <c r="F403" s="6"/>
      <c r="G403" s="6"/>
    </row>
    <row r="404" spans="1:7" x14ac:dyDescent="0.25">
      <c r="A404" s="6" t="s">
        <v>13229</v>
      </c>
      <c r="B404" s="6"/>
      <c r="C404" s="6"/>
      <c r="D404" s="6"/>
      <c r="E404" s="6"/>
      <c r="F404" s="6"/>
      <c r="G404" s="6"/>
    </row>
    <row r="405" spans="1:7" x14ac:dyDescent="0.25">
      <c r="A405" s="6" t="s">
        <v>13226</v>
      </c>
      <c r="B405" s="6"/>
      <c r="C405" s="6"/>
      <c r="D405" s="6"/>
      <c r="E405" s="6"/>
      <c r="F405" s="6"/>
      <c r="G405" s="6"/>
    </row>
    <row r="406" spans="1:7" x14ac:dyDescent="0.25">
      <c r="A406" s="6" t="s">
        <v>957</v>
      </c>
      <c r="B406" s="6"/>
      <c r="C406" s="6"/>
      <c r="D406" s="6"/>
      <c r="E406" s="6"/>
      <c r="F406" s="6"/>
      <c r="G406" s="6"/>
    </row>
    <row r="407" spans="1:7" x14ac:dyDescent="0.25">
      <c r="A407" s="6" t="s">
        <v>13222</v>
      </c>
      <c r="B407" s="6"/>
      <c r="C407" s="6"/>
      <c r="D407" s="6"/>
      <c r="E407" s="6"/>
      <c r="F407" s="6"/>
      <c r="G407" s="6"/>
    </row>
    <row r="408" spans="1:7" x14ac:dyDescent="0.25">
      <c r="A408" s="6" t="s">
        <v>13219</v>
      </c>
      <c r="B408" s="6"/>
      <c r="C408" s="6"/>
      <c r="D408" s="6"/>
      <c r="E408" s="6"/>
      <c r="F408" s="6"/>
      <c r="G408" s="6"/>
    </row>
    <row r="409" spans="1:7" x14ac:dyDescent="0.25">
      <c r="A409" s="6" t="s">
        <v>13216</v>
      </c>
      <c r="B409" s="6"/>
      <c r="C409" s="6"/>
      <c r="D409" s="6"/>
      <c r="E409" s="6"/>
      <c r="F409" s="6"/>
      <c r="G409" s="6"/>
    </row>
    <row r="410" spans="1:7" x14ac:dyDescent="0.25">
      <c r="A410" s="6" t="s">
        <v>13213</v>
      </c>
      <c r="B410" s="6"/>
      <c r="C410" s="6"/>
      <c r="D410" s="6"/>
      <c r="E410" s="6"/>
      <c r="F410" s="6"/>
      <c r="G410" s="6"/>
    </row>
    <row r="411" spans="1:7" x14ac:dyDescent="0.25">
      <c r="A411" s="6" t="s">
        <v>13210</v>
      </c>
      <c r="B411" s="6"/>
      <c r="C411" s="6"/>
      <c r="D411" s="6"/>
      <c r="E411" s="6"/>
      <c r="F411" s="6"/>
      <c r="G411" s="6"/>
    </row>
    <row r="412" spans="1:7" x14ac:dyDescent="0.25">
      <c r="A412" s="6" t="s">
        <v>13207</v>
      </c>
      <c r="B412" s="6"/>
      <c r="C412" s="6"/>
      <c r="D412" s="6"/>
      <c r="E412" s="6"/>
      <c r="F412" s="6"/>
      <c r="G412" s="6"/>
    </row>
    <row r="413" spans="1:7" x14ac:dyDescent="0.25">
      <c r="A413" s="6" t="s">
        <v>13204</v>
      </c>
      <c r="B413" s="6"/>
      <c r="C413" s="6"/>
      <c r="D413" s="6"/>
      <c r="E413" s="6"/>
      <c r="F413" s="6"/>
      <c r="G413" s="6"/>
    </row>
    <row r="414" spans="1:7" x14ac:dyDescent="0.25">
      <c r="A414" s="6" t="s">
        <v>13201</v>
      </c>
      <c r="B414" s="6"/>
      <c r="C414" s="6"/>
      <c r="D414" s="6"/>
      <c r="E414" s="6"/>
      <c r="F414" s="6"/>
      <c r="G414" s="6"/>
    </row>
    <row r="415" spans="1:7" x14ac:dyDescent="0.25">
      <c r="A415" s="6" t="s">
        <v>13198</v>
      </c>
      <c r="B415" s="6"/>
      <c r="C415" s="6"/>
      <c r="D415" s="6"/>
      <c r="E415" s="6"/>
      <c r="F415" s="6"/>
      <c r="G415" s="6"/>
    </row>
    <row r="416" spans="1:7" x14ac:dyDescent="0.25">
      <c r="A416" s="6" t="s">
        <v>13195</v>
      </c>
      <c r="B416" s="6"/>
      <c r="C416" s="6"/>
      <c r="D416" s="6"/>
      <c r="E416" s="6"/>
      <c r="F416" s="6"/>
      <c r="G416" s="6"/>
    </row>
    <row r="417" spans="1:7" x14ac:dyDescent="0.25">
      <c r="A417" s="6" t="s">
        <v>13192</v>
      </c>
      <c r="B417" s="6"/>
      <c r="C417" s="6"/>
      <c r="D417" s="6"/>
      <c r="E417" s="6"/>
      <c r="F417" s="6"/>
      <c r="G417" s="6"/>
    </row>
    <row r="418" spans="1:7" x14ac:dyDescent="0.25">
      <c r="A418" s="6" t="s">
        <v>12884</v>
      </c>
      <c r="B418" s="6"/>
      <c r="C418" s="6"/>
      <c r="D418" s="6"/>
      <c r="E418" s="6"/>
      <c r="F418" s="6"/>
      <c r="G418" s="6"/>
    </row>
    <row r="419" spans="1:7" x14ac:dyDescent="0.25">
      <c r="A419" s="6" t="s">
        <v>957</v>
      </c>
      <c r="B419" s="6"/>
      <c r="C419" s="6"/>
      <c r="D419" s="6"/>
      <c r="E419" s="6"/>
      <c r="F419" s="6"/>
      <c r="G419" s="6"/>
    </row>
    <row r="420" spans="1:7" x14ac:dyDescent="0.25">
      <c r="A420" s="6" t="s">
        <v>957</v>
      </c>
      <c r="B420" s="6"/>
      <c r="C420" s="6"/>
      <c r="D420" s="6"/>
      <c r="E420" s="6"/>
      <c r="F420" s="6"/>
      <c r="G420" s="6"/>
    </row>
    <row r="421" spans="1:7" x14ac:dyDescent="0.25">
      <c r="A421" s="6" t="s">
        <v>12879</v>
      </c>
      <c r="B421" s="6"/>
      <c r="C421" s="6"/>
      <c r="D421" s="6"/>
      <c r="E421" s="6"/>
      <c r="F421" s="6"/>
      <c r="G421" s="6"/>
    </row>
    <row r="422" spans="1:7" x14ac:dyDescent="0.25">
      <c r="A422" s="6" t="s">
        <v>957</v>
      </c>
      <c r="B422" s="6"/>
      <c r="C422" s="6"/>
      <c r="D422" s="6"/>
      <c r="E422" s="6"/>
      <c r="F422" s="6"/>
      <c r="G422" s="6"/>
    </row>
    <row r="423" spans="1:7" x14ac:dyDescent="0.25">
      <c r="A423" s="6" t="s">
        <v>12875</v>
      </c>
      <c r="B423" s="6"/>
      <c r="C423" s="6"/>
      <c r="D423" s="6"/>
      <c r="E423" s="6"/>
      <c r="F423" s="6"/>
      <c r="G423" s="6"/>
    </row>
    <row r="424" spans="1:7" x14ac:dyDescent="0.25">
      <c r="A424" s="6" t="s">
        <v>12872</v>
      </c>
      <c r="B424" s="6"/>
      <c r="C424" s="6"/>
      <c r="D424" s="6"/>
      <c r="E424" s="6"/>
      <c r="F424" s="6"/>
      <c r="G424" s="6"/>
    </row>
    <row r="425" spans="1:7" x14ac:dyDescent="0.25">
      <c r="A425" s="6" t="s">
        <v>957</v>
      </c>
      <c r="B425" s="6"/>
      <c r="C425" s="6"/>
      <c r="D425" s="6"/>
      <c r="E425" s="6"/>
      <c r="F425" s="6"/>
      <c r="G425" s="6"/>
    </row>
    <row r="426" spans="1:7" x14ac:dyDescent="0.25">
      <c r="A426" s="6" t="s">
        <v>12868</v>
      </c>
      <c r="B426" s="6"/>
      <c r="C426" s="6"/>
      <c r="D426" s="6"/>
      <c r="E426" s="6"/>
      <c r="F426" s="6"/>
      <c r="G426" s="6"/>
    </row>
    <row r="427" spans="1:7" x14ac:dyDescent="0.25">
      <c r="A427" s="6" t="s">
        <v>12865</v>
      </c>
      <c r="B427" s="6"/>
      <c r="C427" s="6"/>
      <c r="D427" s="6"/>
      <c r="E427" s="6"/>
      <c r="F427" s="6"/>
      <c r="G427" s="6"/>
    </row>
    <row r="428" spans="1:7" x14ac:dyDescent="0.25">
      <c r="A428" s="6" t="s">
        <v>12862</v>
      </c>
      <c r="B428" s="6"/>
      <c r="C428" s="6"/>
      <c r="D428" s="6"/>
      <c r="E428" s="6"/>
      <c r="F428" s="6"/>
      <c r="G428" s="6"/>
    </row>
    <row r="429" spans="1:7" x14ac:dyDescent="0.25">
      <c r="A429" s="6" t="s">
        <v>957</v>
      </c>
      <c r="B429" s="6"/>
      <c r="C429" s="6"/>
      <c r="D429" s="6"/>
      <c r="E429" s="6"/>
      <c r="F429" s="6"/>
      <c r="G429" s="6"/>
    </row>
    <row r="430" spans="1:7" x14ac:dyDescent="0.25">
      <c r="A430" s="6" t="s">
        <v>957</v>
      </c>
      <c r="B430" s="6"/>
      <c r="C430" s="6"/>
      <c r="D430" s="6"/>
      <c r="E430" s="6"/>
      <c r="F430" s="6"/>
      <c r="G430" s="6"/>
    </row>
    <row r="431" spans="1:7" x14ac:dyDescent="0.25">
      <c r="A431" s="6" t="s">
        <v>12858</v>
      </c>
      <c r="B431" s="6"/>
      <c r="C431" s="6"/>
      <c r="D431" s="6"/>
      <c r="E431" s="6"/>
      <c r="F431" s="6"/>
      <c r="G431" s="6"/>
    </row>
    <row r="432" spans="1:7" x14ac:dyDescent="0.25">
      <c r="A432" s="6" t="s">
        <v>12855</v>
      </c>
      <c r="B432" s="6"/>
      <c r="C432" s="6"/>
      <c r="D432" s="6"/>
      <c r="E432" s="6"/>
      <c r="F432" s="6"/>
      <c r="G432" s="6"/>
    </row>
    <row r="433" spans="1:7" x14ac:dyDescent="0.25">
      <c r="A433" s="6" t="s">
        <v>12853</v>
      </c>
      <c r="B433" s="6"/>
      <c r="C433" s="6"/>
      <c r="D433" s="6"/>
      <c r="E433" s="6"/>
      <c r="F433" s="6"/>
      <c r="G433" s="6"/>
    </row>
    <row r="434" spans="1:7" x14ac:dyDescent="0.25">
      <c r="A434" s="6" t="s">
        <v>12850</v>
      </c>
      <c r="B434" s="6"/>
      <c r="C434" s="6"/>
      <c r="D434" s="6"/>
      <c r="E434" s="6"/>
      <c r="F434" s="6"/>
      <c r="G434" s="6"/>
    </row>
    <row r="435" spans="1:7" x14ac:dyDescent="0.25">
      <c r="A435" s="6" t="s">
        <v>957</v>
      </c>
      <c r="B435" s="6"/>
      <c r="C435" s="6"/>
      <c r="D435" s="6"/>
      <c r="E435" s="6"/>
      <c r="F435" s="6"/>
      <c r="G435" s="6"/>
    </row>
    <row r="436" spans="1:7" x14ac:dyDescent="0.25">
      <c r="A436" s="6" t="s">
        <v>12846</v>
      </c>
      <c r="B436" s="6"/>
      <c r="C436" s="6"/>
      <c r="D436" s="6"/>
      <c r="E436" s="6"/>
      <c r="F436" s="6"/>
      <c r="G436" s="6"/>
    </row>
    <row r="437" spans="1:7" x14ac:dyDescent="0.25">
      <c r="A437" s="6" t="s">
        <v>12843</v>
      </c>
      <c r="B437" s="6"/>
      <c r="C437" s="6"/>
      <c r="D437" s="6"/>
      <c r="E437" s="6"/>
      <c r="F437" s="6"/>
      <c r="G437" s="6"/>
    </row>
    <row r="438" spans="1:7" x14ac:dyDescent="0.25">
      <c r="A438" s="6" t="s">
        <v>957</v>
      </c>
      <c r="B438" s="6"/>
      <c r="C438" s="6"/>
      <c r="D438" s="6"/>
      <c r="E438" s="6"/>
      <c r="F438" s="6"/>
      <c r="G438" s="6"/>
    </row>
    <row r="439" spans="1:7" x14ac:dyDescent="0.25">
      <c r="A439" s="6" t="s">
        <v>957</v>
      </c>
      <c r="B439" s="6"/>
      <c r="C439" s="6"/>
      <c r="D439" s="6"/>
      <c r="E439" s="6"/>
      <c r="F439" s="6"/>
      <c r="G439" s="6"/>
    </row>
    <row r="440" spans="1:7" x14ac:dyDescent="0.25">
      <c r="A440" s="6" t="s">
        <v>12838</v>
      </c>
      <c r="B440" s="6"/>
      <c r="C440" s="6"/>
      <c r="D440" s="6"/>
      <c r="E440" s="6"/>
      <c r="F440" s="6"/>
      <c r="G440" s="6"/>
    </row>
    <row r="441" spans="1:7" x14ac:dyDescent="0.25">
      <c r="A441" s="6" t="s">
        <v>957</v>
      </c>
      <c r="B441" s="6"/>
      <c r="C441" s="6"/>
      <c r="D441" s="6"/>
      <c r="E441" s="6"/>
      <c r="F441" s="6"/>
      <c r="G441" s="6"/>
    </row>
    <row r="442" spans="1:7" x14ac:dyDescent="0.25">
      <c r="A442" s="6" t="s">
        <v>957</v>
      </c>
      <c r="B442" s="6"/>
      <c r="C442" s="6"/>
      <c r="D442" s="6"/>
      <c r="E442" s="6"/>
      <c r="F442" s="6"/>
      <c r="G442" s="6"/>
    </row>
    <row r="443" spans="1:7" x14ac:dyDescent="0.25">
      <c r="A443" s="6" t="s">
        <v>12833</v>
      </c>
      <c r="B443" s="6"/>
      <c r="C443" s="6"/>
      <c r="D443" s="6"/>
      <c r="E443" s="6"/>
      <c r="F443" s="6"/>
      <c r="G443" s="6"/>
    </row>
    <row r="444" spans="1:7" x14ac:dyDescent="0.25">
      <c r="A444" s="6" t="s">
        <v>12831</v>
      </c>
      <c r="B444" s="6"/>
      <c r="C444" s="6"/>
      <c r="D444" s="6"/>
      <c r="E444" s="6"/>
      <c r="F444" s="6"/>
      <c r="G444" s="6"/>
    </row>
    <row r="445" spans="1:7" x14ac:dyDescent="0.25">
      <c r="A445" s="6" t="s">
        <v>12828</v>
      </c>
      <c r="B445" s="6"/>
      <c r="C445" s="6"/>
      <c r="D445" s="6"/>
      <c r="E445" s="6"/>
      <c r="F445" s="6"/>
      <c r="G445" s="6"/>
    </row>
    <row r="446" spans="1:7" x14ac:dyDescent="0.25">
      <c r="A446" s="6" t="s">
        <v>957</v>
      </c>
      <c r="B446" s="6"/>
      <c r="C446" s="6"/>
      <c r="D446" s="6"/>
      <c r="E446" s="6"/>
      <c r="F446" s="6"/>
      <c r="G446" s="6"/>
    </row>
    <row r="447" spans="1:7" x14ac:dyDescent="0.25">
      <c r="A447" s="6" t="s">
        <v>12824</v>
      </c>
      <c r="B447" s="6"/>
      <c r="C447" s="6"/>
      <c r="D447" s="6"/>
      <c r="E447" s="6"/>
      <c r="F447" s="6"/>
      <c r="G447" s="6"/>
    </row>
    <row r="448" spans="1:7" x14ac:dyDescent="0.25">
      <c r="A448" s="6" t="s">
        <v>12821</v>
      </c>
      <c r="B448" s="6"/>
      <c r="C448" s="6"/>
      <c r="D448" s="6"/>
      <c r="E448" s="6"/>
      <c r="F448" s="6"/>
      <c r="G448" s="6"/>
    </row>
    <row r="449" spans="1:7" x14ac:dyDescent="0.25">
      <c r="A449" s="6" t="s">
        <v>12818</v>
      </c>
      <c r="B449" s="6"/>
      <c r="C449" s="6"/>
      <c r="D449" s="6"/>
      <c r="E449" s="6"/>
      <c r="F449" s="6"/>
      <c r="G449" s="6"/>
    </row>
    <row r="450" spans="1:7" x14ac:dyDescent="0.25">
      <c r="A450" s="6" t="s">
        <v>957</v>
      </c>
      <c r="B450" s="6"/>
      <c r="C450" s="6"/>
      <c r="D450" s="6"/>
      <c r="E450" s="6"/>
      <c r="F450" s="6"/>
      <c r="G450" s="6"/>
    </row>
    <row r="451" spans="1:7" x14ac:dyDescent="0.25">
      <c r="A451" s="6" t="s">
        <v>12815</v>
      </c>
      <c r="B451" s="6"/>
      <c r="C451" s="6"/>
      <c r="D451" s="6"/>
      <c r="E451" s="6"/>
      <c r="F451" s="6"/>
      <c r="G451" s="6"/>
    </row>
    <row r="452" spans="1:7" x14ac:dyDescent="0.25">
      <c r="A452" s="6" t="s">
        <v>12812</v>
      </c>
      <c r="B452" s="6"/>
      <c r="C452" s="6"/>
      <c r="D452" s="6"/>
      <c r="E452" s="6"/>
      <c r="F452" s="6"/>
      <c r="G452" s="6"/>
    </row>
    <row r="453" spans="1:7" x14ac:dyDescent="0.25">
      <c r="A453" s="6" t="s">
        <v>12809</v>
      </c>
      <c r="B453" s="6"/>
      <c r="C453" s="6"/>
      <c r="D453" s="6"/>
      <c r="E453" s="6"/>
      <c r="F453" s="6"/>
      <c r="G453" s="6"/>
    </row>
    <row r="454" spans="1:7" x14ac:dyDescent="0.25">
      <c r="A454" s="6" t="s">
        <v>12806</v>
      </c>
      <c r="B454" s="6"/>
      <c r="C454" s="6"/>
      <c r="D454" s="6"/>
      <c r="E454" s="6"/>
      <c r="F454" s="6"/>
      <c r="G454" s="6"/>
    </row>
    <row r="455" spans="1:7" x14ac:dyDescent="0.25">
      <c r="A455" s="6" t="s">
        <v>957</v>
      </c>
      <c r="B455" s="6"/>
      <c r="C455" s="6"/>
      <c r="D455" s="6"/>
      <c r="E455" s="6"/>
      <c r="F455" s="6"/>
      <c r="G455" s="6"/>
    </row>
    <row r="456" spans="1:7" x14ac:dyDescent="0.25">
      <c r="A456" s="6" t="s">
        <v>957</v>
      </c>
      <c r="B456" s="6"/>
      <c r="C456" s="6"/>
      <c r="D456" s="6"/>
      <c r="E456" s="6"/>
      <c r="F456" s="6"/>
      <c r="G456" s="6"/>
    </row>
    <row r="457" spans="1:7" x14ac:dyDescent="0.25">
      <c r="A457" s="6" t="s">
        <v>12800</v>
      </c>
      <c r="B457" s="6"/>
      <c r="C457" s="6"/>
      <c r="D457" s="6"/>
      <c r="E457" s="6"/>
      <c r="F457" s="6"/>
      <c r="G457" s="6"/>
    </row>
    <row r="458" spans="1:7" x14ac:dyDescent="0.25">
      <c r="A458" s="6" t="s">
        <v>12798</v>
      </c>
      <c r="B458" s="6"/>
      <c r="C458" s="6"/>
      <c r="D458" s="6"/>
      <c r="E458" s="6"/>
      <c r="F458" s="6"/>
      <c r="G458" s="6"/>
    </row>
    <row r="459" spans="1:7" x14ac:dyDescent="0.25">
      <c r="A459" s="6" t="s">
        <v>12795</v>
      </c>
      <c r="B459" s="6"/>
      <c r="C459" s="6"/>
      <c r="D459" s="6"/>
      <c r="E459" s="6"/>
      <c r="F459" s="6"/>
      <c r="G459" s="6"/>
    </row>
    <row r="460" spans="1:7" x14ac:dyDescent="0.25">
      <c r="A460" s="6" t="s">
        <v>957</v>
      </c>
      <c r="B460" s="6"/>
      <c r="C460" s="6"/>
      <c r="D460" s="6"/>
      <c r="E460" s="6"/>
      <c r="F460" s="6"/>
      <c r="G460" s="6"/>
    </row>
    <row r="461" spans="1:7" x14ac:dyDescent="0.25">
      <c r="A461" s="6" t="s">
        <v>12791</v>
      </c>
      <c r="B461" s="6"/>
      <c r="C461" s="6"/>
      <c r="D461" s="6"/>
      <c r="E461" s="6"/>
      <c r="F461" s="6"/>
      <c r="G461" s="6"/>
    </row>
    <row r="462" spans="1:7" x14ac:dyDescent="0.25">
      <c r="A462" s="6" t="s">
        <v>957</v>
      </c>
      <c r="B462" s="6"/>
      <c r="C462" s="6"/>
      <c r="D462" s="6"/>
      <c r="E462" s="6"/>
      <c r="F462" s="6"/>
      <c r="G462" s="6"/>
    </row>
    <row r="463" spans="1:7" x14ac:dyDescent="0.25">
      <c r="A463" s="6" t="s">
        <v>957</v>
      </c>
      <c r="B463" s="6"/>
      <c r="C463" s="6"/>
      <c r="D463" s="6"/>
      <c r="E463" s="6"/>
      <c r="F463" s="6"/>
      <c r="G463" s="6"/>
    </row>
    <row r="464" spans="1:7" x14ac:dyDescent="0.25">
      <c r="A464" s="6" t="s">
        <v>12786</v>
      </c>
      <c r="B464" s="6"/>
      <c r="C464" s="6"/>
      <c r="D464" s="6"/>
      <c r="E464" s="6"/>
      <c r="F464" s="6"/>
      <c r="G464" s="6"/>
    </row>
    <row r="465" spans="1:7" x14ac:dyDescent="0.25">
      <c r="A465" s="6" t="s">
        <v>12783</v>
      </c>
      <c r="B465" s="6"/>
      <c r="C465" s="6"/>
      <c r="D465" s="6"/>
      <c r="E465" s="6"/>
      <c r="F465" s="6"/>
      <c r="G465" s="6"/>
    </row>
    <row r="466" spans="1:7" x14ac:dyDescent="0.25">
      <c r="A466" s="6" t="s">
        <v>12780</v>
      </c>
      <c r="B466" s="6"/>
      <c r="C466" s="6"/>
      <c r="D466" s="6"/>
      <c r="E466" s="6"/>
      <c r="F466" s="6"/>
      <c r="G466" s="6"/>
    </row>
    <row r="467" spans="1:7" x14ac:dyDescent="0.25">
      <c r="A467" s="6" t="s">
        <v>12777</v>
      </c>
      <c r="B467" s="6"/>
      <c r="C467" s="6"/>
      <c r="D467" s="6"/>
      <c r="E467" s="6"/>
      <c r="F467" s="6"/>
      <c r="G467" s="6"/>
    </row>
    <row r="468" spans="1:7" x14ac:dyDescent="0.25">
      <c r="A468" s="6" t="s">
        <v>12775</v>
      </c>
      <c r="B468" s="6"/>
      <c r="C468" s="6"/>
      <c r="D468" s="6"/>
      <c r="E468" s="6"/>
      <c r="F468" s="6"/>
      <c r="G468" s="6"/>
    </row>
    <row r="469" spans="1:7" x14ac:dyDescent="0.25">
      <c r="A469" s="6" t="s">
        <v>957</v>
      </c>
      <c r="B469" s="6"/>
      <c r="C469" s="6"/>
      <c r="D469" s="6"/>
      <c r="E469" s="6"/>
      <c r="F469" s="6"/>
      <c r="G469" s="6"/>
    </row>
    <row r="470" spans="1:7" x14ac:dyDescent="0.25">
      <c r="A470" s="6" t="s">
        <v>957</v>
      </c>
      <c r="B470" s="6"/>
      <c r="C470" s="6"/>
      <c r="D470" s="6"/>
      <c r="E470" s="6"/>
      <c r="F470" s="6"/>
      <c r="G470" s="6"/>
    </row>
    <row r="471" spans="1:7" x14ac:dyDescent="0.25">
      <c r="A471" s="6" t="s">
        <v>957</v>
      </c>
      <c r="B471" s="6"/>
      <c r="C471" s="6"/>
      <c r="D471" s="6"/>
      <c r="E471" s="6"/>
      <c r="F471" s="6"/>
      <c r="G471" s="6"/>
    </row>
    <row r="472" spans="1:7" x14ac:dyDescent="0.25">
      <c r="A472" s="6" t="s">
        <v>12769</v>
      </c>
      <c r="B472" s="6"/>
      <c r="C472" s="6"/>
      <c r="D472" s="6"/>
      <c r="E472" s="6"/>
      <c r="F472" s="6"/>
      <c r="G472" s="6"/>
    </row>
    <row r="473" spans="1:7" x14ac:dyDescent="0.25">
      <c r="A473" s="6" t="s">
        <v>12767</v>
      </c>
      <c r="B473" s="6"/>
      <c r="C473" s="6"/>
      <c r="D473" s="6"/>
      <c r="E473" s="6"/>
      <c r="F473" s="6"/>
      <c r="G473" s="6"/>
    </row>
    <row r="474" spans="1:7" x14ac:dyDescent="0.25">
      <c r="A474" s="6" t="s">
        <v>12764</v>
      </c>
      <c r="B474" s="6"/>
      <c r="C474" s="6"/>
      <c r="D474" s="6"/>
      <c r="E474" s="6"/>
      <c r="F474" s="6"/>
      <c r="G474" s="6"/>
    </row>
    <row r="475" spans="1:7" x14ac:dyDescent="0.25">
      <c r="A475" s="6" t="s">
        <v>13189</v>
      </c>
      <c r="B475" s="6"/>
      <c r="C475" s="6"/>
      <c r="D475" s="6"/>
      <c r="E475" s="6"/>
      <c r="F475" s="6"/>
      <c r="G475" s="6"/>
    </row>
    <row r="476" spans="1:7" x14ac:dyDescent="0.25">
      <c r="A476" s="6" t="s">
        <v>13186</v>
      </c>
      <c r="B476" s="6"/>
      <c r="C476" s="6"/>
      <c r="D476" s="6"/>
      <c r="E476" s="6"/>
      <c r="F476" s="6"/>
      <c r="G476" s="6"/>
    </row>
    <row r="477" spans="1:7" x14ac:dyDescent="0.25">
      <c r="A477" s="6" t="s">
        <v>13183</v>
      </c>
      <c r="B477" s="6"/>
      <c r="C477" s="6"/>
      <c r="D477" s="6"/>
      <c r="E477" s="6"/>
      <c r="F477" s="6"/>
      <c r="G477" s="6"/>
    </row>
    <row r="478" spans="1:7" x14ac:dyDescent="0.25">
      <c r="A478" s="6" t="s">
        <v>13180</v>
      </c>
      <c r="B478" s="6"/>
      <c r="C478" s="6"/>
      <c r="D478" s="6"/>
      <c r="E478" s="6"/>
      <c r="F478" s="6"/>
      <c r="G478" s="6"/>
    </row>
    <row r="479" spans="1:7" x14ac:dyDescent="0.25">
      <c r="A479" s="6" t="s">
        <v>957</v>
      </c>
      <c r="B479" s="6"/>
      <c r="C479" s="6"/>
      <c r="D479" s="6"/>
      <c r="E479" s="6"/>
      <c r="F479" s="6"/>
      <c r="G479" s="6"/>
    </row>
    <row r="480" spans="1:7" x14ac:dyDescent="0.25">
      <c r="A480" s="6" t="s">
        <v>957</v>
      </c>
      <c r="B480" s="6"/>
      <c r="C480" s="6"/>
      <c r="D480" s="6"/>
      <c r="E480" s="6"/>
      <c r="F480" s="6"/>
      <c r="G480" s="6"/>
    </row>
    <row r="481" spans="1:7" x14ac:dyDescent="0.25">
      <c r="A481" s="6" t="s">
        <v>13176</v>
      </c>
      <c r="B481" s="6"/>
      <c r="C481" s="6"/>
      <c r="D481" s="6"/>
      <c r="E481" s="6"/>
      <c r="F481" s="6"/>
      <c r="G481" s="6"/>
    </row>
    <row r="482" spans="1:7" x14ac:dyDescent="0.25">
      <c r="A482" s="6" t="s">
        <v>13173</v>
      </c>
      <c r="B482" s="6"/>
      <c r="C482" s="6"/>
      <c r="D482" s="6"/>
      <c r="E482" s="6"/>
      <c r="F482" s="6"/>
      <c r="G482" s="6"/>
    </row>
    <row r="483" spans="1:7" x14ac:dyDescent="0.25">
      <c r="A483" s="6" t="s">
        <v>957</v>
      </c>
      <c r="B483" s="6"/>
      <c r="C483" s="6"/>
      <c r="D483" s="6"/>
      <c r="E483" s="6"/>
      <c r="F483" s="6"/>
      <c r="G483" s="6"/>
    </row>
    <row r="484" spans="1:7" x14ac:dyDescent="0.25">
      <c r="A484" s="6" t="s">
        <v>957</v>
      </c>
      <c r="B484" s="6"/>
      <c r="C484" s="6"/>
      <c r="D484" s="6"/>
      <c r="E484" s="6"/>
      <c r="F484" s="6"/>
      <c r="G484" s="6"/>
    </row>
    <row r="485" spans="1:7" x14ac:dyDescent="0.25">
      <c r="A485" s="6" t="s">
        <v>13168</v>
      </c>
      <c r="B485" s="6"/>
      <c r="C485" s="6"/>
      <c r="D485" s="6"/>
      <c r="E485" s="6"/>
      <c r="F485" s="6"/>
      <c r="G485" s="6"/>
    </row>
    <row r="486" spans="1:7" x14ac:dyDescent="0.25">
      <c r="A486" s="6" t="s">
        <v>957</v>
      </c>
      <c r="B486" s="6"/>
      <c r="C486" s="6"/>
      <c r="D486" s="6"/>
      <c r="E486" s="6"/>
      <c r="F486" s="6"/>
      <c r="G486" s="6"/>
    </row>
    <row r="487" spans="1:7" x14ac:dyDescent="0.25">
      <c r="A487" s="6" t="s">
        <v>13163</v>
      </c>
      <c r="B487" s="6"/>
      <c r="C487" s="6"/>
      <c r="D487" s="6"/>
      <c r="E487" s="6"/>
      <c r="F487" s="6"/>
      <c r="G487" s="6"/>
    </row>
    <row r="488" spans="1:7" x14ac:dyDescent="0.25">
      <c r="A488" s="6" t="s">
        <v>13160</v>
      </c>
      <c r="B488" s="6"/>
      <c r="C488" s="6"/>
      <c r="D488" s="6"/>
      <c r="E488" s="6"/>
      <c r="F488" s="6"/>
      <c r="G488" s="6"/>
    </row>
    <row r="489" spans="1:7" x14ac:dyDescent="0.25">
      <c r="A489" s="6" t="s">
        <v>13157</v>
      </c>
      <c r="B489" s="6"/>
      <c r="C489" s="6"/>
      <c r="D489" s="6"/>
      <c r="E489" s="6"/>
      <c r="F489" s="6"/>
      <c r="G489" s="6"/>
    </row>
    <row r="490" spans="1:7" x14ac:dyDescent="0.25">
      <c r="A490" s="6" t="s">
        <v>13154</v>
      </c>
      <c r="B490" s="6"/>
      <c r="C490" s="6"/>
      <c r="D490" s="6"/>
      <c r="E490" s="6"/>
      <c r="F490" s="6"/>
      <c r="G490" s="6"/>
    </row>
    <row r="491" spans="1:7" x14ac:dyDescent="0.25">
      <c r="A491" s="6" t="s">
        <v>13152</v>
      </c>
      <c r="B491" s="6"/>
      <c r="C491" s="6"/>
      <c r="D491" s="6"/>
      <c r="E491" s="6"/>
      <c r="F491" s="6"/>
      <c r="G491" s="6"/>
    </row>
    <row r="492" spans="1:7" x14ac:dyDescent="0.25">
      <c r="A492" s="6" t="s">
        <v>13150</v>
      </c>
      <c r="B492" s="6"/>
      <c r="C492" s="6"/>
      <c r="D492" s="6"/>
      <c r="E492" s="6"/>
      <c r="F492" s="6"/>
      <c r="G492" s="6"/>
    </row>
    <row r="493" spans="1:7" x14ac:dyDescent="0.25">
      <c r="A493" s="6" t="s">
        <v>13147</v>
      </c>
      <c r="B493" s="6"/>
      <c r="C493" s="6"/>
      <c r="D493" s="6"/>
      <c r="E493" s="6"/>
      <c r="F493" s="6"/>
      <c r="G493" s="6"/>
    </row>
    <row r="494" spans="1:7" x14ac:dyDescent="0.25">
      <c r="A494" s="6" t="s">
        <v>13144</v>
      </c>
      <c r="B494" s="6"/>
      <c r="C494" s="6"/>
      <c r="D494" s="6"/>
      <c r="E494" s="6"/>
      <c r="F494" s="6"/>
      <c r="G494" s="6"/>
    </row>
    <row r="495" spans="1:7" x14ac:dyDescent="0.25">
      <c r="A495" s="6" t="s">
        <v>957</v>
      </c>
      <c r="B495" s="6"/>
      <c r="C495" s="6"/>
      <c r="D495" s="6"/>
      <c r="E495" s="6"/>
      <c r="F495" s="6"/>
      <c r="G495" s="6"/>
    </row>
    <row r="496" spans="1:7" x14ac:dyDescent="0.25">
      <c r="A496" s="6" t="s">
        <v>13140</v>
      </c>
      <c r="B496" s="6"/>
      <c r="C496" s="6"/>
      <c r="D496" s="6"/>
      <c r="E496" s="6"/>
      <c r="F496" s="6"/>
      <c r="G496" s="6"/>
    </row>
    <row r="497" spans="1:7" x14ac:dyDescent="0.25">
      <c r="A497" s="6" t="s">
        <v>13137</v>
      </c>
      <c r="B497" s="6"/>
      <c r="C497" s="6"/>
      <c r="D497" s="6"/>
      <c r="E497" s="6"/>
      <c r="F497" s="6"/>
      <c r="G497" s="6"/>
    </row>
    <row r="498" spans="1:7" x14ac:dyDescent="0.25">
      <c r="A498" s="6" t="s">
        <v>957</v>
      </c>
      <c r="B498" s="6"/>
      <c r="C498" s="6"/>
      <c r="D498" s="6"/>
      <c r="E498" s="6"/>
      <c r="F498" s="6"/>
      <c r="G498" s="6"/>
    </row>
    <row r="499" spans="1:7" x14ac:dyDescent="0.25">
      <c r="A499" s="6" t="s">
        <v>14122</v>
      </c>
      <c r="B499" s="6" t="s">
        <v>14123</v>
      </c>
      <c r="C499" s="6"/>
      <c r="D499" s="6"/>
      <c r="E499" s="6"/>
      <c r="F499" s="6"/>
      <c r="G499" s="6"/>
    </row>
    <row r="500" spans="1:7" x14ac:dyDescent="0.25">
      <c r="A500" s="6" t="s">
        <v>14086</v>
      </c>
      <c r="B500" s="6" t="s">
        <v>14087</v>
      </c>
      <c r="C500" s="6" t="s">
        <v>14088</v>
      </c>
      <c r="D500" s="6" t="s">
        <v>14089</v>
      </c>
      <c r="E500" s="6" t="s">
        <v>14090</v>
      </c>
      <c r="F500" s="6"/>
      <c r="G500" s="6"/>
    </row>
    <row r="501" spans="1:7" x14ac:dyDescent="0.25">
      <c r="A501" s="6" t="s">
        <v>14124</v>
      </c>
      <c r="B501" s="6" t="s">
        <v>14125</v>
      </c>
      <c r="C501" s="6"/>
      <c r="D501" s="6"/>
      <c r="E501" s="6"/>
      <c r="F501" s="6"/>
      <c r="G501" s="6"/>
    </row>
    <row r="502" spans="1:7" x14ac:dyDescent="0.25">
      <c r="A502" s="6" t="s">
        <v>13128</v>
      </c>
      <c r="B502" s="6"/>
      <c r="C502" s="6"/>
      <c r="D502" s="6"/>
      <c r="E502" s="6"/>
      <c r="F502" s="6"/>
      <c r="G502" s="6"/>
    </row>
    <row r="503" spans="1:7" x14ac:dyDescent="0.25">
      <c r="A503" s="6" t="s">
        <v>957</v>
      </c>
      <c r="B503" s="6"/>
      <c r="C503" s="6"/>
      <c r="D503" s="6"/>
      <c r="E503" s="6"/>
      <c r="F503" s="6"/>
      <c r="G503" s="6"/>
    </row>
    <row r="504" spans="1:7" x14ac:dyDescent="0.25">
      <c r="A504" s="6" t="s">
        <v>957</v>
      </c>
      <c r="B504" s="6"/>
      <c r="C504" s="6"/>
      <c r="D504" s="6"/>
      <c r="E504" s="6"/>
      <c r="F504" s="6"/>
      <c r="G504" s="6"/>
    </row>
    <row r="505" spans="1:7" x14ac:dyDescent="0.25">
      <c r="A505" s="6" t="s">
        <v>957</v>
      </c>
      <c r="B505" s="6"/>
      <c r="C505" s="6"/>
      <c r="D505" s="6"/>
      <c r="E505" s="6"/>
      <c r="F505" s="6"/>
      <c r="G505" s="6"/>
    </row>
    <row r="506" spans="1:7" x14ac:dyDescent="0.25">
      <c r="A506" s="6" t="s">
        <v>13122</v>
      </c>
      <c r="B506" s="6"/>
      <c r="C506" s="6"/>
      <c r="D506" s="6"/>
      <c r="E506" s="6"/>
      <c r="F506" s="6"/>
      <c r="G506" s="6"/>
    </row>
    <row r="507" spans="1:7" x14ac:dyDescent="0.25">
      <c r="A507" s="6" t="s">
        <v>957</v>
      </c>
      <c r="B507" s="6"/>
      <c r="C507" s="6"/>
      <c r="D507" s="6"/>
      <c r="E507" s="6"/>
      <c r="F507" s="6"/>
      <c r="G507" s="6"/>
    </row>
    <row r="508" spans="1:7" x14ac:dyDescent="0.25">
      <c r="A508" s="6" t="s">
        <v>12974</v>
      </c>
      <c r="B508" s="6"/>
      <c r="C508" s="6"/>
      <c r="D508" s="6"/>
      <c r="E508" s="6"/>
      <c r="F508" s="6"/>
      <c r="G508" s="6"/>
    </row>
    <row r="509" spans="1:7" x14ac:dyDescent="0.25">
      <c r="A509" s="6" t="s">
        <v>12971</v>
      </c>
      <c r="B509" s="6"/>
      <c r="C509" s="6"/>
      <c r="D509" s="6"/>
      <c r="E509" s="6"/>
      <c r="F509" s="6"/>
      <c r="G509" s="6"/>
    </row>
    <row r="510" spans="1:7" x14ac:dyDescent="0.25">
      <c r="A510" s="6" t="s">
        <v>12968</v>
      </c>
      <c r="B510" s="6"/>
      <c r="C510" s="6"/>
      <c r="D510" s="6"/>
      <c r="E510" s="6"/>
      <c r="F510" s="6"/>
      <c r="G510" s="6"/>
    </row>
    <row r="511" spans="1:7" x14ac:dyDescent="0.25">
      <c r="A511" s="6" t="s">
        <v>12965</v>
      </c>
      <c r="B511" s="6"/>
      <c r="C511" s="6"/>
      <c r="D511" s="6"/>
      <c r="E511" s="6"/>
      <c r="F511" s="6"/>
      <c r="G511" s="6"/>
    </row>
    <row r="512" spans="1:7" x14ac:dyDescent="0.25">
      <c r="A512" s="6" t="s">
        <v>12962</v>
      </c>
      <c r="B512" s="6"/>
      <c r="C512" s="6"/>
      <c r="D512" s="6"/>
      <c r="E512" s="6"/>
      <c r="F512" s="6"/>
      <c r="G512" s="6"/>
    </row>
    <row r="513" spans="1:7" x14ac:dyDescent="0.25">
      <c r="A513" s="6" t="s">
        <v>957</v>
      </c>
      <c r="B513" s="6"/>
      <c r="C513" s="6"/>
      <c r="D513" s="6"/>
      <c r="E513" s="6"/>
      <c r="F513" s="6"/>
      <c r="G513" s="6"/>
    </row>
    <row r="514" spans="1:7" x14ac:dyDescent="0.25">
      <c r="A514" s="6" t="s">
        <v>12957</v>
      </c>
      <c r="B514" s="6"/>
      <c r="C514" s="6"/>
      <c r="D514" s="6"/>
      <c r="E514" s="6"/>
      <c r="F514" s="6"/>
      <c r="G514" s="6"/>
    </row>
    <row r="515" spans="1:7" x14ac:dyDescent="0.25">
      <c r="A515" s="6" t="s">
        <v>12954</v>
      </c>
      <c r="B515" s="6"/>
      <c r="C515" s="6"/>
      <c r="D515" s="6"/>
      <c r="E515" s="6"/>
      <c r="F515" s="6"/>
      <c r="G515" s="6"/>
    </row>
    <row r="516" spans="1:7" x14ac:dyDescent="0.25">
      <c r="A516" s="6" t="s">
        <v>12951</v>
      </c>
      <c r="B516" s="6"/>
      <c r="C516" s="6"/>
      <c r="D516" s="6"/>
      <c r="E516" s="6"/>
      <c r="F516" s="6"/>
      <c r="G516" s="6"/>
    </row>
    <row r="517" spans="1:7" x14ac:dyDescent="0.25">
      <c r="A517" s="6" t="s">
        <v>12948</v>
      </c>
      <c r="B517" s="6"/>
      <c r="C517" s="6"/>
      <c r="D517" s="6"/>
      <c r="E517" s="6"/>
      <c r="F517" s="6"/>
      <c r="G517" s="6"/>
    </row>
    <row r="518" spans="1:7" x14ac:dyDescent="0.25">
      <c r="A518" s="6" t="s">
        <v>957</v>
      </c>
      <c r="B518" s="6"/>
      <c r="C518" s="6"/>
      <c r="D518" s="6"/>
      <c r="E518" s="6"/>
      <c r="F518" s="6"/>
      <c r="G518" s="6"/>
    </row>
    <row r="519" spans="1:7" x14ac:dyDescent="0.25">
      <c r="A519" s="6" t="s">
        <v>12944</v>
      </c>
      <c r="B519" s="6"/>
      <c r="C519" s="6"/>
      <c r="D519" s="6"/>
      <c r="E519" s="6"/>
      <c r="F519" s="6"/>
      <c r="G519" s="6"/>
    </row>
    <row r="520" spans="1:7" x14ac:dyDescent="0.25">
      <c r="A520" s="6" t="s">
        <v>12941</v>
      </c>
      <c r="B520" s="6"/>
      <c r="C520" s="6"/>
      <c r="D520" s="6"/>
      <c r="E520" s="6"/>
      <c r="F520" s="6"/>
      <c r="G520" s="6"/>
    </row>
    <row r="521" spans="1:7" x14ac:dyDescent="0.25">
      <c r="A521" s="6" t="s">
        <v>12938</v>
      </c>
      <c r="B521" s="6"/>
      <c r="C521" s="6"/>
      <c r="D521" s="6"/>
      <c r="E521" s="6"/>
      <c r="F521" s="6"/>
      <c r="G521" s="6"/>
    </row>
    <row r="522" spans="1:7" x14ac:dyDescent="0.25">
      <c r="A522" s="6" t="s">
        <v>957</v>
      </c>
      <c r="B522" s="6"/>
      <c r="C522" s="6"/>
      <c r="D522" s="6"/>
      <c r="E522" s="6"/>
      <c r="F522" s="6"/>
      <c r="G522" s="6"/>
    </row>
    <row r="523" spans="1:7" x14ac:dyDescent="0.25">
      <c r="A523" s="6" t="s">
        <v>12934</v>
      </c>
      <c r="B523" s="6"/>
      <c r="C523" s="6"/>
      <c r="D523" s="6"/>
      <c r="E523" s="6"/>
      <c r="F523" s="6"/>
      <c r="G523" s="6"/>
    </row>
    <row r="524" spans="1:7" x14ac:dyDescent="0.25">
      <c r="A524" s="6" t="s">
        <v>12931</v>
      </c>
      <c r="B524" s="6"/>
      <c r="C524" s="6"/>
      <c r="D524" s="6"/>
      <c r="E524" s="6"/>
      <c r="F524" s="6"/>
      <c r="G524" s="6"/>
    </row>
    <row r="525" spans="1:7" x14ac:dyDescent="0.25">
      <c r="A525" s="6" t="s">
        <v>12928</v>
      </c>
      <c r="B525" s="6"/>
      <c r="C525" s="6"/>
      <c r="D525" s="6"/>
      <c r="E525" s="6"/>
      <c r="F525" s="6"/>
      <c r="G525" s="6"/>
    </row>
    <row r="526" spans="1:7" x14ac:dyDescent="0.25">
      <c r="A526" s="6" t="s">
        <v>12925</v>
      </c>
      <c r="B526" s="6"/>
      <c r="C526" s="6"/>
      <c r="D526" s="6"/>
      <c r="E526" s="6"/>
      <c r="F526" s="6"/>
      <c r="G526" s="6"/>
    </row>
    <row r="527" spans="1:7" x14ac:dyDescent="0.25">
      <c r="A527" s="6" t="s">
        <v>11732</v>
      </c>
      <c r="B527" s="6"/>
      <c r="C527" s="6"/>
      <c r="D527" s="6"/>
      <c r="E527" s="6"/>
      <c r="F527" s="6"/>
      <c r="G527" s="6"/>
    </row>
    <row r="528" spans="1:7" x14ac:dyDescent="0.25">
      <c r="A528" s="6" t="s">
        <v>11729</v>
      </c>
      <c r="B528" s="6"/>
      <c r="C528" s="6"/>
      <c r="D528" s="6"/>
      <c r="E528" s="6"/>
      <c r="F528" s="6"/>
      <c r="G528" s="6"/>
    </row>
    <row r="529" spans="1:7" x14ac:dyDescent="0.25">
      <c r="A529" s="6" t="s">
        <v>957</v>
      </c>
      <c r="B529" s="6"/>
      <c r="C529" s="6"/>
      <c r="D529" s="6"/>
      <c r="E529" s="6"/>
      <c r="F529" s="6"/>
      <c r="G529" s="6"/>
    </row>
    <row r="530" spans="1:7" x14ac:dyDescent="0.25">
      <c r="A530" s="6" t="s">
        <v>11725</v>
      </c>
      <c r="B530" s="6"/>
      <c r="C530" s="6"/>
      <c r="D530" s="6"/>
      <c r="E530" s="6"/>
      <c r="F530" s="6"/>
      <c r="G530" s="6"/>
    </row>
    <row r="531" spans="1:7" x14ac:dyDescent="0.25">
      <c r="A531" s="6" t="s">
        <v>11722</v>
      </c>
      <c r="B531" s="6"/>
      <c r="C531" s="6"/>
      <c r="D531" s="6"/>
      <c r="E531" s="6"/>
      <c r="F531" s="6"/>
      <c r="G531" s="6"/>
    </row>
    <row r="532" spans="1:7" x14ac:dyDescent="0.25">
      <c r="A532" s="6" t="s">
        <v>11719</v>
      </c>
      <c r="B532" s="6"/>
      <c r="C532" s="6"/>
      <c r="D532" s="6"/>
      <c r="E532" s="6"/>
      <c r="F532" s="6"/>
      <c r="G532" s="6"/>
    </row>
    <row r="533" spans="1:7" x14ac:dyDescent="0.25">
      <c r="A533" s="6" t="s">
        <v>12696</v>
      </c>
      <c r="B533" s="6"/>
      <c r="C533" s="6"/>
      <c r="D533" s="6"/>
      <c r="E533" s="6"/>
      <c r="F533" s="6"/>
      <c r="G533" s="6"/>
    </row>
    <row r="534" spans="1:7" x14ac:dyDescent="0.25">
      <c r="A534" s="6" t="s">
        <v>13607</v>
      </c>
      <c r="B534" s="6"/>
      <c r="C534" s="6"/>
      <c r="D534" s="6"/>
      <c r="E534" s="6"/>
      <c r="F534" s="6"/>
      <c r="G534" s="6"/>
    </row>
    <row r="535" spans="1:7" x14ac:dyDescent="0.25">
      <c r="A535" s="6" t="s">
        <v>13604</v>
      </c>
      <c r="B535" s="6"/>
      <c r="C535" s="6"/>
      <c r="D535" s="6"/>
      <c r="E535" s="6"/>
      <c r="F535" s="6"/>
      <c r="G535" s="6"/>
    </row>
    <row r="536" spans="1:7" x14ac:dyDescent="0.25">
      <c r="A536" s="6" t="s">
        <v>13600</v>
      </c>
      <c r="B536" s="6"/>
      <c r="C536" s="6"/>
      <c r="D536" s="6"/>
      <c r="E536" s="6"/>
      <c r="F536" s="6"/>
      <c r="G536" s="6"/>
    </row>
    <row r="537" spans="1:7" x14ac:dyDescent="0.25">
      <c r="A537" s="6" t="s">
        <v>13600</v>
      </c>
      <c r="B537" s="6"/>
      <c r="C537" s="6"/>
      <c r="D537" s="6"/>
      <c r="E537" s="6"/>
      <c r="F537" s="6"/>
      <c r="G537" s="6"/>
    </row>
    <row r="538" spans="1:7" x14ac:dyDescent="0.25">
      <c r="A538" s="6" t="s">
        <v>13597</v>
      </c>
      <c r="B538" s="6"/>
      <c r="C538" s="6"/>
      <c r="D538" s="6"/>
      <c r="E538" s="6"/>
      <c r="F538" s="6"/>
      <c r="G538" s="6"/>
    </row>
    <row r="539" spans="1:7" x14ac:dyDescent="0.25">
      <c r="A539" s="6" t="s">
        <v>957</v>
      </c>
      <c r="B539" s="6"/>
      <c r="C539" s="6"/>
      <c r="D539" s="6"/>
      <c r="E539" s="6"/>
      <c r="F539" s="6"/>
      <c r="G539" s="6"/>
    </row>
    <row r="540" spans="1:7" x14ac:dyDescent="0.25">
      <c r="A540" s="6" t="s">
        <v>957</v>
      </c>
      <c r="B540" s="6"/>
      <c r="C540" s="6"/>
      <c r="D540" s="6"/>
      <c r="E540" s="6"/>
      <c r="F540" s="6"/>
      <c r="G540" s="6"/>
    </row>
    <row r="541" spans="1:7" x14ac:dyDescent="0.25">
      <c r="A541" s="6" t="s">
        <v>957</v>
      </c>
      <c r="B541" s="6"/>
      <c r="C541" s="6"/>
      <c r="D541" s="6"/>
      <c r="E541" s="6"/>
      <c r="F541" s="6"/>
      <c r="G541" s="6"/>
    </row>
    <row r="542" spans="1:7" x14ac:dyDescent="0.25">
      <c r="A542" s="6" t="s">
        <v>13591</v>
      </c>
      <c r="B542" s="6"/>
      <c r="C542" s="6"/>
      <c r="D542" s="6"/>
      <c r="E542" s="6"/>
      <c r="F542" s="6"/>
      <c r="G542" s="6"/>
    </row>
    <row r="543" spans="1:7" x14ac:dyDescent="0.25">
      <c r="A543" s="6" t="s">
        <v>957</v>
      </c>
      <c r="B543" s="6"/>
      <c r="C543" s="6"/>
      <c r="D543" s="6"/>
      <c r="E543" s="6"/>
      <c r="F543" s="6"/>
      <c r="G543" s="6"/>
    </row>
    <row r="544" spans="1:7" x14ac:dyDescent="0.25">
      <c r="A544" s="6" t="s">
        <v>13587</v>
      </c>
      <c r="B544" s="6"/>
      <c r="C544" s="6"/>
      <c r="D544" s="6"/>
      <c r="E544" s="6"/>
      <c r="F544" s="6"/>
      <c r="G544" s="6"/>
    </row>
    <row r="545" spans="1:7" x14ac:dyDescent="0.25">
      <c r="A545" s="6" t="s">
        <v>13584</v>
      </c>
      <c r="B545" s="6"/>
      <c r="C545" s="6"/>
      <c r="D545" s="6"/>
      <c r="E545" s="6"/>
      <c r="F545" s="6"/>
      <c r="G545" s="6"/>
    </row>
    <row r="546" spans="1:7" x14ac:dyDescent="0.25">
      <c r="A546" s="6" t="s">
        <v>13581</v>
      </c>
      <c r="B546" s="6"/>
      <c r="C546" s="6"/>
      <c r="D546" s="6"/>
      <c r="E546" s="6"/>
      <c r="F546" s="6"/>
      <c r="G546" s="6"/>
    </row>
    <row r="547" spans="1:7" x14ac:dyDescent="0.25">
      <c r="A547" s="6" t="s">
        <v>13578</v>
      </c>
      <c r="B547" s="6"/>
      <c r="C547" s="6"/>
      <c r="D547" s="6"/>
      <c r="E547" s="6"/>
      <c r="F547" s="6"/>
      <c r="G547" s="6"/>
    </row>
    <row r="548" spans="1:7" x14ac:dyDescent="0.25">
      <c r="A548" s="6" t="s">
        <v>13575</v>
      </c>
      <c r="B548" s="6"/>
      <c r="C548" s="6"/>
      <c r="D548" s="6"/>
      <c r="E548" s="6"/>
      <c r="F548" s="6"/>
      <c r="G548" s="6"/>
    </row>
    <row r="549" spans="1:7" x14ac:dyDescent="0.25">
      <c r="A549" s="6" t="s">
        <v>957</v>
      </c>
      <c r="B549" s="6"/>
      <c r="C549" s="6"/>
      <c r="D549" s="6"/>
      <c r="E549" s="6"/>
      <c r="F549" s="6"/>
      <c r="G549" s="6"/>
    </row>
    <row r="550" spans="1:7" x14ac:dyDescent="0.25">
      <c r="A550" s="6" t="s">
        <v>957</v>
      </c>
      <c r="B550" s="6"/>
      <c r="C550" s="6"/>
      <c r="D550" s="6"/>
      <c r="E550" s="6"/>
      <c r="F550" s="6"/>
      <c r="G550" s="6"/>
    </row>
    <row r="551" spans="1:7" x14ac:dyDescent="0.25">
      <c r="A551" s="6" t="s">
        <v>13569</v>
      </c>
      <c r="B551" s="6"/>
      <c r="C551" s="6"/>
      <c r="D551" s="6"/>
      <c r="E551" s="6"/>
      <c r="F551" s="6"/>
      <c r="G551" s="6"/>
    </row>
    <row r="552" spans="1:7" x14ac:dyDescent="0.25">
      <c r="A552" s="6" t="s">
        <v>13566</v>
      </c>
      <c r="B552" s="6"/>
      <c r="C552" s="6"/>
      <c r="D552" s="6"/>
      <c r="E552" s="6"/>
      <c r="F552" s="6"/>
      <c r="G552" s="6"/>
    </row>
    <row r="553" spans="1:7" x14ac:dyDescent="0.25">
      <c r="A553" s="6" t="s">
        <v>13563</v>
      </c>
      <c r="B553" s="6"/>
      <c r="C553" s="6"/>
      <c r="D553" s="6"/>
      <c r="E553" s="6"/>
      <c r="F553" s="6"/>
      <c r="G553" s="6"/>
    </row>
    <row r="554" spans="1:7" x14ac:dyDescent="0.25">
      <c r="A554" s="6" t="s">
        <v>13560</v>
      </c>
      <c r="B554" s="6"/>
      <c r="C554" s="6"/>
      <c r="D554" s="6"/>
      <c r="E554" s="6"/>
      <c r="F554" s="6"/>
      <c r="G554" s="6"/>
    </row>
    <row r="555" spans="1:7" x14ac:dyDescent="0.25">
      <c r="A555" s="6" t="s">
        <v>13557</v>
      </c>
      <c r="B555" s="6"/>
      <c r="C555" s="6"/>
      <c r="D555" s="6"/>
      <c r="E555" s="6"/>
      <c r="F555" s="6"/>
      <c r="G555" s="6"/>
    </row>
    <row r="556" spans="1:7" x14ac:dyDescent="0.25">
      <c r="A556" s="6" t="s">
        <v>13554</v>
      </c>
      <c r="B556" s="6"/>
      <c r="C556" s="6"/>
      <c r="D556" s="6"/>
      <c r="E556" s="6"/>
      <c r="F556" s="6"/>
      <c r="G556" s="6"/>
    </row>
    <row r="557" spans="1:7" x14ac:dyDescent="0.25">
      <c r="A557" s="6" t="s">
        <v>14126</v>
      </c>
      <c r="B557" s="6" t="s">
        <v>14127</v>
      </c>
      <c r="C557" s="6"/>
      <c r="D557" s="6"/>
      <c r="E557" s="6"/>
      <c r="F557" s="6"/>
      <c r="G557" s="6"/>
    </row>
    <row r="558" spans="1:7" x14ac:dyDescent="0.25">
      <c r="A558" s="6" t="s">
        <v>13549</v>
      </c>
      <c r="B558" s="6"/>
      <c r="C558" s="6"/>
      <c r="D558" s="6"/>
      <c r="E558" s="6"/>
      <c r="F558" s="6"/>
      <c r="G558" s="6"/>
    </row>
    <row r="559" spans="1:7" x14ac:dyDescent="0.25">
      <c r="A559" s="6" t="s">
        <v>13546</v>
      </c>
      <c r="B559" s="6"/>
      <c r="C559" s="6"/>
      <c r="D559" s="6"/>
      <c r="E559" s="6"/>
      <c r="F559" s="6"/>
      <c r="G559" s="6"/>
    </row>
    <row r="560" spans="1:7" x14ac:dyDescent="0.25">
      <c r="A560" s="6" t="s">
        <v>957</v>
      </c>
      <c r="B560" s="6"/>
      <c r="C560" s="6"/>
      <c r="D560" s="6"/>
      <c r="E560" s="6"/>
      <c r="F560" s="6"/>
      <c r="G560" s="6"/>
    </row>
    <row r="561" spans="1:7" x14ac:dyDescent="0.25">
      <c r="A561" s="6" t="s">
        <v>13542</v>
      </c>
      <c r="B561" s="6"/>
      <c r="C561" s="6"/>
      <c r="D561" s="6"/>
      <c r="E561" s="6"/>
      <c r="F561" s="6"/>
      <c r="G561" s="6"/>
    </row>
    <row r="562" spans="1:7" x14ac:dyDescent="0.25">
      <c r="A562" s="6" t="s">
        <v>13540</v>
      </c>
      <c r="B562" s="6"/>
      <c r="C562" s="6"/>
      <c r="D562" s="6"/>
      <c r="E562" s="6"/>
      <c r="F562" s="6"/>
      <c r="G562" s="6"/>
    </row>
    <row r="563" spans="1:7" x14ac:dyDescent="0.25">
      <c r="A563" s="6" t="s">
        <v>13537</v>
      </c>
      <c r="B563" s="6"/>
      <c r="C563" s="6"/>
      <c r="D563" s="6"/>
      <c r="E563" s="6"/>
      <c r="F563" s="6"/>
      <c r="G563" s="6"/>
    </row>
    <row r="564" spans="1:7" x14ac:dyDescent="0.25">
      <c r="A564" s="6" t="s">
        <v>13534</v>
      </c>
      <c r="B564" s="6"/>
      <c r="C564" s="6"/>
      <c r="D564" s="6"/>
      <c r="E564" s="6"/>
      <c r="F564" s="6"/>
      <c r="G564" s="6"/>
    </row>
    <row r="565" spans="1:7" x14ac:dyDescent="0.25">
      <c r="A565" s="6" t="s">
        <v>957</v>
      </c>
      <c r="B565" s="6"/>
      <c r="C565" s="6"/>
      <c r="D565" s="6"/>
      <c r="E565" s="6"/>
      <c r="F565" s="6"/>
      <c r="G565" s="6"/>
    </row>
    <row r="566" spans="1:7" x14ac:dyDescent="0.25">
      <c r="A566" s="6" t="s">
        <v>13529</v>
      </c>
      <c r="B566" s="6"/>
      <c r="C566" s="6"/>
      <c r="D566" s="6"/>
      <c r="E566" s="6"/>
      <c r="F566" s="6"/>
      <c r="G566" s="6"/>
    </row>
    <row r="567" spans="1:7" x14ac:dyDescent="0.25">
      <c r="A567" s="6" t="s">
        <v>12590</v>
      </c>
      <c r="B567" s="6"/>
      <c r="C567" s="6"/>
      <c r="D567" s="6"/>
      <c r="E567" s="6"/>
      <c r="F567" s="6"/>
      <c r="G567" s="6"/>
    </row>
    <row r="568" spans="1:7" x14ac:dyDescent="0.25">
      <c r="A568" s="6" t="s">
        <v>12587</v>
      </c>
      <c r="B568" s="6"/>
      <c r="C568" s="6"/>
      <c r="D568" s="6"/>
      <c r="E568" s="6"/>
      <c r="F568" s="6"/>
      <c r="G568" s="6"/>
    </row>
    <row r="569" spans="1:7" x14ac:dyDescent="0.25">
      <c r="A569" s="6" t="s">
        <v>12584</v>
      </c>
      <c r="B569" s="6"/>
      <c r="C569" s="6"/>
      <c r="D569" s="6"/>
      <c r="E569" s="6"/>
      <c r="F569" s="6"/>
      <c r="G569" s="6"/>
    </row>
    <row r="570" spans="1:7" x14ac:dyDescent="0.25">
      <c r="A570" s="6" t="s">
        <v>12581</v>
      </c>
      <c r="B570" s="6"/>
      <c r="C570" s="6"/>
      <c r="D570" s="6"/>
      <c r="E570" s="6"/>
      <c r="F570" s="6"/>
      <c r="G570" s="6"/>
    </row>
    <row r="571" spans="1:7" x14ac:dyDescent="0.25">
      <c r="A571" s="6" t="s">
        <v>12578</v>
      </c>
      <c r="B571" s="6"/>
      <c r="C571" s="6"/>
      <c r="D571" s="6"/>
      <c r="E571" s="6"/>
      <c r="F571" s="6"/>
      <c r="G571" s="6"/>
    </row>
    <row r="572" spans="1:7" x14ac:dyDescent="0.25">
      <c r="A572" s="6" t="s">
        <v>957</v>
      </c>
      <c r="B572" s="6"/>
      <c r="C572" s="6"/>
      <c r="D572" s="6"/>
      <c r="E572" s="6"/>
      <c r="F572" s="6"/>
      <c r="G572" s="6"/>
    </row>
    <row r="573" spans="1:7" x14ac:dyDescent="0.25">
      <c r="A573" s="6" t="s">
        <v>957</v>
      </c>
      <c r="B573" s="6"/>
      <c r="C573" s="6"/>
      <c r="D573" s="6"/>
      <c r="E573" s="6"/>
      <c r="F573" s="6"/>
      <c r="G573" s="6"/>
    </row>
    <row r="574" spans="1:7" x14ac:dyDescent="0.25">
      <c r="A574" s="6" t="s">
        <v>11716</v>
      </c>
      <c r="B574" s="6"/>
      <c r="C574" s="6"/>
      <c r="D574" s="6"/>
      <c r="E574" s="6"/>
      <c r="F574" s="6"/>
      <c r="G574" s="6"/>
    </row>
    <row r="575" spans="1:7" x14ac:dyDescent="0.25">
      <c r="A575" s="6" t="s">
        <v>11713</v>
      </c>
      <c r="B575" s="6"/>
      <c r="C575" s="6"/>
      <c r="D575" s="6"/>
      <c r="E575" s="6"/>
      <c r="F575" s="6"/>
      <c r="G575" s="6"/>
    </row>
    <row r="576" spans="1:7" x14ac:dyDescent="0.25">
      <c r="A576" s="6" t="s">
        <v>11710</v>
      </c>
      <c r="B576" s="6"/>
      <c r="C576" s="6"/>
      <c r="D576" s="6"/>
      <c r="E576" s="6"/>
      <c r="F576" s="6"/>
      <c r="G576" s="6"/>
    </row>
    <row r="577" spans="1:7" x14ac:dyDescent="0.25">
      <c r="A577" s="6" t="s">
        <v>11708</v>
      </c>
      <c r="B577" s="6"/>
      <c r="C577" s="6"/>
      <c r="D577" s="6"/>
      <c r="E577" s="6"/>
      <c r="F577" s="6"/>
      <c r="G577" s="6"/>
    </row>
    <row r="578" spans="1:7" x14ac:dyDescent="0.25">
      <c r="A578" s="6" t="s">
        <v>11705</v>
      </c>
      <c r="B578" s="6"/>
      <c r="C578" s="6"/>
      <c r="D578" s="6"/>
      <c r="E578" s="6"/>
      <c r="F578" s="6"/>
      <c r="G578" s="6"/>
    </row>
    <row r="579" spans="1:7" x14ac:dyDescent="0.25">
      <c r="A579" s="6" t="s">
        <v>11702</v>
      </c>
      <c r="B579" s="6"/>
      <c r="C579" s="6"/>
      <c r="D579" s="6"/>
      <c r="E579" s="6"/>
      <c r="F579" s="6"/>
      <c r="G579" s="6"/>
    </row>
    <row r="580" spans="1:7" x14ac:dyDescent="0.25">
      <c r="A580" s="6" t="s">
        <v>11699</v>
      </c>
      <c r="B580" s="6"/>
      <c r="C580" s="6"/>
      <c r="D580" s="6"/>
      <c r="E580" s="6"/>
      <c r="F580" s="6"/>
      <c r="G580" s="6"/>
    </row>
    <row r="581" spans="1:7" x14ac:dyDescent="0.25">
      <c r="A581" s="6" t="s">
        <v>957</v>
      </c>
      <c r="B581" s="6"/>
      <c r="C581" s="6"/>
      <c r="D581" s="6"/>
      <c r="E581" s="6"/>
      <c r="F581" s="6"/>
      <c r="G581" s="6"/>
    </row>
    <row r="582" spans="1:7" x14ac:dyDescent="0.25">
      <c r="A582" s="6" t="s">
        <v>11695</v>
      </c>
      <c r="B582" s="6"/>
      <c r="C582" s="6"/>
      <c r="D582" s="6"/>
      <c r="E582" s="6"/>
      <c r="F582" s="6"/>
      <c r="G582" s="6"/>
    </row>
    <row r="583" spans="1:7" x14ac:dyDescent="0.25">
      <c r="A583" s="6" t="s">
        <v>11692</v>
      </c>
      <c r="B583" s="6"/>
      <c r="C583" s="6"/>
      <c r="D583" s="6"/>
      <c r="E583" s="6"/>
      <c r="F583" s="6"/>
      <c r="G583" s="6"/>
    </row>
    <row r="584" spans="1:7" x14ac:dyDescent="0.25">
      <c r="A584" s="6" t="s">
        <v>957</v>
      </c>
      <c r="B584" s="6"/>
      <c r="C584" s="6"/>
      <c r="D584" s="6"/>
      <c r="E584" s="6"/>
      <c r="F584" s="6"/>
      <c r="G584" s="6"/>
    </row>
    <row r="585" spans="1:7" x14ac:dyDescent="0.25">
      <c r="A585" s="6" t="s">
        <v>957</v>
      </c>
      <c r="B585" s="6"/>
      <c r="C585" s="6"/>
      <c r="D585" s="6"/>
      <c r="E585" s="6"/>
      <c r="F585" s="6"/>
      <c r="G585" s="6"/>
    </row>
    <row r="586" spans="1:7" x14ac:dyDescent="0.25">
      <c r="A586" s="6" t="s">
        <v>11687</v>
      </c>
      <c r="B586" s="6"/>
      <c r="C586" s="6"/>
      <c r="D586" s="6"/>
      <c r="E586" s="6"/>
      <c r="F586" s="6"/>
      <c r="G586" s="6"/>
    </row>
    <row r="587" spans="1:7" x14ac:dyDescent="0.25">
      <c r="A587" s="6" t="s">
        <v>11684</v>
      </c>
      <c r="B587" s="6"/>
      <c r="C587" s="6"/>
      <c r="D587" s="6"/>
      <c r="E587" s="6"/>
      <c r="F587" s="6"/>
      <c r="G587" s="6"/>
    </row>
    <row r="588" spans="1:7" x14ac:dyDescent="0.25">
      <c r="A588" s="6" t="s">
        <v>11681</v>
      </c>
      <c r="B588" s="6"/>
      <c r="C588" s="6"/>
      <c r="D588" s="6"/>
      <c r="E588" s="6"/>
      <c r="F588" s="6"/>
      <c r="G588" s="6"/>
    </row>
    <row r="589" spans="1:7" x14ac:dyDescent="0.25">
      <c r="A589" s="6" t="s">
        <v>11678</v>
      </c>
      <c r="B589" s="6"/>
      <c r="C589" s="6"/>
      <c r="D589" s="6"/>
      <c r="E589" s="6"/>
      <c r="F589" s="6"/>
      <c r="G589" s="6"/>
    </row>
    <row r="590" spans="1:7" x14ac:dyDescent="0.25">
      <c r="A590" s="6" t="s">
        <v>14128</v>
      </c>
      <c r="B590" s="6" t="s">
        <v>14129</v>
      </c>
      <c r="C590" s="6"/>
      <c r="D590" s="6"/>
      <c r="E590" s="6"/>
      <c r="F590" s="6"/>
      <c r="G590" s="6"/>
    </row>
    <row r="591" spans="1:7" x14ac:dyDescent="0.25">
      <c r="A591" s="6" t="s">
        <v>11674</v>
      </c>
      <c r="B591" s="6"/>
      <c r="C591" s="6"/>
      <c r="D591" s="6"/>
      <c r="E591" s="6"/>
      <c r="F591" s="6"/>
      <c r="G591" s="6"/>
    </row>
    <row r="592" spans="1:7" x14ac:dyDescent="0.25">
      <c r="A592" s="6" t="s">
        <v>11671</v>
      </c>
      <c r="B592" s="6"/>
      <c r="C592" s="6"/>
      <c r="D592" s="6"/>
      <c r="E592" s="6"/>
      <c r="F592" s="6"/>
      <c r="G592" s="6"/>
    </row>
    <row r="593" spans="1:7" x14ac:dyDescent="0.25">
      <c r="A593" s="6" t="s">
        <v>11668</v>
      </c>
      <c r="B593" s="6"/>
      <c r="C593" s="6"/>
      <c r="D593" s="6"/>
      <c r="E593" s="6"/>
      <c r="F593" s="6"/>
      <c r="G593" s="6"/>
    </row>
    <row r="594" spans="1:7" x14ac:dyDescent="0.25">
      <c r="A594" s="6" t="s">
        <v>11665</v>
      </c>
      <c r="B594" s="6"/>
      <c r="C594" s="6"/>
      <c r="D594" s="6"/>
      <c r="E594" s="6"/>
      <c r="F594" s="6"/>
      <c r="G594" s="6"/>
    </row>
    <row r="595" spans="1:7" x14ac:dyDescent="0.25">
      <c r="A595" s="6" t="s">
        <v>11662</v>
      </c>
      <c r="B595" s="6"/>
      <c r="C595" s="6"/>
      <c r="D595" s="6"/>
      <c r="E595" s="6"/>
      <c r="F595" s="6"/>
      <c r="G595" s="6"/>
    </row>
    <row r="596" spans="1:7" x14ac:dyDescent="0.25">
      <c r="A596" s="6" t="s">
        <v>11659</v>
      </c>
      <c r="B596" s="6"/>
      <c r="C596" s="6"/>
      <c r="D596" s="6"/>
      <c r="E596" s="6"/>
      <c r="F596" s="6"/>
      <c r="G596" s="6"/>
    </row>
    <row r="597" spans="1:7" x14ac:dyDescent="0.25">
      <c r="A597" s="6" t="s">
        <v>14130</v>
      </c>
      <c r="B597" s="6" t="s">
        <v>13549</v>
      </c>
      <c r="C597" s="6" t="s">
        <v>14131</v>
      </c>
      <c r="D597" s="6" t="s">
        <v>14132</v>
      </c>
      <c r="E597" s="6"/>
      <c r="F597" s="6"/>
      <c r="G597" s="6"/>
    </row>
    <row r="598" spans="1:7" x14ac:dyDescent="0.25">
      <c r="A598" s="6" t="s">
        <v>11654</v>
      </c>
      <c r="B598" s="6"/>
      <c r="C598" s="6"/>
      <c r="D598" s="6"/>
      <c r="E598" s="6"/>
      <c r="F598" s="6"/>
      <c r="G598" s="6"/>
    </row>
    <row r="599" spans="1:7" x14ac:dyDescent="0.25">
      <c r="A599" s="6" t="s">
        <v>957</v>
      </c>
      <c r="B599" s="6"/>
      <c r="C599" s="6"/>
      <c r="D599" s="6"/>
      <c r="E599" s="6"/>
      <c r="F599" s="6"/>
      <c r="G599" s="6"/>
    </row>
    <row r="600" spans="1:7" x14ac:dyDescent="0.25">
      <c r="A600" s="6" t="s">
        <v>11650</v>
      </c>
      <c r="B600" s="6"/>
      <c r="C600" s="6"/>
      <c r="D600" s="6"/>
      <c r="E600" s="6"/>
      <c r="F600" s="6"/>
      <c r="G600" s="6"/>
    </row>
    <row r="601" spans="1:7" x14ac:dyDescent="0.25">
      <c r="A601" s="6" t="s">
        <v>957</v>
      </c>
      <c r="B601" s="6"/>
      <c r="C601" s="6"/>
      <c r="D601" s="6"/>
      <c r="E601" s="6"/>
      <c r="F601" s="6"/>
      <c r="G601" s="6"/>
    </row>
    <row r="602" spans="1:7" x14ac:dyDescent="0.25">
      <c r="A602" s="6" t="s">
        <v>11646</v>
      </c>
      <c r="B602" s="6"/>
      <c r="C602" s="6"/>
      <c r="D602" s="6"/>
      <c r="E602" s="6"/>
      <c r="F602" s="6"/>
      <c r="G602" s="6"/>
    </row>
    <row r="603" spans="1:7" x14ac:dyDescent="0.25">
      <c r="A603" s="6" t="s">
        <v>11644</v>
      </c>
      <c r="B603" s="6"/>
      <c r="C603" s="6"/>
      <c r="D603" s="6"/>
      <c r="E603" s="6"/>
      <c r="F603" s="6"/>
      <c r="G603" s="6"/>
    </row>
    <row r="604" spans="1:7" x14ac:dyDescent="0.25">
      <c r="A604" s="6" t="s">
        <v>11641</v>
      </c>
      <c r="B604" s="6"/>
      <c r="C604" s="6"/>
      <c r="D604" s="6"/>
      <c r="E604" s="6"/>
      <c r="F604" s="6"/>
      <c r="G604" s="6"/>
    </row>
    <row r="605" spans="1:7" x14ac:dyDescent="0.25">
      <c r="A605" s="6" t="s">
        <v>957</v>
      </c>
      <c r="B605" s="6"/>
      <c r="C605" s="6"/>
      <c r="D605" s="6"/>
      <c r="E605" s="6"/>
      <c r="F605" s="6"/>
      <c r="G605" s="6"/>
    </row>
    <row r="606" spans="1:7" x14ac:dyDescent="0.25">
      <c r="A606" s="6" t="s">
        <v>11637</v>
      </c>
      <c r="B606" s="6"/>
      <c r="C606" s="6"/>
      <c r="D606" s="6"/>
      <c r="E606" s="6"/>
      <c r="F606" s="6"/>
      <c r="G606" s="6"/>
    </row>
    <row r="607" spans="1:7" x14ac:dyDescent="0.25">
      <c r="A607" s="6" t="s">
        <v>12515</v>
      </c>
      <c r="B607" s="6"/>
      <c r="C607" s="6"/>
      <c r="D607" s="6"/>
      <c r="E607" s="6"/>
      <c r="F607" s="6"/>
      <c r="G607" s="6"/>
    </row>
    <row r="608" spans="1:7" x14ac:dyDescent="0.25">
      <c r="A608" s="6" t="s">
        <v>12513</v>
      </c>
      <c r="B608" s="6"/>
      <c r="C608" s="6"/>
      <c r="D608" s="6"/>
      <c r="E608" s="6"/>
      <c r="F608" s="6"/>
      <c r="G608" s="6"/>
    </row>
    <row r="609" spans="1:7" x14ac:dyDescent="0.25">
      <c r="A609" s="6" t="s">
        <v>12510</v>
      </c>
      <c r="B609" s="6"/>
      <c r="C609" s="6"/>
      <c r="D609" s="6"/>
      <c r="E609" s="6"/>
      <c r="F609" s="6"/>
      <c r="G609" s="6"/>
    </row>
    <row r="610" spans="1:7" x14ac:dyDescent="0.25">
      <c r="A610" s="6" t="s">
        <v>12507</v>
      </c>
      <c r="B610" s="6"/>
      <c r="C610" s="6"/>
      <c r="D610" s="6"/>
      <c r="E610" s="6"/>
      <c r="F610" s="6"/>
      <c r="G610" s="6"/>
    </row>
    <row r="611" spans="1:7" x14ac:dyDescent="0.25">
      <c r="A611" s="6" t="s">
        <v>12504</v>
      </c>
      <c r="B611" s="6"/>
      <c r="C611" s="6"/>
      <c r="D611" s="6"/>
      <c r="E611" s="6"/>
      <c r="F611" s="6"/>
      <c r="G611" s="6"/>
    </row>
    <row r="612" spans="1:7" x14ac:dyDescent="0.25">
      <c r="A612" s="6" t="s">
        <v>957</v>
      </c>
      <c r="B612" s="6"/>
      <c r="C612" s="6"/>
      <c r="D612" s="6"/>
      <c r="E612" s="6"/>
      <c r="F612" s="6"/>
      <c r="G612" s="6"/>
    </row>
    <row r="613" spans="1:7" x14ac:dyDescent="0.25">
      <c r="A613" s="6" t="s">
        <v>12501</v>
      </c>
      <c r="B613" s="6"/>
      <c r="C613" s="6"/>
      <c r="D613" s="6"/>
      <c r="E613" s="6"/>
      <c r="F613" s="6"/>
      <c r="G613" s="6"/>
    </row>
    <row r="614" spans="1:7" x14ac:dyDescent="0.25">
      <c r="A614" s="6" t="s">
        <v>12498</v>
      </c>
      <c r="B614" s="6"/>
      <c r="C614" s="6"/>
      <c r="D614" s="6"/>
      <c r="E614" s="6"/>
      <c r="F614" s="6"/>
      <c r="G614" s="6"/>
    </row>
    <row r="615" spans="1:7" x14ac:dyDescent="0.25">
      <c r="A615" s="6" t="s">
        <v>12495</v>
      </c>
      <c r="B615" s="6"/>
      <c r="C615" s="6"/>
      <c r="D615" s="6"/>
      <c r="E615" s="6"/>
      <c r="F615" s="6"/>
      <c r="G615" s="6"/>
    </row>
    <row r="616" spans="1:7" x14ac:dyDescent="0.25">
      <c r="A616" s="6" t="s">
        <v>12492</v>
      </c>
      <c r="B616" s="6"/>
      <c r="C616" s="6"/>
      <c r="D616" s="6"/>
      <c r="E616" s="6"/>
      <c r="F616" s="6"/>
      <c r="G616" s="6"/>
    </row>
    <row r="617" spans="1:7" x14ac:dyDescent="0.25">
      <c r="A617" s="6" t="s">
        <v>12489</v>
      </c>
      <c r="B617" s="6"/>
      <c r="C617" s="6"/>
      <c r="D617" s="6"/>
      <c r="E617" s="6"/>
      <c r="F617" s="6"/>
      <c r="G617" s="6"/>
    </row>
    <row r="618" spans="1:7" x14ac:dyDescent="0.25">
      <c r="A618" s="6" t="s">
        <v>12487</v>
      </c>
      <c r="B618" s="6"/>
      <c r="C618" s="6"/>
      <c r="D618" s="6"/>
      <c r="E618" s="6"/>
      <c r="F618" s="6"/>
      <c r="G618" s="6"/>
    </row>
    <row r="619" spans="1:7" x14ac:dyDescent="0.25">
      <c r="A619" s="6" t="s">
        <v>12485</v>
      </c>
      <c r="B619" s="6"/>
      <c r="C619" s="6"/>
      <c r="D619" s="6"/>
      <c r="E619" s="6"/>
      <c r="F619" s="6"/>
      <c r="G619" s="6"/>
    </row>
    <row r="620" spans="1:7" x14ac:dyDescent="0.25">
      <c r="A620" s="6" t="s">
        <v>957</v>
      </c>
      <c r="B620" s="6"/>
      <c r="C620" s="6"/>
      <c r="D620" s="6"/>
      <c r="E620" s="6"/>
      <c r="F620" s="6"/>
      <c r="G620" s="6"/>
    </row>
    <row r="621" spans="1:7" x14ac:dyDescent="0.25">
      <c r="A621" s="6" t="s">
        <v>12481</v>
      </c>
      <c r="B621" s="6"/>
      <c r="C621" s="6"/>
      <c r="D621" s="6"/>
      <c r="E621" s="6"/>
      <c r="F621" s="6"/>
      <c r="G621" s="6"/>
    </row>
    <row r="622" spans="1:7" x14ac:dyDescent="0.25">
      <c r="A622" s="6" t="s">
        <v>12478</v>
      </c>
      <c r="B622" s="6"/>
      <c r="C622" s="6"/>
      <c r="D622" s="6"/>
      <c r="E622" s="6"/>
      <c r="F622" s="6"/>
      <c r="G622" s="6"/>
    </row>
    <row r="623" spans="1:7" x14ac:dyDescent="0.25">
      <c r="A623" s="6" t="s">
        <v>12475</v>
      </c>
      <c r="B623" s="6"/>
      <c r="C623" s="6"/>
      <c r="D623" s="6"/>
      <c r="E623" s="6"/>
      <c r="F623" s="6"/>
      <c r="G623" s="6"/>
    </row>
    <row r="624" spans="1:7" x14ac:dyDescent="0.25">
      <c r="A624" s="6" t="s">
        <v>957</v>
      </c>
      <c r="B624" s="6"/>
      <c r="C624" s="6"/>
      <c r="D624" s="6"/>
      <c r="E624" s="6"/>
      <c r="F624" s="6"/>
      <c r="G624" s="6"/>
    </row>
    <row r="625" spans="1:7" x14ac:dyDescent="0.25">
      <c r="A625" s="6" t="s">
        <v>957</v>
      </c>
      <c r="B625" s="6"/>
      <c r="C625" s="6"/>
      <c r="D625" s="6"/>
      <c r="E625" s="6"/>
      <c r="F625" s="6"/>
      <c r="G625" s="6"/>
    </row>
    <row r="626" spans="1:7" x14ac:dyDescent="0.25">
      <c r="A626" s="6" t="s">
        <v>12470</v>
      </c>
      <c r="B626" s="6"/>
      <c r="C626" s="6"/>
      <c r="D626" s="6"/>
      <c r="E626" s="6"/>
      <c r="F626" s="6"/>
      <c r="G626" s="6"/>
    </row>
    <row r="627" spans="1:7" x14ac:dyDescent="0.25">
      <c r="A627" s="6" t="s">
        <v>957</v>
      </c>
      <c r="B627" s="6"/>
      <c r="C627" s="6"/>
      <c r="D627" s="6"/>
      <c r="E627" s="6"/>
      <c r="F627" s="6"/>
      <c r="G627" s="6"/>
    </row>
    <row r="628" spans="1:7" x14ac:dyDescent="0.25">
      <c r="A628" s="6" t="s">
        <v>12466</v>
      </c>
      <c r="B628" s="6"/>
      <c r="C628" s="6"/>
      <c r="D628" s="6"/>
      <c r="E628" s="6"/>
      <c r="F628" s="6"/>
      <c r="G628" s="6"/>
    </row>
    <row r="629" spans="1:7" x14ac:dyDescent="0.25">
      <c r="A629" s="6" t="s">
        <v>957</v>
      </c>
      <c r="B629" s="6"/>
      <c r="C629" s="6"/>
      <c r="D629" s="6"/>
      <c r="E629" s="6"/>
      <c r="F629" s="6"/>
      <c r="G629" s="6"/>
    </row>
    <row r="630" spans="1:7" x14ac:dyDescent="0.25">
      <c r="A630" s="6" t="s">
        <v>12461</v>
      </c>
      <c r="B630" s="6"/>
      <c r="C630" s="6"/>
      <c r="D630" s="6"/>
      <c r="E630" s="6"/>
      <c r="F630" s="6"/>
      <c r="G630" s="6"/>
    </row>
    <row r="631" spans="1:7" x14ac:dyDescent="0.25">
      <c r="A631" s="6" t="s">
        <v>12458</v>
      </c>
      <c r="B631" s="6"/>
      <c r="C631" s="6"/>
      <c r="D631" s="6"/>
      <c r="E631" s="6"/>
      <c r="F631" s="6"/>
      <c r="G631" s="6"/>
    </row>
    <row r="632" spans="1:7" x14ac:dyDescent="0.25">
      <c r="A632" s="6" t="s">
        <v>12455</v>
      </c>
      <c r="B632" s="6"/>
      <c r="C632" s="6"/>
      <c r="D632" s="6"/>
      <c r="E632" s="6"/>
      <c r="F632" s="6"/>
      <c r="G632" s="6"/>
    </row>
    <row r="633" spans="1:7" x14ac:dyDescent="0.25">
      <c r="A633" s="6" t="s">
        <v>957</v>
      </c>
      <c r="B633" s="6"/>
      <c r="C633" s="6"/>
      <c r="D633" s="6"/>
      <c r="E633" s="6"/>
      <c r="F633" s="6"/>
      <c r="G633" s="6"/>
    </row>
    <row r="634" spans="1:7" x14ac:dyDescent="0.25">
      <c r="A634" s="6" t="s">
        <v>12451</v>
      </c>
      <c r="B634" s="6"/>
      <c r="C634" s="6"/>
      <c r="D634" s="6"/>
      <c r="E634" s="6"/>
      <c r="F634" s="6"/>
      <c r="G634" s="6"/>
    </row>
    <row r="635" spans="1:7" x14ac:dyDescent="0.25">
      <c r="A635" s="6" t="s">
        <v>12448</v>
      </c>
      <c r="B635" s="6"/>
      <c r="C635" s="6"/>
      <c r="D635" s="6"/>
      <c r="E635" s="6"/>
      <c r="F635" s="6"/>
      <c r="G635" s="6"/>
    </row>
    <row r="636" spans="1:7" x14ac:dyDescent="0.25">
      <c r="A636" s="6" t="s">
        <v>957</v>
      </c>
      <c r="B636" s="6"/>
      <c r="C636" s="6"/>
      <c r="D636" s="6"/>
      <c r="E636" s="6"/>
      <c r="F636" s="6"/>
      <c r="G636" s="6"/>
    </row>
    <row r="637" spans="1:7" x14ac:dyDescent="0.25">
      <c r="A637" s="6" t="s">
        <v>12444</v>
      </c>
      <c r="B637" s="6"/>
      <c r="C637" s="6"/>
      <c r="D637" s="6"/>
      <c r="E637" s="6"/>
      <c r="F637" s="6"/>
      <c r="G637" s="6"/>
    </row>
    <row r="638" spans="1:7" x14ac:dyDescent="0.25">
      <c r="A638" s="6" t="s">
        <v>12441</v>
      </c>
      <c r="B638" s="6"/>
      <c r="C638" s="6"/>
      <c r="D638" s="6"/>
      <c r="E638" s="6"/>
      <c r="F638" s="6"/>
      <c r="G638" s="6"/>
    </row>
    <row r="639" spans="1:7" x14ac:dyDescent="0.25">
      <c r="A639" s="6" t="s">
        <v>12439</v>
      </c>
      <c r="B639" s="6"/>
      <c r="C639" s="6"/>
      <c r="D639" s="6"/>
      <c r="E639" s="6"/>
      <c r="F639" s="6"/>
      <c r="G639" s="6"/>
    </row>
    <row r="640" spans="1:7" x14ac:dyDescent="0.25">
      <c r="A640" s="6" t="s">
        <v>12436</v>
      </c>
      <c r="B640" s="6"/>
      <c r="C640" s="6"/>
      <c r="D640" s="6"/>
      <c r="E640" s="6"/>
      <c r="F640" s="6"/>
      <c r="G640" s="6"/>
    </row>
    <row r="641" spans="1:7" x14ac:dyDescent="0.25">
      <c r="A641" s="6" t="s">
        <v>957</v>
      </c>
      <c r="B641" s="6"/>
      <c r="C641" s="6"/>
      <c r="D641" s="6"/>
      <c r="E641" s="6"/>
      <c r="F641" s="6"/>
      <c r="G641" s="6"/>
    </row>
    <row r="642" spans="1:7" x14ac:dyDescent="0.25">
      <c r="A642" s="6" t="s">
        <v>14130</v>
      </c>
      <c r="B642" s="6" t="s">
        <v>13549</v>
      </c>
      <c r="C642" s="6" t="s">
        <v>14131</v>
      </c>
      <c r="D642" s="6" t="s">
        <v>14132</v>
      </c>
      <c r="E642" s="6"/>
      <c r="F642" s="6"/>
      <c r="G642" s="6"/>
    </row>
    <row r="643" spans="1:7" x14ac:dyDescent="0.25">
      <c r="A643" s="6" t="s">
        <v>13488</v>
      </c>
      <c r="B643" s="6"/>
      <c r="C643" s="6"/>
      <c r="D643" s="6"/>
      <c r="E643" s="6"/>
      <c r="F643" s="6"/>
      <c r="G643" s="6"/>
    </row>
    <row r="644" spans="1:7" x14ac:dyDescent="0.25">
      <c r="A644" s="6" t="s">
        <v>12405</v>
      </c>
      <c r="B644" s="6"/>
      <c r="C644" s="6"/>
      <c r="D644" s="6"/>
      <c r="E644" s="6"/>
      <c r="F644" s="6"/>
      <c r="G644" s="6"/>
    </row>
    <row r="645" spans="1:7" x14ac:dyDescent="0.25">
      <c r="A645" s="6" t="s">
        <v>957</v>
      </c>
      <c r="B645" s="6"/>
      <c r="C645" s="6"/>
      <c r="D645" s="6"/>
      <c r="E645" s="6"/>
      <c r="F645" s="6"/>
      <c r="G645" s="6"/>
    </row>
    <row r="646" spans="1:7" x14ac:dyDescent="0.25">
      <c r="A646" s="6" t="s">
        <v>957</v>
      </c>
      <c r="B646" s="6"/>
      <c r="C646" s="6"/>
      <c r="D646" s="6"/>
      <c r="E646" s="6"/>
      <c r="F646" s="6"/>
      <c r="G646" s="6"/>
    </row>
    <row r="647" spans="1:7" x14ac:dyDescent="0.25">
      <c r="A647" s="6" t="s">
        <v>957</v>
      </c>
      <c r="B647" s="6"/>
      <c r="C647" s="6"/>
      <c r="D647" s="6"/>
      <c r="E647" s="6"/>
      <c r="F647" s="6"/>
      <c r="G647" s="6"/>
    </row>
    <row r="648" spans="1:7" x14ac:dyDescent="0.25">
      <c r="A648" s="6" t="s">
        <v>957</v>
      </c>
      <c r="B648" s="6"/>
      <c r="C648" s="6"/>
      <c r="D648" s="6"/>
      <c r="E648" s="6"/>
      <c r="F648" s="6"/>
      <c r="G648" s="6"/>
    </row>
    <row r="649" spans="1:7" x14ac:dyDescent="0.25">
      <c r="A649" s="6" t="s">
        <v>1498</v>
      </c>
      <c r="B649" s="6"/>
      <c r="C649" s="6"/>
      <c r="D649" s="6"/>
      <c r="E649" s="6"/>
      <c r="F649" s="6"/>
      <c r="G649" s="6"/>
    </row>
    <row r="650" spans="1:7" x14ac:dyDescent="0.25">
      <c r="A650" s="6" t="s">
        <v>12397</v>
      </c>
      <c r="B650" s="6"/>
      <c r="C650" s="6"/>
      <c r="D650" s="6"/>
      <c r="E650" s="6"/>
      <c r="F650" s="6"/>
      <c r="G650" s="6"/>
    </row>
    <row r="651" spans="1:7" x14ac:dyDescent="0.25">
      <c r="A651" s="6" t="s">
        <v>12394</v>
      </c>
      <c r="B651" s="6"/>
      <c r="C651" s="6"/>
      <c r="D651" s="6"/>
      <c r="E651" s="6"/>
      <c r="F651" s="6"/>
      <c r="G651" s="6"/>
    </row>
    <row r="652" spans="1:7" x14ac:dyDescent="0.25">
      <c r="A652" s="6" t="s">
        <v>14133</v>
      </c>
      <c r="B652" s="6" t="s">
        <v>14134</v>
      </c>
      <c r="C652" s="6"/>
      <c r="D652" s="6"/>
      <c r="E652" s="6"/>
      <c r="F652" s="6"/>
      <c r="G652" s="6"/>
    </row>
    <row r="653" spans="1:7" x14ac:dyDescent="0.25">
      <c r="A653" s="6" t="s">
        <v>957</v>
      </c>
      <c r="B653" s="6"/>
      <c r="C653" s="6"/>
      <c r="D653" s="6"/>
      <c r="E653" s="6"/>
      <c r="F653" s="6"/>
      <c r="G653" s="6"/>
    </row>
    <row r="654" spans="1:7" x14ac:dyDescent="0.25">
      <c r="A654" s="6" t="s">
        <v>12388</v>
      </c>
      <c r="B654" s="6"/>
      <c r="C654" s="6"/>
      <c r="D654" s="6"/>
      <c r="E654" s="6"/>
      <c r="F654" s="6"/>
      <c r="G654" s="6"/>
    </row>
    <row r="655" spans="1:7" x14ac:dyDescent="0.25">
      <c r="A655" s="6" t="s">
        <v>12385</v>
      </c>
      <c r="B655" s="6"/>
      <c r="C655" s="6"/>
      <c r="D655" s="6"/>
      <c r="E655" s="6"/>
      <c r="F655" s="6"/>
      <c r="G655" s="6"/>
    </row>
    <row r="656" spans="1:7" x14ac:dyDescent="0.25">
      <c r="A656" s="6" t="s">
        <v>12382</v>
      </c>
      <c r="B656" s="6"/>
      <c r="C656" s="6"/>
      <c r="D656" s="6"/>
      <c r="E656" s="6"/>
      <c r="F656" s="6"/>
      <c r="G656" s="6"/>
    </row>
    <row r="657" spans="1:7" x14ac:dyDescent="0.25">
      <c r="A657" s="6" t="s">
        <v>12379</v>
      </c>
      <c r="B657" s="6"/>
      <c r="C657" s="6"/>
      <c r="D657" s="6"/>
      <c r="E657" s="6"/>
      <c r="F657" s="6"/>
      <c r="G657" s="6"/>
    </row>
    <row r="658" spans="1:7" x14ac:dyDescent="0.25">
      <c r="A658" s="6" t="s">
        <v>12376</v>
      </c>
      <c r="B658" s="6"/>
      <c r="C658" s="6"/>
      <c r="D658" s="6"/>
      <c r="E658" s="6"/>
      <c r="F658" s="6"/>
      <c r="G658" s="6"/>
    </row>
    <row r="659" spans="1:7" x14ac:dyDescent="0.25">
      <c r="A659" s="6" t="s">
        <v>12373</v>
      </c>
      <c r="B659" s="6"/>
      <c r="C659" s="6"/>
      <c r="D659" s="6"/>
      <c r="E659" s="6"/>
      <c r="F659" s="6"/>
      <c r="G659" s="6"/>
    </row>
    <row r="660" spans="1:7" x14ac:dyDescent="0.25">
      <c r="A660" s="6" t="s">
        <v>12370</v>
      </c>
      <c r="B660" s="6"/>
      <c r="C660" s="6"/>
      <c r="D660" s="6"/>
      <c r="E660" s="6"/>
      <c r="F660" s="6"/>
      <c r="G660" s="6"/>
    </row>
    <row r="661" spans="1:7" x14ac:dyDescent="0.25">
      <c r="A661" s="6" t="s">
        <v>12367</v>
      </c>
      <c r="B661" s="6"/>
      <c r="C661" s="6"/>
      <c r="D661" s="6"/>
      <c r="E661" s="6"/>
      <c r="F661" s="6"/>
      <c r="G661" s="6"/>
    </row>
    <row r="662" spans="1:7" x14ac:dyDescent="0.25">
      <c r="A662" s="6" t="s">
        <v>957</v>
      </c>
      <c r="B662" s="6"/>
      <c r="C662" s="6"/>
      <c r="D662" s="6"/>
      <c r="E662" s="6"/>
      <c r="F662" s="6"/>
      <c r="G662" s="6"/>
    </row>
    <row r="663" spans="1:7" x14ac:dyDescent="0.25">
      <c r="A663" s="6" t="s">
        <v>957</v>
      </c>
      <c r="B663" s="6"/>
      <c r="C663" s="6"/>
      <c r="D663" s="6"/>
      <c r="E663" s="6"/>
      <c r="F663" s="6"/>
      <c r="G663" s="6"/>
    </row>
    <row r="664" spans="1:7" x14ac:dyDescent="0.25">
      <c r="A664" s="6" t="s">
        <v>12361</v>
      </c>
      <c r="B664" s="6"/>
      <c r="C664" s="6"/>
      <c r="D664" s="6"/>
      <c r="E664" s="6"/>
      <c r="F664" s="6"/>
      <c r="G664" s="6"/>
    </row>
    <row r="665" spans="1:7" x14ac:dyDescent="0.25">
      <c r="A665" s="6" t="s">
        <v>12358</v>
      </c>
      <c r="B665" s="6"/>
      <c r="C665" s="6"/>
      <c r="D665" s="6"/>
      <c r="E665" s="6"/>
      <c r="F665" s="6"/>
      <c r="G665" s="6"/>
    </row>
    <row r="666" spans="1:7" x14ac:dyDescent="0.25">
      <c r="A666" s="6" t="s">
        <v>12355</v>
      </c>
      <c r="B666" s="6"/>
      <c r="C666" s="6"/>
      <c r="D666" s="6"/>
      <c r="E666" s="6"/>
      <c r="F666" s="6"/>
      <c r="G666" s="6"/>
    </row>
    <row r="667" spans="1:7" x14ac:dyDescent="0.25">
      <c r="A667" s="6" t="s">
        <v>12352</v>
      </c>
      <c r="B667" s="6"/>
      <c r="C667" s="6"/>
      <c r="D667" s="6"/>
      <c r="E667" s="6"/>
      <c r="F667" s="6"/>
      <c r="G667" s="6"/>
    </row>
    <row r="668" spans="1:7" x14ac:dyDescent="0.25">
      <c r="A668" s="6" t="s">
        <v>12350</v>
      </c>
      <c r="B668" s="6"/>
      <c r="C668" s="6"/>
      <c r="D668" s="6"/>
      <c r="E668" s="6"/>
      <c r="F668" s="6"/>
      <c r="G668" s="6"/>
    </row>
    <row r="669" spans="1:7" x14ac:dyDescent="0.25">
      <c r="A669" s="6" t="s">
        <v>12348</v>
      </c>
      <c r="B669" s="6"/>
      <c r="C669" s="6"/>
      <c r="D669" s="6"/>
      <c r="E669" s="6"/>
      <c r="F669" s="6"/>
      <c r="G669" s="6"/>
    </row>
    <row r="670" spans="1:7" x14ac:dyDescent="0.25">
      <c r="A670" s="6" t="s">
        <v>12345</v>
      </c>
      <c r="B670" s="6"/>
      <c r="C670" s="6"/>
      <c r="D670" s="6"/>
      <c r="E670" s="6"/>
      <c r="F670" s="6"/>
      <c r="G670" s="6"/>
    </row>
    <row r="671" spans="1:7" x14ac:dyDescent="0.25">
      <c r="A671" s="6" t="s">
        <v>12343</v>
      </c>
      <c r="B671" s="6"/>
      <c r="C671" s="6"/>
      <c r="D671" s="6"/>
      <c r="E671" s="6"/>
      <c r="F671" s="6"/>
      <c r="G671" s="6"/>
    </row>
    <row r="672" spans="1:7" x14ac:dyDescent="0.25">
      <c r="A672" s="6" t="s">
        <v>12340</v>
      </c>
      <c r="B672" s="6"/>
      <c r="C672" s="6"/>
      <c r="D672" s="6"/>
      <c r="E672" s="6"/>
      <c r="F672" s="6"/>
      <c r="G672" s="6"/>
    </row>
    <row r="673" spans="1:7" x14ac:dyDescent="0.25">
      <c r="A673" s="6" t="s">
        <v>12338</v>
      </c>
      <c r="B673" s="6"/>
      <c r="C673" s="6"/>
      <c r="D673" s="6"/>
      <c r="E673" s="6"/>
      <c r="F673" s="6"/>
      <c r="G673" s="6"/>
    </row>
    <row r="674" spans="1:7" x14ac:dyDescent="0.25">
      <c r="A674" s="6" t="s">
        <v>957</v>
      </c>
      <c r="B674" s="6"/>
      <c r="C674" s="6"/>
      <c r="D674" s="6"/>
      <c r="E674" s="6"/>
      <c r="F674" s="6"/>
      <c r="G674" s="6"/>
    </row>
    <row r="675" spans="1:7" x14ac:dyDescent="0.25">
      <c r="A675" s="6" t="s">
        <v>957</v>
      </c>
      <c r="B675" s="6"/>
      <c r="C675" s="6"/>
      <c r="D675" s="6"/>
      <c r="E675" s="6"/>
      <c r="F675" s="6"/>
      <c r="G675" s="6"/>
    </row>
    <row r="676" spans="1:7" x14ac:dyDescent="0.25">
      <c r="A676" s="6" t="s">
        <v>12332</v>
      </c>
      <c r="B676" s="6"/>
      <c r="C676" s="6"/>
      <c r="D676" s="6"/>
      <c r="E676" s="6"/>
      <c r="F676" s="6"/>
      <c r="G676" s="6"/>
    </row>
    <row r="677" spans="1:7" x14ac:dyDescent="0.25">
      <c r="A677" s="6" t="s">
        <v>12330</v>
      </c>
      <c r="B677" s="6"/>
      <c r="C677" s="6"/>
      <c r="D677" s="6"/>
      <c r="E677" s="6"/>
      <c r="F677" s="6"/>
      <c r="G677" s="6"/>
    </row>
    <row r="678" spans="1:7" x14ac:dyDescent="0.25">
      <c r="A678" s="6" t="s">
        <v>12327</v>
      </c>
      <c r="B678" s="6"/>
      <c r="C678" s="6"/>
      <c r="D678" s="6"/>
      <c r="E678" s="6"/>
      <c r="F678" s="6"/>
      <c r="G678" s="6"/>
    </row>
    <row r="679" spans="1:7" x14ac:dyDescent="0.25">
      <c r="A679" s="6" t="s">
        <v>12324</v>
      </c>
      <c r="B679" s="6"/>
      <c r="C679" s="6"/>
      <c r="D679" s="6"/>
      <c r="E679" s="6"/>
      <c r="F679" s="6"/>
      <c r="G679" s="6"/>
    </row>
    <row r="680" spans="1:7" x14ac:dyDescent="0.25">
      <c r="A680" s="6" t="s">
        <v>12321</v>
      </c>
      <c r="B680" s="6"/>
      <c r="C680" s="6"/>
      <c r="D680" s="6"/>
      <c r="E680" s="6"/>
      <c r="F680" s="6"/>
      <c r="G680" s="6"/>
    </row>
    <row r="681" spans="1:7" x14ac:dyDescent="0.25">
      <c r="A681" s="6" t="s">
        <v>12318</v>
      </c>
      <c r="B681" s="6"/>
      <c r="C681" s="6"/>
      <c r="D681" s="6"/>
      <c r="E681" s="6"/>
      <c r="F681" s="6"/>
      <c r="G681" s="6"/>
    </row>
    <row r="682" spans="1:7" x14ac:dyDescent="0.25">
      <c r="A682" s="6" t="s">
        <v>957</v>
      </c>
      <c r="B682" s="6"/>
      <c r="C682" s="6"/>
      <c r="D682" s="6"/>
      <c r="E682" s="6"/>
      <c r="F682" s="6"/>
      <c r="G682" s="6"/>
    </row>
    <row r="683" spans="1:7" x14ac:dyDescent="0.25">
      <c r="A683" s="6" t="s">
        <v>12314</v>
      </c>
      <c r="B683" s="6"/>
      <c r="C683" s="6"/>
      <c r="D683" s="6"/>
      <c r="E683" s="6"/>
      <c r="F683" s="6"/>
      <c r="G683" s="6"/>
    </row>
    <row r="684" spans="1:7" x14ac:dyDescent="0.25">
      <c r="A684" s="6" t="s">
        <v>12310</v>
      </c>
      <c r="B684" s="6"/>
      <c r="C684" s="6"/>
      <c r="D684" s="6"/>
      <c r="E684" s="6"/>
      <c r="F684" s="6"/>
      <c r="G684" s="6"/>
    </row>
    <row r="685" spans="1:7" x14ac:dyDescent="0.25">
      <c r="A685" s="6" t="s">
        <v>12310</v>
      </c>
      <c r="B685" s="6"/>
      <c r="C685" s="6"/>
      <c r="D685" s="6"/>
      <c r="E685" s="6"/>
      <c r="F685" s="6"/>
      <c r="G685" s="6"/>
    </row>
    <row r="686" spans="1:7" x14ac:dyDescent="0.25">
      <c r="A686" s="6" t="s">
        <v>12308</v>
      </c>
      <c r="B686" s="6"/>
      <c r="C686" s="6"/>
      <c r="D686" s="6"/>
      <c r="E686" s="6"/>
      <c r="F686" s="6"/>
      <c r="G686" s="6"/>
    </row>
    <row r="687" spans="1:7" x14ac:dyDescent="0.25">
      <c r="A687" s="6" t="s">
        <v>12305</v>
      </c>
      <c r="B687" s="6"/>
      <c r="C687" s="6"/>
      <c r="D687" s="6"/>
      <c r="E687" s="6"/>
      <c r="F687" s="6"/>
      <c r="G687" s="6"/>
    </row>
    <row r="688" spans="1:7" x14ac:dyDescent="0.25">
      <c r="A688" s="6" t="s">
        <v>12303</v>
      </c>
      <c r="B688" s="6"/>
      <c r="C688" s="6"/>
      <c r="D688" s="6"/>
      <c r="E688" s="6"/>
      <c r="F688" s="6"/>
      <c r="G688" s="6"/>
    </row>
    <row r="689" spans="1:7" x14ac:dyDescent="0.25">
      <c r="A689" s="6" t="s">
        <v>12300</v>
      </c>
      <c r="B689" s="6"/>
      <c r="C689" s="6"/>
      <c r="D689" s="6"/>
      <c r="E689" s="6"/>
      <c r="F689" s="6"/>
      <c r="G689" s="6"/>
    </row>
    <row r="690" spans="1:7" x14ac:dyDescent="0.25">
      <c r="A690" s="6" t="s">
        <v>12297</v>
      </c>
      <c r="B690" s="6"/>
      <c r="C690" s="6"/>
      <c r="D690" s="6"/>
      <c r="E690" s="6"/>
      <c r="F690" s="6"/>
      <c r="G690" s="6"/>
    </row>
    <row r="691" spans="1:7" x14ac:dyDescent="0.25">
      <c r="A691" s="6" t="s">
        <v>13395</v>
      </c>
      <c r="B691" s="6"/>
      <c r="C691" s="6"/>
      <c r="D691" s="6"/>
      <c r="E691" s="6"/>
      <c r="F691" s="6"/>
      <c r="G691" s="6"/>
    </row>
    <row r="692" spans="1:7" x14ac:dyDescent="0.25">
      <c r="A692" s="6" t="s">
        <v>957</v>
      </c>
      <c r="B692" s="6"/>
      <c r="C692" s="6"/>
      <c r="D692" s="6"/>
      <c r="E692" s="6"/>
      <c r="F692" s="6"/>
      <c r="G692" s="6"/>
    </row>
    <row r="693" spans="1:7" x14ac:dyDescent="0.25">
      <c r="A693" s="6" t="s">
        <v>13390</v>
      </c>
      <c r="B693" s="6"/>
      <c r="C693" s="6"/>
      <c r="D693" s="6"/>
      <c r="E693" s="6"/>
      <c r="F693" s="6"/>
      <c r="G693" s="6"/>
    </row>
    <row r="694" spans="1:7" x14ac:dyDescent="0.25">
      <c r="A694" s="6" t="s">
        <v>13387</v>
      </c>
      <c r="B694" s="6"/>
      <c r="C694" s="6"/>
      <c r="D694" s="6"/>
      <c r="E694" s="6"/>
      <c r="F694" s="6"/>
      <c r="G694" s="6"/>
    </row>
    <row r="695" spans="1:7" x14ac:dyDescent="0.25">
      <c r="A695" s="6" t="s">
        <v>13384</v>
      </c>
      <c r="B695" s="6"/>
      <c r="C695" s="6"/>
      <c r="D695" s="6"/>
      <c r="E695" s="6"/>
      <c r="F695" s="6"/>
      <c r="G695" s="6"/>
    </row>
    <row r="696" spans="1:7" x14ac:dyDescent="0.25">
      <c r="A696" s="6" t="s">
        <v>13381</v>
      </c>
      <c r="B696" s="6"/>
      <c r="C696" s="6"/>
      <c r="D696" s="6"/>
      <c r="E696" s="6"/>
      <c r="F696" s="6"/>
      <c r="G696" s="6"/>
    </row>
    <row r="697" spans="1:7" x14ac:dyDescent="0.25">
      <c r="A697" s="6" t="s">
        <v>12293</v>
      </c>
      <c r="B697" s="6"/>
      <c r="C697" s="6"/>
      <c r="D697" s="6"/>
      <c r="E697" s="6"/>
      <c r="F697" s="6"/>
      <c r="G697" s="6"/>
    </row>
    <row r="698" spans="1:7" x14ac:dyDescent="0.25">
      <c r="A698" s="6" t="s">
        <v>12290</v>
      </c>
      <c r="B698" s="6"/>
      <c r="C698" s="6"/>
      <c r="D698" s="6"/>
      <c r="E698" s="6"/>
      <c r="F698" s="6"/>
      <c r="G698" s="6"/>
    </row>
    <row r="699" spans="1:7" x14ac:dyDescent="0.25">
      <c r="A699" s="6" t="s">
        <v>12288</v>
      </c>
      <c r="B699" s="6"/>
      <c r="C699" s="6"/>
      <c r="D699" s="6"/>
      <c r="E699" s="6"/>
      <c r="F699" s="6"/>
      <c r="G699" s="6"/>
    </row>
    <row r="700" spans="1:7" x14ac:dyDescent="0.25">
      <c r="A700" s="6" t="s">
        <v>12285</v>
      </c>
      <c r="B700" s="6"/>
      <c r="C700" s="6"/>
      <c r="D700" s="6"/>
      <c r="E700" s="6"/>
      <c r="F700" s="6"/>
      <c r="G700" s="6"/>
    </row>
    <row r="701" spans="1:7" x14ac:dyDescent="0.25">
      <c r="A701" s="6" t="s">
        <v>12282</v>
      </c>
      <c r="B701" s="6"/>
      <c r="C701" s="6"/>
      <c r="D701" s="6"/>
      <c r="E701" s="6"/>
      <c r="F701" s="6"/>
      <c r="G701" s="6"/>
    </row>
    <row r="702" spans="1:7" x14ac:dyDescent="0.25">
      <c r="A702" s="6" t="s">
        <v>957</v>
      </c>
      <c r="B702" s="6"/>
      <c r="C702" s="6"/>
      <c r="D702" s="6"/>
      <c r="E702" s="6"/>
      <c r="F702" s="6"/>
      <c r="G702" s="6"/>
    </row>
    <row r="703" spans="1:7" x14ac:dyDescent="0.25">
      <c r="A703" s="6" t="s">
        <v>12278</v>
      </c>
      <c r="B703" s="6"/>
      <c r="C703" s="6"/>
      <c r="D703" s="6"/>
      <c r="E703" s="6"/>
      <c r="F703" s="6"/>
      <c r="G703" s="6"/>
    </row>
    <row r="704" spans="1:7" x14ac:dyDescent="0.25">
      <c r="A704" s="6" t="s">
        <v>12275</v>
      </c>
      <c r="B704" s="6"/>
      <c r="C704" s="6"/>
      <c r="D704" s="6"/>
      <c r="E704" s="6"/>
      <c r="F704" s="6"/>
      <c r="G704" s="6"/>
    </row>
    <row r="705" spans="1:7" x14ac:dyDescent="0.25">
      <c r="A705" s="6" t="s">
        <v>12272</v>
      </c>
      <c r="B705" s="6"/>
      <c r="C705" s="6"/>
      <c r="D705" s="6"/>
      <c r="E705" s="6"/>
      <c r="F705" s="6"/>
      <c r="G705" s="6"/>
    </row>
    <row r="706" spans="1:7" x14ac:dyDescent="0.25">
      <c r="A706" s="6" t="s">
        <v>14135</v>
      </c>
      <c r="B706" s="6" t="s">
        <v>14136</v>
      </c>
      <c r="C706" s="6"/>
      <c r="D706" s="6"/>
      <c r="E706" s="6"/>
      <c r="F706" s="6"/>
      <c r="G706" s="6"/>
    </row>
    <row r="707" spans="1:7" x14ac:dyDescent="0.25">
      <c r="A707" s="6" t="s">
        <v>957</v>
      </c>
      <c r="B707" s="6"/>
      <c r="C707" s="6"/>
      <c r="D707" s="6"/>
      <c r="E707" s="6"/>
      <c r="F707" s="6"/>
      <c r="G707" s="6"/>
    </row>
    <row r="708" spans="1:7" x14ac:dyDescent="0.25">
      <c r="A708" s="6" t="s">
        <v>12267</v>
      </c>
      <c r="B708" s="6"/>
      <c r="C708" s="6"/>
      <c r="D708" s="6"/>
      <c r="E708" s="6"/>
      <c r="F708" s="6"/>
      <c r="G708" s="6"/>
    </row>
    <row r="709" spans="1:7" x14ac:dyDescent="0.25">
      <c r="A709" s="6" t="s">
        <v>12264</v>
      </c>
      <c r="B709" s="6"/>
      <c r="C709" s="6"/>
      <c r="D709" s="6"/>
      <c r="E709" s="6"/>
      <c r="F709" s="6"/>
      <c r="G709" s="6"/>
    </row>
    <row r="710" spans="1:7" x14ac:dyDescent="0.25">
      <c r="A710" s="6" t="s">
        <v>12261</v>
      </c>
      <c r="B710" s="6"/>
      <c r="C710" s="6"/>
      <c r="D710" s="6"/>
      <c r="E710" s="6"/>
      <c r="F710" s="6"/>
      <c r="G710" s="6"/>
    </row>
    <row r="711" spans="1:7" x14ac:dyDescent="0.25">
      <c r="A711" s="6" t="s">
        <v>12258</v>
      </c>
      <c r="B711" s="6"/>
      <c r="C711" s="6"/>
      <c r="D711" s="6"/>
      <c r="E711" s="6"/>
      <c r="F711" s="6"/>
      <c r="G711" s="6"/>
    </row>
    <row r="712" spans="1:7" x14ac:dyDescent="0.25">
      <c r="A712" s="6" t="s">
        <v>12255</v>
      </c>
      <c r="B712" s="6"/>
      <c r="C712" s="6"/>
      <c r="D712" s="6"/>
      <c r="E712" s="6"/>
      <c r="F712" s="6"/>
      <c r="G712" s="6"/>
    </row>
    <row r="713" spans="1:7" x14ac:dyDescent="0.25">
      <c r="A713" s="6" t="s">
        <v>12252</v>
      </c>
      <c r="B713" s="6"/>
      <c r="C713" s="6"/>
      <c r="D713" s="6"/>
      <c r="E713" s="6"/>
      <c r="F713" s="6"/>
      <c r="G713" s="6"/>
    </row>
    <row r="714" spans="1:7" x14ac:dyDescent="0.25">
      <c r="A714" s="6" t="s">
        <v>957</v>
      </c>
      <c r="B714" s="6"/>
      <c r="C714" s="6"/>
      <c r="D714" s="6"/>
      <c r="E714" s="6"/>
      <c r="F714" s="6"/>
      <c r="G714" s="6"/>
    </row>
    <row r="715" spans="1:7" x14ac:dyDescent="0.25">
      <c r="A715" s="6" t="s">
        <v>957</v>
      </c>
      <c r="B715" s="6"/>
      <c r="C715" s="6"/>
      <c r="D715" s="6"/>
      <c r="E715" s="6"/>
      <c r="F715" s="6"/>
      <c r="G715" s="6"/>
    </row>
    <row r="716" spans="1:7" x14ac:dyDescent="0.25">
      <c r="A716" s="6" t="s">
        <v>12247</v>
      </c>
      <c r="B716" s="6"/>
      <c r="C716" s="6"/>
      <c r="D716" s="6"/>
      <c r="E716" s="6"/>
      <c r="F716" s="6"/>
      <c r="G716" s="6"/>
    </row>
    <row r="717" spans="1:7" x14ac:dyDescent="0.25">
      <c r="A717" s="6" t="s">
        <v>14137</v>
      </c>
      <c r="B717" s="6" t="s">
        <v>14138</v>
      </c>
      <c r="C717" s="6"/>
      <c r="D717" s="6"/>
      <c r="E717" s="6"/>
      <c r="F717" s="6"/>
      <c r="G717" s="6"/>
    </row>
    <row r="718" spans="1:7" x14ac:dyDescent="0.25">
      <c r="A718" s="6" t="s">
        <v>12243</v>
      </c>
      <c r="B718" s="6"/>
      <c r="C718" s="6"/>
      <c r="D718" s="6"/>
      <c r="E718" s="6"/>
      <c r="F718" s="6"/>
      <c r="G718" s="6"/>
    </row>
    <row r="719" spans="1:7" x14ac:dyDescent="0.25">
      <c r="A719" s="6" t="s">
        <v>12240</v>
      </c>
      <c r="B719" s="6"/>
      <c r="C719" s="6"/>
      <c r="D719" s="6"/>
      <c r="E719" s="6"/>
      <c r="F719" s="6"/>
      <c r="G719" s="6"/>
    </row>
    <row r="720" spans="1:7" x14ac:dyDescent="0.25">
      <c r="A720" s="6" t="s">
        <v>12237</v>
      </c>
      <c r="B720" s="6"/>
      <c r="C720" s="6"/>
      <c r="D720" s="6"/>
      <c r="E720" s="6"/>
      <c r="F720" s="6"/>
      <c r="G720" s="6"/>
    </row>
    <row r="721" spans="1:7" x14ac:dyDescent="0.25">
      <c r="A721" s="6" t="s">
        <v>12234</v>
      </c>
      <c r="B721" s="6"/>
      <c r="C721" s="6"/>
      <c r="D721" s="6"/>
      <c r="E721" s="6"/>
      <c r="F721" s="6"/>
      <c r="G721" s="6"/>
    </row>
    <row r="722" spans="1:7" x14ac:dyDescent="0.25">
      <c r="A722" s="6" t="s">
        <v>12231</v>
      </c>
      <c r="B722" s="6"/>
      <c r="C722" s="6"/>
      <c r="D722" s="6"/>
      <c r="E722" s="6"/>
      <c r="F722" s="6"/>
      <c r="G722" s="6"/>
    </row>
    <row r="723" spans="1:7" x14ac:dyDescent="0.25">
      <c r="A723" s="6" t="s">
        <v>12228</v>
      </c>
      <c r="B723" s="6"/>
      <c r="C723" s="6"/>
      <c r="D723" s="6"/>
      <c r="E723" s="6"/>
      <c r="F723" s="6"/>
      <c r="G723" s="6"/>
    </row>
    <row r="724" spans="1:7" x14ac:dyDescent="0.25">
      <c r="A724" s="6" t="s">
        <v>14139</v>
      </c>
      <c r="B724" s="6" t="s">
        <v>14140</v>
      </c>
      <c r="C724" s="6"/>
      <c r="D724" s="6"/>
      <c r="E724" s="6"/>
      <c r="F724" s="6"/>
      <c r="G724" s="6"/>
    </row>
    <row r="725" spans="1:7" x14ac:dyDescent="0.25">
      <c r="A725" s="6" t="s">
        <v>12224</v>
      </c>
      <c r="B725" s="6"/>
      <c r="C725" s="6"/>
      <c r="D725" s="6"/>
      <c r="E725" s="6"/>
      <c r="F725" s="6"/>
      <c r="G725" s="6"/>
    </row>
    <row r="726" spans="1:7" x14ac:dyDescent="0.25">
      <c r="A726" s="6" t="s">
        <v>12221</v>
      </c>
      <c r="B726" s="6"/>
      <c r="C726" s="6"/>
      <c r="D726" s="6"/>
      <c r="E726" s="6"/>
      <c r="F726" s="6"/>
      <c r="G726" s="6"/>
    </row>
    <row r="727" spans="1:7" x14ac:dyDescent="0.25">
      <c r="A727" s="6" t="s">
        <v>957</v>
      </c>
      <c r="B727" s="6"/>
      <c r="C727" s="6"/>
      <c r="D727" s="6"/>
      <c r="E727" s="6"/>
      <c r="F727" s="6"/>
      <c r="G727" s="6"/>
    </row>
    <row r="728" spans="1:7" x14ac:dyDescent="0.25">
      <c r="A728" s="6" t="s">
        <v>12218</v>
      </c>
      <c r="B728" s="6"/>
      <c r="C728" s="6"/>
      <c r="D728" s="6"/>
      <c r="E728" s="6"/>
      <c r="F728" s="6"/>
      <c r="G728" s="6"/>
    </row>
    <row r="729" spans="1:7" x14ac:dyDescent="0.25">
      <c r="A729" s="6" t="s">
        <v>957</v>
      </c>
      <c r="B729" s="6"/>
      <c r="C729" s="6"/>
      <c r="D729" s="6"/>
      <c r="E729" s="6"/>
      <c r="F729" s="6"/>
      <c r="G729" s="6"/>
    </row>
    <row r="730" spans="1:7" x14ac:dyDescent="0.25">
      <c r="A730" s="6" t="s">
        <v>12214</v>
      </c>
      <c r="B730" s="6"/>
      <c r="C730" s="6"/>
      <c r="D730" s="6"/>
      <c r="E730" s="6"/>
      <c r="F730" s="6"/>
      <c r="G730" s="6"/>
    </row>
    <row r="731" spans="1:7" x14ac:dyDescent="0.25">
      <c r="A731" s="6" t="s">
        <v>12211</v>
      </c>
      <c r="B731" s="6"/>
      <c r="C731" s="6"/>
      <c r="D731" s="6"/>
      <c r="E731" s="6"/>
      <c r="F731" s="6"/>
      <c r="G731" s="6"/>
    </row>
    <row r="732" spans="1:7" x14ac:dyDescent="0.25">
      <c r="A732" s="6" t="s">
        <v>957</v>
      </c>
      <c r="B732" s="6"/>
      <c r="C732" s="6"/>
      <c r="D732" s="6"/>
      <c r="E732" s="6"/>
      <c r="F732" s="6"/>
      <c r="G732" s="6"/>
    </row>
    <row r="733" spans="1:7" x14ac:dyDescent="0.25">
      <c r="A733" s="6" t="s">
        <v>12206</v>
      </c>
      <c r="B733" s="6"/>
      <c r="C733" s="6"/>
      <c r="D733" s="6"/>
      <c r="E733" s="6"/>
      <c r="F733" s="6"/>
      <c r="G733" s="6"/>
    </row>
    <row r="734" spans="1:7" x14ac:dyDescent="0.25">
      <c r="A734" s="6" t="s">
        <v>12203</v>
      </c>
      <c r="B734" s="6"/>
      <c r="C734" s="6"/>
      <c r="D734" s="6"/>
      <c r="E734" s="6"/>
      <c r="F734" s="6"/>
      <c r="G734" s="6"/>
    </row>
    <row r="735" spans="1:7" x14ac:dyDescent="0.25">
      <c r="A735" s="6" t="s">
        <v>12200</v>
      </c>
      <c r="B735" s="6"/>
      <c r="C735" s="6"/>
      <c r="D735" s="6"/>
      <c r="E735" s="6"/>
      <c r="F735" s="6"/>
      <c r="G735" s="6"/>
    </row>
    <row r="736" spans="1:7" x14ac:dyDescent="0.25">
      <c r="A736" s="6" t="s">
        <v>11473</v>
      </c>
      <c r="B736" s="6"/>
      <c r="C736" s="6"/>
      <c r="D736" s="6"/>
      <c r="E736" s="6"/>
      <c r="F736" s="6"/>
      <c r="G736" s="6"/>
    </row>
    <row r="737" spans="1:7" x14ac:dyDescent="0.25">
      <c r="A737" s="6" t="s">
        <v>11470</v>
      </c>
      <c r="B737" s="6"/>
      <c r="C737" s="6"/>
      <c r="D737" s="6"/>
      <c r="E737" s="6"/>
      <c r="F737" s="6"/>
      <c r="G737" s="6"/>
    </row>
    <row r="738" spans="1:7" x14ac:dyDescent="0.25">
      <c r="A738" s="6" t="s">
        <v>11467</v>
      </c>
      <c r="B738" s="6"/>
      <c r="C738" s="6"/>
      <c r="D738" s="6"/>
      <c r="E738" s="6"/>
      <c r="F738" s="6"/>
      <c r="G738" s="6"/>
    </row>
    <row r="739" spans="1:7" x14ac:dyDescent="0.25">
      <c r="A739" s="6" t="s">
        <v>13120</v>
      </c>
      <c r="B739" s="6"/>
      <c r="C739" s="6"/>
      <c r="D739" s="6"/>
      <c r="E739" s="6"/>
      <c r="F739" s="6"/>
      <c r="G739" s="6"/>
    </row>
    <row r="740" spans="1:7" x14ac:dyDescent="0.25">
      <c r="A740" s="6" t="s">
        <v>957</v>
      </c>
      <c r="B740" s="6"/>
      <c r="C740" s="6"/>
      <c r="D740" s="6"/>
      <c r="E740" s="6"/>
      <c r="F740" s="6"/>
      <c r="G740" s="6"/>
    </row>
    <row r="741" spans="1:7" x14ac:dyDescent="0.25">
      <c r="A741" s="6" t="s">
        <v>13116</v>
      </c>
      <c r="B741" s="6"/>
      <c r="C741" s="6"/>
      <c r="D741" s="6"/>
      <c r="E741" s="6"/>
      <c r="F741" s="6"/>
      <c r="G741" s="6"/>
    </row>
    <row r="742" spans="1:7" x14ac:dyDescent="0.25">
      <c r="A742" s="6" t="s">
        <v>13113</v>
      </c>
      <c r="B742" s="6"/>
      <c r="C742" s="6"/>
      <c r="D742" s="6"/>
      <c r="E742" s="6"/>
      <c r="F742" s="6"/>
      <c r="G742" s="6"/>
    </row>
    <row r="743" spans="1:7" x14ac:dyDescent="0.25">
      <c r="A743" s="6" t="s">
        <v>13110</v>
      </c>
      <c r="B743" s="6"/>
      <c r="C743" s="6"/>
      <c r="D743" s="6"/>
      <c r="E743" s="6"/>
      <c r="F743" s="6"/>
      <c r="G743" s="6"/>
    </row>
    <row r="744" spans="1:7" x14ac:dyDescent="0.25">
      <c r="A744" s="6" t="s">
        <v>13107</v>
      </c>
      <c r="B744" s="6"/>
      <c r="C744" s="6"/>
      <c r="D744" s="6"/>
      <c r="E744" s="6"/>
      <c r="F744" s="6"/>
      <c r="G744" s="6"/>
    </row>
    <row r="745" spans="1:7" x14ac:dyDescent="0.25">
      <c r="A745" s="6" t="s">
        <v>13104</v>
      </c>
      <c r="B745" s="6"/>
      <c r="C745" s="6"/>
      <c r="D745" s="6"/>
      <c r="E745" s="6"/>
      <c r="F745" s="6"/>
      <c r="G745" s="6"/>
    </row>
    <row r="746" spans="1:7" x14ac:dyDescent="0.25">
      <c r="A746" s="6" t="s">
        <v>13101</v>
      </c>
      <c r="B746" s="6"/>
      <c r="C746" s="6"/>
      <c r="D746" s="6"/>
      <c r="E746" s="6"/>
      <c r="F746" s="6"/>
      <c r="G746" s="6"/>
    </row>
    <row r="747" spans="1:7" x14ac:dyDescent="0.25">
      <c r="A747" s="6" t="s">
        <v>13098</v>
      </c>
      <c r="B747" s="6"/>
      <c r="C747" s="6"/>
      <c r="D747" s="6"/>
      <c r="E747" s="6"/>
      <c r="F747" s="6"/>
      <c r="G747" s="6"/>
    </row>
    <row r="748" spans="1:7" x14ac:dyDescent="0.25">
      <c r="A748" s="6" t="s">
        <v>13095</v>
      </c>
      <c r="B748" s="6"/>
      <c r="C748" s="6"/>
      <c r="D748" s="6"/>
      <c r="E748" s="6"/>
      <c r="F748" s="6"/>
      <c r="G748" s="6"/>
    </row>
    <row r="749" spans="1:7" x14ac:dyDescent="0.25">
      <c r="A749" s="6" t="s">
        <v>13092</v>
      </c>
      <c r="B749" s="6"/>
      <c r="C749" s="6"/>
      <c r="D749" s="6"/>
      <c r="E749" s="6"/>
      <c r="F749" s="6"/>
      <c r="G749" s="6"/>
    </row>
    <row r="750" spans="1:7" x14ac:dyDescent="0.25">
      <c r="A750" s="6" t="s">
        <v>957</v>
      </c>
      <c r="B750" s="6"/>
      <c r="C750" s="6"/>
      <c r="D750" s="6"/>
      <c r="E750" s="6"/>
      <c r="F750" s="6"/>
      <c r="G750" s="6"/>
    </row>
    <row r="751" spans="1:7" x14ac:dyDescent="0.25">
      <c r="A751" s="6" t="s">
        <v>957</v>
      </c>
      <c r="B751" s="6"/>
      <c r="C751" s="6"/>
      <c r="D751" s="6"/>
      <c r="E751" s="6"/>
      <c r="F751" s="6"/>
      <c r="G751" s="6"/>
    </row>
    <row r="752" spans="1:7" x14ac:dyDescent="0.25">
      <c r="A752" s="6" t="s">
        <v>13087</v>
      </c>
      <c r="B752" s="6"/>
      <c r="C752" s="6"/>
      <c r="D752" s="6"/>
      <c r="E752" s="6"/>
      <c r="F752" s="6"/>
      <c r="G752" s="6"/>
    </row>
    <row r="753" spans="1:7" x14ac:dyDescent="0.25">
      <c r="A753" s="6" t="s">
        <v>13084</v>
      </c>
      <c r="B753" s="6"/>
      <c r="C753" s="6"/>
      <c r="D753" s="6"/>
      <c r="E753" s="6"/>
      <c r="F753" s="6"/>
      <c r="G753" s="6"/>
    </row>
    <row r="754" spans="1:7" x14ac:dyDescent="0.25">
      <c r="A754" s="6" t="s">
        <v>13081</v>
      </c>
      <c r="B754" s="6"/>
      <c r="C754" s="6"/>
      <c r="D754" s="6"/>
      <c r="E754" s="6"/>
      <c r="F754" s="6"/>
      <c r="G754" s="6"/>
    </row>
    <row r="755" spans="1:7" x14ac:dyDescent="0.25">
      <c r="A755" s="6" t="s">
        <v>957</v>
      </c>
      <c r="B755" s="6"/>
      <c r="C755" s="6"/>
      <c r="D755" s="6"/>
      <c r="E755" s="6"/>
      <c r="F755" s="6"/>
      <c r="G755" s="6"/>
    </row>
    <row r="756" spans="1:7" x14ac:dyDescent="0.25">
      <c r="A756" s="6" t="s">
        <v>13077</v>
      </c>
      <c r="B756" s="6"/>
      <c r="C756" s="6"/>
      <c r="D756" s="6"/>
      <c r="E756" s="6"/>
      <c r="F756" s="6"/>
      <c r="G756" s="6"/>
    </row>
    <row r="757" spans="1:7" x14ac:dyDescent="0.25">
      <c r="A757" s="6" t="s">
        <v>13074</v>
      </c>
      <c r="B757" s="6"/>
      <c r="C757" s="6"/>
      <c r="D757" s="6"/>
      <c r="E757" s="6"/>
      <c r="F757" s="6"/>
      <c r="G757" s="6"/>
    </row>
    <row r="758" spans="1:7" x14ac:dyDescent="0.25">
      <c r="A758" s="6" t="s">
        <v>13071</v>
      </c>
      <c r="B758" s="6"/>
      <c r="C758" s="6"/>
      <c r="D758" s="6"/>
      <c r="E758" s="6"/>
      <c r="F758" s="6"/>
      <c r="G758" s="6"/>
    </row>
    <row r="759" spans="1:7" x14ac:dyDescent="0.25">
      <c r="A759" s="6" t="s">
        <v>957</v>
      </c>
      <c r="B759" s="6"/>
      <c r="C759" s="6"/>
      <c r="D759" s="6"/>
      <c r="E759" s="6"/>
      <c r="F759" s="6"/>
      <c r="G759" s="6"/>
    </row>
    <row r="760" spans="1:7" x14ac:dyDescent="0.25">
      <c r="A760" s="6" t="s">
        <v>13067</v>
      </c>
      <c r="B760" s="6"/>
      <c r="C760" s="6"/>
      <c r="D760" s="6"/>
      <c r="E760" s="6"/>
      <c r="F760" s="6"/>
      <c r="G760" s="6"/>
    </row>
    <row r="761" spans="1:7" x14ac:dyDescent="0.25">
      <c r="A761" s="6" t="s">
        <v>957</v>
      </c>
      <c r="B761" s="6"/>
      <c r="C761" s="6"/>
      <c r="D761" s="6"/>
      <c r="E761" s="6"/>
      <c r="F761" s="6"/>
      <c r="G761" s="6"/>
    </row>
    <row r="762" spans="1:7" x14ac:dyDescent="0.25">
      <c r="A762" s="6" t="s">
        <v>13063</v>
      </c>
      <c r="B762" s="6"/>
      <c r="C762" s="6"/>
      <c r="D762" s="6"/>
      <c r="E762" s="6"/>
      <c r="F762" s="6"/>
      <c r="G762" s="6"/>
    </row>
    <row r="763" spans="1:7" x14ac:dyDescent="0.25">
      <c r="A763" s="6" t="s">
        <v>13060</v>
      </c>
      <c r="B763" s="6"/>
      <c r="C763" s="6"/>
      <c r="D763" s="6"/>
      <c r="E763" s="6"/>
      <c r="F763" s="6"/>
      <c r="G763" s="6"/>
    </row>
    <row r="764" spans="1:7" x14ac:dyDescent="0.25">
      <c r="A764" s="6" t="s">
        <v>957</v>
      </c>
      <c r="B764" s="6"/>
      <c r="C764" s="6"/>
      <c r="D764" s="6"/>
      <c r="E764" s="6"/>
      <c r="F764" s="6"/>
      <c r="G764" s="6"/>
    </row>
    <row r="765" spans="1:7" x14ac:dyDescent="0.25">
      <c r="A765" s="6" t="s">
        <v>13055</v>
      </c>
      <c r="B765" s="6"/>
      <c r="C765" s="6"/>
      <c r="D765" s="6"/>
      <c r="E765" s="6"/>
      <c r="F765" s="6"/>
      <c r="G765" s="6"/>
    </row>
    <row r="766" spans="1:7" x14ac:dyDescent="0.25">
      <c r="A766" s="6" t="s">
        <v>13052</v>
      </c>
      <c r="B766" s="6"/>
      <c r="C766" s="6"/>
      <c r="D766" s="6"/>
      <c r="E766" s="6"/>
      <c r="F766" s="6"/>
      <c r="G766" s="6"/>
    </row>
    <row r="767" spans="1:7" x14ac:dyDescent="0.25">
      <c r="A767" s="6" t="s">
        <v>13049</v>
      </c>
      <c r="B767" s="6"/>
      <c r="C767" s="6"/>
      <c r="D767" s="6"/>
      <c r="E767" s="6"/>
      <c r="F767" s="6"/>
      <c r="G767" s="6"/>
    </row>
    <row r="768" spans="1:7" x14ac:dyDescent="0.25">
      <c r="A768" s="6" t="s">
        <v>13046</v>
      </c>
      <c r="B768" s="6"/>
      <c r="C768" s="6"/>
      <c r="D768" s="6"/>
      <c r="E768" s="6"/>
      <c r="F768" s="6"/>
      <c r="G768" s="6"/>
    </row>
    <row r="769" spans="1:7" x14ac:dyDescent="0.25">
      <c r="A769" s="6" t="s">
        <v>957</v>
      </c>
      <c r="B769" s="6"/>
      <c r="C769" s="6"/>
      <c r="D769" s="6"/>
      <c r="E769" s="6"/>
      <c r="F769" s="6"/>
      <c r="G769" s="6"/>
    </row>
    <row r="770" spans="1:7" x14ac:dyDescent="0.25">
      <c r="A770" s="6" t="s">
        <v>13042</v>
      </c>
      <c r="B770" s="6"/>
      <c r="C770" s="6"/>
      <c r="D770" s="6"/>
      <c r="E770" s="6"/>
      <c r="F770" s="6"/>
      <c r="G770" s="6"/>
    </row>
    <row r="771" spans="1:7" x14ac:dyDescent="0.25">
      <c r="A771" s="6" t="s">
        <v>13040</v>
      </c>
      <c r="B771" s="6"/>
      <c r="C771" s="6"/>
      <c r="D771" s="6"/>
      <c r="E771" s="6"/>
      <c r="F771" s="6"/>
      <c r="G771" s="6"/>
    </row>
    <row r="772" spans="1:7" x14ac:dyDescent="0.25">
      <c r="A772" s="6" t="s">
        <v>13037</v>
      </c>
      <c r="B772" s="6"/>
      <c r="C772" s="6"/>
      <c r="D772" s="6"/>
      <c r="E772" s="6"/>
      <c r="F772" s="6"/>
      <c r="G772" s="6"/>
    </row>
    <row r="773" spans="1:7" x14ac:dyDescent="0.25">
      <c r="A773" s="6" t="s">
        <v>13034</v>
      </c>
      <c r="B773" s="6"/>
      <c r="C773" s="6"/>
      <c r="D773" s="6"/>
      <c r="E773" s="6"/>
      <c r="F773" s="6"/>
      <c r="G773" s="6"/>
    </row>
    <row r="774" spans="1:7" x14ac:dyDescent="0.25">
      <c r="A774" s="6" t="s">
        <v>957</v>
      </c>
      <c r="B774" s="6"/>
      <c r="C774" s="6"/>
      <c r="D774" s="6"/>
      <c r="E774" s="6"/>
      <c r="F774" s="6"/>
      <c r="G774" s="6"/>
    </row>
    <row r="775" spans="1:7" x14ac:dyDescent="0.25">
      <c r="A775" s="6" t="s">
        <v>13030</v>
      </c>
      <c r="B775" s="6"/>
      <c r="C775" s="6"/>
      <c r="D775" s="6"/>
      <c r="E775" s="6"/>
      <c r="F775" s="6"/>
      <c r="G775" s="6"/>
    </row>
    <row r="776" spans="1:7" x14ac:dyDescent="0.25">
      <c r="A776" s="6" t="s">
        <v>13027</v>
      </c>
      <c r="B776" s="6"/>
      <c r="C776" s="6"/>
      <c r="D776" s="6"/>
      <c r="E776" s="6"/>
      <c r="F776" s="6"/>
      <c r="G776" s="6"/>
    </row>
    <row r="777" spans="1:7" x14ac:dyDescent="0.25">
      <c r="A777" s="6" t="s">
        <v>13024</v>
      </c>
      <c r="B777" s="6"/>
      <c r="C777" s="6"/>
      <c r="D777" s="6"/>
      <c r="E777" s="6"/>
      <c r="F777" s="6"/>
      <c r="G777" s="6"/>
    </row>
    <row r="778" spans="1:7" x14ac:dyDescent="0.25">
      <c r="A778" s="6" t="s">
        <v>13021</v>
      </c>
      <c r="B778" s="6"/>
      <c r="C778" s="6"/>
      <c r="D778" s="6"/>
      <c r="E778" s="6"/>
      <c r="F778" s="6"/>
      <c r="G778" s="6"/>
    </row>
    <row r="779" spans="1:7" x14ac:dyDescent="0.25">
      <c r="A779" s="6" t="s">
        <v>11464</v>
      </c>
      <c r="B779" s="6"/>
      <c r="C779" s="6"/>
      <c r="D779" s="6"/>
      <c r="E779" s="6"/>
      <c r="F779" s="6"/>
      <c r="G779" s="6"/>
    </row>
    <row r="780" spans="1:7" x14ac:dyDescent="0.25">
      <c r="A780" s="6" t="s">
        <v>11461</v>
      </c>
      <c r="B780" s="6"/>
      <c r="C780" s="6"/>
      <c r="D780" s="6"/>
      <c r="E780" s="6"/>
      <c r="F780" s="6"/>
      <c r="G780" s="6"/>
    </row>
    <row r="781" spans="1:7" x14ac:dyDescent="0.25">
      <c r="A781" s="6" t="s">
        <v>11458</v>
      </c>
      <c r="B781" s="6"/>
      <c r="C781" s="6"/>
      <c r="D781" s="6"/>
      <c r="E781" s="6"/>
      <c r="F781" s="6"/>
      <c r="G781" s="6"/>
    </row>
    <row r="782" spans="1:7" x14ac:dyDescent="0.25">
      <c r="A782" s="6" t="s">
        <v>11455</v>
      </c>
      <c r="B782" s="6"/>
      <c r="C782" s="6"/>
      <c r="D782" s="6"/>
      <c r="E782" s="6"/>
      <c r="F782" s="6"/>
      <c r="G782" s="6"/>
    </row>
    <row r="783" spans="1:7" x14ac:dyDescent="0.25">
      <c r="A783" s="6" t="s">
        <v>11453</v>
      </c>
      <c r="B783" s="6"/>
      <c r="C783" s="6"/>
      <c r="D783" s="6"/>
      <c r="E783" s="6"/>
      <c r="F783" s="6"/>
      <c r="G783" s="6"/>
    </row>
    <row r="784" spans="1:7" x14ac:dyDescent="0.25">
      <c r="A784" s="6" t="s">
        <v>957</v>
      </c>
      <c r="B784" s="6"/>
      <c r="C784" s="6"/>
      <c r="D784" s="6"/>
      <c r="E784" s="6"/>
      <c r="F784" s="6"/>
      <c r="G784" s="6"/>
    </row>
    <row r="785" spans="1:7" x14ac:dyDescent="0.25">
      <c r="A785" s="6" t="s">
        <v>11449</v>
      </c>
      <c r="B785" s="6"/>
      <c r="C785" s="6"/>
      <c r="D785" s="6"/>
      <c r="E785" s="6"/>
      <c r="F785" s="6"/>
      <c r="G785" s="6"/>
    </row>
    <row r="786" spans="1:7" x14ac:dyDescent="0.25">
      <c r="A786" s="6" t="s">
        <v>957</v>
      </c>
      <c r="B786" s="6"/>
      <c r="C786" s="6"/>
      <c r="D786" s="6"/>
      <c r="E786" s="6"/>
      <c r="F786" s="6"/>
      <c r="G786" s="6"/>
    </row>
    <row r="787" spans="1:7" x14ac:dyDescent="0.25">
      <c r="A787" s="6" t="s">
        <v>11445</v>
      </c>
      <c r="B787" s="6"/>
      <c r="C787" s="6"/>
      <c r="D787" s="6"/>
      <c r="E787" s="6"/>
      <c r="F787" s="6"/>
      <c r="G787" s="6"/>
    </row>
    <row r="788" spans="1:7" x14ac:dyDescent="0.25">
      <c r="A788" s="6" t="s">
        <v>11442</v>
      </c>
      <c r="B788" s="6"/>
      <c r="C788" s="6"/>
      <c r="D788" s="6"/>
      <c r="E788" s="6"/>
      <c r="F788" s="6"/>
      <c r="G788" s="6"/>
    </row>
    <row r="789" spans="1:7" x14ac:dyDescent="0.25">
      <c r="A789" s="6" t="s">
        <v>11439</v>
      </c>
      <c r="B789" s="6"/>
      <c r="C789" s="6"/>
      <c r="D789" s="6"/>
      <c r="E789" s="6"/>
      <c r="F789" s="6"/>
      <c r="G789" s="6"/>
    </row>
    <row r="790" spans="1:7" x14ac:dyDescent="0.25">
      <c r="A790" s="6" t="s">
        <v>11436</v>
      </c>
      <c r="B790" s="6"/>
      <c r="C790" s="6"/>
      <c r="D790" s="6"/>
      <c r="E790" s="6"/>
      <c r="F790" s="6"/>
      <c r="G790" s="6"/>
    </row>
    <row r="791" spans="1:7" x14ac:dyDescent="0.25">
      <c r="A791" s="6" t="s">
        <v>11433</v>
      </c>
      <c r="B791" s="6"/>
      <c r="C791" s="6"/>
      <c r="D791" s="6"/>
      <c r="E791" s="6"/>
      <c r="F791" s="6"/>
      <c r="G791" s="6"/>
    </row>
    <row r="792" spans="1:7" x14ac:dyDescent="0.25">
      <c r="A792" s="6" t="s">
        <v>11430</v>
      </c>
      <c r="B792" s="6"/>
      <c r="C792" s="6"/>
      <c r="D792" s="6"/>
      <c r="E792" s="6"/>
      <c r="F792" s="6"/>
      <c r="G792" s="6"/>
    </row>
    <row r="793" spans="1:7" x14ac:dyDescent="0.25">
      <c r="A793" s="6" t="s">
        <v>11428</v>
      </c>
      <c r="B793" s="6"/>
      <c r="C793" s="6"/>
      <c r="D793" s="6"/>
      <c r="E793" s="6"/>
      <c r="F793" s="6"/>
      <c r="G793" s="6"/>
    </row>
    <row r="794" spans="1:7" x14ac:dyDescent="0.25">
      <c r="A794" s="6" t="s">
        <v>957</v>
      </c>
      <c r="B794" s="6"/>
      <c r="C794" s="6"/>
      <c r="D794" s="6"/>
      <c r="E794" s="6"/>
      <c r="F794" s="6"/>
      <c r="G794" s="6"/>
    </row>
    <row r="795" spans="1:7" x14ac:dyDescent="0.25">
      <c r="A795" s="6" t="s">
        <v>957</v>
      </c>
      <c r="B795" s="6"/>
      <c r="C795" s="6"/>
      <c r="D795" s="6"/>
      <c r="E795" s="6"/>
      <c r="F795" s="6"/>
      <c r="G795" s="6"/>
    </row>
    <row r="796" spans="1:7" x14ac:dyDescent="0.25">
      <c r="A796" s="6" t="s">
        <v>11423</v>
      </c>
      <c r="B796" s="6"/>
      <c r="C796" s="6"/>
      <c r="D796" s="6"/>
      <c r="E796" s="6"/>
      <c r="F796" s="6"/>
      <c r="G796" s="6"/>
    </row>
    <row r="797" spans="1:7" x14ac:dyDescent="0.25">
      <c r="A797" s="6" t="s">
        <v>957</v>
      </c>
      <c r="B797" s="6"/>
      <c r="C797" s="6"/>
      <c r="D797" s="6"/>
      <c r="E797" s="6"/>
      <c r="F797" s="6"/>
      <c r="G797" s="6"/>
    </row>
    <row r="798" spans="1:7" x14ac:dyDescent="0.25">
      <c r="A798" s="6" t="s">
        <v>11419</v>
      </c>
      <c r="B798" s="6"/>
      <c r="C798" s="6"/>
      <c r="D798" s="6"/>
      <c r="E798" s="6"/>
      <c r="F798" s="6"/>
      <c r="G798" s="6"/>
    </row>
    <row r="799" spans="1:7" x14ac:dyDescent="0.25">
      <c r="A799" s="6" t="s">
        <v>957</v>
      </c>
      <c r="B799" s="6"/>
      <c r="C799" s="6"/>
      <c r="D799" s="6"/>
      <c r="E799" s="6"/>
      <c r="F799" s="6"/>
      <c r="G799" s="6"/>
    </row>
    <row r="800" spans="1:7" x14ac:dyDescent="0.25">
      <c r="A800" s="6" t="s">
        <v>11415</v>
      </c>
      <c r="B800" s="6"/>
      <c r="C800" s="6"/>
      <c r="D800" s="6"/>
      <c r="E800" s="6"/>
      <c r="F800" s="6"/>
      <c r="G800" s="6"/>
    </row>
    <row r="801" spans="1:7" x14ac:dyDescent="0.25">
      <c r="A801" s="6" t="s">
        <v>11412</v>
      </c>
      <c r="B801" s="6"/>
      <c r="C801" s="6"/>
      <c r="D801" s="6"/>
      <c r="E801" s="6"/>
      <c r="F801" s="6"/>
      <c r="G801" s="6"/>
    </row>
    <row r="802" spans="1:7" x14ac:dyDescent="0.25">
      <c r="A802" s="6" t="s">
        <v>11409</v>
      </c>
      <c r="B802" s="6"/>
      <c r="C802" s="6"/>
      <c r="D802" s="6"/>
      <c r="E802" s="6"/>
      <c r="F802" s="6"/>
      <c r="G802" s="6"/>
    </row>
    <row r="803" spans="1:7" x14ac:dyDescent="0.25">
      <c r="A803" s="6" t="s">
        <v>11406</v>
      </c>
      <c r="B803" s="6"/>
      <c r="C803" s="6"/>
      <c r="D803" s="6"/>
      <c r="E803" s="6"/>
      <c r="F803" s="6"/>
      <c r="G803" s="6"/>
    </row>
    <row r="804" spans="1:7" x14ac:dyDescent="0.25">
      <c r="A804" s="6" t="s">
        <v>11403</v>
      </c>
      <c r="B804" s="6"/>
      <c r="C804" s="6"/>
      <c r="D804" s="6"/>
      <c r="E804" s="6"/>
      <c r="F804" s="6"/>
      <c r="G804" s="6"/>
    </row>
    <row r="805" spans="1:7" x14ac:dyDescent="0.25">
      <c r="A805" s="6" t="s">
        <v>11400</v>
      </c>
      <c r="B805" s="6"/>
      <c r="C805" s="6"/>
      <c r="D805" s="6"/>
      <c r="E805" s="6"/>
      <c r="F805" s="6"/>
      <c r="G805" s="6"/>
    </row>
    <row r="806" spans="1:7" x14ac:dyDescent="0.25">
      <c r="A806" s="6" t="s">
        <v>11398</v>
      </c>
      <c r="B806" s="6"/>
      <c r="C806" s="6"/>
      <c r="D806" s="6"/>
      <c r="E806" s="6"/>
      <c r="F806" s="6"/>
      <c r="G806" s="6"/>
    </row>
    <row r="807" spans="1:7" x14ac:dyDescent="0.25">
      <c r="A807" s="6" t="s">
        <v>11395</v>
      </c>
      <c r="B807" s="6"/>
      <c r="C807" s="6"/>
      <c r="D807" s="6"/>
      <c r="E807" s="6"/>
      <c r="F807" s="6"/>
      <c r="G807" s="6"/>
    </row>
    <row r="808" spans="1:7" x14ac:dyDescent="0.25">
      <c r="A808" s="6" t="s">
        <v>11392</v>
      </c>
      <c r="B808" s="6"/>
      <c r="C808" s="6"/>
      <c r="D808" s="6"/>
      <c r="E808" s="6"/>
      <c r="F808" s="6"/>
      <c r="G808" s="6"/>
    </row>
    <row r="809" spans="1:7" x14ac:dyDescent="0.25">
      <c r="A809" s="6" t="s">
        <v>957</v>
      </c>
      <c r="B809" s="6"/>
      <c r="C809" s="6"/>
      <c r="D809" s="6"/>
      <c r="E809" s="6"/>
      <c r="F809" s="6"/>
      <c r="G809" s="6"/>
    </row>
    <row r="810" spans="1:7" x14ac:dyDescent="0.25">
      <c r="A810" s="6" t="s">
        <v>11388</v>
      </c>
      <c r="B810" s="6"/>
      <c r="C810" s="6"/>
      <c r="D810" s="6"/>
      <c r="E810" s="6"/>
      <c r="F810" s="6"/>
      <c r="G810" s="6"/>
    </row>
    <row r="811" spans="1:7" x14ac:dyDescent="0.25">
      <c r="A811" s="6" t="s">
        <v>11385</v>
      </c>
      <c r="B811" s="6"/>
      <c r="C811" s="6"/>
      <c r="D811" s="6"/>
      <c r="E811" s="6"/>
      <c r="F811" s="6"/>
      <c r="G811" s="6"/>
    </row>
    <row r="812" spans="1:7" x14ac:dyDescent="0.25">
      <c r="A812" s="6" t="s">
        <v>957</v>
      </c>
      <c r="B812" s="6"/>
      <c r="C812" s="6"/>
      <c r="D812" s="6"/>
      <c r="E812" s="6"/>
      <c r="F812" s="6"/>
      <c r="G812" s="6"/>
    </row>
    <row r="813" spans="1:7" x14ac:dyDescent="0.25">
      <c r="A813" s="6" t="s">
        <v>957</v>
      </c>
      <c r="B813" s="6"/>
      <c r="C813" s="6"/>
      <c r="D813" s="6"/>
      <c r="E813" s="6"/>
      <c r="F813" s="6"/>
      <c r="G813" s="6"/>
    </row>
    <row r="814" spans="1:7" x14ac:dyDescent="0.25">
      <c r="A814" s="6" t="s">
        <v>11380</v>
      </c>
      <c r="B814" s="6"/>
      <c r="C814" s="6"/>
      <c r="D814" s="6"/>
      <c r="E814" s="6"/>
      <c r="F814" s="6"/>
      <c r="G814" s="6"/>
    </row>
    <row r="815" spans="1:7" x14ac:dyDescent="0.25">
      <c r="A815" s="6" t="s">
        <v>11377</v>
      </c>
      <c r="B815" s="6"/>
      <c r="C815" s="6"/>
      <c r="D815" s="6"/>
      <c r="E815" s="6"/>
      <c r="F815" s="6"/>
      <c r="G815" s="6"/>
    </row>
    <row r="816" spans="1:7" x14ac:dyDescent="0.25">
      <c r="A816" s="6" t="s">
        <v>957</v>
      </c>
      <c r="B816" s="6"/>
      <c r="C816" s="6"/>
      <c r="D816" s="6"/>
      <c r="E816" s="6"/>
      <c r="F816" s="6"/>
      <c r="G816" s="6"/>
    </row>
    <row r="817" spans="1:7" x14ac:dyDescent="0.25">
      <c r="A817" s="6" t="s">
        <v>11373</v>
      </c>
      <c r="B817" s="6"/>
      <c r="C817" s="6"/>
      <c r="D817" s="6"/>
      <c r="E817" s="6"/>
      <c r="F817" s="6"/>
      <c r="G817" s="6"/>
    </row>
    <row r="818" spans="1:7" x14ac:dyDescent="0.25">
      <c r="A818" s="6" t="s">
        <v>11370</v>
      </c>
      <c r="B818" s="6"/>
      <c r="C818" s="6"/>
      <c r="D818" s="6"/>
      <c r="E818" s="6"/>
      <c r="F818" s="6"/>
      <c r="G818" s="6"/>
    </row>
    <row r="819" spans="1:7" x14ac:dyDescent="0.25">
      <c r="A819" s="6" t="s">
        <v>957</v>
      </c>
      <c r="B819" s="6"/>
      <c r="C819" s="6"/>
      <c r="D819" s="6"/>
      <c r="E819" s="6"/>
      <c r="F819" s="6"/>
      <c r="G819" s="6"/>
    </row>
    <row r="820" spans="1:7" x14ac:dyDescent="0.25">
      <c r="A820" s="6" t="s">
        <v>14141</v>
      </c>
      <c r="B820" s="6" t="s">
        <v>14142</v>
      </c>
      <c r="C820" s="6"/>
      <c r="D820" s="6"/>
      <c r="E820" s="6"/>
      <c r="F820" s="6"/>
      <c r="G820" s="6"/>
    </row>
    <row r="821" spans="1:7" x14ac:dyDescent="0.25">
      <c r="A821" s="6" t="s">
        <v>12014</v>
      </c>
      <c r="B821" s="6"/>
      <c r="C821" s="6"/>
      <c r="D821" s="6"/>
      <c r="E821" s="6"/>
      <c r="F821" s="6"/>
      <c r="G821" s="6"/>
    </row>
    <row r="822" spans="1:7" x14ac:dyDescent="0.25">
      <c r="A822" s="6" t="s">
        <v>957</v>
      </c>
      <c r="B822" s="6"/>
      <c r="C822" s="6"/>
      <c r="D822" s="6"/>
      <c r="E822" s="6"/>
      <c r="F822" s="6"/>
      <c r="G822" s="6"/>
    </row>
    <row r="823" spans="1:7" x14ac:dyDescent="0.25">
      <c r="A823" s="6" t="s">
        <v>12010</v>
      </c>
      <c r="B823" s="6"/>
      <c r="C823" s="6"/>
      <c r="D823" s="6"/>
      <c r="E823" s="6"/>
      <c r="F823" s="6"/>
      <c r="G823" s="6"/>
    </row>
    <row r="824" spans="1:7" x14ac:dyDescent="0.25">
      <c r="A824" s="6" t="s">
        <v>12007</v>
      </c>
      <c r="B824" s="6"/>
      <c r="C824" s="6"/>
      <c r="D824" s="6"/>
      <c r="E824" s="6"/>
      <c r="F824" s="6"/>
      <c r="G824" s="6"/>
    </row>
    <row r="825" spans="1:7" x14ac:dyDescent="0.25">
      <c r="A825" s="6" t="s">
        <v>12004</v>
      </c>
      <c r="B825" s="6"/>
      <c r="C825" s="6"/>
      <c r="D825" s="6"/>
      <c r="E825" s="6"/>
      <c r="F825" s="6"/>
      <c r="G825" s="6"/>
    </row>
    <row r="826" spans="1:7" x14ac:dyDescent="0.25">
      <c r="A826" s="6" t="s">
        <v>14143</v>
      </c>
      <c r="B826" s="6" t="s">
        <v>14144</v>
      </c>
      <c r="C826" s="6"/>
      <c r="D826" s="6"/>
      <c r="E826" s="6"/>
      <c r="F826" s="6"/>
      <c r="G826" s="6"/>
    </row>
    <row r="827" spans="1:7" x14ac:dyDescent="0.25">
      <c r="A827" s="6" t="s">
        <v>11999</v>
      </c>
      <c r="B827" s="6"/>
      <c r="C827" s="6"/>
      <c r="D827" s="6"/>
      <c r="E827" s="6"/>
      <c r="F827" s="6"/>
      <c r="G827" s="6"/>
    </row>
    <row r="828" spans="1:7" x14ac:dyDescent="0.25">
      <c r="A828" s="6" t="s">
        <v>957</v>
      </c>
      <c r="B828" s="6"/>
      <c r="C828" s="6"/>
      <c r="D828" s="6"/>
      <c r="E828" s="6"/>
      <c r="F828" s="6"/>
      <c r="G828" s="6"/>
    </row>
    <row r="829" spans="1:7" x14ac:dyDescent="0.25">
      <c r="A829" s="6" t="s">
        <v>11995</v>
      </c>
      <c r="B829" s="6"/>
      <c r="C829" s="6"/>
      <c r="D829" s="6"/>
      <c r="E829" s="6"/>
      <c r="F829" s="6"/>
      <c r="G829" s="6"/>
    </row>
    <row r="830" spans="1:7" x14ac:dyDescent="0.25">
      <c r="A830" s="6" t="s">
        <v>11992</v>
      </c>
      <c r="B830" s="6"/>
      <c r="C830" s="6"/>
      <c r="D830" s="6"/>
      <c r="E830" s="6"/>
      <c r="F830" s="6"/>
      <c r="G830" s="6"/>
    </row>
    <row r="831" spans="1:7" x14ac:dyDescent="0.25">
      <c r="A831" s="6" t="s">
        <v>11989</v>
      </c>
      <c r="B831" s="6"/>
      <c r="C831" s="6"/>
      <c r="D831" s="6"/>
      <c r="E831" s="6"/>
      <c r="F831" s="6"/>
      <c r="G831" s="6"/>
    </row>
    <row r="832" spans="1:7" x14ac:dyDescent="0.25">
      <c r="A832" s="6" t="s">
        <v>11986</v>
      </c>
      <c r="B832" s="6"/>
      <c r="C832" s="6"/>
      <c r="D832" s="6"/>
      <c r="E832" s="6"/>
      <c r="F832" s="6"/>
      <c r="G832" s="6"/>
    </row>
    <row r="833" spans="1:7" x14ac:dyDescent="0.25">
      <c r="A833" s="6" t="s">
        <v>957</v>
      </c>
      <c r="B833" s="6"/>
      <c r="C833" s="6"/>
      <c r="D833" s="6"/>
      <c r="E833" s="6"/>
      <c r="F833" s="6"/>
      <c r="G833" s="6"/>
    </row>
    <row r="834" spans="1:7" x14ac:dyDescent="0.25">
      <c r="A834" s="6" t="s">
        <v>11982</v>
      </c>
      <c r="B834" s="6"/>
      <c r="C834" s="6"/>
      <c r="D834" s="6"/>
      <c r="E834" s="6"/>
      <c r="F834" s="6"/>
      <c r="G834" s="6"/>
    </row>
    <row r="835" spans="1:7" x14ac:dyDescent="0.25">
      <c r="A835" s="6" t="s">
        <v>11980</v>
      </c>
      <c r="B835" s="6"/>
      <c r="C835" s="6"/>
      <c r="D835" s="6"/>
      <c r="E835" s="6"/>
      <c r="F835" s="6"/>
      <c r="G835" s="6"/>
    </row>
    <row r="836" spans="1:7" x14ac:dyDescent="0.25">
      <c r="A836" s="6" t="s">
        <v>11978</v>
      </c>
      <c r="B836" s="6"/>
      <c r="C836" s="6"/>
      <c r="D836" s="6"/>
      <c r="E836" s="6"/>
      <c r="F836" s="6"/>
      <c r="G836" s="6"/>
    </row>
    <row r="837" spans="1:7" x14ac:dyDescent="0.25">
      <c r="A837" s="6" t="s">
        <v>957</v>
      </c>
      <c r="B837" s="6"/>
      <c r="C837" s="6"/>
      <c r="D837" s="6"/>
      <c r="E837" s="6"/>
      <c r="F837" s="6"/>
      <c r="G837" s="6"/>
    </row>
    <row r="838" spans="1:7" x14ac:dyDescent="0.25">
      <c r="A838" s="6" t="s">
        <v>11975</v>
      </c>
      <c r="B838" s="6"/>
      <c r="C838" s="6"/>
      <c r="D838" s="6"/>
      <c r="E838" s="6"/>
      <c r="F838" s="6"/>
      <c r="G838" s="6"/>
    </row>
    <row r="839" spans="1:7" x14ac:dyDescent="0.25">
      <c r="A839" s="6" t="s">
        <v>11972</v>
      </c>
      <c r="B839" s="6"/>
      <c r="C839" s="6"/>
      <c r="D839" s="6"/>
      <c r="E839" s="6"/>
      <c r="F839" s="6"/>
      <c r="G839" s="6"/>
    </row>
    <row r="840" spans="1:7" x14ac:dyDescent="0.25">
      <c r="A840" s="6" t="s">
        <v>957</v>
      </c>
      <c r="B840" s="6"/>
      <c r="C840" s="6"/>
      <c r="D840" s="6"/>
      <c r="E840" s="6"/>
      <c r="F840" s="6"/>
      <c r="G840" s="6"/>
    </row>
    <row r="841" spans="1:7" x14ac:dyDescent="0.25">
      <c r="A841" s="6" t="s">
        <v>11968</v>
      </c>
      <c r="B841" s="6"/>
      <c r="C841" s="6"/>
      <c r="D841" s="6"/>
      <c r="E841" s="6"/>
      <c r="F841" s="6"/>
      <c r="G841" s="6"/>
    </row>
    <row r="842" spans="1:7" x14ac:dyDescent="0.25">
      <c r="A842" s="6" t="s">
        <v>11965</v>
      </c>
      <c r="B842" s="6"/>
      <c r="C842" s="6"/>
      <c r="D842" s="6"/>
      <c r="E842" s="6"/>
      <c r="F842" s="6"/>
      <c r="G842" s="6"/>
    </row>
    <row r="843" spans="1:7" x14ac:dyDescent="0.25">
      <c r="A843" s="6" t="s">
        <v>11962</v>
      </c>
      <c r="B843" s="6"/>
      <c r="C843" s="6"/>
      <c r="D843" s="6"/>
      <c r="E843" s="6"/>
      <c r="F843" s="6"/>
      <c r="G843" s="6"/>
    </row>
    <row r="844" spans="1:7" x14ac:dyDescent="0.25">
      <c r="A844" s="6" t="s">
        <v>11959</v>
      </c>
      <c r="B844" s="6"/>
      <c r="C844" s="6"/>
      <c r="D844" s="6"/>
      <c r="E844" s="6"/>
      <c r="F844" s="6"/>
      <c r="G844" s="6"/>
    </row>
    <row r="845" spans="1:7" x14ac:dyDescent="0.25">
      <c r="A845" s="6" t="s">
        <v>957</v>
      </c>
      <c r="B845" s="6"/>
      <c r="C845" s="6"/>
      <c r="D845" s="6"/>
      <c r="E845" s="6"/>
      <c r="F845" s="6"/>
      <c r="G845" s="6"/>
    </row>
    <row r="846" spans="1:7" x14ac:dyDescent="0.25">
      <c r="A846" s="6" t="s">
        <v>11955</v>
      </c>
      <c r="B846" s="6"/>
      <c r="C846" s="6"/>
      <c r="D846" s="6"/>
      <c r="E846" s="6"/>
      <c r="F846" s="6"/>
      <c r="G846" s="6"/>
    </row>
    <row r="847" spans="1:7" x14ac:dyDescent="0.25">
      <c r="A847" s="6" t="s">
        <v>11952</v>
      </c>
      <c r="B847" s="6"/>
      <c r="C847" s="6"/>
      <c r="D847" s="6"/>
      <c r="E847" s="6"/>
      <c r="F847" s="6"/>
      <c r="G847" s="6"/>
    </row>
    <row r="848" spans="1:7" x14ac:dyDescent="0.25">
      <c r="A848" s="6" t="s">
        <v>11950</v>
      </c>
      <c r="B848" s="6"/>
      <c r="C848" s="6"/>
      <c r="D848" s="6"/>
      <c r="E848" s="6"/>
      <c r="F848" s="6"/>
      <c r="G848" s="6"/>
    </row>
    <row r="849" spans="1:7" x14ac:dyDescent="0.25">
      <c r="A849" s="6" t="s">
        <v>12903</v>
      </c>
      <c r="B849" s="6"/>
      <c r="C849" s="6"/>
      <c r="D849" s="6"/>
      <c r="E849" s="6"/>
      <c r="F849" s="6"/>
      <c r="G849" s="6"/>
    </row>
    <row r="850" spans="1:7" x14ac:dyDescent="0.25">
      <c r="A850" s="6" t="s">
        <v>12900</v>
      </c>
      <c r="B850" s="6"/>
      <c r="C850" s="6"/>
      <c r="D850" s="6"/>
      <c r="E850" s="6"/>
      <c r="F850" s="6"/>
      <c r="G850" s="6"/>
    </row>
    <row r="851" spans="1:7" x14ac:dyDescent="0.25">
      <c r="A851" s="6" t="s">
        <v>12897</v>
      </c>
      <c r="B851" s="6"/>
      <c r="C851" s="6"/>
      <c r="D851" s="6"/>
      <c r="E851" s="6"/>
      <c r="F851" s="6"/>
      <c r="G851" s="6"/>
    </row>
    <row r="852" spans="1:7" x14ac:dyDescent="0.25">
      <c r="A852" s="6" t="s">
        <v>957</v>
      </c>
      <c r="B852" s="6"/>
      <c r="C852" s="6"/>
      <c r="D852" s="6"/>
      <c r="E852" s="6"/>
      <c r="F852" s="6"/>
      <c r="G852" s="6"/>
    </row>
    <row r="853" spans="1:7" x14ac:dyDescent="0.25">
      <c r="A853" s="6" t="s">
        <v>12893</v>
      </c>
      <c r="B853" s="6"/>
      <c r="C853" s="6"/>
      <c r="D853" s="6"/>
      <c r="E853" s="6"/>
      <c r="F853" s="6"/>
      <c r="G853" s="6"/>
    </row>
    <row r="854" spans="1:7" x14ac:dyDescent="0.25">
      <c r="A854" s="6" t="s">
        <v>12890</v>
      </c>
      <c r="B854" s="6"/>
      <c r="C854" s="6"/>
      <c r="D854" s="6"/>
      <c r="E854" s="6"/>
      <c r="F854" s="6"/>
      <c r="G854" s="6"/>
    </row>
    <row r="855" spans="1:7" x14ac:dyDescent="0.25">
      <c r="A855" s="6" t="s">
        <v>12887</v>
      </c>
      <c r="B855" s="6"/>
      <c r="C855" s="6"/>
      <c r="D855" s="6"/>
      <c r="E855" s="6"/>
      <c r="F855" s="6"/>
      <c r="G855" s="6"/>
    </row>
    <row r="856" spans="1:7" x14ac:dyDescent="0.25">
      <c r="A856" s="6" t="s">
        <v>11366</v>
      </c>
      <c r="B856" s="6"/>
      <c r="C856" s="6"/>
      <c r="D856" s="6"/>
      <c r="E856" s="6"/>
      <c r="F856" s="6"/>
      <c r="G856" s="6"/>
    </row>
    <row r="857" spans="1:7" x14ac:dyDescent="0.25">
      <c r="A857" s="6" t="s">
        <v>11363</v>
      </c>
      <c r="B857" s="6"/>
      <c r="C857" s="6"/>
      <c r="D857" s="6"/>
      <c r="E857" s="6"/>
      <c r="F857" s="6"/>
      <c r="G857" s="6"/>
    </row>
    <row r="858" spans="1:7" x14ac:dyDescent="0.25">
      <c r="A858" s="6" t="s">
        <v>11360</v>
      </c>
      <c r="B858" s="6"/>
      <c r="C858" s="6"/>
      <c r="D858" s="6"/>
      <c r="E858" s="6"/>
      <c r="F858" s="6"/>
      <c r="G858" s="6"/>
    </row>
    <row r="859" spans="1:7" x14ac:dyDescent="0.25">
      <c r="A859" s="6" t="s">
        <v>11357</v>
      </c>
      <c r="B859" s="6"/>
      <c r="C859" s="6"/>
      <c r="D859" s="6"/>
      <c r="E859" s="6"/>
      <c r="F859" s="6"/>
      <c r="G859" s="6"/>
    </row>
    <row r="860" spans="1:7" x14ac:dyDescent="0.25">
      <c r="A860" s="6" t="s">
        <v>11354</v>
      </c>
      <c r="B860" s="6"/>
      <c r="C860" s="6"/>
      <c r="D860" s="6"/>
      <c r="E860" s="6"/>
      <c r="F860" s="6"/>
      <c r="G860" s="6"/>
    </row>
    <row r="861" spans="1:7" x14ac:dyDescent="0.25">
      <c r="A861" s="6" t="s">
        <v>14145</v>
      </c>
      <c r="B861" s="6" t="s">
        <v>14146</v>
      </c>
      <c r="C861" s="6"/>
      <c r="D861" s="6"/>
      <c r="E861" s="6"/>
      <c r="F861" s="6"/>
      <c r="G861" s="6"/>
    </row>
    <row r="862" spans="1:7" x14ac:dyDescent="0.25">
      <c r="A862" s="6" t="s">
        <v>11350</v>
      </c>
      <c r="B862" s="6"/>
      <c r="C862" s="6"/>
      <c r="D862" s="6"/>
      <c r="E862" s="6"/>
      <c r="F862" s="6"/>
      <c r="G862" s="6"/>
    </row>
    <row r="863" spans="1:7" x14ac:dyDescent="0.25">
      <c r="A863" s="6" t="s">
        <v>11347</v>
      </c>
      <c r="B863" s="6"/>
      <c r="C863" s="6"/>
      <c r="D863" s="6"/>
      <c r="E863" s="6"/>
      <c r="F863" s="6"/>
      <c r="G863" s="6"/>
    </row>
    <row r="864" spans="1:7" x14ac:dyDescent="0.25">
      <c r="A864" s="6" t="s">
        <v>11344</v>
      </c>
      <c r="B864" s="6"/>
      <c r="C864" s="6"/>
      <c r="D864" s="6"/>
      <c r="E864" s="6"/>
      <c r="F864" s="6"/>
      <c r="G864" s="6"/>
    </row>
    <row r="865" spans="1:7" x14ac:dyDescent="0.25">
      <c r="A865" s="6" t="s">
        <v>957</v>
      </c>
      <c r="B865" s="6"/>
      <c r="C865" s="6"/>
      <c r="D865" s="6"/>
      <c r="E865" s="6"/>
      <c r="F865" s="6"/>
      <c r="G865" s="6"/>
    </row>
    <row r="866" spans="1:7" x14ac:dyDescent="0.25">
      <c r="A866" s="6" t="s">
        <v>11340</v>
      </c>
      <c r="B866" s="6"/>
      <c r="C866" s="6"/>
      <c r="D866" s="6"/>
      <c r="E866" s="6"/>
      <c r="F866" s="6"/>
      <c r="G866" s="6"/>
    </row>
    <row r="867" spans="1:7" x14ac:dyDescent="0.25">
      <c r="A867" s="6" t="s">
        <v>11337</v>
      </c>
      <c r="B867" s="6"/>
      <c r="C867" s="6"/>
      <c r="D867" s="6"/>
      <c r="E867" s="6"/>
      <c r="F867" s="6"/>
      <c r="G867" s="6"/>
    </row>
    <row r="868" spans="1:7" x14ac:dyDescent="0.25">
      <c r="A868" s="6" t="s">
        <v>11334</v>
      </c>
      <c r="B868" s="6"/>
      <c r="C868" s="6"/>
      <c r="D868" s="6"/>
      <c r="E868" s="6"/>
      <c r="F868" s="6"/>
      <c r="G868" s="6"/>
    </row>
    <row r="869" spans="1:7" x14ac:dyDescent="0.25">
      <c r="A869" s="6" t="s">
        <v>957</v>
      </c>
      <c r="B869" s="6"/>
      <c r="C869" s="6"/>
      <c r="D869" s="6"/>
      <c r="E869" s="6"/>
      <c r="F869" s="6"/>
      <c r="G869" s="6"/>
    </row>
    <row r="870" spans="1:7" x14ac:dyDescent="0.25">
      <c r="A870" s="6" t="s">
        <v>11330</v>
      </c>
      <c r="B870" s="6"/>
      <c r="C870" s="6"/>
      <c r="D870" s="6"/>
      <c r="E870" s="6"/>
      <c r="F870" s="6"/>
      <c r="G870" s="6"/>
    </row>
    <row r="871" spans="1:7" x14ac:dyDescent="0.25">
      <c r="A871" s="6" t="s">
        <v>12183</v>
      </c>
      <c r="B871" s="6"/>
      <c r="C871" s="6"/>
      <c r="D871" s="6"/>
      <c r="E871" s="6"/>
      <c r="F871" s="6"/>
      <c r="G871" s="6"/>
    </row>
    <row r="872" spans="1:7" x14ac:dyDescent="0.25">
      <c r="A872" s="6" t="s">
        <v>12180</v>
      </c>
      <c r="B872" s="6"/>
      <c r="C872" s="6"/>
      <c r="D872" s="6"/>
      <c r="E872" s="6"/>
      <c r="F872" s="6"/>
      <c r="G872" s="6"/>
    </row>
    <row r="873" spans="1:7" x14ac:dyDescent="0.25">
      <c r="A873" s="6" t="s">
        <v>957</v>
      </c>
      <c r="B873" s="6"/>
      <c r="C873" s="6"/>
      <c r="D873" s="6"/>
      <c r="E873" s="6"/>
      <c r="F873" s="6"/>
      <c r="G873" s="6"/>
    </row>
    <row r="874" spans="1:7" x14ac:dyDescent="0.25">
      <c r="A874" s="6" t="s">
        <v>14147</v>
      </c>
      <c r="B874" s="6" t="s">
        <v>14148</v>
      </c>
      <c r="C874" s="6"/>
      <c r="D874" s="6"/>
      <c r="E874" s="6"/>
      <c r="F874" s="6"/>
      <c r="G874" s="6"/>
    </row>
    <row r="875" spans="1:7" x14ac:dyDescent="0.25">
      <c r="A875" s="6" t="s">
        <v>14149</v>
      </c>
      <c r="B875" s="6" t="s">
        <v>14150</v>
      </c>
      <c r="C875" s="6" t="s">
        <v>14151</v>
      </c>
      <c r="D875" s="6" t="s">
        <v>14152</v>
      </c>
      <c r="E875" s="6"/>
      <c r="F875" s="6"/>
      <c r="G875" s="6"/>
    </row>
    <row r="876" spans="1:7" x14ac:dyDescent="0.25">
      <c r="A876" s="6" t="s">
        <v>14153</v>
      </c>
      <c r="B876" s="6" t="s">
        <v>14154</v>
      </c>
      <c r="C876" s="6"/>
      <c r="D876" s="6"/>
      <c r="E876" s="6"/>
      <c r="F876" s="6"/>
      <c r="G876" s="6"/>
    </row>
    <row r="877" spans="1:7" x14ac:dyDescent="0.25">
      <c r="A877" s="6" t="s">
        <v>14155</v>
      </c>
      <c r="B877" s="6" t="s">
        <v>14156</v>
      </c>
      <c r="C877" s="6"/>
      <c r="D877" s="6"/>
      <c r="E877" s="6"/>
      <c r="F877" s="6"/>
      <c r="G877" s="6"/>
    </row>
    <row r="878" spans="1:7" x14ac:dyDescent="0.25">
      <c r="A878" s="6" t="s">
        <v>12169</v>
      </c>
      <c r="B878" s="6"/>
      <c r="C878" s="6"/>
      <c r="D878" s="6"/>
      <c r="E878" s="6"/>
      <c r="F878" s="6"/>
      <c r="G878" s="6"/>
    </row>
    <row r="879" spans="1:7" x14ac:dyDescent="0.25">
      <c r="A879" s="6" t="s">
        <v>14157</v>
      </c>
      <c r="B879" s="6" t="s">
        <v>14158</v>
      </c>
      <c r="C879" s="6"/>
      <c r="D879" s="6"/>
      <c r="E879" s="6"/>
      <c r="F879" s="6"/>
      <c r="G879" s="6"/>
    </row>
    <row r="880" spans="1:7" x14ac:dyDescent="0.25">
      <c r="A880" s="6" t="s">
        <v>12164</v>
      </c>
      <c r="B880" s="6"/>
      <c r="C880" s="6"/>
      <c r="D880" s="6"/>
      <c r="E880" s="6"/>
      <c r="F880" s="6"/>
      <c r="G880" s="6"/>
    </row>
    <row r="881" spans="1:7" x14ac:dyDescent="0.25">
      <c r="A881" s="6" t="s">
        <v>12161</v>
      </c>
      <c r="B881" s="6"/>
      <c r="C881" s="6"/>
      <c r="D881" s="6"/>
      <c r="E881" s="6"/>
      <c r="F881" s="6"/>
      <c r="G881" s="6"/>
    </row>
    <row r="882" spans="1:7" x14ac:dyDescent="0.25">
      <c r="A882" s="6" t="s">
        <v>12158</v>
      </c>
      <c r="B882" s="6"/>
      <c r="C882" s="6"/>
      <c r="D882" s="6"/>
      <c r="E882" s="6"/>
      <c r="F882" s="6"/>
      <c r="G882" s="6"/>
    </row>
    <row r="883" spans="1:7" x14ac:dyDescent="0.25">
      <c r="A883" s="6" t="s">
        <v>957</v>
      </c>
      <c r="B883" s="6"/>
      <c r="C883" s="6"/>
      <c r="D883" s="6"/>
      <c r="E883" s="6"/>
      <c r="F883" s="6"/>
      <c r="G883" s="6"/>
    </row>
    <row r="884" spans="1:7" x14ac:dyDescent="0.25">
      <c r="A884" s="6" t="s">
        <v>12154</v>
      </c>
      <c r="B884" s="6"/>
      <c r="C884" s="6"/>
      <c r="D884" s="6"/>
      <c r="E884" s="6"/>
      <c r="F884" s="6"/>
      <c r="G884" s="6"/>
    </row>
    <row r="885" spans="1:7" x14ac:dyDescent="0.25">
      <c r="A885" s="6" t="s">
        <v>12151</v>
      </c>
      <c r="B885" s="6"/>
      <c r="C885" s="6"/>
      <c r="D885" s="6"/>
      <c r="E885" s="6"/>
      <c r="F885" s="6"/>
      <c r="G885" s="6"/>
    </row>
    <row r="886" spans="1:7" x14ac:dyDescent="0.25">
      <c r="A886" s="6" t="s">
        <v>12148</v>
      </c>
      <c r="B886" s="6"/>
      <c r="C886" s="6"/>
      <c r="D886" s="6"/>
      <c r="E886" s="6"/>
      <c r="F886" s="6"/>
      <c r="G886" s="6"/>
    </row>
    <row r="887" spans="1:7" x14ac:dyDescent="0.25">
      <c r="A887" s="6" t="s">
        <v>12145</v>
      </c>
      <c r="B887" s="6"/>
      <c r="C887" s="6"/>
      <c r="D887" s="6"/>
      <c r="E887" s="6"/>
      <c r="F887" s="6"/>
      <c r="G887" s="6"/>
    </row>
    <row r="888" spans="1:7" x14ac:dyDescent="0.25">
      <c r="A888" s="6" t="s">
        <v>12142</v>
      </c>
      <c r="B888" s="6"/>
      <c r="C888" s="6"/>
      <c r="D888" s="6"/>
      <c r="E888" s="6"/>
      <c r="F888" s="6"/>
      <c r="G888" s="6"/>
    </row>
    <row r="889" spans="1:7" x14ac:dyDescent="0.25">
      <c r="A889" s="6" t="s">
        <v>12761</v>
      </c>
      <c r="B889" s="6"/>
      <c r="C889" s="6"/>
      <c r="D889" s="6"/>
      <c r="E889" s="6"/>
      <c r="F889" s="6"/>
      <c r="G889" s="6"/>
    </row>
    <row r="890" spans="1:7" x14ac:dyDescent="0.25">
      <c r="A890" s="6" t="s">
        <v>12759</v>
      </c>
      <c r="B890" s="6"/>
      <c r="C890" s="6"/>
      <c r="D890" s="6"/>
      <c r="E890" s="6"/>
      <c r="F890" s="6"/>
      <c r="G890" s="6"/>
    </row>
    <row r="891" spans="1:7" x14ac:dyDescent="0.25">
      <c r="A891" s="6" t="s">
        <v>12756</v>
      </c>
      <c r="B891" s="6"/>
      <c r="C891" s="6"/>
      <c r="D891" s="6"/>
      <c r="E891" s="6"/>
      <c r="F891" s="6"/>
      <c r="G891" s="6"/>
    </row>
    <row r="892" spans="1:7" x14ac:dyDescent="0.25">
      <c r="A892" s="6" t="s">
        <v>12754</v>
      </c>
      <c r="B892" s="6"/>
      <c r="C892" s="6"/>
      <c r="D892" s="6"/>
      <c r="E892" s="6"/>
      <c r="F892" s="6"/>
      <c r="G892" s="6"/>
    </row>
    <row r="893" spans="1:7" x14ac:dyDescent="0.25">
      <c r="A893" s="6" t="s">
        <v>12751</v>
      </c>
      <c r="B893" s="6"/>
      <c r="C893" s="6"/>
      <c r="D893" s="6"/>
      <c r="E893" s="6"/>
      <c r="F893" s="6"/>
      <c r="G893" s="6"/>
    </row>
    <row r="894" spans="1:7" x14ac:dyDescent="0.25">
      <c r="A894" s="6" t="s">
        <v>957</v>
      </c>
      <c r="B894" s="6"/>
      <c r="C894" s="6"/>
      <c r="D894" s="6"/>
      <c r="E894" s="6"/>
      <c r="F894" s="6"/>
      <c r="G894" s="6"/>
    </row>
    <row r="895" spans="1:7" x14ac:dyDescent="0.25">
      <c r="A895" s="6" t="s">
        <v>12747</v>
      </c>
      <c r="B895" s="6"/>
      <c r="C895" s="6"/>
      <c r="D895" s="6"/>
      <c r="E895" s="6"/>
      <c r="F895" s="6"/>
      <c r="G895" s="6"/>
    </row>
    <row r="896" spans="1:7" x14ac:dyDescent="0.25">
      <c r="A896" s="6" t="s">
        <v>957</v>
      </c>
      <c r="B896" s="6"/>
      <c r="C896" s="6"/>
      <c r="D896" s="6"/>
      <c r="E896" s="6"/>
      <c r="F896" s="6"/>
      <c r="G896" s="6"/>
    </row>
    <row r="897" spans="1:7" x14ac:dyDescent="0.25">
      <c r="A897" s="6" t="s">
        <v>12743</v>
      </c>
      <c r="B897" s="6"/>
      <c r="C897" s="6"/>
      <c r="D897" s="6"/>
      <c r="E897" s="6"/>
      <c r="F897" s="6"/>
      <c r="G897" s="6"/>
    </row>
    <row r="898" spans="1:7" x14ac:dyDescent="0.25">
      <c r="A898" s="6" t="s">
        <v>12740</v>
      </c>
      <c r="B898" s="6"/>
      <c r="C898" s="6"/>
      <c r="D898" s="6"/>
      <c r="E898" s="6"/>
      <c r="F898" s="6"/>
      <c r="G898" s="6"/>
    </row>
    <row r="899" spans="1:7" x14ac:dyDescent="0.25">
      <c r="A899" s="6" t="s">
        <v>11805</v>
      </c>
      <c r="B899" s="6"/>
      <c r="C899" s="6"/>
      <c r="D899" s="6"/>
      <c r="E899" s="6"/>
      <c r="F899" s="6"/>
      <c r="G899" s="6"/>
    </row>
    <row r="900" spans="1:7" x14ac:dyDescent="0.25">
      <c r="A900" s="6" t="s">
        <v>14114</v>
      </c>
      <c r="B900" s="6" t="s">
        <v>14115</v>
      </c>
      <c r="C900" s="6"/>
      <c r="D900" s="6"/>
      <c r="E900" s="6"/>
      <c r="F900" s="6"/>
      <c r="G900" s="6"/>
    </row>
    <row r="901" spans="1:7" x14ac:dyDescent="0.25">
      <c r="A901" s="6" t="s">
        <v>957</v>
      </c>
      <c r="B901" s="6"/>
      <c r="C901" s="6"/>
      <c r="D901" s="6"/>
      <c r="E901" s="6"/>
      <c r="F901" s="6"/>
      <c r="G901" s="6"/>
    </row>
    <row r="902" spans="1:7" x14ac:dyDescent="0.25">
      <c r="A902" s="6" t="s">
        <v>11799</v>
      </c>
      <c r="B902" s="6"/>
      <c r="C902" s="6"/>
      <c r="D902" s="6"/>
      <c r="E902" s="6"/>
      <c r="F902" s="6"/>
      <c r="G902" s="6"/>
    </row>
    <row r="903" spans="1:7" x14ac:dyDescent="0.25">
      <c r="A903" s="6" t="s">
        <v>11796</v>
      </c>
      <c r="B903" s="6"/>
      <c r="C903" s="6"/>
      <c r="D903" s="6"/>
      <c r="E903" s="6"/>
      <c r="F903" s="6"/>
      <c r="G903" s="6"/>
    </row>
    <row r="904" spans="1:7" x14ac:dyDescent="0.25">
      <c r="A904" s="6" t="s">
        <v>11793</v>
      </c>
      <c r="B904" s="6"/>
      <c r="C904" s="6"/>
      <c r="D904" s="6"/>
      <c r="E904" s="6"/>
      <c r="F904" s="6"/>
      <c r="G904" s="6"/>
    </row>
    <row r="905" spans="1:7" x14ac:dyDescent="0.25">
      <c r="A905" s="6" t="s">
        <v>957</v>
      </c>
      <c r="B905" s="6"/>
      <c r="C905" s="6"/>
      <c r="D905" s="6"/>
      <c r="E905" s="6"/>
      <c r="F905" s="6"/>
      <c r="G905" s="6"/>
    </row>
    <row r="906" spans="1:7" x14ac:dyDescent="0.25">
      <c r="A906" s="6" t="s">
        <v>11789</v>
      </c>
      <c r="B906" s="6"/>
      <c r="C906" s="6"/>
      <c r="D906" s="6"/>
      <c r="E906" s="6"/>
      <c r="F906" s="6"/>
      <c r="G906" s="6"/>
    </row>
    <row r="907" spans="1:7" x14ac:dyDescent="0.25">
      <c r="A907" s="6" t="s">
        <v>11786</v>
      </c>
      <c r="B907" s="6"/>
      <c r="C907" s="6"/>
      <c r="D907" s="6"/>
      <c r="E907" s="6"/>
      <c r="F907" s="6"/>
      <c r="G907" s="6"/>
    </row>
    <row r="908" spans="1:7" x14ac:dyDescent="0.25">
      <c r="A908" s="6" t="s">
        <v>11783</v>
      </c>
      <c r="B908" s="6"/>
      <c r="C908" s="6"/>
      <c r="D908" s="6"/>
      <c r="E908" s="6"/>
      <c r="F908" s="6"/>
      <c r="G908" s="6"/>
    </row>
    <row r="909" spans="1:7" x14ac:dyDescent="0.25">
      <c r="A909" s="6" t="s">
        <v>1019</v>
      </c>
      <c r="B909" s="6"/>
      <c r="C909" s="6"/>
      <c r="D909" s="6"/>
      <c r="E909" s="6"/>
      <c r="F909" s="6"/>
      <c r="G909" s="6"/>
    </row>
    <row r="910" spans="1:7" x14ac:dyDescent="0.25">
      <c r="A910" s="6" t="s">
        <v>957</v>
      </c>
      <c r="B910" s="6"/>
      <c r="C910" s="6"/>
      <c r="D910" s="6"/>
      <c r="E910" s="6"/>
      <c r="F910" s="6"/>
      <c r="G910" s="6"/>
    </row>
    <row r="911" spans="1:7" x14ac:dyDescent="0.25">
      <c r="A911" s="6" t="s">
        <v>11777</v>
      </c>
      <c r="B911" s="6"/>
      <c r="C911" s="6"/>
      <c r="D911" s="6"/>
      <c r="E911" s="6"/>
      <c r="F911" s="6"/>
      <c r="G911" s="6"/>
    </row>
    <row r="912" spans="1:7" x14ac:dyDescent="0.25">
      <c r="A912" s="6" t="s">
        <v>11774</v>
      </c>
      <c r="B912" s="6"/>
      <c r="C912" s="6"/>
      <c r="D912" s="6"/>
      <c r="E912" s="6"/>
      <c r="F912" s="6"/>
      <c r="G912" s="6"/>
    </row>
    <row r="913" spans="1:7" x14ac:dyDescent="0.25">
      <c r="A913" s="6" t="s">
        <v>11771</v>
      </c>
      <c r="B913" s="6"/>
      <c r="C913" s="6"/>
      <c r="D913" s="6"/>
      <c r="E913" s="6"/>
      <c r="F913" s="6"/>
      <c r="G913" s="6"/>
    </row>
    <row r="914" spans="1:7" x14ac:dyDescent="0.25">
      <c r="A914" s="6" t="s">
        <v>14159</v>
      </c>
      <c r="B914" s="6" t="s">
        <v>14160</v>
      </c>
      <c r="C914" s="6" t="s">
        <v>14161</v>
      </c>
      <c r="D914" s="6"/>
      <c r="E914" s="6"/>
      <c r="F914" s="6"/>
      <c r="G914" s="6"/>
    </row>
    <row r="915" spans="1:7" x14ac:dyDescent="0.25">
      <c r="A915" s="6" t="s">
        <v>11766</v>
      </c>
      <c r="B915" s="6"/>
      <c r="C915" s="6"/>
      <c r="D915" s="6"/>
      <c r="E915" s="6"/>
      <c r="F915" s="6"/>
      <c r="G915" s="6"/>
    </row>
    <row r="916" spans="1:7" x14ac:dyDescent="0.25">
      <c r="A916" s="6" t="s">
        <v>957</v>
      </c>
      <c r="B916" s="6"/>
      <c r="C916" s="6"/>
      <c r="D916" s="6"/>
      <c r="E916" s="6"/>
      <c r="F916" s="6"/>
      <c r="G916" s="6"/>
    </row>
    <row r="917" spans="1:7" x14ac:dyDescent="0.25">
      <c r="A917" s="6" t="s">
        <v>11762</v>
      </c>
      <c r="B917" s="6"/>
      <c r="C917" s="6"/>
      <c r="D917" s="6"/>
      <c r="E917" s="6"/>
      <c r="F917" s="6"/>
      <c r="G917" s="6"/>
    </row>
    <row r="918" spans="1:7" x14ac:dyDescent="0.25">
      <c r="A918" s="6" t="s">
        <v>11759</v>
      </c>
      <c r="B918" s="6"/>
      <c r="C918" s="6"/>
      <c r="D918" s="6"/>
      <c r="E918" s="6"/>
      <c r="F918" s="6"/>
      <c r="G918" s="6"/>
    </row>
    <row r="919" spans="1:7" x14ac:dyDescent="0.25">
      <c r="A919" s="6" t="s">
        <v>11756</v>
      </c>
      <c r="B919" s="6"/>
      <c r="C919" s="6"/>
      <c r="D919" s="6"/>
      <c r="E919" s="6"/>
      <c r="F919" s="6"/>
      <c r="G919" s="6"/>
    </row>
    <row r="920" spans="1:7" x14ac:dyDescent="0.25">
      <c r="A920" s="6" t="s">
        <v>11753</v>
      </c>
      <c r="B920" s="6"/>
      <c r="C920" s="6"/>
      <c r="D920" s="6"/>
      <c r="E920" s="6"/>
      <c r="F920" s="6"/>
      <c r="G920" s="6"/>
    </row>
    <row r="921" spans="1:7" x14ac:dyDescent="0.25">
      <c r="A921" s="6" t="s">
        <v>11750</v>
      </c>
      <c r="B921" s="6"/>
      <c r="C921" s="6"/>
      <c r="D921" s="6"/>
      <c r="E921" s="6"/>
      <c r="F921" s="6"/>
      <c r="G921" s="6"/>
    </row>
    <row r="922" spans="1:7" x14ac:dyDescent="0.25">
      <c r="A922" s="6" t="s">
        <v>957</v>
      </c>
      <c r="B922" s="6"/>
      <c r="C922" s="6"/>
      <c r="D922" s="6"/>
      <c r="E922" s="6"/>
      <c r="F922" s="6"/>
      <c r="G922" s="6"/>
    </row>
    <row r="923" spans="1:7" x14ac:dyDescent="0.25">
      <c r="A923" s="6" t="s">
        <v>11746</v>
      </c>
      <c r="B923" s="6"/>
      <c r="C923" s="6"/>
      <c r="D923" s="6"/>
      <c r="E923" s="6"/>
      <c r="F923" s="6"/>
      <c r="G923" s="6"/>
    </row>
    <row r="924" spans="1:7" x14ac:dyDescent="0.25">
      <c r="A924" s="6" t="s">
        <v>957</v>
      </c>
      <c r="B924" s="6"/>
      <c r="C924" s="6"/>
      <c r="D924" s="6"/>
      <c r="E924" s="6"/>
      <c r="F924" s="6"/>
      <c r="G924" s="6"/>
    </row>
    <row r="925" spans="1:7" x14ac:dyDescent="0.25">
      <c r="A925" s="6" t="s">
        <v>11742</v>
      </c>
      <c r="B925" s="6"/>
      <c r="C925" s="6"/>
      <c r="D925" s="6"/>
      <c r="E925" s="6"/>
      <c r="F925" s="6"/>
      <c r="G925" s="6"/>
    </row>
    <row r="926" spans="1:7" x14ac:dyDescent="0.25">
      <c r="A926" s="6" t="s">
        <v>11739</v>
      </c>
      <c r="B926" s="6"/>
      <c r="C926" s="6"/>
      <c r="D926" s="6"/>
      <c r="E926" s="6"/>
      <c r="F926" s="6"/>
      <c r="G926" s="6"/>
    </row>
    <row r="927" spans="1:7" x14ac:dyDescent="0.25">
      <c r="A927" s="6" t="s">
        <v>11736</v>
      </c>
      <c r="B927" s="6"/>
      <c r="C927" s="6"/>
      <c r="D927" s="6"/>
      <c r="E927" s="6"/>
      <c r="F927" s="6"/>
      <c r="G927" s="6"/>
    </row>
    <row r="928" spans="1:7" x14ac:dyDescent="0.25">
      <c r="A928" s="6" t="s">
        <v>957</v>
      </c>
      <c r="B928" s="6"/>
      <c r="C928" s="6"/>
      <c r="D928" s="6"/>
      <c r="E928" s="6"/>
      <c r="F928" s="6"/>
      <c r="G928" s="6"/>
    </row>
    <row r="929" spans="1:7" x14ac:dyDescent="0.25">
      <c r="A929" s="6" t="s">
        <v>12139</v>
      </c>
      <c r="B929" s="6"/>
      <c r="C929" s="6"/>
      <c r="D929" s="6"/>
      <c r="E929" s="6"/>
      <c r="F929" s="6"/>
      <c r="G929" s="6"/>
    </row>
    <row r="930" spans="1:7" x14ac:dyDescent="0.25">
      <c r="A930" s="6" t="s">
        <v>12136</v>
      </c>
      <c r="B930" s="6"/>
      <c r="C930" s="6"/>
      <c r="D930" s="6"/>
      <c r="E930" s="6"/>
      <c r="F930" s="6"/>
      <c r="G930" s="6"/>
    </row>
    <row r="931" spans="1:7" x14ac:dyDescent="0.25">
      <c r="A931" s="6" t="s">
        <v>12133</v>
      </c>
      <c r="B931" s="6"/>
      <c r="C931" s="6"/>
      <c r="D931" s="6"/>
      <c r="E931" s="6"/>
      <c r="F931" s="6"/>
      <c r="G931" s="6"/>
    </row>
    <row r="932" spans="1:7" x14ac:dyDescent="0.25">
      <c r="A932" s="6" t="s">
        <v>12130</v>
      </c>
      <c r="B932" s="6"/>
      <c r="C932" s="6"/>
      <c r="D932" s="6"/>
      <c r="E932" s="6"/>
      <c r="F932" s="6"/>
      <c r="G932" s="6"/>
    </row>
    <row r="933" spans="1:7" x14ac:dyDescent="0.25">
      <c r="A933" s="6" t="s">
        <v>957</v>
      </c>
      <c r="B933" s="6"/>
      <c r="C933" s="6"/>
      <c r="D933" s="6"/>
      <c r="E933" s="6"/>
      <c r="F933" s="6"/>
      <c r="G933" s="6"/>
    </row>
    <row r="934" spans="1:7" x14ac:dyDescent="0.25">
      <c r="A934" s="6" t="s">
        <v>12125</v>
      </c>
      <c r="B934" s="6"/>
      <c r="C934" s="6"/>
      <c r="D934" s="6"/>
      <c r="E934" s="6"/>
      <c r="F934" s="6"/>
      <c r="G934" s="6"/>
    </row>
    <row r="935" spans="1:7" x14ac:dyDescent="0.25">
      <c r="A935" s="6" t="s">
        <v>957</v>
      </c>
      <c r="B935" s="6"/>
      <c r="C935" s="6"/>
      <c r="D935" s="6"/>
      <c r="E935" s="6"/>
      <c r="F935" s="6"/>
      <c r="G935" s="6"/>
    </row>
    <row r="936" spans="1:7" x14ac:dyDescent="0.25">
      <c r="A936" s="6" t="s">
        <v>12121</v>
      </c>
      <c r="B936" s="6"/>
      <c r="C936" s="6"/>
      <c r="D936" s="6"/>
      <c r="E936" s="6"/>
      <c r="F936" s="6"/>
      <c r="G936" s="6"/>
    </row>
    <row r="937" spans="1:7" x14ac:dyDescent="0.25">
      <c r="A937" s="6" t="s">
        <v>957</v>
      </c>
      <c r="B937" s="6"/>
      <c r="C937" s="6"/>
      <c r="D937" s="6"/>
      <c r="E937" s="6"/>
      <c r="F937" s="6"/>
      <c r="G937" s="6"/>
    </row>
    <row r="938" spans="1:7" x14ac:dyDescent="0.25">
      <c r="A938" s="6" t="s">
        <v>957</v>
      </c>
      <c r="B938" s="6"/>
      <c r="C938" s="6"/>
      <c r="D938" s="6"/>
      <c r="E938" s="6"/>
      <c r="F938" s="6"/>
      <c r="G938" s="6"/>
    </row>
    <row r="939" spans="1:7" x14ac:dyDescent="0.25">
      <c r="A939" s="6" t="s">
        <v>957</v>
      </c>
      <c r="B939" s="6"/>
      <c r="C939" s="6"/>
      <c r="D939" s="6"/>
      <c r="E939" s="6"/>
      <c r="F939" s="6"/>
      <c r="G939" s="6"/>
    </row>
    <row r="940" spans="1:7" x14ac:dyDescent="0.25">
      <c r="A940" s="6" t="s">
        <v>12115</v>
      </c>
      <c r="B940" s="6"/>
      <c r="C940" s="6"/>
      <c r="D940" s="6"/>
      <c r="E940" s="6"/>
      <c r="F940" s="6"/>
      <c r="G940" s="6"/>
    </row>
    <row r="941" spans="1:7" x14ac:dyDescent="0.25">
      <c r="A941" s="6" t="s">
        <v>12112</v>
      </c>
      <c r="B941" s="6"/>
      <c r="C941" s="6"/>
      <c r="D941" s="6"/>
      <c r="E941" s="6"/>
      <c r="F941" s="6"/>
      <c r="G941" s="6"/>
    </row>
    <row r="942" spans="1:7" x14ac:dyDescent="0.25">
      <c r="A942" s="6" t="s">
        <v>957</v>
      </c>
      <c r="B942" s="6"/>
      <c r="C942" s="6"/>
      <c r="D942" s="6"/>
      <c r="E942" s="6"/>
      <c r="F942" s="6"/>
      <c r="G942" s="6"/>
    </row>
    <row r="943" spans="1:7" x14ac:dyDescent="0.25">
      <c r="A943" s="6" t="s">
        <v>12108</v>
      </c>
      <c r="B943" s="6"/>
      <c r="C943" s="6"/>
      <c r="D943" s="6"/>
      <c r="E943" s="6"/>
      <c r="F943" s="6"/>
      <c r="G943" s="6"/>
    </row>
    <row r="944" spans="1:7" x14ac:dyDescent="0.25">
      <c r="A944" s="6" t="s">
        <v>12105</v>
      </c>
      <c r="B944" s="6"/>
      <c r="C944" s="6"/>
      <c r="D944" s="6"/>
      <c r="E944" s="6"/>
      <c r="F944" s="6"/>
      <c r="G944" s="6"/>
    </row>
    <row r="945" spans="1:7" x14ac:dyDescent="0.25">
      <c r="A945" s="6" t="s">
        <v>12102</v>
      </c>
      <c r="B945" s="6"/>
      <c r="C945" s="6"/>
      <c r="D945" s="6"/>
      <c r="E945" s="6"/>
      <c r="F945" s="6"/>
      <c r="G945" s="6"/>
    </row>
    <row r="946" spans="1:7" x14ac:dyDescent="0.25">
      <c r="A946" s="6" t="s">
        <v>12099</v>
      </c>
      <c r="B946" s="6"/>
      <c r="C946" s="6"/>
      <c r="D946" s="6"/>
      <c r="E946" s="6"/>
      <c r="F946" s="6"/>
      <c r="G946" s="6"/>
    </row>
    <row r="947" spans="1:7" x14ac:dyDescent="0.25">
      <c r="A947" s="6" t="s">
        <v>12096</v>
      </c>
      <c r="B947" s="6"/>
      <c r="C947" s="6"/>
      <c r="D947" s="6"/>
      <c r="E947" s="6"/>
      <c r="F947" s="6"/>
      <c r="G947" s="6"/>
    </row>
    <row r="948" spans="1:7" x14ac:dyDescent="0.25">
      <c r="A948" s="6" t="s">
        <v>12093</v>
      </c>
      <c r="B948" s="6"/>
      <c r="C948" s="6"/>
      <c r="D948" s="6"/>
      <c r="E948" s="6"/>
      <c r="F948" s="6"/>
      <c r="G948" s="6"/>
    </row>
    <row r="949" spans="1:7" x14ac:dyDescent="0.25">
      <c r="A949" s="6" t="s">
        <v>12090</v>
      </c>
      <c r="B949" s="6"/>
      <c r="C949" s="6"/>
      <c r="D949" s="6"/>
      <c r="E949" s="6"/>
      <c r="F949" s="6"/>
      <c r="G949" s="6"/>
    </row>
    <row r="950" spans="1:7" x14ac:dyDescent="0.25">
      <c r="A950" s="6" t="s">
        <v>12087</v>
      </c>
      <c r="B950" s="6"/>
      <c r="C950" s="6"/>
      <c r="D950" s="6"/>
      <c r="E950" s="6"/>
      <c r="F950" s="6"/>
      <c r="G950" s="6"/>
    </row>
    <row r="951" spans="1:7" x14ac:dyDescent="0.25">
      <c r="A951" s="6" t="s">
        <v>11947</v>
      </c>
      <c r="B951" s="6"/>
      <c r="C951" s="6"/>
      <c r="D951" s="6"/>
      <c r="E951" s="6"/>
      <c r="F951" s="6"/>
      <c r="G951" s="6"/>
    </row>
    <row r="952" spans="1:7" x14ac:dyDescent="0.25">
      <c r="A952" s="6" t="s">
        <v>11944</v>
      </c>
      <c r="B952" s="6"/>
      <c r="C952" s="6"/>
      <c r="D952" s="6"/>
      <c r="E952" s="6"/>
      <c r="F952" s="6"/>
      <c r="G952" s="6"/>
    </row>
    <row r="953" spans="1:7" x14ac:dyDescent="0.25">
      <c r="A953" s="6" t="s">
        <v>11941</v>
      </c>
      <c r="B953" s="6"/>
      <c r="C953" s="6"/>
      <c r="D953" s="6"/>
      <c r="E953" s="6"/>
      <c r="F953" s="6"/>
      <c r="G953" s="6"/>
    </row>
    <row r="954" spans="1:7" x14ac:dyDescent="0.25">
      <c r="A954" s="6" t="s">
        <v>11938</v>
      </c>
      <c r="B954" s="6"/>
      <c r="C954" s="6"/>
      <c r="D954" s="6"/>
      <c r="E954" s="6"/>
      <c r="F954" s="6"/>
      <c r="G954" s="6"/>
    </row>
    <row r="955" spans="1:7" x14ac:dyDescent="0.25">
      <c r="A955" s="6" t="s">
        <v>11935</v>
      </c>
      <c r="B955" s="6"/>
      <c r="C955" s="6"/>
      <c r="D955" s="6"/>
      <c r="E955" s="6"/>
      <c r="F955" s="6"/>
      <c r="G955" s="6"/>
    </row>
    <row r="956" spans="1:7" x14ac:dyDescent="0.25">
      <c r="A956" s="6" t="s">
        <v>11932</v>
      </c>
      <c r="B956" s="6"/>
      <c r="C956" s="6"/>
      <c r="D956" s="6"/>
      <c r="E956" s="6"/>
      <c r="F956" s="6"/>
      <c r="G956" s="6"/>
    </row>
    <row r="957" spans="1:7" x14ac:dyDescent="0.25">
      <c r="A957" s="6" t="s">
        <v>957</v>
      </c>
      <c r="B957" s="6"/>
      <c r="C957" s="6"/>
      <c r="D957" s="6"/>
      <c r="E957" s="6"/>
      <c r="F957" s="6"/>
      <c r="G957" s="6"/>
    </row>
    <row r="958" spans="1:7" x14ac:dyDescent="0.25">
      <c r="A958" s="6" t="s">
        <v>11928</v>
      </c>
      <c r="B958" s="6"/>
      <c r="C958" s="6"/>
      <c r="D958" s="6"/>
      <c r="E958" s="6"/>
      <c r="F958" s="6"/>
      <c r="G958" s="6"/>
    </row>
    <row r="959" spans="1:7" x14ac:dyDescent="0.25">
      <c r="A959" s="6" t="s">
        <v>11925</v>
      </c>
      <c r="B959" s="6"/>
      <c r="C959" s="6"/>
      <c r="D959" s="6"/>
      <c r="E959" s="6"/>
      <c r="F959" s="6"/>
      <c r="G959" s="6"/>
    </row>
    <row r="960" spans="1:7" x14ac:dyDescent="0.25">
      <c r="A960" s="6" t="s">
        <v>11922</v>
      </c>
      <c r="B960" s="6"/>
      <c r="C960" s="6"/>
      <c r="D960" s="6"/>
      <c r="E960" s="6"/>
      <c r="F960" s="6"/>
      <c r="G960" s="6"/>
    </row>
    <row r="961" spans="1:7" x14ac:dyDescent="0.25">
      <c r="A961" s="6" t="s">
        <v>11919</v>
      </c>
      <c r="B961" s="6"/>
      <c r="C961" s="6"/>
      <c r="D961" s="6"/>
      <c r="E961" s="6"/>
      <c r="F961" s="6"/>
      <c r="G961" s="6"/>
    </row>
    <row r="962" spans="1:7" x14ac:dyDescent="0.25">
      <c r="A962" s="6" t="s">
        <v>957</v>
      </c>
      <c r="B962" s="6"/>
      <c r="C962" s="6"/>
      <c r="D962" s="6"/>
      <c r="E962" s="6"/>
      <c r="F962" s="6"/>
      <c r="G962" s="6"/>
    </row>
    <row r="963" spans="1:7" x14ac:dyDescent="0.25">
      <c r="A963" s="6" t="s">
        <v>957</v>
      </c>
      <c r="B963" s="6"/>
      <c r="C963" s="6"/>
      <c r="D963" s="6"/>
      <c r="E963" s="6"/>
      <c r="F963" s="6"/>
      <c r="G963" s="6"/>
    </row>
    <row r="964" spans="1:7" x14ac:dyDescent="0.25">
      <c r="A964" s="6" t="s">
        <v>11914</v>
      </c>
      <c r="B964" s="6"/>
      <c r="C964" s="6"/>
      <c r="D964" s="6"/>
      <c r="E964" s="6"/>
      <c r="F964" s="6"/>
      <c r="G964" s="6"/>
    </row>
    <row r="965" spans="1:7" x14ac:dyDescent="0.25">
      <c r="A965" s="6" t="s">
        <v>11911</v>
      </c>
      <c r="B965" s="6"/>
      <c r="C965" s="6"/>
      <c r="D965" s="6"/>
      <c r="E965" s="6"/>
      <c r="F965" s="6"/>
      <c r="G965" s="6"/>
    </row>
    <row r="966" spans="1:7" x14ac:dyDescent="0.25">
      <c r="A966" s="6" t="s">
        <v>11908</v>
      </c>
      <c r="B966" s="6"/>
      <c r="C966" s="6"/>
      <c r="D966" s="6"/>
      <c r="E966" s="6"/>
      <c r="F966" s="6"/>
      <c r="G966" s="6"/>
    </row>
    <row r="967" spans="1:7" x14ac:dyDescent="0.25">
      <c r="A967" s="6" t="s">
        <v>11905</v>
      </c>
      <c r="B967" s="6"/>
      <c r="C967" s="6"/>
      <c r="D967" s="6"/>
      <c r="E967" s="6"/>
      <c r="F967" s="6"/>
      <c r="G967" s="6"/>
    </row>
    <row r="968" spans="1:7" x14ac:dyDescent="0.25">
      <c r="A968" s="6" t="s">
        <v>11902</v>
      </c>
      <c r="B968" s="6"/>
      <c r="C968" s="6"/>
      <c r="D968" s="6"/>
      <c r="E968" s="6"/>
      <c r="F968" s="6"/>
      <c r="G968" s="6"/>
    </row>
    <row r="969" spans="1:7" x14ac:dyDescent="0.25">
      <c r="A969" s="6" t="s">
        <v>11899</v>
      </c>
      <c r="B969" s="6"/>
      <c r="C969" s="6"/>
      <c r="D969" s="6"/>
      <c r="E969" s="6"/>
      <c r="F969" s="6"/>
      <c r="G969" s="6"/>
    </row>
    <row r="970" spans="1:7" x14ac:dyDescent="0.25">
      <c r="A970" s="6" t="s">
        <v>11896</v>
      </c>
      <c r="B970" s="6"/>
      <c r="C970" s="6"/>
      <c r="D970" s="6"/>
      <c r="E970" s="6"/>
      <c r="F970" s="6"/>
      <c r="G970" s="6"/>
    </row>
    <row r="971" spans="1:7" x14ac:dyDescent="0.25">
      <c r="A971" s="6" t="s">
        <v>957</v>
      </c>
      <c r="B971" s="6"/>
      <c r="C971" s="6"/>
      <c r="D971" s="6"/>
      <c r="E971" s="6"/>
      <c r="F971" s="6"/>
      <c r="G971" s="6"/>
    </row>
    <row r="972" spans="1:7" x14ac:dyDescent="0.25">
      <c r="A972" s="6" t="s">
        <v>11891</v>
      </c>
      <c r="B972" s="6"/>
      <c r="C972" s="6"/>
      <c r="D972" s="6"/>
      <c r="E972" s="6"/>
      <c r="F972" s="6"/>
      <c r="G972" s="6"/>
    </row>
    <row r="973" spans="1:7" x14ac:dyDescent="0.25">
      <c r="A973" s="6" t="s">
        <v>11888</v>
      </c>
      <c r="B973" s="6"/>
      <c r="C973" s="6"/>
      <c r="D973" s="6"/>
      <c r="E973" s="6"/>
      <c r="F973" s="6"/>
      <c r="G973" s="6"/>
    </row>
    <row r="974" spans="1:7" x14ac:dyDescent="0.25">
      <c r="A974" s="6" t="s">
        <v>11886</v>
      </c>
      <c r="B974" s="6"/>
      <c r="C974" s="6"/>
      <c r="D974" s="6"/>
      <c r="E974" s="6"/>
      <c r="F974" s="6"/>
      <c r="G974" s="6"/>
    </row>
    <row r="975" spans="1:7" x14ac:dyDescent="0.25">
      <c r="A975" s="6" t="s">
        <v>11883</v>
      </c>
      <c r="B975" s="6"/>
      <c r="C975" s="6"/>
      <c r="D975" s="6"/>
      <c r="E975" s="6"/>
      <c r="F975" s="6"/>
      <c r="G975" s="6"/>
    </row>
    <row r="976" spans="1:7" x14ac:dyDescent="0.25">
      <c r="A976" s="6" t="s">
        <v>11880</v>
      </c>
      <c r="B976" s="6"/>
      <c r="C976" s="6"/>
      <c r="D976" s="6"/>
      <c r="E976" s="6"/>
      <c r="F976" s="6"/>
      <c r="G976" s="6"/>
    </row>
    <row r="977" spans="1:7" x14ac:dyDescent="0.25">
      <c r="A977" s="6" t="s">
        <v>957</v>
      </c>
      <c r="B977" s="6"/>
      <c r="C977" s="6"/>
      <c r="D977" s="6"/>
      <c r="E977" s="6"/>
      <c r="F977" s="6"/>
      <c r="G977" s="6"/>
    </row>
    <row r="978" spans="1:7" x14ac:dyDescent="0.25">
      <c r="A978" s="6" t="s">
        <v>11875</v>
      </c>
      <c r="B978" s="6"/>
      <c r="C978" s="6"/>
      <c r="D978" s="6"/>
      <c r="E978" s="6"/>
      <c r="F978" s="6"/>
      <c r="G978" s="6"/>
    </row>
    <row r="979" spans="1:7" x14ac:dyDescent="0.25">
      <c r="A979" s="6" t="s">
        <v>957</v>
      </c>
      <c r="B979" s="6"/>
      <c r="C979" s="6"/>
      <c r="D979" s="6"/>
      <c r="E979" s="6"/>
      <c r="F979" s="6"/>
      <c r="G979" s="6"/>
    </row>
    <row r="980" spans="1:7" x14ac:dyDescent="0.25">
      <c r="A980" s="6" t="s">
        <v>11871</v>
      </c>
      <c r="B980" s="6"/>
      <c r="C980" s="6"/>
      <c r="D980" s="6"/>
      <c r="E980" s="6"/>
      <c r="F980" s="6"/>
      <c r="G980" s="6"/>
    </row>
    <row r="981" spans="1:7" x14ac:dyDescent="0.25">
      <c r="A981" s="6" t="s">
        <v>957</v>
      </c>
      <c r="B981" s="6"/>
      <c r="C981" s="6"/>
      <c r="D981" s="6"/>
      <c r="E981" s="6"/>
      <c r="F981" s="6"/>
      <c r="G981" s="6"/>
    </row>
    <row r="982" spans="1:7" x14ac:dyDescent="0.25">
      <c r="A982" s="6" t="s">
        <v>11867</v>
      </c>
      <c r="B982" s="6"/>
      <c r="C982" s="6"/>
      <c r="D982" s="6"/>
      <c r="E982" s="6"/>
      <c r="F982" s="6"/>
      <c r="G982" s="6"/>
    </row>
    <row r="983" spans="1:7" x14ac:dyDescent="0.25">
      <c r="A983" s="6" t="s">
        <v>957</v>
      </c>
      <c r="B983" s="6"/>
      <c r="C983" s="6"/>
      <c r="D983" s="6"/>
      <c r="E983" s="6"/>
      <c r="F983" s="6"/>
      <c r="G983" s="6"/>
    </row>
    <row r="984" spans="1:7" x14ac:dyDescent="0.25">
      <c r="A984" s="6" t="s">
        <v>11863</v>
      </c>
      <c r="B984" s="6"/>
      <c r="C984" s="6"/>
      <c r="D984" s="6"/>
      <c r="E984" s="6"/>
      <c r="F984" s="6"/>
      <c r="G984" s="6"/>
    </row>
    <row r="985" spans="1:7" x14ac:dyDescent="0.25">
      <c r="A985" s="6" t="s">
        <v>957</v>
      </c>
      <c r="B985" s="6"/>
      <c r="C985" s="6"/>
      <c r="D985" s="6"/>
      <c r="E985" s="6"/>
      <c r="F985" s="6"/>
      <c r="G985" s="6"/>
    </row>
    <row r="986" spans="1:7" x14ac:dyDescent="0.25">
      <c r="A986" s="6" t="s">
        <v>11860</v>
      </c>
      <c r="B986" s="6"/>
      <c r="C986" s="6"/>
      <c r="D986" s="6"/>
      <c r="E986" s="6"/>
      <c r="F986" s="6"/>
      <c r="G986" s="6"/>
    </row>
    <row r="987" spans="1:7" x14ac:dyDescent="0.25">
      <c r="A987" s="6" t="s">
        <v>957</v>
      </c>
      <c r="B987" s="6"/>
      <c r="C987" s="6"/>
      <c r="D987" s="6"/>
      <c r="E987" s="6"/>
      <c r="F987" s="6"/>
      <c r="G987" s="6"/>
    </row>
    <row r="988" spans="1:7" x14ac:dyDescent="0.25">
      <c r="A988" s="6" t="s">
        <v>11856</v>
      </c>
      <c r="B988" s="6"/>
      <c r="C988" s="6"/>
      <c r="D988" s="6"/>
      <c r="E988" s="6"/>
      <c r="F988" s="6"/>
      <c r="G988" s="6"/>
    </row>
    <row r="989" spans="1:7" x14ac:dyDescent="0.25">
      <c r="A989" s="6" t="s">
        <v>11853</v>
      </c>
      <c r="B989" s="6"/>
      <c r="C989" s="6"/>
      <c r="D989" s="6"/>
      <c r="E989" s="6"/>
      <c r="F989" s="6"/>
      <c r="G989" s="6"/>
    </row>
    <row r="990" spans="1:7" x14ac:dyDescent="0.25">
      <c r="A990" s="6" t="s">
        <v>11850</v>
      </c>
      <c r="B990" s="6"/>
      <c r="C990" s="6"/>
      <c r="D990" s="6"/>
      <c r="E990" s="6"/>
      <c r="F990" s="6"/>
      <c r="G990" s="6"/>
    </row>
    <row r="991" spans="1:7" x14ac:dyDescent="0.25">
      <c r="A991" s="6" t="s">
        <v>11847</v>
      </c>
      <c r="B991" s="6"/>
      <c r="C991" s="6"/>
      <c r="D991" s="6"/>
      <c r="E991" s="6"/>
      <c r="F991" s="6"/>
      <c r="G991" s="6"/>
    </row>
    <row r="992" spans="1:7" x14ac:dyDescent="0.25">
      <c r="A992" s="6" t="s">
        <v>957</v>
      </c>
      <c r="B992" s="6"/>
      <c r="C992" s="6"/>
      <c r="D992" s="6"/>
      <c r="E992" s="6"/>
      <c r="F992" s="6"/>
      <c r="G992" s="6"/>
    </row>
    <row r="993" spans="1:7" x14ac:dyDescent="0.25">
      <c r="A993" s="6" t="s">
        <v>11843</v>
      </c>
      <c r="B993" s="6"/>
      <c r="C993" s="6"/>
      <c r="D993" s="6"/>
      <c r="E993" s="6"/>
      <c r="F993" s="6"/>
      <c r="G993" s="6"/>
    </row>
    <row r="994" spans="1:7" x14ac:dyDescent="0.25">
      <c r="A994" s="6" t="s">
        <v>11840</v>
      </c>
      <c r="B994" s="6"/>
      <c r="C994" s="6"/>
      <c r="D994" s="6"/>
      <c r="E994" s="6"/>
      <c r="F994" s="6"/>
      <c r="G994" s="6"/>
    </row>
    <row r="995" spans="1:7" x14ac:dyDescent="0.25">
      <c r="A995" s="6" t="s">
        <v>11837</v>
      </c>
      <c r="B995" s="6"/>
      <c r="C995" s="6"/>
      <c r="D995" s="6"/>
      <c r="E995" s="6"/>
      <c r="F995" s="6"/>
      <c r="G995" s="6"/>
    </row>
    <row r="996" spans="1:7" x14ac:dyDescent="0.25">
      <c r="A996" s="6" t="s">
        <v>957</v>
      </c>
      <c r="B996" s="6"/>
      <c r="C996" s="6"/>
      <c r="D996" s="6"/>
      <c r="E996" s="6"/>
      <c r="F996" s="6"/>
      <c r="G996" s="6"/>
    </row>
    <row r="997" spans="1:7" x14ac:dyDescent="0.25">
      <c r="A997" s="6" t="s">
        <v>11833</v>
      </c>
      <c r="B997" s="6"/>
      <c r="C997" s="6"/>
      <c r="D997" s="6"/>
      <c r="E997" s="6"/>
      <c r="F997" s="6"/>
      <c r="G997" s="6"/>
    </row>
    <row r="998" spans="1:7" x14ac:dyDescent="0.25">
      <c r="A998" s="6" t="s">
        <v>11830</v>
      </c>
      <c r="B998" s="6"/>
      <c r="C998" s="6"/>
      <c r="D998" s="6"/>
      <c r="E998" s="6"/>
      <c r="F998" s="6"/>
      <c r="G998" s="6"/>
    </row>
    <row r="999" spans="1:7" x14ac:dyDescent="0.25">
      <c r="A999" s="6" t="s">
        <v>957</v>
      </c>
      <c r="B999" s="6"/>
      <c r="C999" s="6"/>
      <c r="D999" s="6"/>
      <c r="E999" s="6"/>
      <c r="F999" s="6"/>
      <c r="G999" s="6"/>
    </row>
    <row r="1000" spans="1:7" x14ac:dyDescent="0.25">
      <c r="A1000" s="6" t="s">
        <v>957</v>
      </c>
      <c r="B1000" s="6"/>
      <c r="C1000" s="6"/>
      <c r="D1000" s="6"/>
      <c r="E1000" s="6"/>
      <c r="F1000" s="6"/>
      <c r="G1000" s="6"/>
    </row>
    <row r="1001" spans="1:7" x14ac:dyDescent="0.25">
      <c r="A1001" s="6" t="s">
        <v>11825</v>
      </c>
      <c r="B1001" s="6"/>
      <c r="C1001" s="6"/>
      <c r="D1001" s="6"/>
      <c r="E1001" s="6"/>
      <c r="F1001" s="6"/>
      <c r="G1001" s="6"/>
    </row>
    <row r="1002" spans="1:7" x14ac:dyDescent="0.25">
      <c r="A1002" s="6" t="s">
        <v>11822</v>
      </c>
      <c r="B1002" s="6"/>
      <c r="C1002" s="6"/>
      <c r="D1002" s="6"/>
      <c r="E1002" s="6"/>
      <c r="F1002" s="6"/>
      <c r="G1002" s="6"/>
    </row>
    <row r="1003" spans="1:7" x14ac:dyDescent="0.25">
      <c r="A1003" s="6" t="s">
        <v>11819</v>
      </c>
      <c r="B1003" s="6"/>
      <c r="C1003" s="6"/>
      <c r="D1003" s="6"/>
      <c r="E1003" s="6"/>
      <c r="F1003" s="6"/>
      <c r="G1003" s="6"/>
    </row>
    <row r="1004" spans="1:7" x14ac:dyDescent="0.25">
      <c r="A1004" s="6" t="s">
        <v>11816</v>
      </c>
      <c r="B1004" s="6"/>
      <c r="C1004" s="6"/>
      <c r="D1004" s="6"/>
      <c r="E1004" s="6"/>
      <c r="F1004" s="6"/>
      <c r="G1004" s="6"/>
    </row>
    <row r="1005" spans="1:7" x14ac:dyDescent="0.25">
      <c r="A1005" s="6" t="s">
        <v>957</v>
      </c>
      <c r="B1005" s="6"/>
      <c r="C1005" s="6"/>
      <c r="D1005" s="6"/>
      <c r="E1005" s="6"/>
      <c r="F1005" s="6"/>
      <c r="G1005" s="6"/>
    </row>
    <row r="1006" spans="1:7" x14ac:dyDescent="0.25">
      <c r="A1006" s="6" t="s">
        <v>11811</v>
      </c>
      <c r="B1006" s="6"/>
      <c r="C1006" s="6"/>
      <c r="D1006" s="6"/>
      <c r="E1006" s="6"/>
      <c r="F1006" s="6"/>
      <c r="G1006" s="6"/>
    </row>
    <row r="1007" spans="1:7" x14ac:dyDescent="0.25">
      <c r="A1007" s="6" t="s">
        <v>11808</v>
      </c>
      <c r="B1007" s="6"/>
      <c r="C1007" s="6"/>
      <c r="D1007" s="6"/>
      <c r="E1007" s="6"/>
      <c r="F1007" s="6"/>
      <c r="G1007" s="6"/>
    </row>
    <row r="1008" spans="1:7" x14ac:dyDescent="0.25">
      <c r="A1008" s="6" t="s">
        <v>12693</v>
      </c>
      <c r="B1008" s="6"/>
      <c r="C1008" s="6"/>
      <c r="D1008" s="6"/>
      <c r="E1008" s="6"/>
      <c r="F1008" s="6"/>
      <c r="G1008" s="6"/>
    </row>
    <row r="1009" spans="1:7" x14ac:dyDescent="0.25">
      <c r="A1009" s="6" t="s">
        <v>12690</v>
      </c>
      <c r="B1009" s="6"/>
      <c r="C1009" s="6"/>
      <c r="D1009" s="6"/>
      <c r="E1009" s="6"/>
      <c r="F1009" s="6"/>
      <c r="G1009" s="6"/>
    </row>
    <row r="1010" spans="1:7" x14ac:dyDescent="0.25">
      <c r="A1010" s="6" t="s">
        <v>12687</v>
      </c>
      <c r="B1010" s="6"/>
      <c r="C1010" s="6"/>
      <c r="D1010" s="6"/>
      <c r="E1010" s="6"/>
      <c r="F1010" s="6"/>
      <c r="G1010" s="6"/>
    </row>
    <row r="1011" spans="1:7" x14ac:dyDescent="0.25">
      <c r="A1011" s="6" t="s">
        <v>12684</v>
      </c>
      <c r="B1011" s="6"/>
      <c r="C1011" s="6"/>
      <c r="D1011" s="6"/>
      <c r="E1011" s="6"/>
      <c r="F1011" s="6"/>
      <c r="G1011" s="6"/>
    </row>
    <row r="1012" spans="1:7" x14ac:dyDescent="0.25">
      <c r="A1012" s="6" t="s">
        <v>12681</v>
      </c>
      <c r="B1012" s="6"/>
      <c r="C1012" s="6"/>
      <c r="D1012" s="6"/>
      <c r="E1012" s="6"/>
      <c r="F1012" s="6"/>
      <c r="G1012" s="6"/>
    </row>
    <row r="1013" spans="1:7" x14ac:dyDescent="0.25">
      <c r="A1013" s="6" t="s">
        <v>12678</v>
      </c>
      <c r="B1013" s="6"/>
      <c r="C1013" s="6"/>
      <c r="D1013" s="6"/>
      <c r="E1013" s="6"/>
      <c r="F1013" s="6"/>
      <c r="G1013" s="6"/>
    </row>
    <row r="1014" spans="1:7" x14ac:dyDescent="0.25">
      <c r="A1014" s="6" t="s">
        <v>12675</v>
      </c>
      <c r="B1014" s="6"/>
      <c r="C1014" s="6"/>
      <c r="D1014" s="6"/>
      <c r="E1014" s="6"/>
      <c r="F1014" s="6"/>
      <c r="G1014" s="6"/>
    </row>
    <row r="1015" spans="1:7" x14ac:dyDescent="0.25">
      <c r="A1015" s="6" t="s">
        <v>12672</v>
      </c>
      <c r="B1015" s="6"/>
      <c r="C1015" s="6"/>
      <c r="D1015" s="6"/>
      <c r="E1015" s="6"/>
      <c r="F1015" s="6"/>
      <c r="G1015" s="6"/>
    </row>
    <row r="1016" spans="1:7" x14ac:dyDescent="0.25">
      <c r="A1016" s="6" t="s">
        <v>12669</v>
      </c>
      <c r="B1016" s="6"/>
      <c r="C1016" s="6"/>
      <c r="D1016" s="6"/>
      <c r="E1016" s="6"/>
      <c r="F1016" s="6"/>
      <c r="G1016" s="6"/>
    </row>
    <row r="1017" spans="1:7" x14ac:dyDescent="0.25">
      <c r="A1017" s="6" t="s">
        <v>12666</v>
      </c>
      <c r="B1017" s="6"/>
      <c r="C1017" s="6"/>
      <c r="D1017" s="6"/>
      <c r="E1017" s="6"/>
      <c r="F1017" s="6"/>
      <c r="G1017" s="6"/>
    </row>
    <row r="1018" spans="1:7" x14ac:dyDescent="0.25">
      <c r="A1018" s="6" t="s">
        <v>12663</v>
      </c>
      <c r="B1018" s="6"/>
      <c r="C1018" s="6"/>
      <c r="D1018" s="6"/>
      <c r="E1018" s="6"/>
      <c r="F1018" s="6"/>
      <c r="G1018" s="6"/>
    </row>
    <row r="1019" spans="1:7" x14ac:dyDescent="0.25">
      <c r="A1019" s="6" t="s">
        <v>12660</v>
      </c>
      <c r="B1019" s="6"/>
      <c r="C1019" s="6"/>
      <c r="D1019" s="6"/>
      <c r="E1019" s="6"/>
      <c r="F1019" s="6"/>
      <c r="G1019" s="6"/>
    </row>
    <row r="1020" spans="1:7" x14ac:dyDescent="0.25">
      <c r="A1020" s="6" t="s">
        <v>12657</v>
      </c>
      <c r="B1020" s="6"/>
      <c r="C1020" s="6"/>
      <c r="D1020" s="6"/>
      <c r="E1020" s="6"/>
      <c r="F1020" s="6"/>
      <c r="G1020" s="6"/>
    </row>
    <row r="1021" spans="1:7" x14ac:dyDescent="0.25">
      <c r="A1021" s="6" t="s">
        <v>12654</v>
      </c>
      <c r="B1021" s="6"/>
      <c r="C1021" s="6"/>
      <c r="D1021" s="6"/>
      <c r="E1021" s="6"/>
      <c r="F1021" s="6"/>
      <c r="G1021" s="6"/>
    </row>
    <row r="1022" spans="1:7" x14ac:dyDescent="0.25">
      <c r="A1022" s="6" t="s">
        <v>12652</v>
      </c>
      <c r="B1022" s="6"/>
      <c r="C1022" s="6"/>
      <c r="D1022" s="6"/>
      <c r="E1022" s="6"/>
      <c r="F1022" s="6"/>
      <c r="G1022" s="6"/>
    </row>
    <row r="1023" spans="1:7" x14ac:dyDescent="0.25">
      <c r="A1023" s="6" t="s">
        <v>957</v>
      </c>
      <c r="B1023" s="6"/>
      <c r="C1023" s="6"/>
      <c r="D1023" s="6"/>
      <c r="E1023" s="6"/>
      <c r="F1023" s="6"/>
      <c r="G1023" s="6"/>
    </row>
    <row r="1024" spans="1:7" x14ac:dyDescent="0.25">
      <c r="A1024" s="6" t="s">
        <v>12647</v>
      </c>
      <c r="B1024" s="6"/>
      <c r="C1024" s="6"/>
      <c r="D1024" s="6"/>
      <c r="E1024" s="6"/>
      <c r="F1024" s="6"/>
      <c r="G1024" s="6"/>
    </row>
    <row r="1025" spans="1:7" x14ac:dyDescent="0.25">
      <c r="A1025" s="6" t="s">
        <v>12644</v>
      </c>
      <c r="B1025" s="6"/>
      <c r="C1025" s="6"/>
      <c r="D1025" s="6"/>
      <c r="E1025" s="6"/>
      <c r="F1025" s="6"/>
      <c r="G1025" s="6"/>
    </row>
    <row r="1026" spans="1:7" x14ac:dyDescent="0.25">
      <c r="A1026" s="6" t="s">
        <v>12641</v>
      </c>
      <c r="B1026" s="6"/>
      <c r="C1026" s="6"/>
      <c r="D1026" s="6"/>
      <c r="E1026" s="6"/>
      <c r="F1026" s="6"/>
      <c r="G1026" s="6"/>
    </row>
    <row r="1027" spans="1:7" x14ac:dyDescent="0.25">
      <c r="A1027" s="6" t="s">
        <v>12638</v>
      </c>
      <c r="B1027" s="6"/>
      <c r="C1027" s="6"/>
      <c r="D1027" s="6"/>
      <c r="E1027" s="6"/>
      <c r="F1027" s="6"/>
      <c r="G1027" s="6"/>
    </row>
    <row r="1028" spans="1:7" x14ac:dyDescent="0.25">
      <c r="A1028" s="6" t="s">
        <v>12635</v>
      </c>
      <c r="B1028" s="6"/>
      <c r="C1028" s="6"/>
      <c r="D1028" s="6"/>
      <c r="E1028" s="6"/>
      <c r="F1028" s="6"/>
      <c r="G1028" s="6"/>
    </row>
    <row r="1029" spans="1:7" x14ac:dyDescent="0.25">
      <c r="A1029" s="6" t="s">
        <v>12632</v>
      </c>
      <c r="B1029" s="6"/>
      <c r="C1029" s="6"/>
      <c r="D1029" s="6"/>
      <c r="E1029" s="6"/>
      <c r="F1029" s="6"/>
      <c r="G1029" s="6"/>
    </row>
    <row r="1030" spans="1:7" x14ac:dyDescent="0.25">
      <c r="A1030" s="6" t="s">
        <v>12629</v>
      </c>
      <c r="B1030" s="6"/>
      <c r="C1030" s="6"/>
      <c r="D1030" s="6"/>
      <c r="E1030" s="6"/>
      <c r="F1030" s="6"/>
      <c r="G1030" s="6"/>
    </row>
    <row r="1031" spans="1:7" x14ac:dyDescent="0.25">
      <c r="A1031" s="6" t="s">
        <v>12627</v>
      </c>
      <c r="B1031" s="6"/>
      <c r="C1031" s="6"/>
      <c r="D1031" s="6"/>
      <c r="E1031" s="6"/>
      <c r="F1031" s="6"/>
      <c r="G1031" s="6"/>
    </row>
    <row r="1032" spans="1:7" x14ac:dyDescent="0.25">
      <c r="A1032" s="6" t="s">
        <v>957</v>
      </c>
      <c r="B1032" s="6"/>
      <c r="C1032" s="6"/>
      <c r="D1032" s="6"/>
      <c r="E1032" s="6"/>
      <c r="F1032" s="6"/>
      <c r="G1032" s="6"/>
    </row>
    <row r="1033" spans="1:7" x14ac:dyDescent="0.25">
      <c r="A1033" s="6" t="s">
        <v>12623</v>
      </c>
      <c r="B1033" s="6"/>
      <c r="C1033" s="6"/>
      <c r="D1033" s="6"/>
      <c r="E1033" s="6"/>
      <c r="F1033" s="6"/>
      <c r="G1033" s="6"/>
    </row>
    <row r="1034" spans="1:7" x14ac:dyDescent="0.25">
      <c r="A1034" s="6" t="s">
        <v>12620</v>
      </c>
      <c r="B1034" s="6"/>
      <c r="C1034" s="6"/>
      <c r="D1034" s="6"/>
      <c r="E1034" s="6"/>
      <c r="F1034" s="6"/>
      <c r="G1034" s="6"/>
    </row>
    <row r="1035" spans="1:7" x14ac:dyDescent="0.25">
      <c r="A1035" s="6" t="s">
        <v>12617</v>
      </c>
      <c r="B1035" s="6"/>
      <c r="C1035" s="6"/>
      <c r="D1035" s="6"/>
      <c r="E1035" s="6"/>
      <c r="F1035" s="6"/>
      <c r="G1035" s="6"/>
    </row>
    <row r="1036" spans="1:7" x14ac:dyDescent="0.25">
      <c r="A1036" s="6" t="s">
        <v>12614</v>
      </c>
      <c r="B1036" s="6"/>
      <c r="C1036" s="6"/>
      <c r="D1036" s="6"/>
      <c r="E1036" s="6"/>
      <c r="F1036" s="6"/>
      <c r="G1036" s="6"/>
    </row>
    <row r="1037" spans="1:7" x14ac:dyDescent="0.25">
      <c r="A1037" s="6" t="s">
        <v>12611</v>
      </c>
      <c r="B1037" s="6"/>
      <c r="C1037" s="6"/>
      <c r="D1037" s="6"/>
      <c r="E1037" s="6"/>
      <c r="F1037" s="6"/>
      <c r="G1037" s="6"/>
    </row>
    <row r="1038" spans="1:7" x14ac:dyDescent="0.25">
      <c r="A1038" s="6" t="s">
        <v>12609</v>
      </c>
      <c r="B1038" s="6"/>
      <c r="C1038" s="6"/>
      <c r="D1038" s="6"/>
      <c r="E1038" s="6"/>
      <c r="F1038" s="6"/>
      <c r="G1038" s="6"/>
    </row>
    <row r="1039" spans="1:7" x14ac:dyDescent="0.25">
      <c r="A1039" s="6" t="s">
        <v>12606</v>
      </c>
      <c r="B1039" s="6"/>
      <c r="C1039" s="6"/>
      <c r="D1039" s="6"/>
      <c r="E1039" s="6"/>
      <c r="F1039" s="6"/>
      <c r="G1039" s="6"/>
    </row>
    <row r="1040" spans="1:7" x14ac:dyDescent="0.25">
      <c r="A1040" s="6" t="s">
        <v>12603</v>
      </c>
      <c r="B1040" s="6"/>
      <c r="C1040" s="6"/>
      <c r="D1040" s="6"/>
      <c r="E1040" s="6"/>
      <c r="F1040" s="6"/>
      <c r="G1040" s="6"/>
    </row>
    <row r="1041" spans="1:7" x14ac:dyDescent="0.25">
      <c r="A1041" s="6" t="s">
        <v>12600</v>
      </c>
      <c r="B1041" s="6"/>
      <c r="C1041" s="6"/>
      <c r="D1041" s="6"/>
      <c r="E1041" s="6"/>
      <c r="F1041" s="6"/>
      <c r="G1041" s="6"/>
    </row>
    <row r="1042" spans="1:7" x14ac:dyDescent="0.25">
      <c r="A1042" s="6" t="s">
        <v>12598</v>
      </c>
      <c r="B1042" s="6"/>
      <c r="C1042" s="6"/>
      <c r="D1042" s="6"/>
      <c r="E1042" s="6"/>
      <c r="F1042" s="6"/>
      <c r="G1042" s="6"/>
    </row>
    <row r="1043" spans="1:7" x14ac:dyDescent="0.25">
      <c r="A1043" s="6" t="s">
        <v>957</v>
      </c>
      <c r="B1043" s="6"/>
      <c r="C1043" s="6"/>
      <c r="D1043" s="6"/>
      <c r="E1043" s="6"/>
      <c r="F1043" s="6"/>
      <c r="G1043" s="6"/>
    </row>
    <row r="1044" spans="1:7" x14ac:dyDescent="0.25">
      <c r="A1044" s="6" t="s">
        <v>12594</v>
      </c>
      <c r="B1044" s="6"/>
      <c r="C1044" s="6"/>
      <c r="D1044" s="6"/>
      <c r="E1044" s="6"/>
      <c r="F1044" s="6"/>
      <c r="G1044" s="6"/>
    </row>
    <row r="1045" spans="1:7" x14ac:dyDescent="0.25">
      <c r="A1045" s="6" t="s">
        <v>12591</v>
      </c>
      <c r="B1045" s="6"/>
      <c r="C1045" s="6"/>
      <c r="D1045" s="6"/>
      <c r="E1045" s="6"/>
      <c r="F1045" s="6"/>
      <c r="G1045" s="6"/>
    </row>
    <row r="1046" spans="1:7" x14ac:dyDescent="0.25">
      <c r="A1046" s="6" t="s">
        <v>11632</v>
      </c>
      <c r="B1046" s="6"/>
      <c r="C1046" s="6"/>
      <c r="D1046" s="6"/>
      <c r="E1046" s="6"/>
      <c r="F1046" s="6"/>
      <c r="G1046" s="6"/>
    </row>
    <row r="1047" spans="1:7" x14ac:dyDescent="0.25">
      <c r="A1047" s="6" t="s">
        <v>957</v>
      </c>
      <c r="B1047" s="6"/>
      <c r="C1047" s="6"/>
      <c r="D1047" s="6"/>
      <c r="E1047" s="6"/>
      <c r="F1047" s="6"/>
      <c r="G1047" s="6"/>
    </row>
    <row r="1048" spans="1:7" x14ac:dyDescent="0.25">
      <c r="A1048" s="6" t="s">
        <v>11628</v>
      </c>
      <c r="B1048" s="6"/>
      <c r="C1048" s="6"/>
      <c r="D1048" s="6"/>
      <c r="E1048" s="6"/>
      <c r="F1048" s="6"/>
      <c r="G1048" s="6"/>
    </row>
    <row r="1049" spans="1:7" x14ac:dyDescent="0.25">
      <c r="A1049" s="6" t="s">
        <v>11625</v>
      </c>
      <c r="B1049" s="6"/>
      <c r="C1049" s="6"/>
      <c r="D1049" s="6"/>
      <c r="E1049" s="6"/>
      <c r="F1049" s="6"/>
      <c r="G1049" s="6"/>
    </row>
    <row r="1050" spans="1:7" x14ac:dyDescent="0.25">
      <c r="A1050" s="6" t="s">
        <v>957</v>
      </c>
      <c r="B1050" s="6"/>
      <c r="C1050" s="6"/>
      <c r="D1050" s="6"/>
      <c r="E1050" s="6"/>
      <c r="F1050" s="6"/>
      <c r="G1050" s="6"/>
    </row>
    <row r="1051" spans="1:7" x14ac:dyDescent="0.25">
      <c r="A1051" s="6" t="s">
        <v>957</v>
      </c>
      <c r="B1051" s="6"/>
      <c r="C1051" s="6"/>
      <c r="D1051" s="6"/>
      <c r="E1051" s="6"/>
      <c r="F1051" s="6"/>
      <c r="G1051" s="6"/>
    </row>
    <row r="1052" spans="1:7" x14ac:dyDescent="0.25">
      <c r="A1052" s="6" t="s">
        <v>11620</v>
      </c>
      <c r="B1052" s="6"/>
      <c r="C1052" s="6"/>
      <c r="D1052" s="6"/>
      <c r="E1052" s="6"/>
      <c r="F1052" s="6"/>
      <c r="G1052" s="6"/>
    </row>
    <row r="1053" spans="1:7" x14ac:dyDescent="0.25">
      <c r="A1053" s="6" t="s">
        <v>11617</v>
      </c>
      <c r="B1053" s="6"/>
      <c r="C1053" s="6"/>
      <c r="D1053" s="6"/>
      <c r="E1053" s="6"/>
      <c r="F1053" s="6"/>
      <c r="G1053" s="6"/>
    </row>
    <row r="1054" spans="1:7" x14ac:dyDescent="0.25">
      <c r="A1054" s="6" t="s">
        <v>11615</v>
      </c>
      <c r="B1054" s="6"/>
      <c r="C1054" s="6"/>
      <c r="D1054" s="6"/>
      <c r="E1054" s="6"/>
      <c r="F1054" s="6"/>
      <c r="G1054" s="6"/>
    </row>
    <row r="1055" spans="1:7" x14ac:dyDescent="0.25">
      <c r="A1055" s="6" t="s">
        <v>11612</v>
      </c>
      <c r="B1055" s="6"/>
      <c r="C1055" s="6"/>
      <c r="D1055" s="6"/>
      <c r="E1055" s="6"/>
      <c r="F1055" s="6"/>
      <c r="G1055" s="6"/>
    </row>
    <row r="1056" spans="1:7" x14ac:dyDescent="0.25">
      <c r="A1056" s="6" t="s">
        <v>11609</v>
      </c>
      <c r="B1056" s="6"/>
      <c r="C1056" s="6"/>
      <c r="D1056" s="6"/>
      <c r="E1056" s="6"/>
      <c r="F1056" s="6"/>
      <c r="G1056" s="6"/>
    </row>
    <row r="1057" spans="1:7" x14ac:dyDescent="0.25">
      <c r="A1057" s="6" t="s">
        <v>11606</v>
      </c>
      <c r="B1057" s="6"/>
      <c r="C1057" s="6"/>
      <c r="D1057" s="6"/>
      <c r="E1057" s="6"/>
      <c r="F1057" s="6"/>
      <c r="G1057" s="6"/>
    </row>
    <row r="1058" spans="1:7" x14ac:dyDescent="0.25">
      <c r="A1058" s="6" t="s">
        <v>957</v>
      </c>
      <c r="B1058" s="6"/>
      <c r="C1058" s="6"/>
      <c r="D1058" s="6"/>
      <c r="E1058" s="6"/>
      <c r="F1058" s="6"/>
      <c r="G1058" s="6"/>
    </row>
    <row r="1059" spans="1:7" x14ac:dyDescent="0.25">
      <c r="A1059" s="6" t="s">
        <v>11602</v>
      </c>
      <c r="B1059" s="6"/>
      <c r="C1059" s="6"/>
      <c r="D1059" s="6"/>
      <c r="E1059" s="6"/>
      <c r="F1059" s="6"/>
      <c r="G1059" s="6"/>
    </row>
    <row r="1060" spans="1:7" x14ac:dyDescent="0.25">
      <c r="A1060" s="6" t="s">
        <v>957</v>
      </c>
      <c r="B1060" s="6"/>
      <c r="C1060" s="6"/>
      <c r="D1060" s="6"/>
      <c r="E1060" s="6"/>
      <c r="F1060" s="6"/>
      <c r="G1060" s="6"/>
    </row>
    <row r="1061" spans="1:7" x14ac:dyDescent="0.25">
      <c r="A1061" s="6" t="s">
        <v>11597</v>
      </c>
      <c r="B1061" s="6"/>
      <c r="C1061" s="6"/>
      <c r="D1061" s="6"/>
      <c r="E1061" s="6"/>
      <c r="F1061" s="6"/>
      <c r="G1061" s="6"/>
    </row>
    <row r="1062" spans="1:7" x14ac:dyDescent="0.25">
      <c r="A1062" s="6" t="s">
        <v>957</v>
      </c>
      <c r="B1062" s="6"/>
      <c r="C1062" s="6"/>
      <c r="D1062" s="6"/>
      <c r="E1062" s="6"/>
      <c r="F1062" s="6"/>
      <c r="G1062" s="6"/>
    </row>
    <row r="1063" spans="1:7" x14ac:dyDescent="0.25">
      <c r="A1063" s="6" t="s">
        <v>11593</v>
      </c>
      <c r="B1063" s="6"/>
      <c r="C1063" s="6"/>
      <c r="D1063" s="6"/>
      <c r="E1063" s="6"/>
      <c r="F1063" s="6"/>
      <c r="G1063" s="6"/>
    </row>
    <row r="1064" spans="1:7" x14ac:dyDescent="0.25">
      <c r="A1064" s="6" t="s">
        <v>11591</v>
      </c>
      <c r="B1064" s="6"/>
      <c r="C1064" s="6"/>
      <c r="D1064" s="6"/>
      <c r="E1064" s="6"/>
      <c r="F1064" s="6"/>
      <c r="G1064" s="6"/>
    </row>
    <row r="1065" spans="1:7" x14ac:dyDescent="0.25">
      <c r="A1065" s="6" t="s">
        <v>11588</v>
      </c>
      <c r="B1065" s="6"/>
      <c r="C1065" s="6"/>
      <c r="D1065" s="6"/>
      <c r="E1065" s="6"/>
      <c r="F1065" s="6"/>
      <c r="G1065" s="6"/>
    </row>
    <row r="1066" spans="1:7" x14ac:dyDescent="0.25">
      <c r="A1066" s="6" t="s">
        <v>11585</v>
      </c>
      <c r="B1066" s="6"/>
      <c r="C1066" s="6"/>
      <c r="D1066" s="6"/>
      <c r="E1066" s="6"/>
      <c r="F1066" s="6"/>
      <c r="G1066" s="6"/>
    </row>
    <row r="1067" spans="1:7" x14ac:dyDescent="0.25">
      <c r="A1067" s="6" t="s">
        <v>11582</v>
      </c>
      <c r="B1067" s="6"/>
      <c r="C1067" s="6"/>
      <c r="D1067" s="6"/>
      <c r="E1067" s="6"/>
      <c r="F1067" s="6"/>
      <c r="G1067" s="6"/>
    </row>
    <row r="1068" spans="1:7" x14ac:dyDescent="0.25">
      <c r="A1068" s="6" t="s">
        <v>11579</v>
      </c>
      <c r="B1068" s="6"/>
      <c r="C1068" s="6"/>
      <c r="D1068" s="6"/>
      <c r="E1068" s="6"/>
      <c r="F1068" s="6"/>
      <c r="G1068" s="6"/>
    </row>
    <row r="1069" spans="1:7" x14ac:dyDescent="0.25">
      <c r="A1069" s="6" t="s">
        <v>11576</v>
      </c>
      <c r="B1069" s="6"/>
      <c r="C1069" s="6"/>
      <c r="D1069" s="6"/>
      <c r="E1069" s="6"/>
      <c r="F1069" s="6"/>
      <c r="G1069" s="6"/>
    </row>
    <row r="1070" spans="1:7" x14ac:dyDescent="0.25">
      <c r="A1070" s="6" t="s">
        <v>11573</v>
      </c>
      <c r="B1070" s="6"/>
      <c r="C1070" s="6"/>
      <c r="D1070" s="6"/>
      <c r="E1070" s="6"/>
      <c r="F1070" s="6"/>
      <c r="G1070" s="6"/>
    </row>
    <row r="1071" spans="1:7" x14ac:dyDescent="0.25">
      <c r="A1071" s="6" t="s">
        <v>957</v>
      </c>
      <c r="B1071" s="6"/>
      <c r="C1071" s="6"/>
      <c r="D1071" s="6"/>
      <c r="E1071" s="6"/>
      <c r="F1071" s="6"/>
      <c r="G1071" s="6"/>
    </row>
    <row r="1072" spans="1:7" x14ac:dyDescent="0.25">
      <c r="A1072" s="6" t="s">
        <v>12432</v>
      </c>
      <c r="B1072" s="6"/>
      <c r="C1072" s="6"/>
      <c r="D1072" s="6"/>
      <c r="E1072" s="6"/>
      <c r="F1072" s="6"/>
      <c r="G1072" s="6"/>
    </row>
    <row r="1073" spans="1:7" x14ac:dyDescent="0.25">
      <c r="A1073" s="6" t="s">
        <v>12429</v>
      </c>
      <c r="B1073" s="6"/>
      <c r="C1073" s="6"/>
      <c r="D1073" s="6"/>
      <c r="E1073" s="6"/>
      <c r="F1073" s="6"/>
      <c r="G1073" s="6"/>
    </row>
    <row r="1074" spans="1:7" x14ac:dyDescent="0.25">
      <c r="A1074" s="6" t="s">
        <v>12426</v>
      </c>
      <c r="B1074" s="6"/>
      <c r="C1074" s="6"/>
      <c r="D1074" s="6"/>
      <c r="E1074" s="6"/>
      <c r="F1074" s="6"/>
      <c r="G1074" s="6"/>
    </row>
    <row r="1075" spans="1:7" x14ac:dyDescent="0.25">
      <c r="A1075" s="6" t="s">
        <v>12423</v>
      </c>
      <c r="B1075" s="6"/>
      <c r="C1075" s="6"/>
      <c r="D1075" s="6"/>
      <c r="E1075" s="6"/>
      <c r="F1075" s="6"/>
      <c r="G1075" s="6"/>
    </row>
    <row r="1076" spans="1:7" x14ac:dyDescent="0.25">
      <c r="A1076" s="6" t="s">
        <v>12420</v>
      </c>
      <c r="B1076" s="6"/>
      <c r="C1076" s="6"/>
      <c r="D1076" s="6"/>
      <c r="E1076" s="6"/>
      <c r="F1076" s="6"/>
      <c r="G1076" s="6"/>
    </row>
    <row r="1077" spans="1:7" x14ac:dyDescent="0.25">
      <c r="A1077" s="6" t="s">
        <v>12417</v>
      </c>
      <c r="B1077" s="6"/>
      <c r="C1077" s="6"/>
      <c r="D1077" s="6"/>
      <c r="E1077" s="6"/>
      <c r="F1077" s="6"/>
      <c r="G1077" s="6"/>
    </row>
    <row r="1078" spans="1:7" x14ac:dyDescent="0.25">
      <c r="A1078" s="6" t="s">
        <v>12414</v>
      </c>
      <c r="B1078" s="6"/>
      <c r="C1078" s="6"/>
      <c r="D1078" s="6"/>
      <c r="E1078" s="6"/>
      <c r="F1078" s="6"/>
      <c r="G1078" s="6"/>
    </row>
    <row r="1079" spans="1:7" x14ac:dyDescent="0.25">
      <c r="A1079" s="6" t="s">
        <v>957</v>
      </c>
      <c r="B1079" s="6"/>
      <c r="C1079" s="6"/>
      <c r="D1079" s="6"/>
      <c r="E1079" s="6"/>
      <c r="F1079" s="6"/>
      <c r="G1079" s="6"/>
    </row>
    <row r="1080" spans="1:7" x14ac:dyDescent="0.25">
      <c r="A1080" s="6" t="s">
        <v>957</v>
      </c>
      <c r="B1080" s="6"/>
      <c r="C1080" s="6"/>
      <c r="D1080" s="6"/>
      <c r="E1080" s="6"/>
      <c r="F1080" s="6"/>
      <c r="G1080" s="6"/>
    </row>
    <row r="1081" spans="1:7" x14ac:dyDescent="0.25">
      <c r="A1081" s="6" t="s">
        <v>957</v>
      </c>
      <c r="B1081" s="6"/>
      <c r="C1081" s="6"/>
      <c r="D1081" s="6"/>
      <c r="E1081" s="6"/>
      <c r="F1081" s="6"/>
      <c r="G1081" s="6"/>
    </row>
    <row r="1082" spans="1:7" x14ac:dyDescent="0.25">
      <c r="A1082" s="6" t="s">
        <v>12408</v>
      </c>
      <c r="B1082" s="6"/>
      <c r="C1082" s="6"/>
      <c r="D1082" s="6"/>
      <c r="E1082" s="6"/>
      <c r="F1082" s="6"/>
      <c r="G1082" s="6"/>
    </row>
    <row r="1083" spans="1:7" x14ac:dyDescent="0.25">
      <c r="A1083" s="6" t="s">
        <v>12296</v>
      </c>
      <c r="B1083" s="6"/>
      <c r="C1083" s="6"/>
      <c r="D1083" s="6"/>
      <c r="E1083" s="6"/>
      <c r="F1083" s="6"/>
      <c r="G1083" s="6"/>
    </row>
    <row r="1084" spans="1:7" x14ac:dyDescent="0.25">
      <c r="A1084" s="6" t="s">
        <v>14162</v>
      </c>
      <c r="B1084" s="6" t="s">
        <v>13840</v>
      </c>
      <c r="C1084" s="6"/>
      <c r="D1084" s="6"/>
      <c r="E1084" s="6"/>
      <c r="F1084" s="6"/>
      <c r="G1084" s="6"/>
    </row>
    <row r="1085" spans="1:7" x14ac:dyDescent="0.25">
      <c r="A1085" s="6" t="s">
        <v>11567</v>
      </c>
      <c r="B1085" s="6"/>
      <c r="C1085" s="6"/>
      <c r="D1085" s="6"/>
      <c r="E1085" s="6"/>
      <c r="F1085" s="6"/>
      <c r="G1085" s="6"/>
    </row>
    <row r="1086" spans="1:7" x14ac:dyDescent="0.25">
      <c r="A1086" s="6" t="s">
        <v>11564</v>
      </c>
      <c r="B1086" s="6"/>
      <c r="C1086" s="6"/>
      <c r="D1086" s="6"/>
      <c r="E1086" s="6"/>
      <c r="F1086" s="6"/>
      <c r="G1086" s="6"/>
    </row>
    <row r="1087" spans="1:7" x14ac:dyDescent="0.25">
      <c r="A1087" s="6" t="s">
        <v>11561</v>
      </c>
      <c r="B1087" s="6"/>
      <c r="C1087" s="6"/>
      <c r="D1087" s="6"/>
      <c r="E1087" s="6"/>
      <c r="F1087" s="6"/>
      <c r="G1087" s="6"/>
    </row>
    <row r="1088" spans="1:7" x14ac:dyDescent="0.25">
      <c r="A1088" s="6" t="s">
        <v>11558</v>
      </c>
      <c r="B1088" s="6"/>
      <c r="C1088" s="6"/>
      <c r="D1088" s="6"/>
      <c r="E1088" s="6"/>
      <c r="F1088" s="6"/>
      <c r="G1088" s="6"/>
    </row>
    <row r="1089" spans="1:7" x14ac:dyDescent="0.25">
      <c r="A1089" s="6" t="s">
        <v>11555</v>
      </c>
      <c r="B1089" s="6"/>
      <c r="C1089" s="6"/>
      <c r="D1089" s="6"/>
      <c r="E1089" s="6"/>
      <c r="F1089" s="6"/>
      <c r="G1089" s="6"/>
    </row>
    <row r="1090" spans="1:7" x14ac:dyDescent="0.25">
      <c r="A1090" s="6" t="s">
        <v>11552</v>
      </c>
      <c r="B1090" s="6"/>
      <c r="C1090" s="6"/>
      <c r="D1090" s="6"/>
      <c r="E1090" s="6"/>
      <c r="F1090" s="6"/>
      <c r="G1090" s="6"/>
    </row>
    <row r="1091" spans="1:7" x14ac:dyDescent="0.25">
      <c r="A1091" s="6" t="s">
        <v>11549</v>
      </c>
      <c r="B1091" s="6"/>
      <c r="C1091" s="6"/>
      <c r="D1091" s="6"/>
      <c r="E1091" s="6"/>
      <c r="F1091" s="6"/>
      <c r="G1091" s="6"/>
    </row>
    <row r="1092" spans="1:7" x14ac:dyDescent="0.25">
      <c r="A1092" s="6" t="s">
        <v>11546</v>
      </c>
      <c r="B1092" s="6"/>
      <c r="C1092" s="6"/>
      <c r="D1092" s="6"/>
      <c r="E1092" s="6"/>
      <c r="F1092" s="6"/>
      <c r="G1092" s="6"/>
    </row>
    <row r="1093" spans="1:7" x14ac:dyDescent="0.25">
      <c r="A1093" s="6" t="s">
        <v>11543</v>
      </c>
      <c r="B1093" s="6"/>
      <c r="C1093" s="6"/>
      <c r="D1093" s="6"/>
      <c r="E1093" s="6"/>
      <c r="F1093" s="6"/>
      <c r="G1093" s="6"/>
    </row>
    <row r="1094" spans="1:7" x14ac:dyDescent="0.25">
      <c r="A1094" s="6" t="s">
        <v>11540</v>
      </c>
      <c r="B1094" s="6"/>
      <c r="C1094" s="6"/>
      <c r="D1094" s="6"/>
      <c r="E1094" s="6"/>
      <c r="F1094" s="6"/>
      <c r="G1094" s="6"/>
    </row>
    <row r="1095" spans="1:7" x14ac:dyDescent="0.25">
      <c r="A1095" s="6" t="s">
        <v>11538</v>
      </c>
      <c r="B1095" s="6"/>
      <c r="C1095" s="6"/>
      <c r="D1095" s="6"/>
      <c r="E1095" s="6"/>
      <c r="F1095" s="6"/>
      <c r="G1095" s="6"/>
    </row>
    <row r="1096" spans="1:7" x14ac:dyDescent="0.25">
      <c r="A1096" s="6" t="s">
        <v>11535</v>
      </c>
      <c r="B1096" s="6"/>
      <c r="C1096" s="6"/>
      <c r="D1096" s="6"/>
      <c r="E1096" s="6"/>
      <c r="F1096" s="6"/>
      <c r="G1096" s="6"/>
    </row>
    <row r="1097" spans="1:7" x14ac:dyDescent="0.25">
      <c r="A1097" s="6" t="s">
        <v>957</v>
      </c>
      <c r="B1097" s="6"/>
      <c r="C1097" s="6"/>
      <c r="D1097" s="6"/>
      <c r="E1097" s="6"/>
      <c r="F1097" s="6"/>
      <c r="G1097" s="6"/>
    </row>
    <row r="1098" spans="1:7" x14ac:dyDescent="0.25">
      <c r="A1098" s="6" t="s">
        <v>11531</v>
      </c>
      <c r="B1098" s="6"/>
      <c r="C1098" s="6"/>
      <c r="D1098" s="6"/>
      <c r="E1098" s="6"/>
      <c r="F1098" s="6"/>
      <c r="G1098" s="6"/>
    </row>
    <row r="1099" spans="1:7" x14ac:dyDescent="0.25">
      <c r="A1099" s="6" t="s">
        <v>11528</v>
      </c>
      <c r="B1099" s="6"/>
      <c r="C1099" s="6"/>
      <c r="D1099" s="6"/>
      <c r="E1099" s="6"/>
      <c r="F1099" s="6"/>
      <c r="G1099" s="6"/>
    </row>
    <row r="1100" spans="1:7" x14ac:dyDescent="0.25">
      <c r="A1100" s="6" t="s">
        <v>11525</v>
      </c>
      <c r="B1100" s="6"/>
      <c r="C1100" s="6"/>
      <c r="D1100" s="6"/>
      <c r="E1100" s="6"/>
      <c r="F1100" s="6"/>
      <c r="G1100" s="6"/>
    </row>
    <row r="1101" spans="1:7" x14ac:dyDescent="0.25">
      <c r="A1101" s="6" t="s">
        <v>11522</v>
      </c>
      <c r="B1101" s="6"/>
      <c r="C1101" s="6"/>
      <c r="D1101" s="6"/>
      <c r="E1101" s="6"/>
      <c r="F1101" s="6"/>
      <c r="G1101" s="6"/>
    </row>
    <row r="1102" spans="1:7" x14ac:dyDescent="0.25">
      <c r="A1102" s="6" t="s">
        <v>11519</v>
      </c>
      <c r="B1102" s="6"/>
      <c r="C1102" s="6"/>
      <c r="D1102" s="6"/>
      <c r="E1102" s="6"/>
      <c r="F1102" s="6"/>
      <c r="G1102" s="6"/>
    </row>
    <row r="1103" spans="1:7" x14ac:dyDescent="0.25">
      <c r="A1103" s="6" t="s">
        <v>11516</v>
      </c>
      <c r="B1103" s="6"/>
      <c r="C1103" s="6"/>
      <c r="D1103" s="6"/>
      <c r="E1103" s="6"/>
      <c r="F1103" s="6"/>
      <c r="G1103" s="6"/>
    </row>
    <row r="1104" spans="1:7" x14ac:dyDescent="0.25">
      <c r="A1104" s="6" t="s">
        <v>957</v>
      </c>
      <c r="B1104" s="6"/>
      <c r="C1104" s="6"/>
      <c r="D1104" s="6"/>
      <c r="E1104" s="6"/>
      <c r="F1104" s="6"/>
      <c r="G1104" s="6"/>
    </row>
    <row r="1105" spans="1:7" x14ac:dyDescent="0.25">
      <c r="A1105" s="6" t="s">
        <v>11512</v>
      </c>
      <c r="B1105" s="6"/>
      <c r="C1105" s="6"/>
      <c r="D1105" s="6"/>
      <c r="E1105" s="6"/>
      <c r="F1105" s="6"/>
      <c r="G1105" s="6"/>
    </row>
    <row r="1106" spans="1:7" x14ac:dyDescent="0.25">
      <c r="A1106" s="6" t="s">
        <v>957</v>
      </c>
      <c r="B1106" s="6"/>
      <c r="C1106" s="6"/>
      <c r="D1106" s="6"/>
      <c r="E1106" s="6"/>
      <c r="F1106" s="6"/>
      <c r="G1106" s="6"/>
    </row>
    <row r="1107" spans="1:7" x14ac:dyDescent="0.25">
      <c r="A1107" s="6" t="s">
        <v>957</v>
      </c>
      <c r="B1107" s="6"/>
      <c r="C1107" s="6"/>
      <c r="D1107" s="6"/>
      <c r="E1107" s="6"/>
      <c r="F1107" s="6"/>
      <c r="G1107" s="6"/>
    </row>
    <row r="1108" spans="1:7" x14ac:dyDescent="0.25">
      <c r="A1108" s="6" t="s">
        <v>11507</v>
      </c>
      <c r="B1108" s="6"/>
      <c r="C1108" s="6"/>
      <c r="D1108" s="6"/>
      <c r="E1108" s="6"/>
      <c r="F1108" s="6"/>
      <c r="G1108" s="6"/>
    </row>
    <row r="1109" spans="1:7" x14ac:dyDescent="0.25">
      <c r="A1109" s="6" t="s">
        <v>11504</v>
      </c>
      <c r="B1109" s="6"/>
      <c r="C1109" s="6"/>
      <c r="D1109" s="6"/>
      <c r="E1109" s="6"/>
      <c r="F1109" s="6"/>
      <c r="G1109" s="6"/>
    </row>
    <row r="1110" spans="1:7" x14ac:dyDescent="0.25">
      <c r="A1110" s="6" t="s">
        <v>11501</v>
      </c>
      <c r="B1110" s="6"/>
      <c r="C1110" s="6"/>
      <c r="D1110" s="6"/>
      <c r="E1110" s="6"/>
      <c r="F1110" s="6"/>
      <c r="G1110" s="6"/>
    </row>
    <row r="1111" spans="1:7" x14ac:dyDescent="0.25">
      <c r="A1111" s="6" t="s">
        <v>11498</v>
      </c>
      <c r="B1111" s="6"/>
      <c r="C1111" s="6"/>
      <c r="D1111" s="6"/>
      <c r="E1111" s="6"/>
      <c r="F1111" s="6"/>
      <c r="G1111" s="6"/>
    </row>
    <row r="1112" spans="1:7" x14ac:dyDescent="0.25">
      <c r="A1112" s="6" t="s">
        <v>11495</v>
      </c>
      <c r="B1112" s="6"/>
      <c r="C1112" s="6"/>
      <c r="D1112" s="6"/>
      <c r="E1112" s="6"/>
      <c r="F1112" s="6"/>
      <c r="G1112" s="6"/>
    </row>
    <row r="1113" spans="1:7" x14ac:dyDescent="0.25">
      <c r="A1113" s="6" t="s">
        <v>11492</v>
      </c>
      <c r="B1113" s="6"/>
      <c r="C1113" s="6"/>
      <c r="D1113" s="6"/>
      <c r="E1113" s="6"/>
      <c r="F1113" s="6"/>
      <c r="G1113" s="6"/>
    </row>
    <row r="1114" spans="1:7" x14ac:dyDescent="0.25">
      <c r="A1114" s="6" t="s">
        <v>11489</v>
      </c>
      <c r="B1114" s="6"/>
      <c r="C1114" s="6"/>
      <c r="D1114" s="6"/>
      <c r="E1114" s="6"/>
      <c r="F1114" s="6"/>
      <c r="G1114" s="6"/>
    </row>
    <row r="1115" spans="1:7" x14ac:dyDescent="0.25">
      <c r="A1115" s="6" t="s">
        <v>11486</v>
      </c>
      <c r="B1115" s="6"/>
      <c r="C1115" s="6"/>
      <c r="D1115" s="6"/>
      <c r="E1115" s="6"/>
      <c r="F1115" s="6"/>
      <c r="G1115" s="6"/>
    </row>
    <row r="1116" spans="1:7" x14ac:dyDescent="0.25">
      <c r="A1116" s="6" t="s">
        <v>11483</v>
      </c>
      <c r="B1116" s="6"/>
      <c r="C1116" s="6"/>
      <c r="D1116" s="6"/>
      <c r="E1116" s="6"/>
      <c r="F1116" s="6"/>
      <c r="G1116" s="6"/>
    </row>
    <row r="1117" spans="1:7" x14ac:dyDescent="0.25">
      <c r="A1117" s="6" t="s">
        <v>11480</v>
      </c>
      <c r="B1117" s="6"/>
      <c r="C1117" s="6"/>
      <c r="D1117" s="6"/>
      <c r="E1117" s="6"/>
      <c r="F1117" s="6"/>
      <c r="G1117" s="6"/>
    </row>
    <row r="1118" spans="1:7" x14ac:dyDescent="0.25">
      <c r="A1118" s="6" t="s">
        <v>11477</v>
      </c>
      <c r="B1118" s="6"/>
      <c r="C1118" s="6"/>
      <c r="D1118" s="6"/>
      <c r="E1118" s="6"/>
      <c r="F1118" s="6"/>
      <c r="G1118" s="6"/>
    </row>
    <row r="1119" spans="1:7" x14ac:dyDescent="0.25">
      <c r="A1119" s="6" t="s">
        <v>957</v>
      </c>
      <c r="B1119" s="6"/>
      <c r="C1119" s="6"/>
      <c r="D1119" s="6"/>
      <c r="E1119" s="6"/>
      <c r="F1119" s="6"/>
      <c r="G1119" s="6"/>
    </row>
    <row r="1120" spans="1:7" x14ac:dyDescent="0.25">
      <c r="A1120" s="6" t="s">
        <v>957</v>
      </c>
      <c r="B1120" s="6"/>
      <c r="C1120" s="6"/>
      <c r="D1120" s="6"/>
      <c r="E1120" s="6"/>
      <c r="F1120" s="6"/>
      <c r="G1120" s="6"/>
    </row>
    <row r="1121" spans="1:7" x14ac:dyDescent="0.25">
      <c r="A1121" s="6" t="s">
        <v>957</v>
      </c>
      <c r="B1121" s="6"/>
      <c r="C1121" s="6"/>
      <c r="D1121" s="6"/>
      <c r="E1121" s="6"/>
      <c r="F1121" s="6"/>
      <c r="G1121" s="6"/>
    </row>
    <row r="1122" spans="1:7" x14ac:dyDescent="0.25">
      <c r="A1122" s="6" t="s">
        <v>11323</v>
      </c>
      <c r="B1122" s="6"/>
      <c r="C1122" s="6"/>
      <c r="D1122" s="6"/>
      <c r="E1122" s="6"/>
      <c r="F1122" s="6"/>
      <c r="G1122" s="6"/>
    </row>
    <row r="1123" spans="1:7" x14ac:dyDescent="0.25">
      <c r="A1123" s="6" t="s">
        <v>11320</v>
      </c>
      <c r="B1123" s="6"/>
      <c r="C1123" s="6"/>
      <c r="D1123" s="6"/>
      <c r="E1123" s="6"/>
      <c r="F1123" s="6"/>
      <c r="G1123" s="6"/>
    </row>
    <row r="1124" spans="1:7" x14ac:dyDescent="0.25">
      <c r="A1124" s="6" t="s">
        <v>11317</v>
      </c>
      <c r="B1124" s="6"/>
      <c r="C1124" s="6"/>
      <c r="D1124" s="6"/>
      <c r="E1124" s="6"/>
      <c r="F1124" s="6"/>
      <c r="G1124" s="6"/>
    </row>
    <row r="1125" spans="1:7" x14ac:dyDescent="0.25">
      <c r="A1125" s="6" t="s">
        <v>957</v>
      </c>
      <c r="B1125" s="6"/>
      <c r="C1125" s="6"/>
      <c r="D1125" s="6"/>
      <c r="E1125" s="6"/>
      <c r="F1125" s="6"/>
      <c r="G1125" s="6"/>
    </row>
    <row r="1126" spans="1:7" x14ac:dyDescent="0.25">
      <c r="A1126" s="6" t="s">
        <v>957</v>
      </c>
      <c r="B1126" s="6"/>
      <c r="C1126" s="6"/>
      <c r="D1126" s="6"/>
      <c r="E1126" s="6"/>
      <c r="F1126" s="6"/>
      <c r="G1126" s="6"/>
    </row>
    <row r="1127" spans="1:7" x14ac:dyDescent="0.25">
      <c r="A1127" s="6" t="s">
        <v>11311</v>
      </c>
      <c r="B1127" s="6"/>
      <c r="C1127" s="6"/>
      <c r="D1127" s="6"/>
      <c r="E1127" s="6"/>
      <c r="F1127" s="6"/>
      <c r="G1127" s="6"/>
    </row>
    <row r="1128" spans="1:7" x14ac:dyDescent="0.25">
      <c r="A1128" s="6" t="s">
        <v>11308</v>
      </c>
      <c r="B1128" s="6"/>
      <c r="C1128" s="6"/>
      <c r="D1128" s="6"/>
      <c r="E1128" s="6"/>
      <c r="F1128" s="6"/>
      <c r="G1128" s="6"/>
    </row>
    <row r="1129" spans="1:7" x14ac:dyDescent="0.25">
      <c r="A1129" s="6" t="s">
        <v>11305</v>
      </c>
      <c r="B1129" s="6"/>
      <c r="C1129" s="6"/>
      <c r="D1129" s="6"/>
      <c r="E1129" s="6"/>
      <c r="F1129" s="6"/>
      <c r="G1129" s="6"/>
    </row>
    <row r="1130" spans="1:7" x14ac:dyDescent="0.25">
      <c r="A1130" s="6" t="s">
        <v>11302</v>
      </c>
      <c r="B1130" s="6"/>
      <c r="C1130" s="6"/>
      <c r="D1130" s="6"/>
      <c r="E1130" s="6"/>
      <c r="F1130" s="6"/>
      <c r="G1130" s="6"/>
    </row>
    <row r="1131" spans="1:7" x14ac:dyDescent="0.25">
      <c r="A1131" s="6" t="s">
        <v>11300</v>
      </c>
      <c r="B1131" s="6"/>
      <c r="C1131" s="6"/>
      <c r="D1131" s="6"/>
      <c r="E1131" s="6"/>
      <c r="F1131" s="6"/>
      <c r="G1131" s="6"/>
    </row>
    <row r="1132" spans="1:7" x14ac:dyDescent="0.25">
      <c r="A1132" s="6" t="s">
        <v>11297</v>
      </c>
      <c r="B1132" s="6"/>
      <c r="C1132" s="6"/>
      <c r="D1132" s="6"/>
      <c r="E1132" s="6"/>
      <c r="F1132" s="6"/>
      <c r="G1132" s="6"/>
    </row>
    <row r="1133" spans="1:7" x14ac:dyDescent="0.25">
      <c r="A1133" s="6" t="s">
        <v>11294</v>
      </c>
      <c r="B1133" s="6"/>
      <c r="C1133" s="6"/>
      <c r="D1133" s="6"/>
      <c r="E1133" s="6"/>
      <c r="F1133" s="6"/>
      <c r="G1133" s="6"/>
    </row>
    <row r="1134" spans="1:7" x14ac:dyDescent="0.25">
      <c r="A1134" s="6" t="s">
        <v>11292</v>
      </c>
      <c r="B1134" s="6"/>
      <c r="C1134" s="6"/>
      <c r="D1134" s="6"/>
      <c r="E1134" s="6"/>
      <c r="F1134" s="6"/>
      <c r="G1134" s="6"/>
    </row>
    <row r="1135" spans="1:7" x14ac:dyDescent="0.25">
      <c r="A1135" s="6" t="s">
        <v>11290</v>
      </c>
      <c r="B1135" s="6"/>
      <c r="C1135" s="6"/>
      <c r="D1135" s="6"/>
      <c r="E1135" s="6"/>
      <c r="F1135" s="6"/>
      <c r="G1135" s="6"/>
    </row>
    <row r="1136" spans="1:7" x14ac:dyDescent="0.25">
      <c r="A1136" s="6" t="s">
        <v>11287</v>
      </c>
      <c r="B1136" s="6"/>
      <c r="C1136" s="6"/>
      <c r="D1136" s="6"/>
      <c r="E1136" s="6"/>
      <c r="F1136" s="6"/>
      <c r="G1136" s="6"/>
    </row>
    <row r="1137" spans="1:7" x14ac:dyDescent="0.25">
      <c r="A1137" s="6" t="s">
        <v>957</v>
      </c>
      <c r="B1137" s="6"/>
      <c r="C1137" s="6"/>
      <c r="D1137" s="6"/>
      <c r="E1137" s="6"/>
      <c r="F1137" s="6"/>
      <c r="G1137" s="6"/>
    </row>
    <row r="1138" spans="1:7" x14ac:dyDescent="0.25">
      <c r="A1138" s="6" t="s">
        <v>11283</v>
      </c>
      <c r="B1138" s="6"/>
      <c r="C1138" s="6"/>
      <c r="D1138" s="6"/>
      <c r="E1138" s="6"/>
      <c r="F1138" s="6"/>
      <c r="G1138" s="6"/>
    </row>
    <row r="1139" spans="1:7" x14ac:dyDescent="0.25">
      <c r="A1139" s="6" t="s">
        <v>11280</v>
      </c>
      <c r="B1139" s="6"/>
      <c r="C1139" s="6"/>
      <c r="D1139" s="6"/>
      <c r="E1139" s="6"/>
      <c r="F1139" s="6"/>
      <c r="G1139" s="6"/>
    </row>
    <row r="1140" spans="1:7" x14ac:dyDescent="0.25">
      <c r="A1140" s="6" t="s">
        <v>11277</v>
      </c>
      <c r="B1140" s="6"/>
      <c r="C1140" s="6"/>
      <c r="D1140" s="6"/>
      <c r="E1140" s="6"/>
      <c r="F1140" s="6"/>
      <c r="G1140" s="6"/>
    </row>
    <row r="1141" spans="1:7" x14ac:dyDescent="0.25">
      <c r="A1141" s="6" t="s">
        <v>957</v>
      </c>
      <c r="B1141" s="6"/>
      <c r="C1141" s="6"/>
      <c r="D1141" s="6"/>
      <c r="E1141" s="6"/>
      <c r="F1141" s="6"/>
      <c r="G1141" s="6"/>
    </row>
    <row r="1142" spans="1:7" x14ac:dyDescent="0.25">
      <c r="A1142" s="6" t="s">
        <v>957</v>
      </c>
      <c r="B1142" s="6"/>
      <c r="C1142" s="6"/>
      <c r="D1142" s="6"/>
      <c r="E1142" s="6"/>
      <c r="F1142" s="6"/>
      <c r="G1142" s="6"/>
    </row>
    <row r="1143" spans="1:7" x14ac:dyDescent="0.25">
      <c r="A1143" s="6" t="s">
        <v>11271</v>
      </c>
      <c r="B1143" s="6"/>
      <c r="C1143" s="6"/>
      <c r="D1143" s="6"/>
      <c r="E1143" s="6"/>
      <c r="F1143" s="6"/>
      <c r="G1143" s="6"/>
    </row>
    <row r="1144" spans="1:7" x14ac:dyDescent="0.25">
      <c r="A1144" s="6" t="s">
        <v>11268</v>
      </c>
      <c r="B1144" s="6"/>
      <c r="C1144" s="6"/>
      <c r="D1144" s="6"/>
      <c r="E1144" s="6"/>
      <c r="F1144" s="6"/>
      <c r="G1144" s="6"/>
    </row>
    <row r="1145" spans="1:7" x14ac:dyDescent="0.25">
      <c r="A1145" s="6" t="s">
        <v>957</v>
      </c>
      <c r="B1145" s="6"/>
      <c r="C1145" s="6"/>
      <c r="D1145" s="6"/>
      <c r="E1145" s="6"/>
      <c r="F1145" s="6"/>
      <c r="G1145" s="6"/>
    </row>
    <row r="1146" spans="1:7" x14ac:dyDescent="0.25">
      <c r="A1146" s="6" t="s">
        <v>11264</v>
      </c>
      <c r="B1146" s="6"/>
      <c r="C1146" s="6"/>
      <c r="D1146" s="6"/>
      <c r="E1146" s="6"/>
      <c r="F1146" s="6"/>
      <c r="G1146" s="6"/>
    </row>
    <row r="1147" spans="1:7" x14ac:dyDescent="0.25">
      <c r="A1147" s="6" t="s">
        <v>11261</v>
      </c>
      <c r="B1147" s="6"/>
      <c r="C1147" s="6"/>
      <c r="D1147" s="6"/>
      <c r="E1147" s="6"/>
      <c r="F1147" s="6"/>
      <c r="G1147" s="6"/>
    </row>
    <row r="1148" spans="1:7" x14ac:dyDescent="0.25">
      <c r="A1148" s="6" t="s">
        <v>11258</v>
      </c>
      <c r="B1148" s="6"/>
      <c r="C1148" s="6"/>
      <c r="D1148" s="6"/>
      <c r="E1148" s="6"/>
      <c r="F1148" s="6"/>
      <c r="G1148" s="6"/>
    </row>
    <row r="1149" spans="1:7" x14ac:dyDescent="0.25">
      <c r="A1149" s="6" t="s">
        <v>11255</v>
      </c>
      <c r="B1149" s="6"/>
      <c r="C1149" s="6"/>
      <c r="D1149" s="6"/>
      <c r="E1149" s="6"/>
      <c r="F1149" s="6"/>
      <c r="G1149" s="6"/>
    </row>
    <row r="1150" spans="1:7" x14ac:dyDescent="0.25">
      <c r="A1150" s="6" t="s">
        <v>11252</v>
      </c>
      <c r="B1150" s="6"/>
      <c r="C1150" s="6"/>
      <c r="D1150" s="6"/>
      <c r="E1150" s="6"/>
      <c r="F1150" s="6"/>
      <c r="G1150" s="6"/>
    </row>
    <row r="1151" spans="1:7" x14ac:dyDescent="0.25">
      <c r="A1151" s="6" t="s">
        <v>11249</v>
      </c>
      <c r="B1151" s="6"/>
      <c r="C1151" s="6"/>
      <c r="D1151" s="6"/>
      <c r="E1151" s="6"/>
      <c r="F1151" s="6"/>
      <c r="G1151" s="6"/>
    </row>
    <row r="1152" spans="1:7" x14ac:dyDescent="0.25">
      <c r="A1152" s="6" t="s">
        <v>11246</v>
      </c>
      <c r="B1152" s="6"/>
      <c r="C1152" s="6"/>
      <c r="D1152" s="6"/>
      <c r="E1152" s="6"/>
      <c r="F1152" s="6"/>
      <c r="G1152" s="6"/>
    </row>
    <row r="1153" spans="1:7" x14ac:dyDescent="0.25">
      <c r="A1153" s="6" t="s">
        <v>11243</v>
      </c>
      <c r="B1153" s="6"/>
      <c r="C1153" s="6"/>
      <c r="D1153" s="6"/>
      <c r="E1153" s="6"/>
      <c r="F1153" s="6"/>
      <c r="G1153" s="6"/>
    </row>
    <row r="1154" spans="1:7" x14ac:dyDescent="0.25">
      <c r="A1154" s="6" t="s">
        <v>11240</v>
      </c>
      <c r="B1154" s="6"/>
      <c r="C1154" s="6"/>
      <c r="D1154" s="6"/>
      <c r="E1154" s="6"/>
      <c r="F1154" s="6"/>
      <c r="G1154" s="6"/>
    </row>
    <row r="1155" spans="1:7" x14ac:dyDescent="0.25">
      <c r="A1155" s="6" t="s">
        <v>11237</v>
      </c>
      <c r="B1155" s="6"/>
      <c r="C1155" s="6"/>
      <c r="D1155" s="6"/>
      <c r="E1155" s="6"/>
      <c r="F1155" s="6"/>
      <c r="G1155" s="6"/>
    </row>
    <row r="1156" spans="1:7" x14ac:dyDescent="0.25">
      <c r="A1156" s="6" t="s">
        <v>11234</v>
      </c>
      <c r="B1156" s="6"/>
      <c r="C1156" s="6"/>
      <c r="D1156" s="6"/>
      <c r="E1156" s="6"/>
      <c r="F1156" s="6"/>
      <c r="G1156" s="6"/>
    </row>
    <row r="1157" spans="1:7" x14ac:dyDescent="0.25">
      <c r="A1157" s="6" t="s">
        <v>11231</v>
      </c>
      <c r="B1157" s="6"/>
      <c r="C1157" s="6"/>
      <c r="D1157" s="6"/>
      <c r="E1157" s="6"/>
      <c r="F1157" s="6"/>
      <c r="G1157" s="6"/>
    </row>
    <row r="1158" spans="1:7" x14ac:dyDescent="0.25">
      <c r="A1158" s="6" t="s">
        <v>11228</v>
      </c>
      <c r="B1158" s="6"/>
      <c r="C1158" s="6"/>
      <c r="D1158" s="6"/>
      <c r="E1158" s="6"/>
      <c r="F1158" s="6"/>
      <c r="G1158" s="6"/>
    </row>
    <row r="1159" spans="1:7" x14ac:dyDescent="0.25">
      <c r="A1159" s="6" t="s">
        <v>11225</v>
      </c>
      <c r="B1159" s="6"/>
      <c r="C1159" s="6"/>
      <c r="D1159" s="6"/>
      <c r="E1159" s="6"/>
      <c r="F1159" s="6"/>
      <c r="G1159" s="6"/>
    </row>
    <row r="1160" spans="1:7" x14ac:dyDescent="0.25">
      <c r="A1160" s="6" t="s">
        <v>957</v>
      </c>
      <c r="B1160" s="6"/>
      <c r="C1160" s="6"/>
      <c r="D1160" s="6"/>
      <c r="E1160" s="6"/>
      <c r="F1160" s="6"/>
      <c r="G1160" s="6"/>
    </row>
    <row r="1161" spans="1:7" x14ac:dyDescent="0.25">
      <c r="A1161" s="6" t="s">
        <v>957</v>
      </c>
      <c r="B1161" s="6"/>
      <c r="C1161" s="6"/>
      <c r="D1161" s="6"/>
      <c r="E1161" s="6"/>
      <c r="F1161" s="6"/>
      <c r="G1161" s="6"/>
    </row>
    <row r="1162" spans="1:7" x14ac:dyDescent="0.25">
      <c r="A1162" s="6" t="s">
        <v>11220</v>
      </c>
      <c r="B1162" s="6"/>
      <c r="C1162" s="6"/>
      <c r="D1162" s="6"/>
      <c r="E1162" s="6"/>
      <c r="F1162" s="6"/>
      <c r="G1162" s="6"/>
    </row>
    <row r="1163" spans="1:7" x14ac:dyDescent="0.25">
      <c r="A1163" s="6" t="s">
        <v>11218</v>
      </c>
      <c r="B1163" s="6"/>
      <c r="C1163" s="6"/>
      <c r="D1163" s="6"/>
      <c r="E1163" s="6"/>
      <c r="F1163" s="6"/>
      <c r="G1163" s="6"/>
    </row>
    <row r="1164" spans="1:7" x14ac:dyDescent="0.25">
      <c r="A1164" s="6" t="s">
        <v>11215</v>
      </c>
      <c r="B1164" s="6"/>
      <c r="C1164" s="6"/>
      <c r="D1164" s="6"/>
      <c r="E1164" s="6"/>
      <c r="F1164" s="6"/>
      <c r="G1164" s="6"/>
    </row>
    <row r="1165" spans="1:7" x14ac:dyDescent="0.25">
      <c r="A1165" s="6" t="s">
        <v>11212</v>
      </c>
      <c r="B1165" s="6"/>
      <c r="C1165" s="6"/>
      <c r="D1165" s="6"/>
      <c r="E1165" s="6"/>
      <c r="F1165" s="6"/>
      <c r="G1165" s="6"/>
    </row>
    <row r="1166" spans="1:7" x14ac:dyDescent="0.25">
      <c r="A1166" s="6" t="s">
        <v>11209</v>
      </c>
      <c r="B1166" s="6"/>
      <c r="C1166" s="6"/>
      <c r="D1166" s="6"/>
      <c r="E1166" s="6"/>
      <c r="F1166" s="6"/>
      <c r="G1166" s="6"/>
    </row>
    <row r="1167" spans="1:7" x14ac:dyDescent="0.25">
      <c r="A1167" s="6" t="s">
        <v>11206</v>
      </c>
      <c r="B1167" s="6"/>
      <c r="C1167" s="6"/>
      <c r="D1167" s="6"/>
      <c r="E1167" s="6"/>
      <c r="F1167" s="6"/>
      <c r="G1167" s="6"/>
    </row>
    <row r="1168" spans="1:7" x14ac:dyDescent="0.25">
      <c r="A1168" s="6" t="s">
        <v>957</v>
      </c>
      <c r="B1168" s="6"/>
      <c r="C1168" s="6"/>
      <c r="D1168" s="6"/>
      <c r="E1168" s="6"/>
      <c r="F1168" s="6"/>
      <c r="G1168" s="6"/>
    </row>
    <row r="1169" spans="1:7" x14ac:dyDescent="0.25">
      <c r="A1169" s="6" t="s">
        <v>11202</v>
      </c>
      <c r="B1169" s="6"/>
      <c r="C1169" s="6"/>
      <c r="D1169" s="6"/>
      <c r="E1169" s="6"/>
      <c r="F1169" s="6"/>
      <c r="G1169" s="6"/>
    </row>
    <row r="1170" spans="1:7" x14ac:dyDescent="0.25">
      <c r="A1170" s="6" t="s">
        <v>11199</v>
      </c>
      <c r="B1170" s="6"/>
      <c r="C1170" s="6"/>
      <c r="D1170" s="6"/>
      <c r="E1170" s="6"/>
      <c r="F1170" s="6"/>
      <c r="G1170" s="6"/>
    </row>
    <row r="1171" spans="1:7" x14ac:dyDescent="0.25">
      <c r="A1171" s="6" t="s">
        <v>957</v>
      </c>
      <c r="B1171" s="6"/>
      <c r="C1171" s="6"/>
      <c r="D1171" s="6"/>
      <c r="E1171" s="6"/>
      <c r="F1171" s="6"/>
      <c r="G1171" s="6"/>
    </row>
    <row r="1172" spans="1:7" x14ac:dyDescent="0.25">
      <c r="A1172" s="6" t="s">
        <v>11128</v>
      </c>
      <c r="B1172" s="6"/>
      <c r="C1172" s="6"/>
      <c r="D1172" s="6"/>
      <c r="E1172" s="6"/>
      <c r="F1172" s="6"/>
      <c r="G1172" s="6"/>
    </row>
    <row r="1173" spans="1:7" x14ac:dyDescent="0.25">
      <c r="A1173" s="6" t="s">
        <v>11125</v>
      </c>
      <c r="B1173" s="6"/>
      <c r="C1173" s="6"/>
      <c r="D1173" s="6"/>
      <c r="E1173" s="6"/>
      <c r="F1173" s="6"/>
      <c r="G1173" s="6"/>
    </row>
    <row r="1174" spans="1:7" x14ac:dyDescent="0.25">
      <c r="A1174" s="6" t="s">
        <v>957</v>
      </c>
      <c r="B1174" s="6"/>
      <c r="C1174" s="6"/>
      <c r="D1174" s="6"/>
      <c r="E1174" s="6"/>
      <c r="F1174" s="6"/>
      <c r="G1174" s="6"/>
    </row>
    <row r="1175" spans="1:7" x14ac:dyDescent="0.25">
      <c r="A1175" s="6" t="s">
        <v>11121</v>
      </c>
      <c r="B1175" s="6"/>
      <c r="C1175" s="6"/>
      <c r="D1175" s="6"/>
      <c r="E1175" s="6"/>
      <c r="F1175" s="6"/>
      <c r="G1175" s="6"/>
    </row>
    <row r="1176" spans="1:7" x14ac:dyDescent="0.25">
      <c r="A1176" s="6" t="s">
        <v>11119</v>
      </c>
      <c r="B1176" s="6"/>
      <c r="C1176" s="6"/>
      <c r="D1176" s="6"/>
      <c r="E1176" s="6"/>
      <c r="F1176" s="6"/>
      <c r="G1176" s="6"/>
    </row>
    <row r="1177" spans="1:7" x14ac:dyDescent="0.25">
      <c r="A1177" s="6" t="s">
        <v>11116</v>
      </c>
      <c r="B1177" s="6"/>
      <c r="C1177" s="6"/>
      <c r="D1177" s="6"/>
      <c r="E1177" s="6"/>
      <c r="F1177" s="6"/>
      <c r="G1177" s="6"/>
    </row>
    <row r="1178" spans="1:7" x14ac:dyDescent="0.25">
      <c r="A1178" s="6" t="s">
        <v>11113</v>
      </c>
      <c r="B1178" s="6"/>
      <c r="C1178" s="6"/>
      <c r="D1178" s="6"/>
      <c r="E1178" s="6"/>
      <c r="F1178" s="6"/>
      <c r="G1178" s="6"/>
    </row>
    <row r="1179" spans="1:7" x14ac:dyDescent="0.25">
      <c r="A1179" s="6" t="s">
        <v>11111</v>
      </c>
      <c r="B1179" s="6"/>
      <c r="C1179" s="6"/>
      <c r="D1179" s="6"/>
      <c r="E1179" s="6"/>
      <c r="F1179" s="6"/>
      <c r="G1179" s="6"/>
    </row>
    <row r="1180" spans="1:7" x14ac:dyDescent="0.25">
      <c r="A1180" s="6" t="s">
        <v>11108</v>
      </c>
      <c r="B1180" s="6"/>
      <c r="C1180" s="6"/>
      <c r="D1180" s="6"/>
      <c r="E1180" s="6"/>
      <c r="F1180" s="6"/>
      <c r="G1180" s="6"/>
    </row>
    <row r="1181" spans="1:7" x14ac:dyDescent="0.25">
      <c r="A1181" s="6" t="s">
        <v>11106</v>
      </c>
      <c r="B1181" s="6"/>
      <c r="C1181" s="6"/>
      <c r="D1181" s="6"/>
      <c r="E1181" s="6"/>
      <c r="F1181" s="6"/>
      <c r="G1181" s="6"/>
    </row>
    <row r="1182" spans="1:7" x14ac:dyDescent="0.25">
      <c r="A1182" s="6" t="s">
        <v>11103</v>
      </c>
      <c r="B1182" s="6"/>
      <c r="C1182" s="6"/>
      <c r="D1182" s="6"/>
      <c r="E1182" s="6"/>
      <c r="F1182" s="6"/>
      <c r="G1182" s="6"/>
    </row>
    <row r="1183" spans="1:7" x14ac:dyDescent="0.25">
      <c r="A1183" s="6" t="s">
        <v>957</v>
      </c>
      <c r="B1183" s="6"/>
      <c r="C1183" s="6"/>
      <c r="D1183" s="6"/>
      <c r="E1183" s="6"/>
      <c r="F1183" s="6"/>
      <c r="G1183" s="6"/>
    </row>
    <row r="1184" spans="1:7" x14ac:dyDescent="0.25">
      <c r="A1184" s="6" t="s">
        <v>11099</v>
      </c>
      <c r="B1184" s="6"/>
      <c r="C1184" s="6"/>
      <c r="D1184" s="6"/>
      <c r="E1184" s="6"/>
      <c r="F1184" s="6"/>
      <c r="G1184" s="6"/>
    </row>
    <row r="1185" spans="1:7" x14ac:dyDescent="0.25">
      <c r="A1185" s="6" t="s">
        <v>11096</v>
      </c>
      <c r="B1185" s="6"/>
      <c r="C1185" s="6"/>
      <c r="D1185" s="6"/>
      <c r="E1185" s="6"/>
      <c r="F1185" s="6"/>
      <c r="G1185" s="6"/>
    </row>
    <row r="1186" spans="1:7" x14ac:dyDescent="0.25">
      <c r="A1186" s="6" t="s">
        <v>11094</v>
      </c>
      <c r="B1186" s="6"/>
      <c r="C1186" s="6"/>
      <c r="D1186" s="6"/>
      <c r="E1186" s="6"/>
      <c r="F1186" s="6"/>
      <c r="G1186" s="6"/>
    </row>
    <row r="1187" spans="1:7" x14ac:dyDescent="0.25">
      <c r="A1187" s="6" t="s">
        <v>11091</v>
      </c>
      <c r="B1187" s="6"/>
      <c r="C1187" s="6"/>
      <c r="D1187" s="6"/>
      <c r="E1187" s="6"/>
      <c r="F1187" s="6"/>
      <c r="G1187" s="6"/>
    </row>
    <row r="1188" spans="1:7" x14ac:dyDescent="0.25">
      <c r="A1188" s="6" t="s">
        <v>957</v>
      </c>
      <c r="B1188" s="6"/>
      <c r="C1188" s="6"/>
      <c r="D1188" s="6"/>
      <c r="E1188" s="6"/>
      <c r="F1188" s="6"/>
      <c r="G1188" s="6"/>
    </row>
    <row r="1189" spans="1:7" x14ac:dyDescent="0.25">
      <c r="A1189" s="6" t="s">
        <v>957</v>
      </c>
      <c r="B1189" s="6"/>
      <c r="C1189" s="6"/>
      <c r="D1189" s="6"/>
      <c r="E1189" s="6"/>
      <c r="F1189" s="6"/>
      <c r="G1189" s="6"/>
    </row>
    <row r="1190" spans="1:7" x14ac:dyDescent="0.25">
      <c r="A1190" s="6" t="s">
        <v>11086</v>
      </c>
      <c r="B1190" s="6"/>
      <c r="C1190" s="6"/>
      <c r="D1190" s="6"/>
      <c r="E1190" s="6"/>
      <c r="F1190" s="6"/>
      <c r="G1190" s="6"/>
    </row>
    <row r="1191" spans="1:7" x14ac:dyDescent="0.25">
      <c r="A1191" s="6" t="s">
        <v>11083</v>
      </c>
      <c r="B1191" s="6"/>
      <c r="C1191" s="6"/>
      <c r="D1191" s="6"/>
      <c r="E1191" s="6"/>
      <c r="F1191" s="6"/>
      <c r="G1191" s="6"/>
    </row>
    <row r="1192" spans="1:7" x14ac:dyDescent="0.25">
      <c r="A1192" s="6" t="s">
        <v>957</v>
      </c>
      <c r="B1192" s="6"/>
      <c r="C1192" s="6"/>
      <c r="D1192" s="6"/>
      <c r="E1192" s="6"/>
      <c r="F1192" s="6"/>
      <c r="G1192" s="6"/>
    </row>
    <row r="1193" spans="1:7" x14ac:dyDescent="0.25">
      <c r="A1193" s="6" t="s">
        <v>11080</v>
      </c>
      <c r="B1193" s="6"/>
      <c r="C1193" s="6"/>
      <c r="D1193" s="6"/>
      <c r="E1193" s="6"/>
      <c r="F1193" s="6"/>
      <c r="G1193" s="6"/>
    </row>
    <row r="1194" spans="1:7" x14ac:dyDescent="0.25">
      <c r="A1194" s="6" t="s">
        <v>957</v>
      </c>
      <c r="B1194" s="6"/>
      <c r="C1194" s="6"/>
      <c r="D1194" s="6"/>
      <c r="E1194" s="6"/>
      <c r="F1194" s="6"/>
      <c r="G1194" s="6"/>
    </row>
    <row r="1195" spans="1:7" x14ac:dyDescent="0.25">
      <c r="A1195" s="6" t="s">
        <v>957</v>
      </c>
      <c r="B1195" s="6"/>
      <c r="C1195" s="6"/>
      <c r="D1195" s="6"/>
      <c r="E1195" s="6"/>
      <c r="F1195" s="6"/>
      <c r="G1195" s="6"/>
    </row>
    <row r="1196" spans="1:7" x14ac:dyDescent="0.25">
      <c r="A1196" s="6" t="s">
        <v>957</v>
      </c>
      <c r="B1196" s="6"/>
      <c r="C1196" s="6"/>
      <c r="D1196" s="6"/>
      <c r="E1196" s="6"/>
      <c r="F1196" s="6"/>
      <c r="G1196" s="6"/>
    </row>
    <row r="1197" spans="1:7" x14ac:dyDescent="0.25">
      <c r="A1197" s="6" t="s">
        <v>14163</v>
      </c>
      <c r="B1197" s="6" t="s">
        <v>14164</v>
      </c>
      <c r="C1197" s="6"/>
      <c r="D1197" s="6"/>
      <c r="E1197" s="6"/>
      <c r="F1197" s="6"/>
      <c r="G1197" s="6"/>
    </row>
    <row r="1198" spans="1:7" x14ac:dyDescent="0.25">
      <c r="A1198" s="6" t="s">
        <v>11071</v>
      </c>
      <c r="B1198" s="6"/>
      <c r="C1198" s="6"/>
      <c r="D1198" s="6"/>
      <c r="E1198" s="6"/>
      <c r="F1198" s="6"/>
      <c r="G1198" s="6"/>
    </row>
    <row r="1199" spans="1:7" x14ac:dyDescent="0.25">
      <c r="A1199" s="6" t="s">
        <v>11068</v>
      </c>
      <c r="B1199" s="6"/>
      <c r="C1199" s="6"/>
      <c r="D1199" s="6"/>
      <c r="E1199" s="6"/>
      <c r="F1199" s="6"/>
      <c r="G1199" s="6"/>
    </row>
    <row r="1200" spans="1:7" x14ac:dyDescent="0.25">
      <c r="A1200" s="6" t="s">
        <v>11065</v>
      </c>
      <c r="B1200" s="6"/>
      <c r="C1200" s="6"/>
      <c r="D1200" s="6"/>
      <c r="E1200" s="6"/>
      <c r="F1200" s="6"/>
      <c r="G1200" s="6"/>
    </row>
    <row r="1201" spans="1:7" x14ac:dyDescent="0.25">
      <c r="A1201" s="6" t="s">
        <v>957</v>
      </c>
      <c r="B1201" s="6"/>
      <c r="C1201" s="6"/>
      <c r="D1201" s="6"/>
      <c r="E1201" s="6"/>
      <c r="F1201" s="6"/>
      <c r="G1201" s="6"/>
    </row>
    <row r="1202" spans="1:7" x14ac:dyDescent="0.25">
      <c r="A1202" s="6" t="s">
        <v>11060</v>
      </c>
      <c r="B1202" s="6"/>
      <c r="C1202" s="6"/>
      <c r="D1202" s="6"/>
      <c r="E1202" s="6"/>
      <c r="F1202" s="6"/>
      <c r="G1202" s="6"/>
    </row>
    <row r="1203" spans="1:7" x14ac:dyDescent="0.25">
      <c r="A1203" s="6" t="s">
        <v>11057</v>
      </c>
      <c r="B1203" s="6"/>
      <c r="C1203" s="6"/>
      <c r="D1203" s="6"/>
      <c r="E1203" s="6"/>
      <c r="F1203" s="6"/>
      <c r="G1203" s="6"/>
    </row>
    <row r="1204" spans="1:7" x14ac:dyDescent="0.25">
      <c r="A1204" s="6" t="s">
        <v>11054</v>
      </c>
      <c r="B1204" s="6"/>
      <c r="C1204" s="6"/>
      <c r="D1204" s="6"/>
      <c r="E1204" s="6"/>
      <c r="F1204" s="6"/>
      <c r="G1204" s="6"/>
    </row>
    <row r="1205" spans="1:7" x14ac:dyDescent="0.25">
      <c r="A1205" s="6" t="s">
        <v>957</v>
      </c>
      <c r="B1205" s="6"/>
      <c r="C1205" s="6"/>
      <c r="D1205" s="6"/>
      <c r="E1205" s="6"/>
      <c r="F1205" s="6"/>
      <c r="G1205" s="6"/>
    </row>
    <row r="1206" spans="1:7" x14ac:dyDescent="0.25">
      <c r="A1206" s="6" t="s">
        <v>11050</v>
      </c>
      <c r="B1206" s="6"/>
      <c r="C1206" s="6"/>
      <c r="D1206" s="6"/>
      <c r="E1206" s="6"/>
      <c r="F1206" s="6"/>
      <c r="G1206" s="6"/>
    </row>
    <row r="1207" spans="1:7" x14ac:dyDescent="0.25">
      <c r="A1207" s="6" t="s">
        <v>9953</v>
      </c>
      <c r="B1207" s="6"/>
      <c r="C1207" s="6"/>
      <c r="D1207" s="6"/>
      <c r="E1207" s="6"/>
      <c r="F1207" s="6"/>
      <c r="G1207" s="6"/>
    </row>
    <row r="1208" spans="1:7" x14ac:dyDescent="0.25">
      <c r="A1208" s="6" t="s">
        <v>9950</v>
      </c>
      <c r="B1208" s="6"/>
      <c r="C1208" s="6"/>
      <c r="D1208" s="6"/>
      <c r="E1208" s="6"/>
      <c r="F1208" s="6"/>
      <c r="G1208" s="6"/>
    </row>
    <row r="1209" spans="1:7" x14ac:dyDescent="0.25">
      <c r="A1209" s="6" t="s">
        <v>957</v>
      </c>
      <c r="B1209" s="6"/>
      <c r="C1209" s="6"/>
      <c r="D1209" s="6"/>
      <c r="E1209" s="6"/>
      <c r="F1209" s="6"/>
      <c r="G1209" s="6"/>
    </row>
    <row r="1210" spans="1:7" x14ac:dyDescent="0.25">
      <c r="A1210" s="6" t="s">
        <v>9947</v>
      </c>
      <c r="B1210" s="6"/>
      <c r="C1210" s="6"/>
      <c r="D1210" s="6"/>
      <c r="E1210" s="6"/>
      <c r="F1210" s="6"/>
      <c r="G1210" s="6"/>
    </row>
    <row r="1211" spans="1:7" x14ac:dyDescent="0.25">
      <c r="A1211" s="6" t="s">
        <v>9944</v>
      </c>
      <c r="B1211" s="6"/>
      <c r="C1211" s="6"/>
      <c r="D1211" s="6"/>
      <c r="E1211" s="6"/>
      <c r="F1211" s="6"/>
      <c r="G1211" s="6"/>
    </row>
    <row r="1212" spans="1:7" x14ac:dyDescent="0.25">
      <c r="A1212" s="6" t="s">
        <v>9941</v>
      </c>
      <c r="B1212" s="6"/>
      <c r="C1212" s="6"/>
      <c r="D1212" s="6"/>
      <c r="E1212" s="6"/>
      <c r="F1212" s="6"/>
      <c r="G1212" s="6"/>
    </row>
    <row r="1213" spans="1:7" x14ac:dyDescent="0.25">
      <c r="A1213" s="6" t="s">
        <v>9938</v>
      </c>
      <c r="B1213" s="6"/>
      <c r="C1213" s="6"/>
      <c r="D1213" s="6"/>
      <c r="E1213" s="6"/>
      <c r="F1213" s="6"/>
      <c r="G1213" s="6"/>
    </row>
    <row r="1214" spans="1:7" x14ac:dyDescent="0.25">
      <c r="A1214" s="6" t="s">
        <v>9935</v>
      </c>
      <c r="B1214" s="6"/>
      <c r="C1214" s="6"/>
      <c r="D1214" s="6"/>
      <c r="E1214" s="6"/>
      <c r="F1214" s="6"/>
      <c r="G1214" s="6"/>
    </row>
    <row r="1215" spans="1:7" x14ac:dyDescent="0.25">
      <c r="A1215" s="6" t="s">
        <v>9932</v>
      </c>
      <c r="B1215" s="6"/>
      <c r="C1215" s="6"/>
      <c r="D1215" s="6"/>
      <c r="E1215" s="6"/>
      <c r="F1215" s="6"/>
      <c r="G1215" s="6"/>
    </row>
    <row r="1216" spans="1:7" x14ac:dyDescent="0.25">
      <c r="A1216" s="6" t="s">
        <v>9929</v>
      </c>
      <c r="B1216" s="6"/>
      <c r="C1216" s="6"/>
      <c r="D1216" s="6"/>
      <c r="E1216" s="6"/>
      <c r="F1216" s="6"/>
      <c r="G1216" s="6"/>
    </row>
    <row r="1217" spans="1:7" x14ac:dyDescent="0.25">
      <c r="A1217" s="6" t="s">
        <v>9926</v>
      </c>
      <c r="B1217" s="6"/>
      <c r="C1217" s="6"/>
      <c r="D1217" s="6"/>
      <c r="E1217" s="6"/>
      <c r="F1217" s="6"/>
      <c r="G1217" s="6"/>
    </row>
    <row r="1218" spans="1:7" x14ac:dyDescent="0.25">
      <c r="A1218" s="6" t="s">
        <v>957</v>
      </c>
      <c r="B1218" s="6"/>
      <c r="C1218" s="6"/>
      <c r="D1218" s="6"/>
      <c r="E1218" s="6"/>
      <c r="F1218" s="6"/>
      <c r="G1218" s="6"/>
    </row>
    <row r="1219" spans="1:7" x14ac:dyDescent="0.25">
      <c r="A1219" s="6" t="s">
        <v>957</v>
      </c>
      <c r="B1219" s="6"/>
      <c r="C1219" s="6"/>
      <c r="D1219" s="6"/>
      <c r="E1219" s="6"/>
      <c r="F1219" s="6"/>
      <c r="G1219" s="6"/>
    </row>
    <row r="1220" spans="1:7" x14ac:dyDescent="0.25">
      <c r="A1220" s="6" t="s">
        <v>9921</v>
      </c>
      <c r="B1220" s="6"/>
      <c r="C1220" s="6"/>
      <c r="D1220" s="6"/>
      <c r="E1220" s="6"/>
      <c r="F1220" s="6"/>
      <c r="G1220" s="6"/>
    </row>
    <row r="1221" spans="1:7" x14ac:dyDescent="0.25">
      <c r="A1221" s="6" t="s">
        <v>11017</v>
      </c>
      <c r="B1221" s="6"/>
      <c r="C1221" s="6"/>
      <c r="D1221" s="6"/>
      <c r="E1221" s="6"/>
      <c r="F1221" s="6"/>
      <c r="G1221" s="6"/>
    </row>
    <row r="1222" spans="1:7" x14ac:dyDescent="0.25">
      <c r="A1222" s="6" t="s">
        <v>957</v>
      </c>
      <c r="B1222" s="6"/>
      <c r="C1222" s="6"/>
      <c r="D1222" s="6"/>
      <c r="E1222" s="6"/>
      <c r="F1222" s="6"/>
      <c r="G1222" s="6"/>
    </row>
    <row r="1223" spans="1:7" x14ac:dyDescent="0.25">
      <c r="A1223" s="6" t="s">
        <v>11013</v>
      </c>
      <c r="B1223" s="6"/>
      <c r="C1223" s="6"/>
      <c r="D1223" s="6"/>
      <c r="E1223" s="6"/>
      <c r="F1223" s="6"/>
      <c r="G1223" s="6"/>
    </row>
    <row r="1224" spans="1:7" x14ac:dyDescent="0.25">
      <c r="A1224" s="6" t="s">
        <v>11010</v>
      </c>
      <c r="B1224" s="6"/>
      <c r="C1224" s="6"/>
      <c r="D1224" s="6"/>
      <c r="E1224" s="6"/>
      <c r="F1224" s="6"/>
      <c r="G1224" s="6"/>
    </row>
    <row r="1225" spans="1:7" x14ac:dyDescent="0.25">
      <c r="A1225" s="6" t="s">
        <v>11007</v>
      </c>
      <c r="B1225" s="6"/>
      <c r="C1225" s="6"/>
      <c r="D1225" s="6"/>
      <c r="E1225" s="6"/>
      <c r="F1225" s="6"/>
      <c r="G1225" s="6"/>
    </row>
    <row r="1226" spans="1:7" x14ac:dyDescent="0.25">
      <c r="A1226" s="6" t="s">
        <v>957</v>
      </c>
      <c r="B1226" s="6"/>
      <c r="C1226" s="6"/>
      <c r="D1226" s="6"/>
      <c r="E1226" s="6"/>
      <c r="F1226" s="6"/>
      <c r="G1226" s="6"/>
    </row>
    <row r="1227" spans="1:7" x14ac:dyDescent="0.25">
      <c r="A1227" s="6" t="s">
        <v>11003</v>
      </c>
      <c r="B1227" s="6"/>
      <c r="C1227" s="6"/>
      <c r="D1227" s="6"/>
      <c r="E1227" s="6"/>
      <c r="F1227" s="6"/>
      <c r="G1227" s="6"/>
    </row>
    <row r="1228" spans="1:7" x14ac:dyDescent="0.25">
      <c r="A1228" s="6" t="s">
        <v>11000</v>
      </c>
      <c r="B1228" s="6"/>
      <c r="C1228" s="6"/>
      <c r="D1228" s="6"/>
      <c r="E1228" s="6"/>
      <c r="F1228" s="6"/>
      <c r="G1228" s="6"/>
    </row>
    <row r="1229" spans="1:7" x14ac:dyDescent="0.25">
      <c r="A1229" s="6" t="s">
        <v>10997</v>
      </c>
      <c r="B1229" s="6"/>
      <c r="C1229" s="6"/>
      <c r="D1229" s="6"/>
      <c r="E1229" s="6"/>
      <c r="F1229" s="6"/>
      <c r="G1229" s="6"/>
    </row>
    <row r="1230" spans="1:7" x14ac:dyDescent="0.25">
      <c r="A1230" s="6" t="s">
        <v>10995</v>
      </c>
      <c r="B1230" s="6"/>
      <c r="C1230" s="6"/>
      <c r="D1230" s="6"/>
      <c r="E1230" s="6"/>
      <c r="F1230" s="6"/>
      <c r="G1230" s="6"/>
    </row>
    <row r="1231" spans="1:7" x14ac:dyDescent="0.25">
      <c r="A1231" s="6" t="s">
        <v>957</v>
      </c>
      <c r="B1231" s="6"/>
      <c r="C1231" s="6"/>
      <c r="D1231" s="6"/>
      <c r="E1231" s="6"/>
      <c r="F1231" s="6"/>
      <c r="G1231" s="6"/>
    </row>
    <row r="1232" spans="1:7" x14ac:dyDescent="0.25">
      <c r="A1232" s="6" t="s">
        <v>10992</v>
      </c>
      <c r="B1232" s="6"/>
      <c r="C1232" s="6"/>
      <c r="D1232" s="6"/>
      <c r="E1232" s="6"/>
      <c r="F1232" s="6"/>
      <c r="G1232" s="6"/>
    </row>
    <row r="1233" spans="1:7" x14ac:dyDescent="0.25">
      <c r="A1233" s="6" t="s">
        <v>10989</v>
      </c>
      <c r="B1233" s="6"/>
      <c r="C1233" s="6"/>
      <c r="D1233" s="6"/>
      <c r="E1233" s="6"/>
      <c r="F1233" s="6"/>
      <c r="G1233" s="6"/>
    </row>
    <row r="1234" spans="1:7" x14ac:dyDescent="0.25">
      <c r="A1234" s="6" t="s">
        <v>957</v>
      </c>
      <c r="B1234" s="6"/>
      <c r="C1234" s="6"/>
      <c r="D1234" s="6"/>
      <c r="E1234" s="6"/>
      <c r="F1234" s="6"/>
      <c r="G1234" s="6"/>
    </row>
    <row r="1235" spans="1:7" x14ac:dyDescent="0.25">
      <c r="A1235" s="6" t="s">
        <v>10984</v>
      </c>
      <c r="B1235" s="6"/>
      <c r="C1235" s="6"/>
      <c r="D1235" s="6"/>
      <c r="E1235" s="6"/>
      <c r="F1235" s="6"/>
      <c r="G1235" s="6"/>
    </row>
    <row r="1236" spans="1:7" x14ac:dyDescent="0.25">
      <c r="A1236" s="6" t="s">
        <v>10981</v>
      </c>
      <c r="B1236" s="6"/>
      <c r="C1236" s="6"/>
      <c r="D1236" s="6"/>
      <c r="E1236" s="6"/>
      <c r="F1236" s="6"/>
      <c r="G1236" s="6"/>
    </row>
    <row r="1237" spans="1:7" x14ac:dyDescent="0.25">
      <c r="A1237" s="6" t="s">
        <v>10979</v>
      </c>
      <c r="B1237" s="6"/>
      <c r="C1237" s="6"/>
      <c r="D1237" s="6"/>
      <c r="E1237" s="6"/>
      <c r="F1237" s="6"/>
      <c r="G1237" s="6"/>
    </row>
    <row r="1238" spans="1:7" x14ac:dyDescent="0.25">
      <c r="A1238" s="6" t="s">
        <v>10976</v>
      </c>
      <c r="B1238" s="6"/>
      <c r="C1238" s="6"/>
      <c r="D1238" s="6"/>
      <c r="E1238" s="6"/>
      <c r="F1238" s="6"/>
      <c r="G1238" s="6"/>
    </row>
    <row r="1239" spans="1:7" x14ac:dyDescent="0.25">
      <c r="A1239" s="6" t="s">
        <v>14165</v>
      </c>
      <c r="B1239" s="6" t="s">
        <v>14166</v>
      </c>
      <c r="C1239" s="6"/>
      <c r="D1239" s="6"/>
      <c r="E1239" s="6"/>
      <c r="F1239" s="6"/>
      <c r="G1239" s="6"/>
    </row>
    <row r="1240" spans="1:7" x14ac:dyDescent="0.25">
      <c r="A1240" s="6" t="s">
        <v>10971</v>
      </c>
      <c r="B1240" s="6"/>
      <c r="C1240" s="6"/>
      <c r="D1240" s="6"/>
      <c r="E1240" s="6"/>
      <c r="F1240" s="6"/>
      <c r="G1240" s="6"/>
    </row>
    <row r="1241" spans="1:7" x14ac:dyDescent="0.25">
      <c r="A1241" s="6" t="s">
        <v>957</v>
      </c>
      <c r="B1241" s="6"/>
      <c r="C1241" s="6"/>
      <c r="D1241" s="6"/>
      <c r="E1241" s="6"/>
      <c r="F1241" s="6"/>
      <c r="G1241" s="6"/>
    </row>
    <row r="1242" spans="1:7" x14ac:dyDescent="0.25">
      <c r="A1242" s="6" t="s">
        <v>10967</v>
      </c>
      <c r="B1242" s="6"/>
      <c r="C1242" s="6"/>
      <c r="D1242" s="6"/>
      <c r="E1242" s="6"/>
      <c r="F1242" s="6"/>
      <c r="G1242" s="6"/>
    </row>
    <row r="1243" spans="1:7" x14ac:dyDescent="0.25">
      <c r="A1243" s="6" t="s">
        <v>10964</v>
      </c>
      <c r="B1243" s="6"/>
      <c r="C1243" s="6"/>
      <c r="D1243" s="6"/>
      <c r="E1243" s="6"/>
      <c r="F1243" s="6"/>
      <c r="G1243" s="6"/>
    </row>
    <row r="1244" spans="1:7" x14ac:dyDescent="0.25">
      <c r="A1244" s="6" t="s">
        <v>10961</v>
      </c>
      <c r="B1244" s="6"/>
      <c r="C1244" s="6"/>
      <c r="D1244" s="6"/>
      <c r="E1244" s="6"/>
      <c r="F1244" s="6"/>
      <c r="G1244" s="6"/>
    </row>
    <row r="1245" spans="1:7" x14ac:dyDescent="0.25">
      <c r="A1245" s="6" t="s">
        <v>957</v>
      </c>
      <c r="B1245" s="6"/>
      <c r="C1245" s="6"/>
      <c r="D1245" s="6"/>
      <c r="E1245" s="6"/>
      <c r="F1245" s="6"/>
      <c r="G1245" s="6"/>
    </row>
    <row r="1246" spans="1:7" x14ac:dyDescent="0.25">
      <c r="A1246" s="6" t="s">
        <v>10957</v>
      </c>
      <c r="B1246" s="6"/>
      <c r="C1246" s="6"/>
      <c r="D1246" s="6"/>
      <c r="E1246" s="6"/>
      <c r="F1246" s="6"/>
      <c r="G1246" s="6"/>
    </row>
    <row r="1247" spans="1:7" x14ac:dyDescent="0.25">
      <c r="A1247" s="6" t="s">
        <v>10954</v>
      </c>
      <c r="B1247" s="6"/>
      <c r="C1247" s="6"/>
      <c r="D1247" s="6"/>
      <c r="E1247" s="6"/>
      <c r="F1247" s="6"/>
      <c r="G1247" s="6"/>
    </row>
    <row r="1248" spans="1:7" x14ac:dyDescent="0.25">
      <c r="A1248" s="6" t="s">
        <v>10951</v>
      </c>
      <c r="B1248" s="6"/>
      <c r="C1248" s="6"/>
      <c r="D1248" s="6"/>
      <c r="E1248" s="6"/>
      <c r="F1248" s="6"/>
      <c r="G1248" s="6"/>
    </row>
    <row r="1249" spans="1:7" x14ac:dyDescent="0.25">
      <c r="A1249" s="6" t="s">
        <v>10948</v>
      </c>
      <c r="B1249" s="6"/>
      <c r="C1249" s="6"/>
      <c r="D1249" s="6"/>
      <c r="E1249" s="6"/>
      <c r="F1249" s="6"/>
      <c r="G1249" s="6"/>
    </row>
    <row r="1250" spans="1:7" x14ac:dyDescent="0.25">
      <c r="A1250" s="6" t="s">
        <v>10945</v>
      </c>
      <c r="B1250" s="6"/>
      <c r="C1250" s="6"/>
      <c r="D1250" s="6"/>
      <c r="E1250" s="6"/>
      <c r="F1250" s="6"/>
      <c r="G1250" s="6"/>
    </row>
    <row r="1251" spans="1:7" x14ac:dyDescent="0.25">
      <c r="A1251" s="6" t="s">
        <v>10943</v>
      </c>
      <c r="B1251" s="6"/>
      <c r="C1251" s="6"/>
      <c r="D1251" s="6"/>
      <c r="E1251" s="6"/>
      <c r="F1251" s="6"/>
      <c r="G1251" s="6"/>
    </row>
    <row r="1252" spans="1:7" x14ac:dyDescent="0.25">
      <c r="A1252" s="6" t="s">
        <v>10940</v>
      </c>
      <c r="B1252" s="6"/>
      <c r="C1252" s="6"/>
      <c r="D1252" s="6"/>
      <c r="E1252" s="6"/>
      <c r="F1252" s="6"/>
      <c r="G1252" s="6"/>
    </row>
    <row r="1253" spans="1:7" x14ac:dyDescent="0.25">
      <c r="A1253" s="6" t="s">
        <v>10937</v>
      </c>
      <c r="B1253" s="6"/>
      <c r="C1253" s="6"/>
      <c r="D1253" s="6"/>
      <c r="E1253" s="6"/>
      <c r="F1253" s="6"/>
      <c r="G1253" s="6"/>
    </row>
    <row r="1254" spans="1:7" x14ac:dyDescent="0.25">
      <c r="A1254" s="6" t="s">
        <v>10934</v>
      </c>
      <c r="B1254" s="6"/>
      <c r="C1254" s="6"/>
      <c r="D1254" s="6"/>
      <c r="E1254" s="6"/>
      <c r="F1254" s="6"/>
      <c r="G1254" s="6"/>
    </row>
    <row r="1255" spans="1:7" x14ac:dyDescent="0.25">
      <c r="A1255" s="6" t="s">
        <v>10931</v>
      </c>
      <c r="B1255" s="6"/>
      <c r="C1255" s="6"/>
      <c r="D1255" s="6"/>
      <c r="E1255" s="6"/>
      <c r="F1255" s="6"/>
      <c r="G1255" s="6"/>
    </row>
    <row r="1256" spans="1:7" x14ac:dyDescent="0.25">
      <c r="A1256" s="6" t="s">
        <v>10928</v>
      </c>
      <c r="B1256" s="6"/>
      <c r="C1256" s="6"/>
      <c r="D1256" s="6"/>
      <c r="E1256" s="6"/>
      <c r="F1256" s="6"/>
      <c r="G1256" s="6"/>
    </row>
    <row r="1257" spans="1:7" x14ac:dyDescent="0.25">
      <c r="A1257" s="6" t="s">
        <v>10926</v>
      </c>
      <c r="B1257" s="6"/>
      <c r="C1257" s="6"/>
      <c r="D1257" s="6"/>
      <c r="E1257" s="6"/>
      <c r="F1257" s="6"/>
      <c r="G1257" s="6"/>
    </row>
    <row r="1258" spans="1:7" x14ac:dyDescent="0.25">
      <c r="A1258" s="6" t="s">
        <v>10923</v>
      </c>
      <c r="B1258" s="6"/>
      <c r="C1258" s="6"/>
      <c r="D1258" s="6"/>
      <c r="E1258" s="6"/>
      <c r="F1258" s="6"/>
      <c r="G1258" s="6"/>
    </row>
    <row r="1259" spans="1:7" x14ac:dyDescent="0.25">
      <c r="A1259" s="6" t="s">
        <v>10921</v>
      </c>
      <c r="B1259" s="6"/>
      <c r="C1259" s="6"/>
      <c r="D1259" s="6"/>
      <c r="E1259" s="6"/>
      <c r="F1259" s="6"/>
      <c r="G1259" s="6"/>
    </row>
    <row r="1260" spans="1:7" x14ac:dyDescent="0.25">
      <c r="A1260" s="6" t="s">
        <v>10918</v>
      </c>
      <c r="B1260" s="6"/>
      <c r="C1260" s="6"/>
      <c r="D1260" s="6"/>
      <c r="E1260" s="6"/>
      <c r="F1260" s="6"/>
      <c r="G1260" s="6"/>
    </row>
    <row r="1261" spans="1:7" x14ac:dyDescent="0.25">
      <c r="A1261" s="6" t="s">
        <v>10915</v>
      </c>
      <c r="B1261" s="6"/>
      <c r="C1261" s="6"/>
      <c r="D1261" s="6"/>
      <c r="E1261" s="6"/>
      <c r="F1261" s="6"/>
      <c r="G1261" s="6"/>
    </row>
    <row r="1262" spans="1:7" x14ac:dyDescent="0.25">
      <c r="A1262" s="6" t="s">
        <v>10912</v>
      </c>
      <c r="B1262" s="6"/>
      <c r="C1262" s="6"/>
      <c r="D1262" s="6"/>
      <c r="E1262" s="6"/>
      <c r="F1262" s="6"/>
      <c r="G1262" s="6"/>
    </row>
    <row r="1263" spans="1:7" x14ac:dyDescent="0.25">
      <c r="A1263" s="6" t="s">
        <v>10909</v>
      </c>
      <c r="B1263" s="6"/>
      <c r="C1263" s="6"/>
      <c r="D1263" s="6"/>
      <c r="E1263" s="6"/>
      <c r="F1263" s="6"/>
      <c r="G1263" s="6"/>
    </row>
    <row r="1264" spans="1:7" x14ac:dyDescent="0.25">
      <c r="A1264" s="6" t="s">
        <v>957</v>
      </c>
      <c r="B1264" s="6"/>
      <c r="C1264" s="6"/>
      <c r="D1264" s="6"/>
      <c r="E1264" s="6"/>
      <c r="F1264" s="6"/>
      <c r="G1264" s="6"/>
    </row>
    <row r="1265" spans="1:7" x14ac:dyDescent="0.25">
      <c r="A1265" s="6" t="s">
        <v>10905</v>
      </c>
      <c r="B1265" s="6"/>
      <c r="C1265" s="6"/>
      <c r="D1265" s="6"/>
      <c r="E1265" s="6"/>
      <c r="F1265" s="6"/>
      <c r="G1265" s="6"/>
    </row>
    <row r="1266" spans="1:7" x14ac:dyDescent="0.25">
      <c r="A1266" s="6" t="s">
        <v>957</v>
      </c>
      <c r="B1266" s="6"/>
      <c r="C1266" s="6"/>
      <c r="D1266" s="6"/>
      <c r="E1266" s="6"/>
      <c r="F1266" s="6"/>
      <c r="G1266" s="6"/>
    </row>
    <row r="1267" spans="1:7" x14ac:dyDescent="0.25">
      <c r="A1267" s="6" t="s">
        <v>10901</v>
      </c>
      <c r="B1267" s="6"/>
      <c r="C1267" s="6"/>
      <c r="D1267" s="6"/>
      <c r="E1267" s="6"/>
      <c r="F1267" s="6"/>
      <c r="G1267" s="6"/>
    </row>
    <row r="1268" spans="1:7" x14ac:dyDescent="0.25">
      <c r="A1268" s="6" t="s">
        <v>14167</v>
      </c>
      <c r="B1268" s="6" t="s">
        <v>14168</v>
      </c>
      <c r="C1268" s="6"/>
      <c r="D1268" s="6"/>
      <c r="E1268" s="6"/>
      <c r="F1268" s="6"/>
      <c r="G1268" s="6"/>
    </row>
    <row r="1269" spans="1:7" x14ac:dyDescent="0.25">
      <c r="A1269" s="6" t="s">
        <v>10618</v>
      </c>
      <c r="B1269" s="6"/>
      <c r="C1269" s="6"/>
      <c r="D1269" s="6"/>
      <c r="E1269" s="6"/>
      <c r="F1269" s="6"/>
      <c r="G1269" s="6"/>
    </row>
    <row r="1270" spans="1:7" x14ac:dyDescent="0.25">
      <c r="A1270" s="6" t="s">
        <v>10615</v>
      </c>
      <c r="B1270" s="6"/>
      <c r="C1270" s="6"/>
      <c r="D1270" s="6"/>
      <c r="E1270" s="6"/>
      <c r="F1270" s="6"/>
      <c r="G1270" s="6"/>
    </row>
    <row r="1271" spans="1:7" x14ac:dyDescent="0.25">
      <c r="A1271" s="6" t="s">
        <v>10612</v>
      </c>
      <c r="B1271" s="6"/>
      <c r="C1271" s="6"/>
      <c r="D1271" s="6"/>
      <c r="E1271" s="6"/>
      <c r="F1271" s="6"/>
      <c r="G1271" s="6"/>
    </row>
    <row r="1272" spans="1:7" x14ac:dyDescent="0.25">
      <c r="A1272" s="6" t="s">
        <v>10607</v>
      </c>
      <c r="B1272" s="6" t="s">
        <v>14169</v>
      </c>
      <c r="C1272" s="6"/>
      <c r="D1272" s="6"/>
      <c r="E1272" s="6"/>
      <c r="F1272" s="6"/>
      <c r="G1272" s="6"/>
    </row>
    <row r="1273" spans="1:7" x14ac:dyDescent="0.25">
      <c r="A1273" s="6" t="s">
        <v>10607</v>
      </c>
      <c r="B1273" s="6"/>
      <c r="C1273" s="6"/>
      <c r="D1273" s="6"/>
      <c r="E1273" s="6"/>
      <c r="F1273" s="6"/>
      <c r="G1273" s="6"/>
    </row>
    <row r="1274" spans="1:7" x14ac:dyDescent="0.25">
      <c r="A1274" s="6" t="s">
        <v>10607</v>
      </c>
      <c r="B1274" s="6" t="s">
        <v>14170</v>
      </c>
      <c r="C1274" s="6"/>
      <c r="D1274" s="6"/>
      <c r="E1274" s="6"/>
      <c r="F1274" s="6"/>
      <c r="G1274" s="6"/>
    </row>
    <row r="1275" spans="1:7" x14ac:dyDescent="0.25">
      <c r="A1275" s="6" t="s">
        <v>10602</v>
      </c>
      <c r="B1275" s="6"/>
      <c r="C1275" s="6"/>
      <c r="D1275" s="6"/>
      <c r="E1275" s="6"/>
      <c r="F1275" s="6"/>
      <c r="G1275" s="6"/>
    </row>
    <row r="1276" spans="1:7" x14ac:dyDescent="0.25">
      <c r="A1276" s="6" t="s">
        <v>10599</v>
      </c>
      <c r="B1276" s="6"/>
      <c r="C1276" s="6"/>
      <c r="D1276" s="6"/>
      <c r="E1276" s="6"/>
      <c r="F1276" s="6"/>
      <c r="G1276" s="6"/>
    </row>
    <row r="1277" spans="1:7" x14ac:dyDescent="0.25">
      <c r="A1277" s="6" t="s">
        <v>957</v>
      </c>
      <c r="B1277" s="6"/>
      <c r="C1277" s="6"/>
      <c r="D1277" s="6"/>
      <c r="E1277" s="6"/>
      <c r="F1277" s="6"/>
      <c r="G1277" s="6"/>
    </row>
    <row r="1278" spans="1:7" x14ac:dyDescent="0.25">
      <c r="A1278" s="6" t="s">
        <v>10596</v>
      </c>
      <c r="B1278" s="6"/>
      <c r="C1278" s="6"/>
      <c r="D1278" s="6"/>
      <c r="E1278" s="6"/>
      <c r="F1278" s="6"/>
      <c r="G1278" s="6"/>
    </row>
    <row r="1279" spans="1:7" x14ac:dyDescent="0.25">
      <c r="A1279" s="6" t="s">
        <v>10593</v>
      </c>
      <c r="B1279" s="6"/>
      <c r="C1279" s="6"/>
      <c r="D1279" s="6"/>
      <c r="E1279" s="6"/>
      <c r="F1279" s="6"/>
      <c r="G1279" s="6"/>
    </row>
    <row r="1280" spans="1:7" x14ac:dyDescent="0.25">
      <c r="A1280" s="6" t="s">
        <v>10590</v>
      </c>
      <c r="B1280" s="6"/>
      <c r="C1280" s="6"/>
      <c r="D1280" s="6"/>
      <c r="E1280" s="6"/>
      <c r="F1280" s="6"/>
      <c r="G1280" s="6"/>
    </row>
    <row r="1281" spans="1:7" x14ac:dyDescent="0.25">
      <c r="A1281" s="6" t="s">
        <v>10864</v>
      </c>
      <c r="B1281" s="6"/>
      <c r="C1281" s="6"/>
      <c r="D1281" s="6"/>
      <c r="E1281" s="6"/>
      <c r="F1281" s="6"/>
      <c r="G1281" s="6"/>
    </row>
    <row r="1282" spans="1:7" x14ac:dyDescent="0.25">
      <c r="A1282" s="6" t="s">
        <v>10861</v>
      </c>
      <c r="B1282" s="6"/>
      <c r="C1282" s="6"/>
      <c r="D1282" s="6"/>
      <c r="E1282" s="6"/>
      <c r="F1282" s="6"/>
      <c r="G1282" s="6"/>
    </row>
    <row r="1283" spans="1:7" x14ac:dyDescent="0.25">
      <c r="A1283" s="6" t="s">
        <v>10858</v>
      </c>
      <c r="B1283" s="6"/>
      <c r="C1283" s="6"/>
      <c r="D1283" s="6"/>
      <c r="E1283" s="6"/>
      <c r="F1283" s="6"/>
      <c r="G1283" s="6"/>
    </row>
    <row r="1284" spans="1:7" x14ac:dyDescent="0.25">
      <c r="A1284" s="6" t="s">
        <v>957</v>
      </c>
      <c r="B1284" s="6"/>
      <c r="C1284" s="6"/>
      <c r="D1284" s="6"/>
      <c r="E1284" s="6"/>
      <c r="F1284" s="6"/>
      <c r="G1284" s="6"/>
    </row>
    <row r="1285" spans="1:7" x14ac:dyDescent="0.25">
      <c r="A1285" s="6" t="s">
        <v>957</v>
      </c>
      <c r="B1285" s="6"/>
      <c r="C1285" s="6"/>
      <c r="D1285" s="6"/>
      <c r="E1285" s="6"/>
      <c r="F1285" s="6"/>
      <c r="G1285" s="6"/>
    </row>
    <row r="1286" spans="1:7" x14ac:dyDescent="0.25">
      <c r="A1286" s="6" t="s">
        <v>10852</v>
      </c>
      <c r="B1286" s="6"/>
      <c r="C1286" s="6"/>
      <c r="D1286" s="6"/>
      <c r="E1286" s="6"/>
      <c r="F1286" s="6"/>
      <c r="G1286" s="6"/>
    </row>
    <row r="1287" spans="1:7" x14ac:dyDescent="0.25">
      <c r="A1287" s="6" t="s">
        <v>10849</v>
      </c>
      <c r="B1287" s="6"/>
      <c r="C1287" s="6"/>
      <c r="D1287" s="6"/>
      <c r="E1287" s="6"/>
      <c r="F1287" s="6"/>
      <c r="G1287" s="6"/>
    </row>
    <row r="1288" spans="1:7" x14ac:dyDescent="0.25">
      <c r="A1288" s="6" t="s">
        <v>10846</v>
      </c>
      <c r="B1288" s="6"/>
      <c r="C1288" s="6"/>
      <c r="D1288" s="6"/>
      <c r="E1288" s="6"/>
      <c r="F1288" s="6"/>
      <c r="G1288" s="6"/>
    </row>
    <row r="1289" spans="1:7" x14ac:dyDescent="0.25">
      <c r="A1289" s="6" t="s">
        <v>10843</v>
      </c>
      <c r="B1289" s="6"/>
      <c r="C1289" s="6"/>
      <c r="D1289" s="6"/>
      <c r="E1289" s="6"/>
      <c r="F1289" s="6"/>
      <c r="G1289" s="6"/>
    </row>
    <row r="1290" spans="1:7" x14ac:dyDescent="0.25">
      <c r="A1290" s="6" t="s">
        <v>957</v>
      </c>
      <c r="B1290" s="6"/>
      <c r="C1290" s="6"/>
      <c r="D1290" s="6"/>
      <c r="E1290" s="6"/>
      <c r="F1290" s="6"/>
      <c r="G1290" s="6"/>
    </row>
    <row r="1291" spans="1:7" x14ac:dyDescent="0.25">
      <c r="A1291" s="6" t="s">
        <v>10839</v>
      </c>
      <c r="B1291" s="6"/>
      <c r="C1291" s="6"/>
      <c r="D1291" s="6"/>
      <c r="E1291" s="6"/>
      <c r="F1291" s="6"/>
      <c r="G1291" s="6"/>
    </row>
    <row r="1292" spans="1:7" x14ac:dyDescent="0.25">
      <c r="A1292" s="6" t="s">
        <v>14171</v>
      </c>
      <c r="B1292" s="6" t="s">
        <v>14172</v>
      </c>
      <c r="C1292" s="6"/>
      <c r="D1292" s="6"/>
      <c r="E1292" s="6"/>
      <c r="F1292" s="6"/>
      <c r="G1292" s="6"/>
    </row>
    <row r="1293" spans="1:7" x14ac:dyDescent="0.25">
      <c r="A1293" s="6" t="s">
        <v>10835</v>
      </c>
      <c r="B1293" s="6"/>
      <c r="C1293" s="6"/>
      <c r="D1293" s="6"/>
      <c r="E1293" s="6"/>
      <c r="F1293" s="6"/>
      <c r="G1293" s="6"/>
    </row>
    <row r="1294" spans="1:7" x14ac:dyDescent="0.25">
      <c r="A1294" s="6" t="s">
        <v>10833</v>
      </c>
      <c r="B1294" s="6"/>
      <c r="C1294" s="6"/>
      <c r="D1294" s="6"/>
      <c r="E1294" s="6"/>
      <c r="F1294" s="6"/>
      <c r="G1294" s="6"/>
    </row>
    <row r="1295" spans="1:7" x14ac:dyDescent="0.25">
      <c r="A1295" s="6" t="s">
        <v>14173</v>
      </c>
      <c r="B1295" s="6" t="s">
        <v>14174</v>
      </c>
      <c r="C1295" s="6"/>
      <c r="D1295" s="6"/>
      <c r="E1295" s="6"/>
      <c r="F1295" s="6"/>
      <c r="G1295" s="6"/>
    </row>
    <row r="1296" spans="1:7" x14ac:dyDescent="0.25">
      <c r="A1296" s="6" t="s">
        <v>10829</v>
      </c>
      <c r="B1296" s="6"/>
      <c r="C1296" s="6"/>
      <c r="D1296" s="6"/>
      <c r="E1296" s="6"/>
      <c r="F1296" s="6"/>
      <c r="G1296" s="6"/>
    </row>
    <row r="1297" spans="1:7" x14ac:dyDescent="0.25">
      <c r="A1297" s="6" t="s">
        <v>10826</v>
      </c>
      <c r="B1297" s="6"/>
      <c r="C1297" s="6"/>
      <c r="D1297" s="6"/>
      <c r="E1297" s="6"/>
      <c r="F1297" s="6"/>
      <c r="G1297" s="6"/>
    </row>
    <row r="1298" spans="1:7" x14ac:dyDescent="0.25">
      <c r="A1298" s="6" t="s">
        <v>10823</v>
      </c>
      <c r="B1298" s="6"/>
      <c r="C1298" s="6"/>
      <c r="D1298" s="6"/>
      <c r="E1298" s="6"/>
      <c r="F1298" s="6"/>
      <c r="G1298" s="6"/>
    </row>
    <row r="1299" spans="1:7" x14ac:dyDescent="0.25">
      <c r="A1299" s="6" t="s">
        <v>10820</v>
      </c>
      <c r="B1299" s="6"/>
      <c r="C1299" s="6"/>
      <c r="D1299" s="6"/>
      <c r="E1299" s="6"/>
      <c r="F1299" s="6"/>
      <c r="G1299" s="6"/>
    </row>
    <row r="1300" spans="1:7" x14ac:dyDescent="0.25">
      <c r="A1300" s="6" t="s">
        <v>10817</v>
      </c>
      <c r="B1300" s="6"/>
      <c r="C1300" s="6"/>
      <c r="D1300" s="6"/>
      <c r="E1300" s="6"/>
      <c r="F1300" s="6"/>
      <c r="G1300" s="6"/>
    </row>
    <row r="1301" spans="1:7" x14ac:dyDescent="0.25">
      <c r="A1301" s="6" t="s">
        <v>10814</v>
      </c>
      <c r="B1301" s="6"/>
      <c r="C1301" s="6"/>
      <c r="D1301" s="6"/>
      <c r="E1301" s="6"/>
      <c r="F1301" s="6"/>
      <c r="G1301" s="6"/>
    </row>
    <row r="1302" spans="1:7" x14ac:dyDescent="0.25">
      <c r="A1302" s="6" t="s">
        <v>957</v>
      </c>
      <c r="B1302" s="6"/>
      <c r="C1302" s="6"/>
      <c r="D1302" s="6"/>
      <c r="E1302" s="6"/>
      <c r="F1302" s="6"/>
      <c r="G1302" s="6"/>
    </row>
    <row r="1303" spans="1:7" x14ac:dyDescent="0.25">
      <c r="A1303" s="6" t="s">
        <v>957</v>
      </c>
      <c r="B1303" s="6"/>
      <c r="C1303" s="6"/>
      <c r="D1303" s="6"/>
      <c r="E1303" s="6"/>
      <c r="F1303" s="6"/>
      <c r="G1303" s="6"/>
    </row>
    <row r="1304" spans="1:7" x14ac:dyDescent="0.25">
      <c r="A1304" s="6" t="s">
        <v>10808</v>
      </c>
      <c r="B1304" s="6"/>
      <c r="C1304" s="6"/>
      <c r="D1304" s="6"/>
      <c r="E1304" s="6"/>
      <c r="F1304" s="6"/>
      <c r="G1304" s="6"/>
    </row>
    <row r="1305" spans="1:7" x14ac:dyDescent="0.25">
      <c r="A1305" s="6" t="s">
        <v>10805</v>
      </c>
      <c r="B1305" s="6"/>
      <c r="C1305" s="6"/>
      <c r="D1305" s="6"/>
      <c r="E1305" s="6"/>
      <c r="F1305" s="6"/>
      <c r="G1305" s="6"/>
    </row>
    <row r="1306" spans="1:7" x14ac:dyDescent="0.25">
      <c r="A1306" s="6" t="s">
        <v>10803</v>
      </c>
      <c r="B1306" s="6"/>
      <c r="C1306" s="6"/>
      <c r="D1306" s="6"/>
      <c r="E1306" s="6"/>
      <c r="F1306" s="6"/>
      <c r="G1306" s="6"/>
    </row>
    <row r="1307" spans="1:7" x14ac:dyDescent="0.25">
      <c r="A1307" s="6" t="s">
        <v>10800</v>
      </c>
      <c r="B1307" s="6"/>
      <c r="C1307" s="6"/>
      <c r="D1307" s="6"/>
      <c r="E1307" s="6"/>
      <c r="F1307" s="6"/>
      <c r="G1307" s="6"/>
    </row>
    <row r="1308" spans="1:7" x14ac:dyDescent="0.25">
      <c r="A1308" s="6" t="s">
        <v>10797</v>
      </c>
      <c r="B1308" s="6"/>
      <c r="C1308" s="6"/>
      <c r="D1308" s="6"/>
      <c r="E1308" s="6"/>
      <c r="F1308" s="6"/>
      <c r="G1308" s="6"/>
    </row>
    <row r="1309" spans="1:7" x14ac:dyDescent="0.25">
      <c r="A1309" s="6" t="s">
        <v>10794</v>
      </c>
      <c r="B1309" s="6"/>
      <c r="C1309" s="6"/>
      <c r="D1309" s="6"/>
      <c r="E1309" s="6"/>
      <c r="F1309" s="6"/>
      <c r="G1309" s="6"/>
    </row>
    <row r="1310" spans="1:7" x14ac:dyDescent="0.25">
      <c r="A1310" s="6" t="s">
        <v>10791</v>
      </c>
      <c r="B1310" s="6"/>
      <c r="C1310" s="6"/>
      <c r="D1310" s="6"/>
      <c r="E1310" s="6"/>
      <c r="F1310" s="6"/>
      <c r="G1310" s="6"/>
    </row>
    <row r="1311" spans="1:7" x14ac:dyDescent="0.25">
      <c r="A1311" s="6" t="s">
        <v>10788</v>
      </c>
      <c r="B1311" s="6"/>
      <c r="C1311" s="6"/>
      <c r="D1311" s="6"/>
      <c r="E1311" s="6"/>
      <c r="F1311" s="6"/>
      <c r="G1311" s="6"/>
    </row>
    <row r="1312" spans="1:7" x14ac:dyDescent="0.25">
      <c r="A1312" s="6" t="s">
        <v>10785</v>
      </c>
      <c r="B1312" s="6"/>
      <c r="C1312" s="6"/>
      <c r="D1312" s="6"/>
      <c r="E1312" s="6"/>
      <c r="F1312" s="6"/>
      <c r="G1312" s="6"/>
    </row>
    <row r="1313" spans="1:7" x14ac:dyDescent="0.25">
      <c r="A1313" s="6" t="s">
        <v>10782</v>
      </c>
      <c r="B1313" s="6"/>
      <c r="C1313" s="6"/>
      <c r="D1313" s="6"/>
      <c r="E1313" s="6"/>
      <c r="F1313" s="6"/>
      <c r="G1313" s="6"/>
    </row>
    <row r="1314" spans="1:7" x14ac:dyDescent="0.25">
      <c r="A1314" s="6" t="s">
        <v>10779</v>
      </c>
      <c r="B1314" s="6"/>
      <c r="C1314" s="6"/>
      <c r="D1314" s="6"/>
      <c r="E1314" s="6"/>
      <c r="F1314" s="6"/>
      <c r="G1314" s="6"/>
    </row>
    <row r="1315" spans="1:7" x14ac:dyDescent="0.25">
      <c r="A1315" s="6" t="s">
        <v>10373</v>
      </c>
      <c r="B1315" s="6"/>
      <c r="C1315" s="6"/>
      <c r="D1315" s="6"/>
      <c r="E1315" s="6"/>
      <c r="F1315" s="6"/>
      <c r="G1315" s="6"/>
    </row>
    <row r="1316" spans="1:7" x14ac:dyDescent="0.25">
      <c r="A1316" s="6" t="s">
        <v>10371</v>
      </c>
      <c r="B1316" s="6"/>
      <c r="C1316" s="6"/>
      <c r="D1316" s="6"/>
      <c r="E1316" s="6"/>
      <c r="F1316" s="6"/>
      <c r="G1316" s="6"/>
    </row>
    <row r="1317" spans="1:7" x14ac:dyDescent="0.25">
      <c r="A1317" s="6" t="s">
        <v>957</v>
      </c>
      <c r="B1317" s="6"/>
      <c r="C1317" s="6"/>
      <c r="D1317" s="6"/>
      <c r="E1317" s="6"/>
      <c r="F1317" s="6"/>
      <c r="G1317" s="6"/>
    </row>
    <row r="1318" spans="1:7" x14ac:dyDescent="0.25">
      <c r="A1318" s="6" t="s">
        <v>957</v>
      </c>
      <c r="B1318" s="6"/>
      <c r="C1318" s="6"/>
      <c r="D1318" s="6"/>
      <c r="E1318" s="6"/>
      <c r="F1318" s="6"/>
      <c r="G1318" s="6"/>
    </row>
    <row r="1319" spans="1:7" x14ac:dyDescent="0.25">
      <c r="A1319" s="6" t="s">
        <v>10365</v>
      </c>
      <c r="B1319" s="6"/>
      <c r="C1319" s="6"/>
      <c r="D1319" s="6"/>
      <c r="E1319" s="6"/>
      <c r="F1319" s="6"/>
      <c r="G1319" s="6"/>
    </row>
    <row r="1320" spans="1:7" x14ac:dyDescent="0.25">
      <c r="A1320" s="6" t="s">
        <v>10362</v>
      </c>
      <c r="B1320" s="6"/>
      <c r="C1320" s="6"/>
      <c r="D1320" s="6"/>
      <c r="E1320" s="6"/>
      <c r="F1320" s="6"/>
      <c r="G1320" s="6"/>
    </row>
    <row r="1321" spans="1:7" x14ac:dyDescent="0.25">
      <c r="A1321" s="6" t="s">
        <v>10360</v>
      </c>
      <c r="B1321" s="6"/>
      <c r="C1321" s="6"/>
      <c r="D1321" s="6"/>
      <c r="E1321" s="6"/>
      <c r="F1321" s="6"/>
      <c r="G1321" s="6"/>
    </row>
    <row r="1322" spans="1:7" x14ac:dyDescent="0.25">
      <c r="A1322" s="6" t="s">
        <v>10357</v>
      </c>
      <c r="B1322" s="6"/>
      <c r="C1322" s="6"/>
      <c r="D1322" s="6"/>
      <c r="E1322" s="6"/>
      <c r="F1322" s="6"/>
      <c r="G1322" s="6"/>
    </row>
    <row r="1323" spans="1:7" x14ac:dyDescent="0.25">
      <c r="A1323" s="6" t="s">
        <v>10354</v>
      </c>
      <c r="B1323" s="6"/>
      <c r="C1323" s="6"/>
      <c r="D1323" s="6"/>
      <c r="E1323" s="6"/>
      <c r="F1323" s="6"/>
      <c r="G1323" s="6"/>
    </row>
    <row r="1324" spans="1:7" x14ac:dyDescent="0.25">
      <c r="A1324" s="6" t="s">
        <v>10351</v>
      </c>
      <c r="B1324" s="6"/>
      <c r="C1324" s="6"/>
      <c r="D1324" s="6"/>
      <c r="E1324" s="6"/>
      <c r="F1324" s="6"/>
      <c r="G1324" s="6"/>
    </row>
    <row r="1325" spans="1:7" x14ac:dyDescent="0.25">
      <c r="A1325" s="6" t="s">
        <v>10348</v>
      </c>
      <c r="B1325" s="6"/>
      <c r="C1325" s="6"/>
      <c r="D1325" s="6"/>
      <c r="E1325" s="6"/>
      <c r="F1325" s="6"/>
      <c r="G1325" s="6"/>
    </row>
    <row r="1326" spans="1:7" x14ac:dyDescent="0.25">
      <c r="A1326" s="6" t="s">
        <v>10345</v>
      </c>
      <c r="B1326" s="6"/>
      <c r="C1326" s="6"/>
      <c r="D1326" s="6"/>
      <c r="E1326" s="6"/>
      <c r="F1326" s="6"/>
      <c r="G1326" s="6"/>
    </row>
    <row r="1327" spans="1:7" x14ac:dyDescent="0.25">
      <c r="A1327" s="6" t="s">
        <v>10343</v>
      </c>
      <c r="B1327" s="6"/>
      <c r="C1327" s="6"/>
      <c r="D1327" s="6"/>
      <c r="E1327" s="6"/>
      <c r="F1327" s="6"/>
      <c r="G1327" s="6"/>
    </row>
    <row r="1328" spans="1:7" x14ac:dyDescent="0.25">
      <c r="A1328" s="6" t="s">
        <v>10340</v>
      </c>
      <c r="B1328" s="6"/>
      <c r="C1328" s="6"/>
      <c r="D1328" s="6"/>
      <c r="E1328" s="6"/>
      <c r="F1328" s="6"/>
      <c r="G1328" s="6"/>
    </row>
    <row r="1329" spans="1:7" x14ac:dyDescent="0.25">
      <c r="A1329" s="6" t="s">
        <v>10337</v>
      </c>
      <c r="B1329" s="6"/>
      <c r="C1329" s="6"/>
      <c r="D1329" s="6"/>
      <c r="E1329" s="6"/>
      <c r="F1329" s="6"/>
      <c r="G1329" s="6"/>
    </row>
    <row r="1330" spans="1:7" x14ac:dyDescent="0.25">
      <c r="A1330" s="6" t="s">
        <v>10334</v>
      </c>
      <c r="B1330" s="6"/>
      <c r="C1330" s="6"/>
      <c r="D1330" s="6"/>
      <c r="E1330" s="6"/>
      <c r="F1330" s="6"/>
      <c r="G1330" s="6"/>
    </row>
    <row r="1331" spans="1:7" x14ac:dyDescent="0.25">
      <c r="A1331" s="6" t="s">
        <v>10332</v>
      </c>
      <c r="B1331" s="6"/>
      <c r="C1331" s="6"/>
      <c r="D1331" s="6"/>
      <c r="E1331" s="6"/>
      <c r="F1331" s="6"/>
      <c r="G1331" s="6"/>
    </row>
    <row r="1332" spans="1:7" x14ac:dyDescent="0.25">
      <c r="A1332" s="6" t="s">
        <v>10329</v>
      </c>
      <c r="B1332" s="6"/>
      <c r="C1332" s="6"/>
      <c r="D1332" s="6"/>
      <c r="E1332" s="6"/>
      <c r="F1332" s="6"/>
      <c r="G1332" s="6"/>
    </row>
    <row r="1333" spans="1:7" x14ac:dyDescent="0.25">
      <c r="A1333" s="6" t="s">
        <v>10326</v>
      </c>
      <c r="B1333" s="6"/>
      <c r="C1333" s="6"/>
      <c r="D1333" s="6"/>
      <c r="E1333" s="6"/>
      <c r="F1333" s="6"/>
      <c r="G1333" s="6"/>
    </row>
    <row r="1334" spans="1:7" x14ac:dyDescent="0.25">
      <c r="A1334" s="6" t="s">
        <v>957</v>
      </c>
      <c r="B1334" s="6"/>
      <c r="C1334" s="6"/>
      <c r="D1334" s="6"/>
      <c r="E1334" s="6"/>
      <c r="F1334" s="6"/>
      <c r="G1334" s="6"/>
    </row>
    <row r="1335" spans="1:7" x14ac:dyDescent="0.25">
      <c r="A1335" s="6" t="s">
        <v>10322</v>
      </c>
      <c r="B1335" s="6"/>
      <c r="C1335" s="6"/>
      <c r="D1335" s="6"/>
      <c r="E1335" s="6"/>
      <c r="F1335" s="6"/>
      <c r="G1335" s="6"/>
    </row>
    <row r="1336" spans="1:7" x14ac:dyDescent="0.25">
      <c r="A1336" s="6" t="s">
        <v>10319</v>
      </c>
      <c r="B1336" s="6"/>
      <c r="C1336" s="6"/>
      <c r="D1336" s="6"/>
      <c r="E1336" s="6"/>
      <c r="F1336" s="6"/>
      <c r="G1336" s="6"/>
    </row>
    <row r="1337" spans="1:7" x14ac:dyDescent="0.25">
      <c r="A1337" s="6" t="s">
        <v>10316</v>
      </c>
      <c r="B1337" s="6"/>
      <c r="C1337" s="6"/>
      <c r="D1337" s="6"/>
      <c r="E1337" s="6"/>
      <c r="F1337" s="6"/>
      <c r="G1337" s="6"/>
    </row>
    <row r="1338" spans="1:7" x14ac:dyDescent="0.25">
      <c r="A1338" s="6" t="s">
        <v>10313</v>
      </c>
      <c r="B1338" s="6"/>
      <c r="C1338" s="6"/>
      <c r="D1338" s="6"/>
      <c r="E1338" s="6"/>
      <c r="F1338" s="6"/>
      <c r="G1338" s="6"/>
    </row>
    <row r="1339" spans="1:7" x14ac:dyDescent="0.25">
      <c r="A1339" s="6" t="s">
        <v>10310</v>
      </c>
      <c r="B1339" s="6"/>
      <c r="C1339" s="6"/>
      <c r="D1339" s="6"/>
      <c r="E1339" s="6"/>
      <c r="F1339" s="6"/>
      <c r="G1339" s="6"/>
    </row>
    <row r="1340" spans="1:7" x14ac:dyDescent="0.25">
      <c r="A1340" s="6" t="s">
        <v>10307</v>
      </c>
      <c r="B1340" s="6"/>
      <c r="C1340" s="6"/>
      <c r="D1340" s="6"/>
      <c r="E1340" s="6"/>
      <c r="F1340" s="6"/>
      <c r="G1340" s="6"/>
    </row>
    <row r="1341" spans="1:7" x14ac:dyDescent="0.25">
      <c r="A1341" s="6" t="s">
        <v>10304</v>
      </c>
      <c r="B1341" s="6"/>
      <c r="C1341" s="6"/>
      <c r="D1341" s="6"/>
      <c r="E1341" s="6"/>
      <c r="F1341" s="6"/>
      <c r="G1341" s="6"/>
    </row>
    <row r="1342" spans="1:7" x14ac:dyDescent="0.25">
      <c r="A1342" s="6" t="s">
        <v>10301</v>
      </c>
      <c r="B1342" s="6"/>
      <c r="C1342" s="6"/>
      <c r="D1342" s="6"/>
      <c r="E1342" s="6"/>
      <c r="F1342" s="6"/>
      <c r="G1342" s="6"/>
    </row>
    <row r="1343" spans="1:7" x14ac:dyDescent="0.25">
      <c r="A1343" s="6" t="s">
        <v>10299</v>
      </c>
      <c r="B1343" s="6"/>
      <c r="C1343" s="6"/>
      <c r="D1343" s="6"/>
      <c r="E1343" s="6"/>
      <c r="F1343" s="6"/>
      <c r="G1343" s="6"/>
    </row>
    <row r="1344" spans="1:7" x14ac:dyDescent="0.25">
      <c r="A1344" s="6" t="s">
        <v>10296</v>
      </c>
      <c r="B1344" s="6"/>
      <c r="C1344" s="6"/>
      <c r="D1344" s="6"/>
      <c r="E1344" s="6"/>
      <c r="F1344" s="6"/>
      <c r="G1344" s="6"/>
    </row>
    <row r="1345" spans="1:7" x14ac:dyDescent="0.25">
      <c r="A1345" s="6" t="s">
        <v>10294</v>
      </c>
      <c r="B1345" s="6"/>
      <c r="C1345" s="6"/>
      <c r="D1345" s="6"/>
      <c r="E1345" s="6"/>
      <c r="F1345" s="6"/>
      <c r="G1345" s="6"/>
    </row>
    <row r="1346" spans="1:7" x14ac:dyDescent="0.25">
      <c r="A1346" s="6" t="s">
        <v>10291</v>
      </c>
      <c r="B1346" s="6"/>
      <c r="C1346" s="6"/>
      <c r="D1346" s="6"/>
      <c r="E1346" s="6"/>
      <c r="F1346" s="6"/>
      <c r="G1346" s="6"/>
    </row>
    <row r="1347" spans="1:7" x14ac:dyDescent="0.25">
      <c r="A1347" s="6" t="s">
        <v>957</v>
      </c>
      <c r="B1347" s="6"/>
      <c r="C1347" s="6"/>
      <c r="D1347" s="6"/>
      <c r="E1347" s="6"/>
      <c r="F1347" s="6"/>
      <c r="G1347" s="6"/>
    </row>
    <row r="1348" spans="1:7" x14ac:dyDescent="0.25">
      <c r="A1348" s="6" t="s">
        <v>10287</v>
      </c>
      <c r="B1348" s="6"/>
      <c r="C1348" s="6"/>
      <c r="D1348" s="6"/>
      <c r="E1348" s="6"/>
      <c r="F1348" s="6"/>
      <c r="G1348" s="6"/>
    </row>
    <row r="1349" spans="1:7" x14ac:dyDescent="0.25">
      <c r="A1349" s="6" t="s">
        <v>10284</v>
      </c>
      <c r="B1349" s="6"/>
      <c r="C1349" s="6"/>
      <c r="D1349" s="6"/>
      <c r="E1349" s="6"/>
      <c r="F1349" s="6"/>
      <c r="G1349" s="6"/>
    </row>
    <row r="1350" spans="1:7" x14ac:dyDescent="0.25">
      <c r="A1350" s="6" t="s">
        <v>10281</v>
      </c>
      <c r="B1350" s="6"/>
      <c r="C1350" s="6"/>
      <c r="D1350" s="6"/>
      <c r="E1350" s="6"/>
      <c r="F1350" s="6"/>
      <c r="G1350" s="6"/>
    </row>
    <row r="1351" spans="1:7" x14ac:dyDescent="0.25">
      <c r="A1351" s="6" t="s">
        <v>10278</v>
      </c>
      <c r="B1351" s="6"/>
      <c r="C1351" s="6"/>
      <c r="D1351" s="6"/>
      <c r="E1351" s="6"/>
      <c r="F1351" s="6"/>
      <c r="G1351" s="6"/>
    </row>
    <row r="1352" spans="1:7" x14ac:dyDescent="0.25">
      <c r="A1352" s="6" t="s">
        <v>10276</v>
      </c>
      <c r="B1352" s="6"/>
      <c r="C1352" s="6"/>
      <c r="D1352" s="6"/>
      <c r="E1352" s="6"/>
      <c r="F1352" s="6"/>
      <c r="G1352" s="6"/>
    </row>
    <row r="1353" spans="1:7" x14ac:dyDescent="0.25">
      <c r="A1353" s="6" t="s">
        <v>10273</v>
      </c>
      <c r="B1353" s="6"/>
      <c r="C1353" s="6"/>
      <c r="D1353" s="6"/>
      <c r="E1353" s="6"/>
      <c r="F1353" s="6"/>
      <c r="G1353" s="6"/>
    </row>
    <row r="1354" spans="1:7" x14ac:dyDescent="0.25">
      <c r="A1354" s="6" t="s">
        <v>957</v>
      </c>
      <c r="B1354" s="6"/>
      <c r="C1354" s="6"/>
      <c r="D1354" s="6"/>
      <c r="E1354" s="6"/>
      <c r="F1354" s="6"/>
      <c r="G1354" s="6"/>
    </row>
    <row r="1355" spans="1:7" x14ac:dyDescent="0.25">
      <c r="A1355" s="6" t="s">
        <v>10269</v>
      </c>
      <c r="B1355" s="6"/>
      <c r="C1355" s="6"/>
      <c r="D1355" s="6"/>
      <c r="E1355" s="6"/>
      <c r="F1355" s="6"/>
      <c r="G1355" s="6"/>
    </row>
    <row r="1356" spans="1:7" x14ac:dyDescent="0.25">
      <c r="A1356" s="6" t="s">
        <v>10267</v>
      </c>
      <c r="B1356" s="6"/>
      <c r="C1356" s="6"/>
      <c r="D1356" s="6"/>
      <c r="E1356" s="6"/>
      <c r="F1356" s="6"/>
      <c r="G1356" s="6"/>
    </row>
    <row r="1357" spans="1:7" x14ac:dyDescent="0.25">
      <c r="A1357" s="6" t="s">
        <v>10722</v>
      </c>
      <c r="B1357" s="6"/>
      <c r="C1357" s="6"/>
      <c r="D1357" s="6"/>
      <c r="E1357" s="6"/>
      <c r="F1357" s="6"/>
      <c r="G1357" s="6"/>
    </row>
    <row r="1358" spans="1:7" x14ac:dyDescent="0.25">
      <c r="A1358" s="6" t="s">
        <v>10719</v>
      </c>
      <c r="B1358" s="6"/>
      <c r="C1358" s="6"/>
      <c r="D1358" s="6"/>
      <c r="E1358" s="6"/>
      <c r="F1358" s="6"/>
      <c r="G1358" s="6"/>
    </row>
    <row r="1359" spans="1:7" x14ac:dyDescent="0.25">
      <c r="A1359" s="6" t="s">
        <v>10716</v>
      </c>
      <c r="B1359" s="6"/>
      <c r="C1359" s="6"/>
      <c r="D1359" s="6"/>
      <c r="E1359" s="6"/>
      <c r="F1359" s="6"/>
      <c r="G1359" s="6"/>
    </row>
    <row r="1360" spans="1:7" x14ac:dyDescent="0.25">
      <c r="A1360" s="6" t="s">
        <v>957</v>
      </c>
      <c r="B1360" s="6"/>
      <c r="C1360" s="6"/>
      <c r="D1360" s="6"/>
      <c r="E1360" s="6"/>
      <c r="F1360" s="6"/>
      <c r="G1360" s="6"/>
    </row>
    <row r="1361" spans="1:7" x14ac:dyDescent="0.25">
      <c r="A1361" s="6" t="s">
        <v>10712</v>
      </c>
      <c r="B1361" s="6"/>
      <c r="C1361" s="6"/>
      <c r="D1361" s="6"/>
      <c r="E1361" s="6"/>
      <c r="F1361" s="6"/>
      <c r="G1361" s="6"/>
    </row>
    <row r="1362" spans="1:7" x14ac:dyDescent="0.25">
      <c r="A1362" s="6" t="s">
        <v>10709</v>
      </c>
      <c r="B1362" s="6"/>
      <c r="C1362" s="6"/>
      <c r="D1362" s="6"/>
      <c r="E1362" s="6"/>
      <c r="F1362" s="6"/>
      <c r="G1362" s="6"/>
    </row>
    <row r="1363" spans="1:7" x14ac:dyDescent="0.25">
      <c r="A1363" s="6" t="s">
        <v>10706</v>
      </c>
      <c r="B1363" s="6"/>
      <c r="C1363" s="6"/>
      <c r="D1363" s="6"/>
      <c r="E1363" s="6"/>
      <c r="F1363" s="6"/>
      <c r="G1363" s="6"/>
    </row>
    <row r="1364" spans="1:7" x14ac:dyDescent="0.25">
      <c r="A1364" s="6" t="s">
        <v>957</v>
      </c>
      <c r="B1364" s="6"/>
      <c r="C1364" s="6"/>
      <c r="D1364" s="6"/>
      <c r="E1364" s="6"/>
      <c r="F1364" s="6"/>
      <c r="G1364" s="6"/>
    </row>
    <row r="1365" spans="1:7" x14ac:dyDescent="0.25">
      <c r="A1365" s="6" t="s">
        <v>957</v>
      </c>
      <c r="B1365" s="6"/>
      <c r="C1365" s="6"/>
      <c r="D1365" s="6"/>
      <c r="E1365" s="6"/>
      <c r="F1365" s="6"/>
      <c r="G1365" s="6"/>
    </row>
    <row r="1366" spans="1:7" x14ac:dyDescent="0.25">
      <c r="A1366" s="6" t="s">
        <v>10701</v>
      </c>
      <c r="B1366" s="6"/>
      <c r="C1366" s="6"/>
      <c r="D1366" s="6"/>
      <c r="E1366" s="6"/>
      <c r="F1366" s="6"/>
      <c r="G1366" s="6"/>
    </row>
    <row r="1367" spans="1:7" x14ac:dyDescent="0.25">
      <c r="A1367" s="6" t="s">
        <v>10698</v>
      </c>
      <c r="B1367" s="6"/>
      <c r="C1367" s="6"/>
      <c r="D1367" s="6"/>
      <c r="E1367" s="6"/>
      <c r="F1367" s="6"/>
      <c r="G1367" s="6"/>
    </row>
    <row r="1368" spans="1:7" x14ac:dyDescent="0.25">
      <c r="A1368" s="6" t="s">
        <v>10558</v>
      </c>
      <c r="B1368" s="6"/>
      <c r="C1368" s="6"/>
      <c r="D1368" s="6"/>
      <c r="E1368" s="6"/>
      <c r="F1368" s="6"/>
      <c r="G1368" s="6"/>
    </row>
    <row r="1369" spans="1:7" x14ac:dyDescent="0.25">
      <c r="A1369" s="6" t="s">
        <v>10555</v>
      </c>
      <c r="B1369" s="6"/>
      <c r="C1369" s="6"/>
      <c r="D1369" s="6"/>
      <c r="E1369" s="6"/>
      <c r="F1369" s="6"/>
      <c r="G1369" s="6"/>
    </row>
    <row r="1370" spans="1:7" x14ac:dyDescent="0.25">
      <c r="A1370" s="6" t="s">
        <v>10552</v>
      </c>
      <c r="B1370" s="6"/>
      <c r="C1370" s="6"/>
      <c r="D1370" s="6"/>
      <c r="E1370" s="6"/>
      <c r="F1370" s="6"/>
      <c r="G1370" s="6"/>
    </row>
    <row r="1371" spans="1:7" x14ac:dyDescent="0.25">
      <c r="A1371" s="6" t="s">
        <v>957</v>
      </c>
      <c r="B1371" s="6"/>
      <c r="C1371" s="6"/>
      <c r="D1371" s="6"/>
      <c r="E1371" s="6"/>
      <c r="F1371" s="6"/>
      <c r="G1371" s="6"/>
    </row>
    <row r="1372" spans="1:7" x14ac:dyDescent="0.25">
      <c r="A1372" s="6" t="s">
        <v>957</v>
      </c>
      <c r="B1372" s="6"/>
      <c r="C1372" s="6"/>
      <c r="D1372" s="6"/>
      <c r="E1372" s="6"/>
      <c r="F1372" s="6"/>
      <c r="G1372" s="6"/>
    </row>
    <row r="1373" spans="1:7" x14ac:dyDescent="0.25">
      <c r="A1373" s="6" t="s">
        <v>10545</v>
      </c>
      <c r="B1373" s="6"/>
      <c r="C1373" s="6"/>
      <c r="D1373" s="6"/>
      <c r="E1373" s="6"/>
      <c r="F1373" s="6"/>
      <c r="G1373" s="6"/>
    </row>
    <row r="1374" spans="1:7" x14ac:dyDescent="0.25">
      <c r="A1374" s="6" t="s">
        <v>10543</v>
      </c>
      <c r="B1374" s="6"/>
      <c r="C1374" s="6"/>
      <c r="D1374" s="6"/>
      <c r="E1374" s="6"/>
      <c r="F1374" s="6"/>
      <c r="G1374" s="6"/>
    </row>
    <row r="1375" spans="1:7" x14ac:dyDescent="0.25">
      <c r="A1375" s="6" t="s">
        <v>10540</v>
      </c>
      <c r="B1375" s="6"/>
      <c r="C1375" s="6"/>
      <c r="D1375" s="6"/>
      <c r="E1375" s="6"/>
      <c r="F1375" s="6"/>
      <c r="G1375" s="6"/>
    </row>
    <row r="1376" spans="1:7" x14ac:dyDescent="0.25">
      <c r="A1376" s="6" t="s">
        <v>10537</v>
      </c>
      <c r="B1376" s="6"/>
      <c r="C1376" s="6"/>
      <c r="D1376" s="6"/>
      <c r="E1376" s="6"/>
      <c r="F1376" s="6"/>
      <c r="G1376" s="6"/>
    </row>
    <row r="1377" spans="1:7" x14ac:dyDescent="0.25">
      <c r="A1377" s="6" t="s">
        <v>957</v>
      </c>
      <c r="B1377" s="6"/>
      <c r="C1377" s="6"/>
      <c r="D1377" s="6"/>
      <c r="E1377" s="6"/>
      <c r="F1377" s="6"/>
      <c r="G1377" s="6"/>
    </row>
    <row r="1378" spans="1:7" x14ac:dyDescent="0.25">
      <c r="A1378" s="6" t="s">
        <v>957</v>
      </c>
      <c r="B1378" s="6"/>
      <c r="C1378" s="6"/>
      <c r="D1378" s="6"/>
      <c r="E1378" s="6"/>
      <c r="F1378" s="6"/>
      <c r="G1378" s="6"/>
    </row>
    <row r="1379" spans="1:7" x14ac:dyDescent="0.25">
      <c r="A1379" s="6" t="s">
        <v>957</v>
      </c>
      <c r="B1379" s="6"/>
      <c r="C1379" s="6"/>
      <c r="D1379" s="6"/>
      <c r="E1379" s="6"/>
      <c r="F1379" s="6"/>
      <c r="G1379" s="6"/>
    </row>
    <row r="1380" spans="1:7" x14ac:dyDescent="0.25">
      <c r="A1380" s="6" t="s">
        <v>957</v>
      </c>
      <c r="B1380" s="6"/>
      <c r="C1380" s="6"/>
      <c r="D1380" s="6"/>
      <c r="E1380" s="6"/>
      <c r="F1380" s="6"/>
      <c r="G1380" s="6"/>
    </row>
    <row r="1381" spans="1:7" x14ac:dyDescent="0.25">
      <c r="A1381" s="6" t="s">
        <v>10530</v>
      </c>
      <c r="B1381" s="6"/>
      <c r="C1381" s="6"/>
      <c r="D1381" s="6"/>
      <c r="E1381" s="6"/>
      <c r="F1381" s="6"/>
      <c r="G1381" s="6"/>
    </row>
    <row r="1382" spans="1:7" x14ac:dyDescent="0.25">
      <c r="A1382" s="6" t="s">
        <v>10528</v>
      </c>
      <c r="B1382" s="6"/>
      <c r="C1382" s="6"/>
      <c r="D1382" s="6"/>
      <c r="E1382" s="6"/>
      <c r="F1382" s="6"/>
      <c r="G1382" s="6"/>
    </row>
    <row r="1383" spans="1:7" x14ac:dyDescent="0.25">
      <c r="A1383" s="6" t="s">
        <v>10525</v>
      </c>
      <c r="B1383" s="6"/>
      <c r="C1383" s="6"/>
      <c r="D1383" s="6"/>
      <c r="E1383" s="6"/>
      <c r="F1383" s="6"/>
      <c r="G1383" s="6"/>
    </row>
    <row r="1384" spans="1:7" x14ac:dyDescent="0.25">
      <c r="A1384" s="6" t="s">
        <v>10522</v>
      </c>
      <c r="B1384" s="6"/>
      <c r="C1384" s="6"/>
      <c r="D1384" s="6"/>
      <c r="E1384" s="6"/>
      <c r="F1384" s="6"/>
      <c r="G1384" s="6"/>
    </row>
    <row r="1385" spans="1:7" x14ac:dyDescent="0.25">
      <c r="A1385" s="6" t="s">
        <v>957</v>
      </c>
      <c r="B1385" s="6"/>
      <c r="C1385" s="6"/>
      <c r="D1385" s="6"/>
      <c r="E1385" s="6"/>
      <c r="F1385" s="6"/>
      <c r="G1385" s="6"/>
    </row>
    <row r="1386" spans="1:7" x14ac:dyDescent="0.25">
      <c r="A1386" s="6" t="s">
        <v>957</v>
      </c>
      <c r="B1386" s="6"/>
      <c r="C1386" s="6"/>
      <c r="D1386" s="6"/>
      <c r="E1386" s="6"/>
      <c r="F1386" s="6"/>
      <c r="G1386" s="6"/>
    </row>
    <row r="1387" spans="1:7" x14ac:dyDescent="0.25">
      <c r="A1387" s="6" t="s">
        <v>10517</v>
      </c>
      <c r="B1387" s="6"/>
      <c r="C1387" s="6"/>
      <c r="D1387" s="6"/>
      <c r="E1387" s="6"/>
      <c r="F1387" s="6"/>
      <c r="G1387" s="6"/>
    </row>
    <row r="1388" spans="1:7" x14ac:dyDescent="0.25">
      <c r="A1388" s="6" t="s">
        <v>10514</v>
      </c>
      <c r="B1388" s="6"/>
      <c r="C1388" s="6"/>
      <c r="D1388" s="6"/>
      <c r="E1388" s="6"/>
      <c r="F1388" s="6"/>
      <c r="G1388" s="6"/>
    </row>
    <row r="1389" spans="1:7" x14ac:dyDescent="0.25">
      <c r="A1389" s="6" t="s">
        <v>10511</v>
      </c>
      <c r="B1389" s="6"/>
      <c r="C1389" s="6"/>
      <c r="D1389" s="6"/>
      <c r="E1389" s="6"/>
      <c r="F1389" s="6"/>
      <c r="G1389" s="6"/>
    </row>
    <row r="1390" spans="1:7" x14ac:dyDescent="0.25">
      <c r="A1390" s="6" t="s">
        <v>10508</v>
      </c>
      <c r="B1390" s="6"/>
      <c r="C1390" s="6"/>
      <c r="D1390" s="6"/>
      <c r="E1390" s="6"/>
      <c r="F1390" s="6"/>
      <c r="G1390" s="6"/>
    </row>
    <row r="1391" spans="1:7" x14ac:dyDescent="0.25">
      <c r="A1391" s="6" t="s">
        <v>10505</v>
      </c>
      <c r="B1391" s="6"/>
      <c r="C1391" s="6"/>
      <c r="D1391" s="6"/>
      <c r="E1391" s="6"/>
      <c r="F1391" s="6"/>
      <c r="G1391" s="6"/>
    </row>
    <row r="1392" spans="1:7" x14ac:dyDescent="0.25">
      <c r="A1392" s="6" t="s">
        <v>957</v>
      </c>
      <c r="B1392" s="6"/>
      <c r="C1392" s="6"/>
      <c r="D1392" s="6"/>
      <c r="E1392" s="6"/>
      <c r="F1392" s="6"/>
      <c r="G1392" s="6"/>
    </row>
    <row r="1393" spans="1:7" x14ac:dyDescent="0.25">
      <c r="A1393" s="6" t="s">
        <v>10501</v>
      </c>
      <c r="B1393" s="6"/>
      <c r="C1393" s="6"/>
      <c r="D1393" s="6"/>
      <c r="E1393" s="6"/>
      <c r="F1393" s="6"/>
      <c r="G1393" s="6"/>
    </row>
    <row r="1394" spans="1:7" x14ac:dyDescent="0.25">
      <c r="A1394" s="6" t="s">
        <v>10498</v>
      </c>
      <c r="B1394" s="6"/>
      <c r="C1394" s="6"/>
      <c r="D1394" s="6"/>
      <c r="E1394" s="6"/>
      <c r="F1394" s="6"/>
      <c r="G1394" s="6"/>
    </row>
    <row r="1395" spans="1:7" x14ac:dyDescent="0.25">
      <c r="A1395" s="6" t="s">
        <v>10496</v>
      </c>
      <c r="B1395" s="6"/>
      <c r="C1395" s="6"/>
      <c r="D1395" s="6"/>
      <c r="E1395" s="6"/>
      <c r="F1395" s="6"/>
      <c r="G1395" s="6"/>
    </row>
    <row r="1396" spans="1:7" x14ac:dyDescent="0.25">
      <c r="A1396" s="6" t="s">
        <v>10493</v>
      </c>
      <c r="B1396" s="6"/>
      <c r="C1396" s="6"/>
      <c r="D1396" s="6"/>
      <c r="E1396" s="6"/>
      <c r="F1396" s="6"/>
      <c r="G1396" s="6"/>
    </row>
    <row r="1397" spans="1:7" x14ac:dyDescent="0.25">
      <c r="A1397" s="6" t="s">
        <v>957</v>
      </c>
      <c r="B1397" s="6"/>
      <c r="C1397" s="6"/>
      <c r="D1397" s="6"/>
      <c r="E1397" s="6"/>
      <c r="F1397" s="6"/>
      <c r="G1397" s="6"/>
    </row>
    <row r="1398" spans="1:7" x14ac:dyDescent="0.25">
      <c r="A1398" s="6" t="s">
        <v>10489</v>
      </c>
      <c r="B1398" s="6"/>
      <c r="C1398" s="6"/>
      <c r="D1398" s="6"/>
      <c r="E1398" s="6"/>
      <c r="F1398" s="6"/>
      <c r="G1398" s="6"/>
    </row>
    <row r="1399" spans="1:7" x14ac:dyDescent="0.25">
      <c r="A1399" s="6" t="s">
        <v>10486</v>
      </c>
      <c r="B1399" s="6"/>
      <c r="C1399" s="6"/>
      <c r="D1399" s="6"/>
      <c r="E1399" s="6"/>
      <c r="F1399" s="6"/>
      <c r="G1399" s="6"/>
    </row>
    <row r="1400" spans="1:7" x14ac:dyDescent="0.25">
      <c r="A1400" s="6" t="s">
        <v>10483</v>
      </c>
      <c r="B1400" s="6"/>
      <c r="C1400" s="6"/>
      <c r="D1400" s="6"/>
      <c r="E1400" s="6"/>
      <c r="F1400" s="6"/>
      <c r="G1400" s="6"/>
    </row>
    <row r="1401" spans="1:7" x14ac:dyDescent="0.25">
      <c r="A1401" s="6" t="s">
        <v>957</v>
      </c>
      <c r="B1401" s="6"/>
      <c r="C1401" s="6"/>
      <c r="D1401" s="6"/>
      <c r="E1401" s="6"/>
      <c r="F1401" s="6"/>
      <c r="G1401" s="6"/>
    </row>
    <row r="1402" spans="1:7" x14ac:dyDescent="0.25">
      <c r="A1402" s="6" t="s">
        <v>10479</v>
      </c>
      <c r="B1402" s="6"/>
      <c r="C1402" s="6"/>
      <c r="D1402" s="6"/>
      <c r="E1402" s="6"/>
      <c r="F1402" s="6"/>
      <c r="G1402" s="6"/>
    </row>
    <row r="1403" spans="1:7" x14ac:dyDescent="0.25">
      <c r="A1403" s="6" t="s">
        <v>957</v>
      </c>
      <c r="B1403" s="6"/>
      <c r="C1403" s="6"/>
      <c r="D1403" s="6"/>
      <c r="E1403" s="6"/>
      <c r="F1403" s="6"/>
      <c r="G1403" s="6"/>
    </row>
    <row r="1404" spans="1:7" x14ac:dyDescent="0.25">
      <c r="A1404" s="6" t="s">
        <v>10474</v>
      </c>
      <c r="B1404" s="6"/>
      <c r="C1404" s="6"/>
      <c r="D1404" s="6"/>
      <c r="E1404" s="6"/>
      <c r="F1404" s="6"/>
      <c r="G1404" s="6"/>
    </row>
    <row r="1405" spans="1:7" x14ac:dyDescent="0.25">
      <c r="A1405" s="6" t="s">
        <v>10471</v>
      </c>
      <c r="B1405" s="6"/>
      <c r="C1405" s="6"/>
      <c r="D1405" s="6"/>
      <c r="E1405" s="6"/>
      <c r="F1405" s="6"/>
      <c r="G1405" s="6"/>
    </row>
    <row r="1406" spans="1:7" x14ac:dyDescent="0.25">
      <c r="A1406" s="6" t="s">
        <v>10468</v>
      </c>
      <c r="B1406" s="6"/>
      <c r="C1406" s="6"/>
      <c r="D1406" s="6"/>
      <c r="E1406" s="6"/>
      <c r="F1406" s="6"/>
      <c r="G1406" s="6"/>
    </row>
    <row r="1407" spans="1:7" x14ac:dyDescent="0.25">
      <c r="A1407" s="6" t="s">
        <v>10465</v>
      </c>
      <c r="B1407" s="6"/>
      <c r="C1407" s="6"/>
      <c r="D1407" s="6"/>
      <c r="E1407" s="6"/>
      <c r="F1407" s="6"/>
      <c r="G1407" s="6"/>
    </row>
    <row r="1408" spans="1:7" x14ac:dyDescent="0.25">
      <c r="A1408" s="6" t="s">
        <v>10462</v>
      </c>
      <c r="B1408" s="6"/>
      <c r="C1408" s="6"/>
      <c r="D1408" s="6"/>
      <c r="E1408" s="6"/>
      <c r="F1408" s="6"/>
      <c r="G1408" s="6"/>
    </row>
    <row r="1409" spans="1:7" x14ac:dyDescent="0.25">
      <c r="A1409" s="6" t="s">
        <v>10460</v>
      </c>
      <c r="B1409" s="6"/>
      <c r="C1409" s="6"/>
      <c r="D1409" s="6"/>
      <c r="E1409" s="6"/>
      <c r="F1409" s="6"/>
      <c r="G1409" s="6"/>
    </row>
    <row r="1410" spans="1:7" x14ac:dyDescent="0.25">
      <c r="A1410" s="6" t="s">
        <v>10457</v>
      </c>
      <c r="B1410" s="6"/>
      <c r="C1410" s="6"/>
      <c r="D1410" s="6"/>
      <c r="E1410" s="6"/>
      <c r="F1410" s="6"/>
      <c r="G1410" s="6"/>
    </row>
    <row r="1411" spans="1:7" x14ac:dyDescent="0.25">
      <c r="A1411" s="6" t="s">
        <v>10454</v>
      </c>
      <c r="B1411" s="6"/>
      <c r="C1411" s="6"/>
      <c r="D1411" s="6"/>
      <c r="E1411" s="6"/>
      <c r="F1411" s="6"/>
      <c r="G1411" s="6"/>
    </row>
    <row r="1412" spans="1:7" x14ac:dyDescent="0.25">
      <c r="A1412" s="6" t="s">
        <v>10451</v>
      </c>
      <c r="B1412" s="6"/>
      <c r="C1412" s="6"/>
      <c r="D1412" s="6"/>
      <c r="E1412" s="6"/>
      <c r="F1412" s="6"/>
      <c r="G1412" s="6"/>
    </row>
    <row r="1413" spans="1:7" x14ac:dyDescent="0.25">
      <c r="A1413" s="6" t="s">
        <v>10448</v>
      </c>
      <c r="B1413" s="6"/>
      <c r="C1413" s="6"/>
      <c r="D1413" s="6"/>
      <c r="E1413" s="6"/>
      <c r="F1413" s="6"/>
      <c r="G1413" s="6"/>
    </row>
    <row r="1414" spans="1:7" x14ac:dyDescent="0.25">
      <c r="A1414" s="6" t="s">
        <v>10445</v>
      </c>
      <c r="B1414" s="6"/>
      <c r="C1414" s="6"/>
      <c r="D1414" s="6"/>
      <c r="E1414" s="6"/>
      <c r="F1414" s="6"/>
      <c r="G1414" s="6"/>
    </row>
    <row r="1415" spans="1:7" x14ac:dyDescent="0.25">
      <c r="A1415" s="6" t="s">
        <v>10111</v>
      </c>
      <c r="B1415" s="6"/>
      <c r="C1415" s="6"/>
      <c r="D1415" s="6"/>
      <c r="E1415" s="6"/>
      <c r="F1415" s="6"/>
      <c r="G1415" s="6"/>
    </row>
    <row r="1416" spans="1:7" x14ac:dyDescent="0.25">
      <c r="A1416" s="6" t="s">
        <v>10108</v>
      </c>
      <c r="B1416" s="6"/>
      <c r="C1416" s="6"/>
      <c r="D1416" s="6"/>
      <c r="E1416" s="6"/>
      <c r="F1416" s="6"/>
      <c r="G1416" s="6"/>
    </row>
    <row r="1417" spans="1:7" x14ac:dyDescent="0.25">
      <c r="A1417" s="6" t="s">
        <v>957</v>
      </c>
      <c r="B1417" s="6"/>
      <c r="C1417" s="6"/>
      <c r="D1417" s="6"/>
      <c r="E1417" s="6"/>
      <c r="F1417" s="6"/>
      <c r="G1417" s="6"/>
    </row>
    <row r="1418" spans="1:7" x14ac:dyDescent="0.25">
      <c r="A1418" s="6" t="s">
        <v>10104</v>
      </c>
      <c r="B1418" s="6"/>
      <c r="C1418" s="6"/>
      <c r="D1418" s="6"/>
      <c r="E1418" s="6"/>
      <c r="F1418" s="6"/>
      <c r="G1418" s="6"/>
    </row>
    <row r="1419" spans="1:7" x14ac:dyDescent="0.25">
      <c r="A1419" s="6" t="s">
        <v>957</v>
      </c>
      <c r="B1419" s="6"/>
      <c r="C1419" s="6"/>
      <c r="D1419" s="6"/>
      <c r="E1419" s="6"/>
      <c r="F1419" s="6"/>
      <c r="G1419" s="6"/>
    </row>
    <row r="1420" spans="1:7" x14ac:dyDescent="0.25">
      <c r="A1420" s="6" t="s">
        <v>10101</v>
      </c>
      <c r="B1420" s="6"/>
      <c r="C1420" s="6"/>
      <c r="D1420" s="6"/>
      <c r="E1420" s="6"/>
      <c r="F1420" s="6"/>
      <c r="G1420" s="6"/>
    </row>
    <row r="1421" spans="1:7" x14ac:dyDescent="0.25">
      <c r="A1421" s="6" t="s">
        <v>10098</v>
      </c>
      <c r="B1421" s="6"/>
      <c r="C1421" s="6"/>
      <c r="D1421" s="6"/>
      <c r="E1421" s="6"/>
      <c r="F1421" s="6"/>
      <c r="G1421" s="6"/>
    </row>
    <row r="1422" spans="1:7" x14ac:dyDescent="0.25">
      <c r="A1422" s="6" t="s">
        <v>957</v>
      </c>
      <c r="B1422" s="6"/>
      <c r="C1422" s="6"/>
      <c r="D1422" s="6"/>
      <c r="E1422" s="6"/>
      <c r="F1422" s="6"/>
      <c r="G1422" s="6"/>
    </row>
    <row r="1423" spans="1:7" x14ac:dyDescent="0.25">
      <c r="A1423" s="6" t="s">
        <v>957</v>
      </c>
      <c r="B1423" s="6"/>
      <c r="C1423" s="6"/>
      <c r="D1423" s="6"/>
      <c r="E1423" s="6"/>
      <c r="F1423" s="6"/>
      <c r="G1423" s="6"/>
    </row>
    <row r="1424" spans="1:7" x14ac:dyDescent="0.25">
      <c r="A1424" s="6" t="s">
        <v>14086</v>
      </c>
      <c r="B1424" s="6" t="s">
        <v>14087</v>
      </c>
      <c r="C1424" s="6" t="s">
        <v>14088</v>
      </c>
      <c r="D1424" s="6" t="s">
        <v>14089</v>
      </c>
      <c r="E1424" s="6" t="s">
        <v>14090</v>
      </c>
      <c r="F1424" s="6"/>
      <c r="G1424" s="6"/>
    </row>
    <row r="1425" spans="1:7" x14ac:dyDescent="0.25">
      <c r="A1425" s="6" t="s">
        <v>10091</v>
      </c>
      <c r="B1425" s="6"/>
      <c r="C1425" s="6"/>
      <c r="D1425" s="6"/>
      <c r="E1425" s="6"/>
      <c r="F1425" s="6"/>
      <c r="G1425" s="6"/>
    </row>
    <row r="1426" spans="1:7" x14ac:dyDescent="0.25">
      <c r="A1426" s="6" t="s">
        <v>10088</v>
      </c>
      <c r="B1426" s="6"/>
      <c r="C1426" s="6"/>
      <c r="D1426" s="6"/>
      <c r="E1426" s="6"/>
      <c r="F1426" s="6"/>
      <c r="G1426" s="6"/>
    </row>
    <row r="1427" spans="1:7" x14ac:dyDescent="0.25">
      <c r="A1427" s="6" t="s">
        <v>10085</v>
      </c>
      <c r="B1427" s="6"/>
      <c r="C1427" s="6"/>
      <c r="D1427" s="6"/>
      <c r="E1427" s="6"/>
      <c r="F1427" s="6"/>
      <c r="G1427" s="6"/>
    </row>
    <row r="1428" spans="1:7" x14ac:dyDescent="0.25">
      <c r="A1428" s="6" t="s">
        <v>10082</v>
      </c>
      <c r="B1428" s="6"/>
      <c r="C1428" s="6"/>
      <c r="D1428" s="6"/>
      <c r="E1428" s="6"/>
      <c r="F1428" s="6"/>
      <c r="G1428" s="6"/>
    </row>
    <row r="1429" spans="1:7" x14ac:dyDescent="0.25">
      <c r="A1429" s="6" t="s">
        <v>14167</v>
      </c>
      <c r="B1429" s="6" t="s">
        <v>14168</v>
      </c>
      <c r="C1429" s="6"/>
      <c r="D1429" s="6"/>
      <c r="E1429" s="6"/>
      <c r="F1429" s="6"/>
      <c r="G1429" s="6"/>
    </row>
    <row r="1430" spans="1:7" x14ac:dyDescent="0.25">
      <c r="A1430" s="6" t="s">
        <v>11045</v>
      </c>
      <c r="B1430" s="6"/>
      <c r="C1430" s="6"/>
      <c r="D1430" s="6"/>
      <c r="E1430" s="6"/>
      <c r="F1430" s="6"/>
      <c r="G1430" s="6"/>
    </row>
    <row r="1431" spans="1:7" x14ac:dyDescent="0.25">
      <c r="A1431" s="6" t="s">
        <v>11042</v>
      </c>
      <c r="B1431" s="6"/>
      <c r="C1431" s="6"/>
      <c r="D1431" s="6"/>
      <c r="E1431" s="6"/>
      <c r="F1431" s="6"/>
      <c r="G1431" s="6"/>
    </row>
    <row r="1432" spans="1:7" x14ac:dyDescent="0.25">
      <c r="A1432" s="6" t="s">
        <v>957</v>
      </c>
      <c r="B1432" s="6"/>
      <c r="C1432" s="6"/>
      <c r="D1432" s="6"/>
      <c r="E1432" s="6"/>
      <c r="F1432" s="6"/>
      <c r="G1432" s="6"/>
    </row>
    <row r="1433" spans="1:7" x14ac:dyDescent="0.25">
      <c r="A1433" s="6" t="s">
        <v>11038</v>
      </c>
      <c r="B1433" s="6"/>
      <c r="C1433" s="6"/>
      <c r="D1433" s="6"/>
      <c r="E1433" s="6"/>
      <c r="F1433" s="6"/>
      <c r="G1433" s="6"/>
    </row>
    <row r="1434" spans="1:7" x14ac:dyDescent="0.25">
      <c r="A1434" s="6" t="s">
        <v>11035</v>
      </c>
      <c r="B1434" s="6"/>
      <c r="C1434" s="6"/>
      <c r="D1434" s="6"/>
      <c r="E1434" s="6"/>
      <c r="F1434" s="6"/>
      <c r="G1434" s="6"/>
    </row>
    <row r="1435" spans="1:7" x14ac:dyDescent="0.25">
      <c r="A1435" s="6" t="s">
        <v>11032</v>
      </c>
      <c r="B1435" s="6"/>
      <c r="C1435" s="6"/>
      <c r="D1435" s="6"/>
      <c r="E1435" s="6"/>
      <c r="F1435" s="6"/>
      <c r="G1435" s="6"/>
    </row>
    <row r="1436" spans="1:7" x14ac:dyDescent="0.25">
      <c r="A1436" s="6" t="s">
        <v>11029</v>
      </c>
      <c r="B1436" s="6"/>
      <c r="C1436" s="6"/>
      <c r="D1436" s="6"/>
      <c r="E1436" s="6"/>
      <c r="F1436" s="6"/>
      <c r="G1436" s="6"/>
    </row>
    <row r="1437" spans="1:7" x14ac:dyDescent="0.25">
      <c r="A1437" s="6" t="s">
        <v>11026</v>
      </c>
      <c r="B1437" s="6"/>
      <c r="C1437" s="6"/>
      <c r="D1437" s="6"/>
      <c r="E1437" s="6"/>
      <c r="F1437" s="6"/>
      <c r="G1437" s="6"/>
    </row>
    <row r="1438" spans="1:7" x14ac:dyDescent="0.25">
      <c r="A1438" s="6" t="s">
        <v>11023</v>
      </c>
      <c r="B1438" s="6"/>
      <c r="C1438" s="6"/>
      <c r="D1438" s="6"/>
      <c r="E1438" s="6"/>
      <c r="F1438" s="6"/>
      <c r="G1438" s="6"/>
    </row>
    <row r="1439" spans="1:7" x14ac:dyDescent="0.25">
      <c r="A1439" s="6" t="s">
        <v>11021</v>
      </c>
      <c r="B1439" s="6"/>
      <c r="C1439" s="6"/>
      <c r="D1439" s="6"/>
      <c r="E1439" s="6"/>
      <c r="F1439" s="6"/>
      <c r="G1439" s="6"/>
    </row>
    <row r="1440" spans="1:7" x14ac:dyDescent="0.25">
      <c r="A1440" s="6" t="s">
        <v>10043</v>
      </c>
      <c r="B1440" s="6"/>
      <c r="C1440" s="6"/>
      <c r="D1440" s="6"/>
      <c r="E1440" s="6"/>
      <c r="F1440" s="6"/>
      <c r="G1440" s="6"/>
    </row>
    <row r="1441" spans="1:7" x14ac:dyDescent="0.25">
      <c r="A1441" s="6" t="s">
        <v>10040</v>
      </c>
      <c r="B1441" s="6"/>
      <c r="C1441" s="6"/>
      <c r="D1441" s="6"/>
      <c r="E1441" s="6"/>
      <c r="F1441" s="6"/>
      <c r="G1441" s="6"/>
    </row>
    <row r="1442" spans="1:7" x14ac:dyDescent="0.25">
      <c r="A1442" s="6" t="s">
        <v>14175</v>
      </c>
      <c r="B1442" s="6" t="s">
        <v>14176</v>
      </c>
      <c r="C1442" s="6"/>
      <c r="D1442" s="6"/>
      <c r="E1442" s="6"/>
      <c r="F1442" s="6"/>
      <c r="G1442" s="6"/>
    </row>
    <row r="1443" spans="1:7" x14ac:dyDescent="0.25">
      <c r="A1443" s="6" t="s">
        <v>957</v>
      </c>
      <c r="B1443" s="6"/>
      <c r="C1443" s="6"/>
      <c r="D1443" s="6"/>
      <c r="E1443" s="6"/>
      <c r="F1443" s="6"/>
      <c r="G1443" s="6"/>
    </row>
    <row r="1444" spans="1:7" x14ac:dyDescent="0.25">
      <c r="A1444" s="6" t="s">
        <v>10034</v>
      </c>
      <c r="B1444" s="6"/>
      <c r="C1444" s="6"/>
      <c r="D1444" s="6"/>
      <c r="E1444" s="6"/>
      <c r="F1444" s="6"/>
      <c r="G1444" s="6"/>
    </row>
    <row r="1445" spans="1:7" x14ac:dyDescent="0.25">
      <c r="A1445" s="6" t="s">
        <v>10032</v>
      </c>
      <c r="B1445" s="6"/>
      <c r="C1445" s="6"/>
      <c r="D1445" s="6"/>
      <c r="E1445" s="6"/>
      <c r="F1445" s="6"/>
      <c r="G1445" s="6"/>
    </row>
    <row r="1446" spans="1:7" x14ac:dyDescent="0.25">
      <c r="A1446" s="6" t="s">
        <v>957</v>
      </c>
      <c r="B1446" s="6"/>
      <c r="C1446" s="6"/>
      <c r="D1446" s="6"/>
      <c r="E1446" s="6"/>
      <c r="F1446" s="6"/>
      <c r="G1446" s="6"/>
    </row>
    <row r="1447" spans="1:7" x14ac:dyDescent="0.25">
      <c r="A1447" s="6" t="s">
        <v>14102</v>
      </c>
      <c r="B1447" s="6" t="s">
        <v>14104</v>
      </c>
      <c r="C1447" s="6" t="s">
        <v>14105</v>
      </c>
      <c r="D1447" s="6" t="s">
        <v>14106</v>
      </c>
      <c r="E1447" s="6" t="s">
        <v>14107</v>
      </c>
      <c r="F1447" s="6" t="s">
        <v>14108</v>
      </c>
      <c r="G1447" s="6"/>
    </row>
    <row r="1448" spans="1:7" x14ac:dyDescent="0.25">
      <c r="A1448" s="6" t="s">
        <v>14102</v>
      </c>
      <c r="B1448" s="6" t="s">
        <v>14103</v>
      </c>
      <c r="C1448" s="6" t="s">
        <v>14104</v>
      </c>
      <c r="D1448" s="6" t="s">
        <v>14105</v>
      </c>
      <c r="E1448" s="6" t="s">
        <v>14106</v>
      </c>
      <c r="F1448" s="6" t="s">
        <v>14107</v>
      </c>
      <c r="G1448" s="6" t="s">
        <v>14108</v>
      </c>
    </row>
    <row r="1449" spans="1:7" x14ac:dyDescent="0.25">
      <c r="A1449" s="6" t="s">
        <v>14102</v>
      </c>
      <c r="B1449" s="6" t="s">
        <v>14103</v>
      </c>
      <c r="C1449" s="6" t="s">
        <v>14104</v>
      </c>
      <c r="D1449" s="6" t="s">
        <v>14105</v>
      </c>
      <c r="E1449" s="6" t="s">
        <v>14106</v>
      </c>
      <c r="F1449" s="6" t="s">
        <v>14107</v>
      </c>
      <c r="G1449" s="6" t="s">
        <v>14108</v>
      </c>
    </row>
    <row r="1450" spans="1:7" x14ac:dyDescent="0.25">
      <c r="A1450" s="6" t="s">
        <v>10440</v>
      </c>
      <c r="B1450" s="6"/>
      <c r="C1450" s="6"/>
      <c r="D1450" s="6"/>
      <c r="E1450" s="6"/>
      <c r="F1450" s="6"/>
      <c r="G1450" s="6"/>
    </row>
    <row r="1451" spans="1:7" x14ac:dyDescent="0.25">
      <c r="A1451" s="6" t="s">
        <v>10438</v>
      </c>
      <c r="B1451" s="6"/>
      <c r="C1451" s="6"/>
      <c r="D1451" s="6"/>
      <c r="E1451" s="6"/>
      <c r="F1451" s="6"/>
      <c r="G1451" s="6"/>
    </row>
    <row r="1452" spans="1:7" x14ac:dyDescent="0.25">
      <c r="A1452" s="6" t="s">
        <v>10435</v>
      </c>
      <c r="B1452" s="6"/>
      <c r="C1452" s="6"/>
      <c r="D1452" s="6"/>
      <c r="E1452" s="6"/>
      <c r="F1452" s="6"/>
      <c r="G1452" s="6"/>
    </row>
    <row r="1453" spans="1:7" x14ac:dyDescent="0.25">
      <c r="A1453" s="6" t="s">
        <v>957</v>
      </c>
      <c r="B1453" s="6"/>
      <c r="C1453" s="6"/>
      <c r="D1453" s="6"/>
      <c r="E1453" s="6"/>
      <c r="F1453" s="6"/>
      <c r="G1453" s="6"/>
    </row>
    <row r="1454" spans="1:7" x14ac:dyDescent="0.25">
      <c r="A1454" s="6" t="s">
        <v>10431</v>
      </c>
      <c r="B1454" s="6"/>
      <c r="C1454" s="6"/>
      <c r="D1454" s="6"/>
      <c r="E1454" s="6"/>
      <c r="F1454" s="6"/>
      <c r="G1454" s="6"/>
    </row>
    <row r="1455" spans="1:7" x14ac:dyDescent="0.25">
      <c r="A1455" s="6" t="s">
        <v>10428</v>
      </c>
      <c r="B1455" s="6"/>
      <c r="C1455" s="6"/>
      <c r="D1455" s="6"/>
      <c r="E1455" s="6"/>
      <c r="F1455" s="6"/>
      <c r="G1455" s="6"/>
    </row>
    <row r="1456" spans="1:7" x14ac:dyDescent="0.25">
      <c r="A1456" s="6" t="s">
        <v>957</v>
      </c>
      <c r="B1456" s="6"/>
      <c r="C1456" s="6"/>
      <c r="D1456" s="6"/>
      <c r="E1456" s="6"/>
      <c r="F1456" s="6"/>
      <c r="G1456" s="6"/>
    </row>
    <row r="1457" spans="1:7" x14ac:dyDescent="0.25">
      <c r="A1457" s="6" t="s">
        <v>10424</v>
      </c>
      <c r="B1457" s="6"/>
      <c r="C1457" s="6"/>
      <c r="D1457" s="6"/>
      <c r="E1457" s="6"/>
      <c r="F1457" s="6"/>
      <c r="G1457" s="6"/>
    </row>
    <row r="1458" spans="1:7" x14ac:dyDescent="0.25">
      <c r="A1458" s="6" t="s">
        <v>10421</v>
      </c>
      <c r="B1458" s="6"/>
      <c r="C1458" s="6"/>
      <c r="D1458" s="6"/>
      <c r="E1458" s="6"/>
      <c r="F1458" s="6"/>
      <c r="G1458" s="6"/>
    </row>
    <row r="1459" spans="1:7" x14ac:dyDescent="0.25">
      <c r="A1459" s="6" t="s">
        <v>10418</v>
      </c>
      <c r="B1459" s="6"/>
      <c r="C1459" s="6"/>
      <c r="D1459" s="6"/>
      <c r="E1459" s="6"/>
      <c r="F1459" s="6"/>
      <c r="G1459" s="6"/>
    </row>
    <row r="1460" spans="1:7" x14ac:dyDescent="0.25">
      <c r="A1460" s="6" t="s">
        <v>957</v>
      </c>
      <c r="B1460" s="6"/>
      <c r="C1460" s="6"/>
      <c r="D1460" s="6"/>
      <c r="E1460" s="6"/>
      <c r="F1460" s="6"/>
      <c r="G1460" s="6"/>
    </row>
    <row r="1461" spans="1:7" x14ac:dyDescent="0.25">
      <c r="A1461" s="6" t="s">
        <v>10414</v>
      </c>
      <c r="B1461" s="6"/>
      <c r="C1461" s="6"/>
      <c r="D1461" s="6"/>
      <c r="E1461" s="6"/>
      <c r="F1461" s="6"/>
      <c r="G1461" s="6"/>
    </row>
    <row r="1462" spans="1:7" x14ac:dyDescent="0.25">
      <c r="A1462" s="6" t="s">
        <v>10411</v>
      </c>
      <c r="B1462" s="6"/>
      <c r="C1462" s="6"/>
      <c r="D1462" s="6"/>
      <c r="E1462" s="6"/>
      <c r="F1462" s="6"/>
      <c r="G1462" s="6"/>
    </row>
    <row r="1463" spans="1:7" x14ac:dyDescent="0.25">
      <c r="A1463" s="6" t="s">
        <v>10408</v>
      </c>
      <c r="B1463" s="6"/>
      <c r="C1463" s="6"/>
      <c r="D1463" s="6"/>
      <c r="E1463" s="6"/>
      <c r="F1463" s="6"/>
      <c r="G1463" s="6"/>
    </row>
    <row r="1464" spans="1:7" x14ac:dyDescent="0.25">
      <c r="A1464" s="6" t="s">
        <v>10406</v>
      </c>
      <c r="B1464" s="6"/>
      <c r="C1464" s="6"/>
      <c r="D1464" s="6"/>
      <c r="E1464" s="6"/>
      <c r="F1464" s="6"/>
      <c r="G1464" s="6"/>
    </row>
    <row r="1465" spans="1:7" x14ac:dyDescent="0.25">
      <c r="A1465" s="6" t="s">
        <v>10403</v>
      </c>
      <c r="B1465" s="6"/>
      <c r="C1465" s="6"/>
      <c r="D1465" s="6"/>
      <c r="E1465" s="6"/>
      <c r="F1465" s="6"/>
      <c r="G1465" s="6"/>
    </row>
    <row r="1466" spans="1:7" x14ac:dyDescent="0.25">
      <c r="A1466" s="6" t="s">
        <v>10230</v>
      </c>
      <c r="B1466" s="6"/>
      <c r="C1466" s="6"/>
      <c r="D1466" s="6"/>
      <c r="E1466" s="6"/>
      <c r="F1466" s="6"/>
      <c r="G1466" s="6"/>
    </row>
    <row r="1467" spans="1:7" x14ac:dyDescent="0.25">
      <c r="A1467" s="6" t="s">
        <v>10227</v>
      </c>
      <c r="B1467" s="6"/>
      <c r="C1467" s="6"/>
      <c r="D1467" s="6"/>
      <c r="E1467" s="6"/>
      <c r="F1467" s="6"/>
      <c r="G1467" s="6"/>
    </row>
    <row r="1468" spans="1:7" x14ac:dyDescent="0.25">
      <c r="A1468" s="6" t="s">
        <v>10224</v>
      </c>
      <c r="B1468" s="6"/>
      <c r="C1468" s="6"/>
      <c r="D1468" s="6"/>
      <c r="E1468" s="6"/>
      <c r="F1468" s="6"/>
      <c r="G1468" s="6"/>
    </row>
    <row r="1469" spans="1:7" x14ac:dyDescent="0.25">
      <c r="A1469" s="6" t="s">
        <v>10222</v>
      </c>
      <c r="B1469" s="6"/>
      <c r="C1469" s="6"/>
      <c r="D1469" s="6"/>
      <c r="E1469" s="6"/>
      <c r="F1469" s="6"/>
      <c r="G1469" s="6"/>
    </row>
    <row r="1470" spans="1:7" x14ac:dyDescent="0.25">
      <c r="A1470" s="6" t="s">
        <v>10219</v>
      </c>
      <c r="B1470" s="6"/>
      <c r="C1470" s="6"/>
      <c r="D1470" s="6"/>
      <c r="E1470" s="6"/>
      <c r="F1470" s="6"/>
      <c r="G1470" s="6"/>
    </row>
    <row r="1471" spans="1:7" x14ac:dyDescent="0.25">
      <c r="A1471" s="6" t="s">
        <v>10216</v>
      </c>
      <c r="B1471" s="6"/>
      <c r="C1471" s="6"/>
      <c r="D1471" s="6"/>
      <c r="E1471" s="6"/>
      <c r="F1471" s="6"/>
      <c r="G1471" s="6"/>
    </row>
    <row r="1472" spans="1:7" x14ac:dyDescent="0.25">
      <c r="A1472" s="6" t="s">
        <v>10213</v>
      </c>
      <c r="B1472" s="6"/>
      <c r="C1472" s="6"/>
      <c r="D1472" s="6"/>
      <c r="E1472" s="6"/>
      <c r="F1472" s="6"/>
      <c r="G1472" s="6"/>
    </row>
    <row r="1473" spans="1:7" x14ac:dyDescent="0.25">
      <c r="A1473" s="6" t="s">
        <v>10210</v>
      </c>
      <c r="B1473" s="6"/>
      <c r="C1473" s="6"/>
      <c r="D1473" s="6"/>
      <c r="E1473" s="6"/>
      <c r="F1473" s="6"/>
      <c r="G1473" s="6"/>
    </row>
    <row r="1474" spans="1:7" x14ac:dyDescent="0.25">
      <c r="A1474" s="6" t="s">
        <v>10207</v>
      </c>
      <c r="B1474" s="6"/>
      <c r="C1474" s="6"/>
      <c r="D1474" s="6"/>
      <c r="E1474" s="6"/>
      <c r="F1474" s="6"/>
      <c r="G1474" s="6"/>
    </row>
    <row r="1475" spans="1:7" x14ac:dyDescent="0.25">
      <c r="A1475" s="6" t="s">
        <v>10204</v>
      </c>
      <c r="B1475" s="6"/>
      <c r="C1475" s="6"/>
      <c r="D1475" s="6"/>
      <c r="E1475" s="6"/>
      <c r="F1475" s="6"/>
      <c r="G1475" s="6"/>
    </row>
    <row r="1476" spans="1:7" x14ac:dyDescent="0.25">
      <c r="A1476" s="6" t="s">
        <v>11196</v>
      </c>
      <c r="B1476" s="6"/>
      <c r="C1476" s="6"/>
      <c r="D1476" s="6"/>
      <c r="E1476" s="6"/>
      <c r="F1476" s="6"/>
      <c r="G1476" s="6"/>
    </row>
    <row r="1477" spans="1:7" x14ac:dyDescent="0.25">
      <c r="A1477" s="6" t="s">
        <v>11193</v>
      </c>
      <c r="B1477" s="6"/>
      <c r="C1477" s="6"/>
      <c r="D1477" s="6"/>
      <c r="E1477" s="6"/>
      <c r="F1477" s="6"/>
      <c r="G1477" s="6"/>
    </row>
    <row r="1478" spans="1:7" x14ac:dyDescent="0.25">
      <c r="A1478" s="6" t="s">
        <v>11190</v>
      </c>
      <c r="B1478" s="6"/>
      <c r="C1478" s="6"/>
      <c r="D1478" s="6"/>
      <c r="E1478" s="6"/>
      <c r="F1478" s="6"/>
      <c r="G1478" s="6"/>
    </row>
    <row r="1479" spans="1:7" x14ac:dyDescent="0.25">
      <c r="A1479" s="6" t="s">
        <v>11187</v>
      </c>
      <c r="B1479" s="6"/>
      <c r="C1479" s="6"/>
      <c r="D1479" s="6"/>
      <c r="E1479" s="6"/>
      <c r="F1479" s="6"/>
      <c r="G1479" s="6"/>
    </row>
    <row r="1480" spans="1:7" x14ac:dyDescent="0.25">
      <c r="A1480" s="6" t="s">
        <v>11184</v>
      </c>
      <c r="B1480" s="6"/>
      <c r="C1480" s="6"/>
      <c r="D1480" s="6"/>
      <c r="E1480" s="6"/>
      <c r="F1480" s="6"/>
      <c r="G1480" s="6"/>
    </row>
    <row r="1481" spans="1:7" x14ac:dyDescent="0.25">
      <c r="A1481" s="6" t="s">
        <v>957</v>
      </c>
      <c r="B1481" s="6"/>
      <c r="C1481" s="6"/>
      <c r="D1481" s="6"/>
      <c r="E1481" s="6"/>
      <c r="F1481" s="6"/>
      <c r="G1481" s="6"/>
    </row>
    <row r="1482" spans="1:7" x14ac:dyDescent="0.25">
      <c r="A1482" s="6" t="s">
        <v>11180</v>
      </c>
      <c r="B1482" s="6"/>
      <c r="C1482" s="6"/>
      <c r="D1482" s="6"/>
      <c r="E1482" s="6"/>
      <c r="F1482" s="6"/>
      <c r="G1482" s="6"/>
    </row>
    <row r="1483" spans="1:7" x14ac:dyDescent="0.25">
      <c r="A1483" s="6" t="s">
        <v>11177</v>
      </c>
      <c r="B1483" s="6"/>
      <c r="C1483" s="6"/>
      <c r="D1483" s="6"/>
      <c r="E1483" s="6"/>
      <c r="F1483" s="6"/>
      <c r="G1483" s="6"/>
    </row>
    <row r="1484" spans="1:7" x14ac:dyDescent="0.25">
      <c r="A1484" s="6" t="s">
        <v>11174</v>
      </c>
      <c r="B1484" s="6"/>
      <c r="C1484" s="6"/>
      <c r="D1484" s="6"/>
      <c r="E1484" s="6"/>
      <c r="F1484" s="6"/>
      <c r="G1484" s="6"/>
    </row>
    <row r="1485" spans="1:7" x14ac:dyDescent="0.25">
      <c r="A1485" s="6" t="s">
        <v>957</v>
      </c>
      <c r="B1485" s="6"/>
      <c r="C1485" s="6"/>
      <c r="D1485" s="6"/>
      <c r="E1485" s="6"/>
      <c r="F1485" s="6"/>
      <c r="G1485" s="6"/>
    </row>
    <row r="1486" spans="1:7" x14ac:dyDescent="0.25">
      <c r="A1486" s="6" t="s">
        <v>11171</v>
      </c>
      <c r="B1486" s="6"/>
      <c r="C1486" s="6"/>
      <c r="D1486" s="6"/>
      <c r="E1486" s="6"/>
      <c r="F1486" s="6"/>
      <c r="G1486" s="6"/>
    </row>
    <row r="1487" spans="1:7" x14ac:dyDescent="0.25">
      <c r="A1487" s="6" t="s">
        <v>957</v>
      </c>
      <c r="B1487" s="6"/>
      <c r="C1487" s="6"/>
      <c r="D1487" s="6"/>
      <c r="E1487" s="6"/>
      <c r="F1487" s="6"/>
      <c r="G1487" s="6"/>
    </row>
    <row r="1488" spans="1:7" x14ac:dyDescent="0.25">
      <c r="A1488" s="6" t="s">
        <v>11166</v>
      </c>
      <c r="B1488" s="6"/>
      <c r="C1488" s="6"/>
      <c r="D1488" s="6"/>
      <c r="E1488" s="6"/>
      <c r="F1488" s="6"/>
      <c r="G1488" s="6"/>
    </row>
    <row r="1489" spans="1:7" x14ac:dyDescent="0.25">
      <c r="A1489" s="6" t="s">
        <v>11164</v>
      </c>
      <c r="B1489" s="6"/>
      <c r="C1489" s="6"/>
      <c r="D1489" s="6"/>
      <c r="E1489" s="6"/>
      <c r="F1489" s="6"/>
      <c r="G1489" s="6"/>
    </row>
    <row r="1490" spans="1:7" x14ac:dyDescent="0.25">
      <c r="A1490" s="6" t="s">
        <v>11161</v>
      </c>
      <c r="B1490" s="6"/>
      <c r="C1490" s="6"/>
      <c r="D1490" s="6"/>
      <c r="E1490" s="6"/>
      <c r="F1490" s="6"/>
      <c r="G1490" s="6"/>
    </row>
    <row r="1491" spans="1:7" x14ac:dyDescent="0.25">
      <c r="A1491" s="6" t="s">
        <v>957</v>
      </c>
      <c r="B1491" s="6"/>
      <c r="C1491" s="6"/>
      <c r="D1491" s="6"/>
      <c r="E1491" s="6"/>
      <c r="F1491" s="6"/>
      <c r="G1491" s="6"/>
    </row>
    <row r="1492" spans="1:7" x14ac:dyDescent="0.25">
      <c r="A1492" s="6" t="s">
        <v>11157</v>
      </c>
      <c r="B1492" s="6"/>
      <c r="C1492" s="6"/>
      <c r="D1492" s="6"/>
      <c r="E1492" s="6"/>
      <c r="F1492" s="6"/>
      <c r="G1492" s="6"/>
    </row>
    <row r="1493" spans="1:7" x14ac:dyDescent="0.25">
      <c r="A1493" s="6" t="s">
        <v>11154</v>
      </c>
      <c r="B1493" s="6"/>
      <c r="C1493" s="6"/>
      <c r="D1493" s="6"/>
      <c r="E1493" s="6"/>
      <c r="F1493" s="6"/>
      <c r="G1493" s="6"/>
    </row>
    <row r="1494" spans="1:7" x14ac:dyDescent="0.25">
      <c r="A1494" s="6" t="s">
        <v>11151</v>
      </c>
      <c r="B1494" s="6"/>
      <c r="C1494" s="6"/>
      <c r="D1494" s="6"/>
      <c r="E1494" s="6"/>
      <c r="F1494" s="6"/>
      <c r="G1494" s="6"/>
    </row>
    <row r="1495" spans="1:7" x14ac:dyDescent="0.25">
      <c r="A1495" s="6" t="s">
        <v>11148</v>
      </c>
      <c r="B1495" s="6"/>
      <c r="C1495" s="6"/>
      <c r="D1495" s="6"/>
      <c r="E1495" s="6"/>
      <c r="F1495" s="6"/>
      <c r="G1495" s="6"/>
    </row>
    <row r="1496" spans="1:7" x14ac:dyDescent="0.25">
      <c r="A1496" s="6" t="s">
        <v>11145</v>
      </c>
      <c r="B1496" s="6"/>
      <c r="C1496" s="6"/>
      <c r="D1496" s="6"/>
      <c r="E1496" s="6"/>
      <c r="F1496" s="6"/>
      <c r="G1496" s="6"/>
    </row>
    <row r="1497" spans="1:7" x14ac:dyDescent="0.25">
      <c r="A1497" s="6" t="s">
        <v>11142</v>
      </c>
      <c r="B1497" s="6"/>
      <c r="C1497" s="6"/>
      <c r="D1497" s="6"/>
      <c r="E1497" s="6"/>
      <c r="F1497" s="6"/>
      <c r="G1497" s="6"/>
    </row>
    <row r="1498" spans="1:7" x14ac:dyDescent="0.25">
      <c r="A1498" s="6" t="s">
        <v>11139</v>
      </c>
      <c r="B1498" s="6"/>
      <c r="C1498" s="6"/>
      <c r="D1498" s="6"/>
      <c r="E1498" s="6"/>
      <c r="F1498" s="6"/>
      <c r="G1498" s="6"/>
    </row>
    <row r="1499" spans="1:7" x14ac:dyDescent="0.25">
      <c r="A1499" s="6" t="s">
        <v>11136</v>
      </c>
      <c r="B1499" s="6"/>
      <c r="C1499" s="6"/>
      <c r="D1499" s="6"/>
      <c r="E1499" s="6"/>
      <c r="F1499" s="6"/>
      <c r="G1499" s="6"/>
    </row>
    <row r="1500" spans="1:7" x14ac:dyDescent="0.25">
      <c r="A1500" s="6" t="s">
        <v>11133</v>
      </c>
      <c r="B1500" s="6"/>
      <c r="C1500" s="6"/>
      <c r="D1500" s="6"/>
      <c r="E1500" s="6"/>
      <c r="F1500" s="6"/>
      <c r="G1500" s="6"/>
    </row>
    <row r="1501" spans="1:7" x14ac:dyDescent="0.25">
      <c r="A1501" s="6" t="s">
        <v>9895</v>
      </c>
      <c r="B1501" s="6"/>
      <c r="C1501" s="6"/>
      <c r="D1501" s="6"/>
      <c r="E1501" s="6"/>
      <c r="F1501" s="6"/>
      <c r="G1501" s="6"/>
    </row>
    <row r="1502" spans="1:7" x14ac:dyDescent="0.25">
      <c r="A1502" s="6" t="s">
        <v>957</v>
      </c>
      <c r="B1502" s="6"/>
      <c r="C1502" s="6"/>
      <c r="D1502" s="6"/>
      <c r="E1502" s="6"/>
      <c r="F1502" s="6"/>
      <c r="G1502" s="6"/>
    </row>
    <row r="1503" spans="1:7" x14ac:dyDescent="0.25">
      <c r="A1503" s="6" t="s">
        <v>957</v>
      </c>
      <c r="B1503" s="6"/>
      <c r="C1503" s="6"/>
      <c r="D1503" s="6"/>
      <c r="E1503" s="6"/>
      <c r="F1503" s="6"/>
      <c r="G1503" s="6"/>
    </row>
    <row r="1504" spans="1:7" x14ac:dyDescent="0.25">
      <c r="A1504" s="6" t="s">
        <v>9889</v>
      </c>
      <c r="B1504" s="6"/>
      <c r="C1504" s="6"/>
      <c r="D1504" s="6"/>
      <c r="E1504" s="6"/>
      <c r="F1504" s="6"/>
      <c r="G1504" s="6"/>
    </row>
    <row r="1505" spans="1:7" x14ac:dyDescent="0.25">
      <c r="A1505" s="6" t="s">
        <v>957</v>
      </c>
      <c r="B1505" s="6"/>
      <c r="C1505" s="6"/>
      <c r="D1505" s="6"/>
      <c r="E1505" s="6"/>
      <c r="F1505" s="6"/>
      <c r="G1505" s="6"/>
    </row>
    <row r="1506" spans="1:7" x14ac:dyDescent="0.25">
      <c r="A1506" s="6" t="s">
        <v>9885</v>
      </c>
      <c r="B1506" s="6"/>
      <c r="C1506" s="6"/>
      <c r="D1506" s="6"/>
      <c r="E1506" s="6"/>
      <c r="F1506" s="6"/>
      <c r="G1506" s="6"/>
    </row>
    <row r="1507" spans="1:7" x14ac:dyDescent="0.25">
      <c r="A1507" s="6" t="s">
        <v>9882</v>
      </c>
      <c r="B1507" s="6"/>
      <c r="C1507" s="6"/>
      <c r="D1507" s="6"/>
      <c r="E1507" s="6"/>
      <c r="F1507" s="6"/>
      <c r="G1507" s="6"/>
    </row>
    <row r="1508" spans="1:7" x14ac:dyDescent="0.25">
      <c r="A1508" s="6" t="s">
        <v>957</v>
      </c>
      <c r="B1508" s="6"/>
      <c r="C1508" s="6"/>
      <c r="D1508" s="6"/>
      <c r="E1508" s="6"/>
      <c r="F1508" s="6"/>
      <c r="G1508" s="6"/>
    </row>
    <row r="1509" spans="1:7" x14ac:dyDescent="0.25">
      <c r="A1509" s="6" t="s">
        <v>9878</v>
      </c>
      <c r="B1509" s="6"/>
      <c r="C1509" s="6"/>
      <c r="D1509" s="6"/>
      <c r="E1509" s="6"/>
      <c r="F1509" s="6"/>
      <c r="G1509" s="6"/>
    </row>
    <row r="1510" spans="1:7" x14ac:dyDescent="0.25">
      <c r="A1510" s="6" t="s">
        <v>9875</v>
      </c>
      <c r="B1510" s="6"/>
      <c r="C1510" s="6"/>
      <c r="D1510" s="6"/>
      <c r="E1510" s="6"/>
      <c r="F1510" s="6"/>
      <c r="G1510" s="6"/>
    </row>
    <row r="1511" spans="1:7" x14ac:dyDescent="0.25">
      <c r="A1511" s="6" t="s">
        <v>9872</v>
      </c>
      <c r="B1511" s="6"/>
      <c r="C1511" s="6"/>
      <c r="D1511" s="6"/>
      <c r="E1511" s="6"/>
      <c r="F1511" s="6"/>
      <c r="G1511" s="6"/>
    </row>
    <row r="1512" spans="1:7" x14ac:dyDescent="0.25">
      <c r="A1512" s="6" t="s">
        <v>9869</v>
      </c>
      <c r="B1512" s="6"/>
      <c r="C1512" s="6"/>
      <c r="D1512" s="6"/>
      <c r="E1512" s="6"/>
      <c r="F1512" s="6"/>
      <c r="G1512" s="6"/>
    </row>
    <row r="1513" spans="1:7" x14ac:dyDescent="0.25">
      <c r="A1513" s="6" t="s">
        <v>9866</v>
      </c>
      <c r="B1513" s="6"/>
      <c r="C1513" s="6"/>
      <c r="D1513" s="6"/>
      <c r="E1513" s="6"/>
      <c r="F1513" s="6"/>
      <c r="G1513" s="6"/>
    </row>
    <row r="1514" spans="1:7" x14ac:dyDescent="0.25">
      <c r="A1514" s="6" t="s">
        <v>9864</v>
      </c>
      <c r="B1514" s="6"/>
      <c r="C1514" s="6"/>
      <c r="D1514" s="6"/>
      <c r="E1514" s="6"/>
      <c r="F1514" s="6"/>
      <c r="G1514" s="6"/>
    </row>
    <row r="1515" spans="1:7" x14ac:dyDescent="0.25">
      <c r="A1515" s="6" t="s">
        <v>9861</v>
      </c>
      <c r="B1515" s="6"/>
      <c r="C1515" s="6"/>
      <c r="D1515" s="6"/>
      <c r="E1515" s="6"/>
      <c r="F1515" s="6"/>
      <c r="G1515" s="6"/>
    </row>
    <row r="1516" spans="1:7" x14ac:dyDescent="0.25">
      <c r="A1516" s="6" t="s">
        <v>9859</v>
      </c>
      <c r="B1516" s="6"/>
      <c r="C1516" s="6"/>
      <c r="D1516" s="6"/>
      <c r="E1516" s="6"/>
      <c r="F1516" s="6"/>
      <c r="G1516" s="6"/>
    </row>
    <row r="1517" spans="1:7" x14ac:dyDescent="0.25">
      <c r="A1517" s="6" t="s">
        <v>9856</v>
      </c>
      <c r="B1517" s="6"/>
      <c r="C1517" s="6"/>
      <c r="D1517" s="6"/>
      <c r="E1517" s="6"/>
      <c r="F1517" s="6"/>
      <c r="G1517" s="6"/>
    </row>
    <row r="1518" spans="1:7" x14ac:dyDescent="0.25">
      <c r="A1518" s="6" t="s">
        <v>9853</v>
      </c>
      <c r="B1518" s="6"/>
      <c r="C1518" s="6"/>
      <c r="D1518" s="6"/>
      <c r="E1518" s="6"/>
      <c r="F1518" s="6"/>
      <c r="G1518" s="6"/>
    </row>
    <row r="1519" spans="1:7" x14ac:dyDescent="0.25">
      <c r="A1519" s="6" t="s">
        <v>9850</v>
      </c>
      <c r="B1519" s="6"/>
      <c r="C1519" s="6"/>
      <c r="D1519" s="6"/>
      <c r="E1519" s="6"/>
      <c r="F1519" s="6"/>
      <c r="G1519" s="6"/>
    </row>
    <row r="1520" spans="1:7" x14ac:dyDescent="0.25">
      <c r="A1520" s="6" t="s">
        <v>9847</v>
      </c>
      <c r="B1520" s="6"/>
      <c r="C1520" s="6"/>
      <c r="D1520" s="6"/>
      <c r="E1520" s="6"/>
      <c r="F1520" s="6"/>
      <c r="G1520" s="6"/>
    </row>
    <row r="1521" spans="1:7" x14ac:dyDescent="0.25">
      <c r="A1521" s="6" t="s">
        <v>957</v>
      </c>
      <c r="B1521" s="6"/>
      <c r="C1521" s="6"/>
      <c r="D1521" s="6"/>
      <c r="E1521" s="6"/>
      <c r="F1521" s="6"/>
      <c r="G1521" s="6"/>
    </row>
    <row r="1522" spans="1:7" x14ac:dyDescent="0.25">
      <c r="A1522" s="6" t="s">
        <v>9842</v>
      </c>
      <c r="B1522" s="6"/>
      <c r="C1522" s="6"/>
      <c r="D1522" s="6"/>
      <c r="E1522" s="6"/>
      <c r="F1522" s="6"/>
      <c r="G1522" s="6"/>
    </row>
    <row r="1523" spans="1:7" x14ac:dyDescent="0.25">
      <c r="A1523" s="6" t="s">
        <v>957</v>
      </c>
      <c r="B1523" s="6"/>
      <c r="C1523" s="6"/>
      <c r="D1523" s="6"/>
      <c r="E1523" s="6"/>
      <c r="F1523" s="6"/>
      <c r="G1523" s="6"/>
    </row>
    <row r="1524" spans="1:7" x14ac:dyDescent="0.25">
      <c r="A1524" s="6" t="s">
        <v>957</v>
      </c>
      <c r="B1524" s="6"/>
      <c r="C1524" s="6"/>
      <c r="D1524" s="6"/>
      <c r="E1524" s="6"/>
      <c r="F1524" s="6"/>
      <c r="G1524" s="6"/>
    </row>
    <row r="1525" spans="1:7" x14ac:dyDescent="0.25">
      <c r="A1525" s="6" t="s">
        <v>9837</v>
      </c>
      <c r="B1525" s="6"/>
      <c r="C1525" s="6"/>
      <c r="D1525" s="6"/>
      <c r="E1525" s="6"/>
      <c r="F1525" s="6"/>
      <c r="G1525" s="6"/>
    </row>
    <row r="1526" spans="1:7" x14ac:dyDescent="0.25">
      <c r="A1526" s="6" t="s">
        <v>9834</v>
      </c>
      <c r="B1526" s="6"/>
      <c r="C1526" s="6"/>
      <c r="D1526" s="6"/>
      <c r="E1526" s="6"/>
      <c r="F1526" s="6"/>
      <c r="G1526" s="6"/>
    </row>
    <row r="1527" spans="1:7" x14ac:dyDescent="0.25">
      <c r="A1527" s="6" t="s">
        <v>9832</v>
      </c>
      <c r="B1527" s="6"/>
      <c r="C1527" s="6"/>
      <c r="D1527" s="6"/>
      <c r="E1527" s="6"/>
      <c r="F1527" s="6"/>
      <c r="G1527" s="6"/>
    </row>
    <row r="1528" spans="1:7" x14ac:dyDescent="0.25">
      <c r="A1528" s="6" t="s">
        <v>957</v>
      </c>
      <c r="B1528" s="6"/>
      <c r="C1528" s="6"/>
      <c r="D1528" s="6"/>
      <c r="E1528" s="6"/>
      <c r="F1528" s="6"/>
      <c r="G1528" s="6"/>
    </row>
    <row r="1529" spans="1:7" x14ac:dyDescent="0.25">
      <c r="A1529" s="6" t="s">
        <v>9828</v>
      </c>
      <c r="B1529" s="6"/>
      <c r="C1529" s="6"/>
      <c r="D1529" s="6"/>
      <c r="E1529" s="6"/>
      <c r="F1529" s="6"/>
      <c r="G1529" s="6"/>
    </row>
    <row r="1530" spans="1:7" x14ac:dyDescent="0.25">
      <c r="A1530" s="6" t="s">
        <v>9825</v>
      </c>
      <c r="B1530" s="6"/>
      <c r="C1530" s="6"/>
      <c r="D1530" s="6"/>
      <c r="E1530" s="6"/>
      <c r="F1530" s="6"/>
      <c r="G1530" s="6"/>
    </row>
    <row r="1531" spans="1:7" x14ac:dyDescent="0.25">
      <c r="A1531" s="6" t="s">
        <v>14177</v>
      </c>
      <c r="B1531" s="6" t="s">
        <v>14178</v>
      </c>
      <c r="C1531" s="6"/>
      <c r="D1531" s="6"/>
      <c r="E1531" s="6"/>
      <c r="F1531" s="6"/>
      <c r="G1531" s="6"/>
    </row>
    <row r="1532" spans="1:7" x14ac:dyDescent="0.25">
      <c r="A1532" s="6" t="s">
        <v>9821</v>
      </c>
      <c r="B1532" s="6"/>
      <c r="C1532" s="6"/>
      <c r="D1532" s="6"/>
      <c r="E1532" s="6"/>
      <c r="F1532" s="6"/>
      <c r="G1532" s="6"/>
    </row>
    <row r="1533" spans="1:7" x14ac:dyDescent="0.25">
      <c r="A1533" s="6" t="s">
        <v>9818</v>
      </c>
      <c r="B1533" s="6"/>
      <c r="C1533" s="6"/>
      <c r="D1533" s="6"/>
      <c r="E1533" s="6"/>
      <c r="F1533" s="6"/>
      <c r="G1533" s="6"/>
    </row>
    <row r="1534" spans="1:7" x14ac:dyDescent="0.25">
      <c r="A1534" s="6" t="s">
        <v>957</v>
      </c>
      <c r="B1534" s="6"/>
      <c r="C1534" s="6"/>
      <c r="D1534" s="6"/>
      <c r="E1534" s="6"/>
      <c r="F1534" s="6"/>
      <c r="G1534" s="6"/>
    </row>
    <row r="1535" spans="1:7" x14ac:dyDescent="0.25">
      <c r="A1535" s="6" t="s">
        <v>957</v>
      </c>
      <c r="B1535" s="6"/>
      <c r="C1535" s="6"/>
      <c r="D1535" s="6"/>
      <c r="E1535" s="6"/>
      <c r="F1535" s="6"/>
      <c r="G1535" s="6"/>
    </row>
    <row r="1536" spans="1:7" x14ac:dyDescent="0.25">
      <c r="A1536" s="6" t="s">
        <v>957</v>
      </c>
      <c r="B1536" s="6"/>
      <c r="C1536" s="6"/>
      <c r="D1536" s="6"/>
      <c r="E1536" s="6"/>
      <c r="F1536" s="6"/>
      <c r="G1536" s="6"/>
    </row>
    <row r="1537" spans="1:7" x14ac:dyDescent="0.25">
      <c r="A1537" s="6" t="s">
        <v>957</v>
      </c>
      <c r="B1537" s="6"/>
      <c r="C1537" s="6"/>
      <c r="D1537" s="6"/>
      <c r="E1537" s="6"/>
      <c r="F1537" s="6"/>
      <c r="G1537" s="6"/>
    </row>
    <row r="1538" spans="1:7" x14ac:dyDescent="0.25">
      <c r="A1538" s="6" t="s">
        <v>957</v>
      </c>
      <c r="B1538" s="6"/>
      <c r="C1538" s="6"/>
      <c r="D1538" s="6"/>
      <c r="E1538" s="6"/>
      <c r="F1538" s="6"/>
      <c r="G1538" s="6"/>
    </row>
    <row r="1539" spans="1:7" x14ac:dyDescent="0.25">
      <c r="A1539" s="6" t="s">
        <v>957</v>
      </c>
      <c r="B1539" s="6"/>
      <c r="C1539" s="6"/>
      <c r="D1539" s="6"/>
      <c r="E1539" s="6"/>
      <c r="F1539" s="6"/>
      <c r="G1539" s="6"/>
    </row>
    <row r="1540" spans="1:7" x14ac:dyDescent="0.25">
      <c r="A1540" s="6" t="s">
        <v>9808</v>
      </c>
      <c r="B1540" s="6"/>
      <c r="C1540" s="6"/>
      <c r="D1540" s="6"/>
      <c r="E1540" s="6"/>
      <c r="F1540" s="6"/>
      <c r="G1540" s="6"/>
    </row>
    <row r="1541" spans="1:7" x14ac:dyDescent="0.25">
      <c r="A1541" s="6" t="s">
        <v>9806</v>
      </c>
      <c r="B1541" s="6"/>
      <c r="C1541" s="6"/>
      <c r="D1541" s="6"/>
      <c r="E1541" s="6"/>
      <c r="F1541" s="6"/>
      <c r="G1541" s="6"/>
    </row>
    <row r="1542" spans="1:7" x14ac:dyDescent="0.25">
      <c r="A1542" s="6" t="s">
        <v>9803</v>
      </c>
      <c r="B1542" s="6"/>
      <c r="C1542" s="6"/>
      <c r="D1542" s="6"/>
      <c r="E1542" s="6"/>
      <c r="F1542" s="6"/>
      <c r="G1542" s="6"/>
    </row>
    <row r="1543" spans="1:7" x14ac:dyDescent="0.25">
      <c r="A1543" s="6" t="s">
        <v>957</v>
      </c>
      <c r="B1543" s="6"/>
      <c r="C1543" s="6"/>
      <c r="D1543" s="6"/>
      <c r="E1543" s="6"/>
      <c r="F1543" s="6"/>
      <c r="G1543" s="6"/>
    </row>
    <row r="1544" spans="1:7" x14ac:dyDescent="0.25">
      <c r="A1544" s="6" t="s">
        <v>9799</v>
      </c>
      <c r="B1544" s="6"/>
      <c r="C1544" s="6"/>
      <c r="D1544" s="6"/>
      <c r="E1544" s="6"/>
      <c r="F1544" s="6"/>
      <c r="G1544" s="6"/>
    </row>
    <row r="1545" spans="1:7" x14ac:dyDescent="0.25">
      <c r="A1545" s="6" t="s">
        <v>9796</v>
      </c>
      <c r="B1545" s="6"/>
      <c r="C1545" s="6"/>
      <c r="D1545" s="6"/>
      <c r="E1545" s="6"/>
      <c r="F1545" s="6"/>
      <c r="G1545" s="6"/>
    </row>
    <row r="1546" spans="1:7" x14ac:dyDescent="0.25">
      <c r="A1546" s="6" t="s">
        <v>957</v>
      </c>
      <c r="B1546" s="6"/>
      <c r="C1546" s="6"/>
      <c r="D1546" s="6"/>
      <c r="E1546" s="6"/>
      <c r="F1546" s="6"/>
      <c r="G1546" s="6"/>
    </row>
    <row r="1547" spans="1:7" x14ac:dyDescent="0.25">
      <c r="A1547" s="6" t="s">
        <v>9792</v>
      </c>
      <c r="B1547" s="6"/>
      <c r="C1547" s="6"/>
      <c r="D1547" s="6"/>
      <c r="E1547" s="6"/>
      <c r="F1547" s="6"/>
      <c r="G1547" s="6"/>
    </row>
    <row r="1548" spans="1:7" x14ac:dyDescent="0.25">
      <c r="A1548" s="6" t="s">
        <v>9789</v>
      </c>
      <c r="B1548" s="6"/>
      <c r="C1548" s="6"/>
      <c r="D1548" s="6"/>
      <c r="E1548" s="6"/>
      <c r="F1548" s="6"/>
      <c r="G1548" s="6"/>
    </row>
    <row r="1549" spans="1:7" x14ac:dyDescent="0.25">
      <c r="A1549" s="6" t="s">
        <v>9786</v>
      </c>
      <c r="B1549" s="6"/>
      <c r="C1549" s="6"/>
      <c r="D1549" s="6"/>
      <c r="E1549" s="6"/>
      <c r="F1549" s="6"/>
      <c r="G1549" s="6"/>
    </row>
    <row r="1550" spans="1:7" x14ac:dyDescent="0.25">
      <c r="A1550" s="6" t="s">
        <v>9783</v>
      </c>
      <c r="B1550" s="6"/>
      <c r="C1550" s="6"/>
      <c r="D1550" s="6"/>
      <c r="E1550" s="6"/>
      <c r="F1550" s="6"/>
      <c r="G1550" s="6"/>
    </row>
    <row r="1551" spans="1:7" x14ac:dyDescent="0.25">
      <c r="A1551" s="6" t="s">
        <v>9781</v>
      </c>
      <c r="B1551" s="6"/>
      <c r="C1551" s="6"/>
      <c r="D1551" s="6"/>
      <c r="E1551" s="6"/>
      <c r="F1551" s="6"/>
      <c r="G1551" s="6"/>
    </row>
    <row r="1552" spans="1:7" x14ac:dyDescent="0.25">
      <c r="A1552" s="6" t="s">
        <v>10897</v>
      </c>
      <c r="B1552" s="6"/>
      <c r="C1552" s="6"/>
      <c r="D1552" s="6"/>
      <c r="E1552" s="6"/>
      <c r="F1552" s="6"/>
      <c r="G1552" s="6"/>
    </row>
    <row r="1553" spans="1:7" x14ac:dyDescent="0.25">
      <c r="A1553" s="6" t="s">
        <v>957</v>
      </c>
      <c r="B1553" s="6"/>
      <c r="C1553" s="6"/>
      <c r="D1553" s="6"/>
      <c r="E1553" s="6"/>
      <c r="F1553" s="6"/>
      <c r="G1553" s="6"/>
    </row>
    <row r="1554" spans="1:7" x14ac:dyDescent="0.25">
      <c r="A1554" s="6" t="s">
        <v>10893</v>
      </c>
      <c r="B1554" s="6"/>
      <c r="C1554" s="6"/>
      <c r="D1554" s="6"/>
      <c r="E1554" s="6"/>
      <c r="F1554" s="6"/>
      <c r="G1554" s="6"/>
    </row>
    <row r="1555" spans="1:7" x14ac:dyDescent="0.25">
      <c r="A1555" s="6" t="s">
        <v>10890</v>
      </c>
      <c r="B1555" s="6"/>
      <c r="C1555" s="6"/>
      <c r="D1555" s="6"/>
      <c r="E1555" s="6"/>
      <c r="F1555" s="6"/>
      <c r="G1555" s="6"/>
    </row>
    <row r="1556" spans="1:7" x14ac:dyDescent="0.25">
      <c r="A1556" s="6" t="s">
        <v>10887</v>
      </c>
      <c r="B1556" s="6"/>
      <c r="C1556" s="6"/>
      <c r="D1556" s="6"/>
      <c r="E1556" s="6"/>
      <c r="F1556" s="6"/>
      <c r="G1556" s="6"/>
    </row>
    <row r="1557" spans="1:7" x14ac:dyDescent="0.25">
      <c r="A1557" s="6" t="s">
        <v>10885</v>
      </c>
      <c r="B1557" s="6"/>
      <c r="C1557" s="6"/>
      <c r="D1557" s="6"/>
      <c r="E1557" s="6"/>
      <c r="F1557" s="6"/>
      <c r="G1557" s="6"/>
    </row>
    <row r="1558" spans="1:7" x14ac:dyDescent="0.25">
      <c r="A1558" s="6" t="s">
        <v>10883</v>
      </c>
      <c r="B1558" s="6"/>
      <c r="C1558" s="6"/>
      <c r="D1558" s="6"/>
      <c r="E1558" s="6"/>
      <c r="F1558" s="6"/>
      <c r="G1558" s="6"/>
    </row>
    <row r="1559" spans="1:7" x14ac:dyDescent="0.25">
      <c r="A1559" s="6" t="s">
        <v>10880</v>
      </c>
      <c r="B1559" s="6"/>
      <c r="C1559" s="6"/>
      <c r="D1559" s="6"/>
      <c r="E1559" s="6"/>
      <c r="F1559" s="6"/>
      <c r="G1559" s="6"/>
    </row>
    <row r="1560" spans="1:7" x14ac:dyDescent="0.25">
      <c r="A1560" s="6" t="s">
        <v>10877</v>
      </c>
      <c r="B1560" s="6"/>
      <c r="C1560" s="6"/>
      <c r="D1560" s="6"/>
      <c r="E1560" s="6"/>
      <c r="F1560" s="6"/>
      <c r="G1560" s="6"/>
    </row>
    <row r="1561" spans="1:7" x14ac:dyDescent="0.25">
      <c r="A1561" s="6" t="s">
        <v>14099</v>
      </c>
      <c r="B1561" s="6" t="s">
        <v>14100</v>
      </c>
      <c r="C1561" s="6"/>
      <c r="D1561" s="6"/>
      <c r="E1561" s="6"/>
      <c r="F1561" s="6"/>
      <c r="G1561" s="6"/>
    </row>
    <row r="1562" spans="1:7" x14ac:dyDescent="0.25">
      <c r="A1562" s="6" t="s">
        <v>10872</v>
      </c>
      <c r="B1562" s="6"/>
      <c r="C1562" s="6"/>
      <c r="D1562" s="6"/>
      <c r="E1562" s="6"/>
      <c r="F1562" s="6"/>
      <c r="G1562" s="6"/>
    </row>
    <row r="1563" spans="1:7" x14ac:dyDescent="0.25">
      <c r="A1563" s="6" t="s">
        <v>10870</v>
      </c>
      <c r="B1563" s="6"/>
      <c r="C1563" s="6"/>
      <c r="D1563" s="6"/>
      <c r="E1563" s="6"/>
      <c r="F1563" s="6"/>
      <c r="G1563" s="6"/>
    </row>
    <row r="1564" spans="1:7" x14ac:dyDescent="0.25">
      <c r="A1564" s="6" t="s">
        <v>10867</v>
      </c>
      <c r="B1564" s="6"/>
      <c r="C1564" s="6"/>
      <c r="D1564" s="6"/>
      <c r="E1564" s="6"/>
      <c r="F1564" s="6"/>
      <c r="G1564" s="6"/>
    </row>
    <row r="1565" spans="1:7" x14ac:dyDescent="0.25">
      <c r="A1565" s="6" t="s">
        <v>9745</v>
      </c>
      <c r="B1565" s="6"/>
      <c r="C1565" s="6"/>
      <c r="D1565" s="6"/>
      <c r="E1565" s="6"/>
      <c r="F1565" s="6"/>
      <c r="G1565" s="6"/>
    </row>
    <row r="1566" spans="1:7" x14ac:dyDescent="0.25">
      <c r="A1566" s="6" t="s">
        <v>9742</v>
      </c>
      <c r="B1566" s="6"/>
      <c r="C1566" s="6"/>
      <c r="D1566" s="6"/>
      <c r="E1566" s="6"/>
      <c r="F1566" s="6"/>
      <c r="G1566" s="6"/>
    </row>
    <row r="1567" spans="1:7" x14ac:dyDescent="0.25">
      <c r="A1567" s="6" t="s">
        <v>9739</v>
      </c>
      <c r="B1567" s="6"/>
      <c r="C1567" s="6"/>
      <c r="D1567" s="6"/>
      <c r="E1567" s="6"/>
      <c r="F1567" s="6"/>
      <c r="G1567" s="6"/>
    </row>
    <row r="1568" spans="1:7" x14ac:dyDescent="0.25">
      <c r="A1568" s="6" t="s">
        <v>9736</v>
      </c>
      <c r="B1568" s="6"/>
      <c r="C1568" s="6"/>
      <c r="D1568" s="6"/>
      <c r="E1568" s="6"/>
      <c r="F1568" s="6"/>
      <c r="G1568" s="6"/>
    </row>
    <row r="1569" spans="1:7" x14ac:dyDescent="0.25">
      <c r="A1569" s="6" t="s">
        <v>9733</v>
      </c>
      <c r="B1569" s="6"/>
      <c r="C1569" s="6"/>
      <c r="D1569" s="6"/>
      <c r="E1569" s="6"/>
      <c r="F1569" s="6"/>
      <c r="G1569" s="6"/>
    </row>
    <row r="1570" spans="1:7" x14ac:dyDescent="0.25">
      <c r="A1570" s="6" t="s">
        <v>9731</v>
      </c>
      <c r="B1570" s="6"/>
      <c r="C1570" s="6"/>
      <c r="D1570" s="6"/>
      <c r="E1570" s="6"/>
      <c r="F1570" s="6"/>
      <c r="G1570" s="6"/>
    </row>
    <row r="1571" spans="1:7" x14ac:dyDescent="0.25">
      <c r="A1571" s="6" t="s">
        <v>957</v>
      </c>
      <c r="B1571" s="6"/>
      <c r="C1571" s="6"/>
      <c r="D1571" s="6"/>
      <c r="E1571" s="6"/>
      <c r="F1571" s="6"/>
      <c r="G1571" s="6"/>
    </row>
    <row r="1572" spans="1:7" x14ac:dyDescent="0.25">
      <c r="A1572" s="6" t="s">
        <v>9727</v>
      </c>
      <c r="B1572" s="6"/>
      <c r="C1572" s="6"/>
      <c r="D1572" s="6"/>
      <c r="E1572" s="6"/>
      <c r="F1572" s="6"/>
      <c r="G1572" s="6"/>
    </row>
    <row r="1573" spans="1:7" x14ac:dyDescent="0.25">
      <c r="A1573" s="6" t="s">
        <v>9724</v>
      </c>
      <c r="B1573" s="6"/>
      <c r="C1573" s="6"/>
      <c r="D1573" s="6"/>
      <c r="E1573" s="6"/>
      <c r="F1573" s="6"/>
      <c r="G1573" s="6"/>
    </row>
    <row r="1574" spans="1:7" x14ac:dyDescent="0.25">
      <c r="A1574" s="6" t="s">
        <v>9721</v>
      </c>
      <c r="B1574" s="6"/>
      <c r="C1574" s="6"/>
      <c r="D1574" s="6"/>
      <c r="E1574" s="6"/>
      <c r="F1574" s="6"/>
      <c r="G1574" s="6"/>
    </row>
    <row r="1575" spans="1:7" x14ac:dyDescent="0.25">
      <c r="A1575" s="6" t="s">
        <v>9718</v>
      </c>
      <c r="B1575" s="6"/>
      <c r="C1575" s="6"/>
      <c r="D1575" s="6"/>
      <c r="E1575" s="6"/>
      <c r="F1575" s="6"/>
      <c r="G1575" s="6"/>
    </row>
    <row r="1576" spans="1:7" x14ac:dyDescent="0.25">
      <c r="A1576" s="6" t="s">
        <v>10695</v>
      </c>
      <c r="B1576" s="6"/>
      <c r="C1576" s="6"/>
      <c r="D1576" s="6"/>
      <c r="E1576" s="6"/>
      <c r="F1576" s="6"/>
      <c r="G1576" s="6"/>
    </row>
    <row r="1577" spans="1:7" x14ac:dyDescent="0.25">
      <c r="A1577" s="6" t="s">
        <v>10692</v>
      </c>
      <c r="B1577" s="6"/>
      <c r="C1577" s="6"/>
      <c r="D1577" s="6"/>
      <c r="E1577" s="6"/>
      <c r="F1577" s="6"/>
      <c r="G1577" s="6"/>
    </row>
    <row r="1578" spans="1:7" x14ac:dyDescent="0.25">
      <c r="A1578" s="6" t="s">
        <v>10689</v>
      </c>
      <c r="B1578" s="6"/>
      <c r="C1578" s="6"/>
      <c r="D1578" s="6"/>
      <c r="E1578" s="6"/>
      <c r="F1578" s="6"/>
      <c r="G1578" s="6"/>
    </row>
    <row r="1579" spans="1:7" x14ac:dyDescent="0.25">
      <c r="A1579" s="6" t="s">
        <v>10686</v>
      </c>
      <c r="B1579" s="6"/>
      <c r="C1579" s="6"/>
      <c r="D1579" s="6"/>
      <c r="E1579" s="6"/>
      <c r="F1579" s="6"/>
      <c r="G1579" s="6"/>
    </row>
    <row r="1580" spans="1:7" x14ac:dyDescent="0.25">
      <c r="A1580" s="6" t="s">
        <v>10683</v>
      </c>
      <c r="B1580" s="6"/>
      <c r="C1580" s="6"/>
      <c r="D1580" s="6"/>
      <c r="E1580" s="6"/>
      <c r="F1580" s="6"/>
      <c r="G1580" s="6"/>
    </row>
    <row r="1581" spans="1:7" x14ac:dyDescent="0.25">
      <c r="A1581" s="6" t="s">
        <v>10680</v>
      </c>
      <c r="B1581" s="6"/>
      <c r="C1581" s="6"/>
      <c r="D1581" s="6"/>
      <c r="E1581" s="6"/>
      <c r="F1581" s="6"/>
      <c r="G1581" s="6"/>
    </row>
    <row r="1582" spans="1:7" x14ac:dyDescent="0.25">
      <c r="A1582" s="6" t="s">
        <v>10677</v>
      </c>
      <c r="B1582" s="6"/>
      <c r="C1582" s="6"/>
      <c r="D1582" s="6"/>
      <c r="E1582" s="6"/>
      <c r="F1582" s="6"/>
      <c r="G1582" s="6"/>
    </row>
    <row r="1583" spans="1:7" x14ac:dyDescent="0.25">
      <c r="A1583" s="6" t="s">
        <v>10675</v>
      </c>
      <c r="B1583" s="6"/>
      <c r="C1583" s="6"/>
      <c r="D1583" s="6"/>
      <c r="E1583" s="6"/>
      <c r="F1583" s="6"/>
      <c r="G1583" s="6"/>
    </row>
    <row r="1584" spans="1:7" x14ac:dyDescent="0.25">
      <c r="A1584" s="6" t="s">
        <v>10672</v>
      </c>
      <c r="B1584" s="6"/>
      <c r="C1584" s="6"/>
      <c r="D1584" s="6"/>
      <c r="E1584" s="6"/>
      <c r="F1584" s="6"/>
      <c r="G1584" s="6"/>
    </row>
    <row r="1585" spans="1:7" x14ac:dyDescent="0.25">
      <c r="A1585" s="6" t="s">
        <v>957</v>
      </c>
      <c r="B1585" s="6"/>
      <c r="C1585" s="6"/>
      <c r="D1585" s="6"/>
      <c r="E1585" s="6"/>
      <c r="F1585" s="6"/>
      <c r="G1585" s="6"/>
    </row>
    <row r="1586" spans="1:7" x14ac:dyDescent="0.25">
      <c r="A1586" s="6" t="s">
        <v>957</v>
      </c>
      <c r="B1586" s="6"/>
      <c r="C1586" s="6"/>
      <c r="D1586" s="6"/>
      <c r="E1586" s="6"/>
      <c r="F1586" s="6"/>
      <c r="G1586" s="6"/>
    </row>
    <row r="1587" spans="1:7" x14ac:dyDescent="0.25">
      <c r="A1587" s="6" t="s">
        <v>957</v>
      </c>
      <c r="B1587" s="6"/>
      <c r="C1587" s="6"/>
      <c r="D1587" s="6"/>
      <c r="E1587" s="6"/>
      <c r="F1587" s="6"/>
      <c r="G1587" s="6"/>
    </row>
    <row r="1588" spans="1:7" x14ac:dyDescent="0.25">
      <c r="A1588" s="6" t="s">
        <v>10665</v>
      </c>
      <c r="B1588" s="6"/>
      <c r="C1588" s="6"/>
      <c r="D1588" s="6"/>
      <c r="E1588" s="6"/>
      <c r="F1588" s="6"/>
      <c r="G1588" s="6"/>
    </row>
    <row r="1589" spans="1:7" x14ac:dyDescent="0.25">
      <c r="A1589" s="6" t="s">
        <v>10662</v>
      </c>
      <c r="B1589" s="6"/>
      <c r="C1589" s="6"/>
      <c r="D1589" s="6"/>
      <c r="E1589" s="6"/>
      <c r="F1589" s="6"/>
      <c r="G1589" s="6"/>
    </row>
    <row r="1590" spans="1:7" x14ac:dyDescent="0.25">
      <c r="A1590" s="6" t="s">
        <v>10659</v>
      </c>
      <c r="B1590" s="6"/>
      <c r="C1590" s="6"/>
      <c r="D1590" s="6"/>
      <c r="E1590" s="6"/>
      <c r="F1590" s="6"/>
      <c r="G1590" s="6"/>
    </row>
    <row r="1591" spans="1:7" x14ac:dyDescent="0.25">
      <c r="A1591" s="6" t="s">
        <v>957</v>
      </c>
      <c r="B1591" s="6"/>
      <c r="C1591" s="6"/>
      <c r="D1591" s="6"/>
      <c r="E1591" s="6"/>
      <c r="F1591" s="6"/>
      <c r="G1591" s="6"/>
    </row>
    <row r="1592" spans="1:7" x14ac:dyDescent="0.25">
      <c r="A1592" s="6" t="s">
        <v>10655</v>
      </c>
      <c r="B1592" s="6"/>
      <c r="C1592" s="6"/>
      <c r="D1592" s="6"/>
      <c r="E1592" s="6"/>
      <c r="F1592" s="6"/>
      <c r="G1592" s="6"/>
    </row>
    <row r="1593" spans="1:7" x14ac:dyDescent="0.25">
      <c r="A1593" s="6" t="s">
        <v>957</v>
      </c>
      <c r="B1593" s="6"/>
      <c r="C1593" s="6"/>
      <c r="D1593" s="6"/>
      <c r="E1593" s="6"/>
      <c r="F1593" s="6"/>
      <c r="G1593" s="6"/>
    </row>
    <row r="1594" spans="1:7" x14ac:dyDescent="0.25">
      <c r="A1594" s="6" t="s">
        <v>957</v>
      </c>
      <c r="B1594" s="6"/>
      <c r="C1594" s="6"/>
      <c r="D1594" s="6"/>
      <c r="E1594" s="6"/>
      <c r="F1594" s="6"/>
      <c r="G1594" s="6"/>
    </row>
    <row r="1595" spans="1:7" x14ac:dyDescent="0.25">
      <c r="A1595" s="6" t="s">
        <v>957</v>
      </c>
      <c r="B1595" s="6"/>
      <c r="C1595" s="6"/>
      <c r="D1595" s="6"/>
      <c r="E1595" s="6"/>
      <c r="F1595" s="6"/>
      <c r="G1595" s="6"/>
    </row>
    <row r="1596" spans="1:7" x14ac:dyDescent="0.25">
      <c r="A1596" s="6" t="s">
        <v>957</v>
      </c>
      <c r="B1596" s="6"/>
      <c r="C1596" s="6"/>
      <c r="D1596" s="6"/>
      <c r="E1596" s="6"/>
      <c r="F1596" s="6"/>
      <c r="G1596" s="6"/>
    </row>
    <row r="1597" spans="1:7" x14ac:dyDescent="0.25">
      <c r="A1597" s="6" t="s">
        <v>10647</v>
      </c>
      <c r="B1597" s="6"/>
      <c r="C1597" s="6"/>
      <c r="D1597" s="6"/>
      <c r="E1597" s="6"/>
      <c r="F1597" s="6"/>
      <c r="G1597" s="6"/>
    </row>
    <row r="1598" spans="1:7" x14ac:dyDescent="0.25">
      <c r="A1598" s="6" t="s">
        <v>10644</v>
      </c>
      <c r="B1598" s="6"/>
      <c r="C1598" s="6"/>
      <c r="D1598" s="6"/>
      <c r="E1598" s="6"/>
      <c r="F1598" s="6"/>
      <c r="G1598" s="6"/>
    </row>
    <row r="1599" spans="1:7" x14ac:dyDescent="0.25">
      <c r="A1599" s="6" t="s">
        <v>10641</v>
      </c>
      <c r="B1599" s="6"/>
      <c r="C1599" s="6"/>
      <c r="D1599" s="6"/>
      <c r="E1599" s="6"/>
      <c r="F1599" s="6"/>
      <c r="G1599" s="6"/>
    </row>
    <row r="1600" spans="1:7" x14ac:dyDescent="0.25">
      <c r="A1600" s="6" t="s">
        <v>10638</v>
      </c>
      <c r="B1600" s="6"/>
      <c r="C1600" s="6"/>
      <c r="D1600" s="6"/>
      <c r="E1600" s="6"/>
      <c r="F1600" s="6"/>
      <c r="G1600" s="6"/>
    </row>
    <row r="1601" spans="1:7" x14ac:dyDescent="0.25">
      <c r="A1601" s="6" t="s">
        <v>10635</v>
      </c>
      <c r="B1601" s="6"/>
      <c r="C1601" s="6"/>
      <c r="D1601" s="6"/>
      <c r="E1601" s="6"/>
      <c r="F1601" s="6"/>
      <c r="G1601" s="6"/>
    </row>
    <row r="1602" spans="1:7" x14ac:dyDescent="0.25">
      <c r="A1602" s="6" t="s">
        <v>10633</v>
      </c>
      <c r="B1602" s="6"/>
      <c r="C1602" s="6"/>
      <c r="D1602" s="6"/>
      <c r="E1602" s="6"/>
      <c r="F1602" s="6"/>
      <c r="G1602" s="6"/>
    </row>
    <row r="1603" spans="1:7" x14ac:dyDescent="0.25">
      <c r="A1603" s="6" t="s">
        <v>10630</v>
      </c>
      <c r="B1603" s="6"/>
      <c r="C1603" s="6"/>
      <c r="D1603" s="6"/>
      <c r="E1603" s="6"/>
      <c r="F1603" s="6"/>
      <c r="G1603" s="6"/>
    </row>
    <row r="1604" spans="1:7" x14ac:dyDescent="0.25">
      <c r="A1604" s="6" t="s">
        <v>10627</v>
      </c>
      <c r="B1604" s="6"/>
      <c r="C1604" s="6"/>
      <c r="D1604" s="6"/>
      <c r="E1604" s="6"/>
      <c r="F1604" s="6"/>
      <c r="G1604" s="6"/>
    </row>
    <row r="1605" spans="1:7" x14ac:dyDescent="0.25">
      <c r="A1605" s="6" t="s">
        <v>10624</v>
      </c>
      <c r="B1605" s="6"/>
      <c r="C1605" s="6"/>
      <c r="D1605" s="6"/>
      <c r="E1605" s="6"/>
      <c r="F1605" s="6"/>
      <c r="G1605" s="6"/>
    </row>
    <row r="1606" spans="1:7" x14ac:dyDescent="0.25">
      <c r="A1606" s="6" t="s">
        <v>10621</v>
      </c>
      <c r="B1606" s="6"/>
      <c r="C1606" s="6"/>
      <c r="D1606" s="6"/>
      <c r="E1606" s="6"/>
      <c r="F1606" s="6"/>
      <c r="G1606" s="6"/>
    </row>
    <row r="1607" spans="1:7" x14ac:dyDescent="0.25">
      <c r="A1607" s="6" t="s">
        <v>9622</v>
      </c>
      <c r="B1607" s="6"/>
      <c r="C1607" s="6"/>
      <c r="D1607" s="6"/>
      <c r="E1607" s="6"/>
      <c r="F1607" s="6"/>
      <c r="G1607" s="6"/>
    </row>
    <row r="1608" spans="1:7" x14ac:dyDescent="0.25">
      <c r="A1608" s="6" t="s">
        <v>957</v>
      </c>
      <c r="B1608" s="6"/>
      <c r="C1608" s="6"/>
      <c r="D1608" s="6"/>
      <c r="E1608" s="6"/>
      <c r="F1608" s="6"/>
      <c r="G1608" s="6"/>
    </row>
    <row r="1609" spans="1:7" x14ac:dyDescent="0.25">
      <c r="A1609" s="6" t="s">
        <v>9618</v>
      </c>
      <c r="B1609" s="6"/>
      <c r="C1609" s="6"/>
      <c r="D1609" s="6"/>
      <c r="E1609" s="6"/>
      <c r="F1609" s="6"/>
      <c r="G1609" s="6"/>
    </row>
    <row r="1610" spans="1:7" x14ac:dyDescent="0.25">
      <c r="A1610" s="6" t="s">
        <v>9615</v>
      </c>
      <c r="B1610" s="6"/>
      <c r="C1610" s="6"/>
      <c r="D1610" s="6"/>
      <c r="E1610" s="6"/>
      <c r="F1610" s="6"/>
      <c r="G1610" s="6"/>
    </row>
    <row r="1611" spans="1:7" x14ac:dyDescent="0.25">
      <c r="A1611" s="6" t="s">
        <v>9612</v>
      </c>
      <c r="B1611" s="6"/>
      <c r="C1611" s="6"/>
      <c r="D1611" s="6"/>
      <c r="E1611" s="6"/>
      <c r="F1611" s="6"/>
      <c r="G1611" s="6"/>
    </row>
    <row r="1612" spans="1:7" x14ac:dyDescent="0.25">
      <c r="A1612" s="6" t="s">
        <v>957</v>
      </c>
      <c r="B1612" s="6"/>
      <c r="C1612" s="6"/>
      <c r="D1612" s="6"/>
      <c r="E1612" s="6"/>
      <c r="F1612" s="6"/>
      <c r="G1612" s="6"/>
    </row>
    <row r="1613" spans="1:7" x14ac:dyDescent="0.25">
      <c r="A1613" s="6" t="s">
        <v>9609</v>
      </c>
      <c r="B1613" s="6"/>
      <c r="C1613" s="6"/>
      <c r="D1613" s="6"/>
      <c r="E1613" s="6"/>
      <c r="F1613" s="6"/>
      <c r="G1613" s="6"/>
    </row>
    <row r="1614" spans="1:7" x14ac:dyDescent="0.25">
      <c r="A1614" s="6" t="s">
        <v>957</v>
      </c>
      <c r="B1614" s="6"/>
      <c r="C1614" s="6"/>
      <c r="D1614" s="6"/>
      <c r="E1614" s="6"/>
      <c r="F1614" s="6"/>
      <c r="G1614" s="6"/>
    </row>
    <row r="1615" spans="1:7" x14ac:dyDescent="0.25">
      <c r="A1615" s="6" t="s">
        <v>9604</v>
      </c>
      <c r="B1615" s="6"/>
      <c r="C1615" s="6"/>
      <c r="D1615" s="6"/>
      <c r="E1615" s="6"/>
      <c r="F1615" s="6"/>
      <c r="G1615" s="6"/>
    </row>
    <row r="1616" spans="1:7" x14ac:dyDescent="0.25">
      <c r="A1616" s="6" t="s">
        <v>9601</v>
      </c>
      <c r="B1616" s="6"/>
      <c r="C1616" s="6"/>
      <c r="D1616" s="6"/>
      <c r="E1616" s="6"/>
      <c r="F1616" s="6"/>
      <c r="G1616" s="6"/>
    </row>
    <row r="1617" spans="1:7" x14ac:dyDescent="0.25">
      <c r="A1617" s="6" t="s">
        <v>9598</v>
      </c>
      <c r="B1617" s="6"/>
      <c r="C1617" s="6"/>
      <c r="D1617" s="6"/>
      <c r="E1617" s="6"/>
      <c r="F1617" s="6"/>
      <c r="G1617" s="6"/>
    </row>
    <row r="1618" spans="1:7" x14ac:dyDescent="0.25">
      <c r="A1618" s="6" t="s">
        <v>957</v>
      </c>
      <c r="B1618" s="6"/>
      <c r="C1618" s="6"/>
      <c r="D1618" s="6"/>
      <c r="E1618" s="6"/>
      <c r="F1618" s="6"/>
      <c r="G1618" s="6"/>
    </row>
    <row r="1619" spans="1:7" x14ac:dyDescent="0.25">
      <c r="A1619" s="6" t="s">
        <v>9594</v>
      </c>
      <c r="B1619" s="6"/>
      <c r="C1619" s="6"/>
      <c r="D1619" s="6"/>
      <c r="E1619" s="6"/>
      <c r="F1619" s="6"/>
      <c r="G1619" s="6"/>
    </row>
    <row r="1620" spans="1:7" x14ac:dyDescent="0.25">
      <c r="A1620" s="6" t="s">
        <v>10587</v>
      </c>
      <c r="B1620" s="6"/>
      <c r="C1620" s="6"/>
      <c r="D1620" s="6"/>
      <c r="E1620" s="6"/>
      <c r="F1620" s="6"/>
      <c r="G1620" s="6"/>
    </row>
    <row r="1621" spans="1:7" x14ac:dyDescent="0.25">
      <c r="A1621" s="6" t="s">
        <v>10584</v>
      </c>
      <c r="B1621" s="6"/>
      <c r="C1621" s="6"/>
      <c r="D1621" s="6"/>
      <c r="E1621" s="6"/>
      <c r="F1621" s="6"/>
      <c r="G1621" s="6"/>
    </row>
    <row r="1622" spans="1:7" x14ac:dyDescent="0.25">
      <c r="A1622" s="6" t="s">
        <v>10581</v>
      </c>
      <c r="B1622" s="6"/>
      <c r="C1622" s="6"/>
      <c r="D1622" s="6"/>
      <c r="E1622" s="6"/>
      <c r="F1622" s="6"/>
      <c r="G1622" s="6"/>
    </row>
    <row r="1623" spans="1:7" x14ac:dyDescent="0.25">
      <c r="A1623" s="6" t="s">
        <v>10578</v>
      </c>
      <c r="B1623" s="6"/>
      <c r="C1623" s="6"/>
      <c r="D1623" s="6"/>
      <c r="E1623" s="6"/>
      <c r="F1623" s="6"/>
      <c r="G1623" s="6"/>
    </row>
    <row r="1624" spans="1:7" x14ac:dyDescent="0.25">
      <c r="A1624" s="6" t="s">
        <v>10575</v>
      </c>
      <c r="B1624" s="6"/>
      <c r="C1624" s="6"/>
      <c r="D1624" s="6"/>
      <c r="E1624" s="6"/>
      <c r="F1624" s="6"/>
      <c r="G1624" s="6"/>
    </row>
    <row r="1625" spans="1:7" x14ac:dyDescent="0.25">
      <c r="A1625" s="6" t="s">
        <v>10572</v>
      </c>
      <c r="B1625" s="6"/>
      <c r="C1625" s="6"/>
      <c r="D1625" s="6"/>
      <c r="E1625" s="6"/>
      <c r="F1625" s="6"/>
      <c r="G1625" s="6"/>
    </row>
    <row r="1626" spans="1:7" x14ac:dyDescent="0.25">
      <c r="A1626" s="6" t="s">
        <v>10569</v>
      </c>
      <c r="B1626" s="6"/>
      <c r="C1626" s="6"/>
      <c r="D1626" s="6"/>
      <c r="E1626" s="6"/>
      <c r="F1626" s="6"/>
      <c r="G1626" s="6"/>
    </row>
    <row r="1627" spans="1:7" x14ac:dyDescent="0.25">
      <c r="A1627" s="6" t="s">
        <v>10566</v>
      </c>
      <c r="B1627" s="6"/>
      <c r="C1627" s="6"/>
      <c r="D1627" s="6"/>
      <c r="E1627" s="6"/>
      <c r="F1627" s="6"/>
      <c r="G1627" s="6"/>
    </row>
    <row r="1628" spans="1:7" x14ac:dyDescent="0.25">
      <c r="A1628" s="6" t="s">
        <v>10563</v>
      </c>
      <c r="B1628" s="6"/>
      <c r="C1628" s="6"/>
      <c r="D1628" s="6"/>
      <c r="E1628" s="6"/>
      <c r="F1628" s="6"/>
      <c r="G1628" s="6"/>
    </row>
    <row r="1629" spans="1:7" x14ac:dyDescent="0.25">
      <c r="A1629" s="6" t="s">
        <v>10560</v>
      </c>
      <c r="B1629" s="6"/>
      <c r="C1629" s="6"/>
      <c r="D1629" s="6"/>
      <c r="E1629" s="6"/>
      <c r="F1629" s="6"/>
      <c r="G1629" s="6"/>
    </row>
    <row r="1630" spans="1:7" x14ac:dyDescent="0.25">
      <c r="A1630" s="6" t="s">
        <v>9559</v>
      </c>
      <c r="B1630" s="6"/>
      <c r="C1630" s="6"/>
      <c r="D1630" s="6"/>
      <c r="E1630" s="6"/>
      <c r="F1630" s="6"/>
      <c r="G1630" s="6"/>
    </row>
    <row r="1631" spans="1:7" x14ac:dyDescent="0.25">
      <c r="A1631" s="6" t="s">
        <v>957</v>
      </c>
      <c r="B1631" s="6"/>
      <c r="C1631" s="6"/>
      <c r="D1631" s="6"/>
      <c r="E1631" s="6"/>
      <c r="F1631" s="6"/>
      <c r="G1631" s="6"/>
    </row>
    <row r="1632" spans="1:7" x14ac:dyDescent="0.25">
      <c r="A1632" s="6" t="s">
        <v>9555</v>
      </c>
      <c r="B1632" s="6"/>
      <c r="C1632" s="6"/>
      <c r="D1632" s="6"/>
      <c r="E1632" s="6"/>
      <c r="F1632" s="6"/>
      <c r="G1632" s="6"/>
    </row>
    <row r="1633" spans="1:7" x14ac:dyDescent="0.25">
      <c r="A1633" s="6" t="s">
        <v>9552</v>
      </c>
      <c r="B1633" s="6"/>
      <c r="C1633" s="6"/>
      <c r="D1633" s="6"/>
      <c r="E1633" s="6"/>
      <c r="F1633" s="6"/>
      <c r="G1633" s="6"/>
    </row>
    <row r="1634" spans="1:7" x14ac:dyDescent="0.25">
      <c r="A1634" s="6" t="s">
        <v>9549</v>
      </c>
      <c r="B1634" s="6"/>
      <c r="C1634" s="6"/>
      <c r="D1634" s="6"/>
      <c r="E1634" s="6"/>
      <c r="F1634" s="6"/>
      <c r="G1634" s="6"/>
    </row>
    <row r="1635" spans="1:7" x14ac:dyDescent="0.25">
      <c r="A1635" s="6" t="s">
        <v>9546</v>
      </c>
      <c r="B1635" s="6"/>
      <c r="C1635" s="6"/>
      <c r="D1635" s="6"/>
      <c r="E1635" s="6"/>
      <c r="F1635" s="6"/>
      <c r="G1635" s="6"/>
    </row>
    <row r="1636" spans="1:7" x14ac:dyDescent="0.25">
      <c r="A1636" s="6" t="s">
        <v>9543</v>
      </c>
      <c r="B1636" s="6"/>
      <c r="C1636" s="6"/>
      <c r="D1636" s="6"/>
      <c r="E1636" s="6"/>
      <c r="F1636" s="6"/>
      <c r="G1636" s="6"/>
    </row>
    <row r="1637" spans="1:7" x14ac:dyDescent="0.25">
      <c r="A1637" s="6" t="s">
        <v>9540</v>
      </c>
      <c r="B1637" s="6"/>
      <c r="C1637" s="6"/>
      <c r="D1637" s="6"/>
      <c r="E1637" s="6"/>
      <c r="F1637" s="6"/>
      <c r="G1637" s="6"/>
    </row>
    <row r="1638" spans="1:7" x14ac:dyDescent="0.25">
      <c r="A1638" s="6" t="s">
        <v>957</v>
      </c>
      <c r="B1638" s="6"/>
      <c r="C1638" s="6"/>
      <c r="D1638" s="6"/>
      <c r="E1638" s="6"/>
      <c r="F1638" s="6"/>
      <c r="G1638" s="6"/>
    </row>
    <row r="1639" spans="1:7" x14ac:dyDescent="0.25">
      <c r="A1639" s="6" t="s">
        <v>9536</v>
      </c>
      <c r="B1639" s="6"/>
      <c r="C1639" s="6"/>
      <c r="D1639" s="6"/>
      <c r="E1639" s="6"/>
      <c r="F1639" s="6"/>
      <c r="G1639" s="6"/>
    </row>
    <row r="1640" spans="1:7" x14ac:dyDescent="0.25">
      <c r="A1640" s="6" t="s">
        <v>957</v>
      </c>
      <c r="B1640" s="6"/>
      <c r="C1640" s="6"/>
      <c r="D1640" s="6"/>
      <c r="E1640" s="6"/>
      <c r="F1640" s="6"/>
      <c r="G1640" s="6"/>
    </row>
    <row r="1641" spans="1:7" x14ac:dyDescent="0.25">
      <c r="A1641" s="6" t="s">
        <v>957</v>
      </c>
      <c r="B1641" s="6"/>
      <c r="C1641" s="6"/>
      <c r="D1641" s="6"/>
      <c r="E1641" s="6"/>
      <c r="F1641" s="6"/>
      <c r="G1641" s="6"/>
    </row>
    <row r="1642" spans="1:7" x14ac:dyDescent="0.25">
      <c r="A1642" s="6" t="s">
        <v>957</v>
      </c>
      <c r="B1642" s="6"/>
      <c r="C1642" s="6"/>
      <c r="D1642" s="6"/>
      <c r="E1642" s="6"/>
      <c r="F1642" s="6"/>
      <c r="G1642" s="6"/>
    </row>
    <row r="1643" spans="1:7" x14ac:dyDescent="0.25">
      <c r="A1643" s="6" t="s">
        <v>957</v>
      </c>
      <c r="B1643" s="6"/>
      <c r="C1643" s="6"/>
      <c r="D1643" s="6"/>
      <c r="E1643" s="6"/>
      <c r="F1643" s="6"/>
      <c r="G1643" s="6"/>
    </row>
    <row r="1644" spans="1:7" x14ac:dyDescent="0.25">
      <c r="A1644" s="6" t="s">
        <v>957</v>
      </c>
      <c r="B1644" s="6"/>
      <c r="C1644" s="6"/>
      <c r="D1644" s="6"/>
      <c r="E1644" s="6"/>
      <c r="F1644" s="6"/>
      <c r="G1644" s="6"/>
    </row>
    <row r="1645" spans="1:7" x14ac:dyDescent="0.25">
      <c r="A1645" s="6" t="s">
        <v>9527</v>
      </c>
      <c r="B1645" s="6"/>
      <c r="C1645" s="6"/>
      <c r="D1645" s="6"/>
      <c r="E1645" s="6"/>
      <c r="F1645" s="6"/>
      <c r="G1645" s="6"/>
    </row>
    <row r="1646" spans="1:7" x14ac:dyDescent="0.25">
      <c r="A1646" s="6" t="s">
        <v>9524</v>
      </c>
      <c r="B1646" s="6"/>
      <c r="C1646" s="6"/>
      <c r="D1646" s="6"/>
      <c r="E1646" s="6"/>
      <c r="F1646" s="6"/>
      <c r="G1646" s="6"/>
    </row>
    <row r="1647" spans="1:7" x14ac:dyDescent="0.25">
      <c r="A1647" s="6" t="s">
        <v>9521</v>
      </c>
      <c r="B1647" s="6"/>
      <c r="C1647" s="6"/>
      <c r="D1647" s="6"/>
      <c r="E1647" s="6"/>
      <c r="F1647" s="6"/>
      <c r="G1647" s="6"/>
    </row>
    <row r="1648" spans="1:7" x14ac:dyDescent="0.25">
      <c r="A1648" s="6" t="s">
        <v>9518</v>
      </c>
      <c r="B1648" s="6"/>
      <c r="C1648" s="6"/>
      <c r="D1648" s="6"/>
      <c r="E1648" s="6"/>
      <c r="F1648" s="6"/>
      <c r="G1648" s="6"/>
    </row>
    <row r="1649" spans="1:7" x14ac:dyDescent="0.25">
      <c r="A1649" s="6" t="s">
        <v>9515</v>
      </c>
      <c r="B1649" s="6"/>
      <c r="C1649" s="6"/>
      <c r="D1649" s="6"/>
      <c r="E1649" s="6"/>
      <c r="F1649" s="6"/>
      <c r="G1649" s="6"/>
    </row>
    <row r="1650" spans="1:7" x14ac:dyDescent="0.25">
      <c r="A1650" s="6" t="s">
        <v>9512</v>
      </c>
      <c r="B1650" s="6"/>
      <c r="C1650" s="6"/>
      <c r="D1650" s="6"/>
      <c r="E1650" s="6"/>
      <c r="F1650" s="6"/>
      <c r="G1650" s="6"/>
    </row>
    <row r="1651" spans="1:7" x14ac:dyDescent="0.25">
      <c r="A1651" s="6" t="s">
        <v>9509</v>
      </c>
      <c r="B1651" s="6"/>
      <c r="C1651" s="6"/>
      <c r="D1651" s="6"/>
      <c r="E1651" s="6"/>
      <c r="F1651" s="6"/>
      <c r="G1651" s="6"/>
    </row>
    <row r="1652" spans="1:7" x14ac:dyDescent="0.25">
      <c r="A1652" s="6" t="s">
        <v>9506</v>
      </c>
      <c r="B1652" s="6"/>
      <c r="C1652" s="6"/>
      <c r="D1652" s="6"/>
      <c r="E1652" s="6"/>
      <c r="F1652" s="6"/>
      <c r="G1652" s="6"/>
    </row>
    <row r="1653" spans="1:7" x14ac:dyDescent="0.25">
      <c r="A1653" s="6" t="s">
        <v>9503</v>
      </c>
      <c r="B1653" s="6"/>
      <c r="C1653" s="6"/>
      <c r="D1653" s="6"/>
      <c r="E1653" s="6"/>
      <c r="F1653" s="6"/>
      <c r="G1653" s="6"/>
    </row>
    <row r="1654" spans="1:7" x14ac:dyDescent="0.25">
      <c r="A1654" s="6" t="s">
        <v>9500</v>
      </c>
      <c r="B1654" s="6"/>
      <c r="C1654" s="6"/>
      <c r="D1654" s="6"/>
      <c r="E1654" s="6"/>
      <c r="F1654" s="6"/>
      <c r="G1654" s="6"/>
    </row>
    <row r="1655" spans="1:7" x14ac:dyDescent="0.25">
      <c r="A1655" s="6" t="s">
        <v>10778</v>
      </c>
      <c r="B1655" s="6"/>
      <c r="C1655" s="6"/>
      <c r="D1655" s="6"/>
      <c r="E1655" s="6"/>
      <c r="F1655" s="6"/>
      <c r="G1655" s="6"/>
    </row>
    <row r="1656" spans="1:7" x14ac:dyDescent="0.25">
      <c r="A1656" s="6" t="s">
        <v>957</v>
      </c>
      <c r="B1656" s="6"/>
      <c r="C1656" s="6"/>
      <c r="D1656" s="6"/>
      <c r="E1656" s="6"/>
      <c r="F1656" s="6"/>
      <c r="G1656" s="6"/>
    </row>
    <row r="1657" spans="1:7" x14ac:dyDescent="0.25">
      <c r="A1657" s="6" t="s">
        <v>10775</v>
      </c>
      <c r="B1657" s="6"/>
      <c r="C1657" s="6"/>
      <c r="D1657" s="6"/>
      <c r="E1657" s="6"/>
      <c r="F1657" s="6"/>
      <c r="G1657" s="6"/>
    </row>
    <row r="1658" spans="1:7" x14ac:dyDescent="0.25">
      <c r="A1658" s="6" t="s">
        <v>10772</v>
      </c>
      <c r="B1658" s="6"/>
      <c r="C1658" s="6"/>
      <c r="D1658" s="6"/>
      <c r="E1658" s="6"/>
      <c r="F1658" s="6"/>
      <c r="G1658" s="6"/>
    </row>
    <row r="1659" spans="1:7" x14ac:dyDescent="0.25">
      <c r="A1659" s="6" t="s">
        <v>10769</v>
      </c>
      <c r="B1659" s="6"/>
      <c r="C1659" s="6"/>
      <c r="D1659" s="6"/>
      <c r="E1659" s="6"/>
      <c r="F1659" s="6"/>
      <c r="G1659" s="6"/>
    </row>
    <row r="1660" spans="1:7" x14ac:dyDescent="0.25">
      <c r="A1660" s="6" t="s">
        <v>10766</v>
      </c>
      <c r="B1660" s="6"/>
      <c r="C1660" s="6"/>
      <c r="D1660" s="6"/>
      <c r="E1660" s="6"/>
      <c r="F1660" s="6"/>
      <c r="G1660" s="6"/>
    </row>
    <row r="1661" spans="1:7" x14ac:dyDescent="0.25">
      <c r="A1661" s="6" t="s">
        <v>10763</v>
      </c>
      <c r="B1661" s="6"/>
      <c r="C1661" s="6"/>
      <c r="D1661" s="6"/>
      <c r="E1661" s="6"/>
      <c r="F1661" s="6"/>
      <c r="G1661" s="6"/>
    </row>
    <row r="1662" spans="1:7" x14ac:dyDescent="0.25">
      <c r="A1662" s="6" t="s">
        <v>10760</v>
      </c>
      <c r="B1662" s="6"/>
      <c r="C1662" s="6"/>
      <c r="D1662" s="6"/>
      <c r="E1662" s="6"/>
      <c r="F1662" s="6"/>
      <c r="G1662" s="6"/>
    </row>
    <row r="1663" spans="1:7" x14ac:dyDescent="0.25">
      <c r="A1663" s="6" t="s">
        <v>14101</v>
      </c>
      <c r="B1663" s="6" t="s">
        <v>13879</v>
      </c>
      <c r="C1663" s="6"/>
      <c r="D1663" s="6"/>
      <c r="E1663" s="6"/>
      <c r="F1663" s="6"/>
      <c r="G1663" s="6"/>
    </row>
    <row r="1664" spans="1:7" x14ac:dyDescent="0.25">
      <c r="A1664" s="6" t="s">
        <v>10755</v>
      </c>
      <c r="B1664" s="6"/>
      <c r="C1664" s="6"/>
      <c r="D1664" s="6"/>
      <c r="E1664" s="6"/>
      <c r="F1664" s="6"/>
      <c r="G1664" s="6"/>
    </row>
    <row r="1665" spans="1:7" x14ac:dyDescent="0.25">
      <c r="A1665" s="6" t="s">
        <v>10752</v>
      </c>
      <c r="B1665" s="6"/>
      <c r="C1665" s="6"/>
      <c r="D1665" s="6"/>
      <c r="E1665" s="6"/>
      <c r="F1665" s="6"/>
      <c r="G1665" s="6"/>
    </row>
    <row r="1666" spans="1:7" x14ac:dyDescent="0.25">
      <c r="A1666" s="6" t="s">
        <v>10749</v>
      </c>
      <c r="B1666" s="6"/>
      <c r="C1666" s="6"/>
      <c r="D1666" s="6"/>
      <c r="E1666" s="6"/>
      <c r="F1666" s="6"/>
      <c r="G1666" s="6"/>
    </row>
    <row r="1667" spans="1:7" x14ac:dyDescent="0.25">
      <c r="A1667" s="6" t="s">
        <v>10746</v>
      </c>
      <c r="B1667" s="6"/>
      <c r="C1667" s="6"/>
      <c r="D1667" s="6"/>
      <c r="E1667" s="6"/>
      <c r="F1667" s="6"/>
      <c r="G1667" s="6"/>
    </row>
    <row r="1668" spans="1:7" x14ac:dyDescent="0.25">
      <c r="A1668" s="6" t="s">
        <v>10743</v>
      </c>
      <c r="B1668" s="6"/>
      <c r="C1668" s="6"/>
      <c r="D1668" s="6"/>
      <c r="E1668" s="6"/>
      <c r="F1668" s="6"/>
      <c r="G1668" s="6"/>
    </row>
    <row r="1669" spans="1:7" x14ac:dyDescent="0.25">
      <c r="A1669" s="6" t="s">
        <v>10740</v>
      </c>
      <c r="B1669" s="6"/>
      <c r="C1669" s="6"/>
      <c r="D1669" s="6"/>
      <c r="E1669" s="6"/>
      <c r="F1669" s="6"/>
      <c r="G1669" s="6"/>
    </row>
    <row r="1670" spans="1:7" x14ac:dyDescent="0.25">
      <c r="A1670" s="6" t="s">
        <v>10737</v>
      </c>
      <c r="B1670" s="6"/>
      <c r="C1670" s="6"/>
      <c r="D1670" s="6"/>
      <c r="E1670" s="6"/>
      <c r="F1670" s="6"/>
      <c r="G1670" s="6"/>
    </row>
    <row r="1671" spans="1:7" x14ac:dyDescent="0.25">
      <c r="A1671" s="6" t="s">
        <v>10734</v>
      </c>
      <c r="B1671" s="6"/>
      <c r="C1671" s="6"/>
      <c r="D1671" s="6"/>
      <c r="E1671" s="6"/>
      <c r="F1671" s="6"/>
      <c r="G1671" s="6"/>
    </row>
    <row r="1672" spans="1:7" x14ac:dyDescent="0.25">
      <c r="A1672" s="6" t="s">
        <v>10731</v>
      </c>
      <c r="B1672" s="6"/>
      <c r="C1672" s="6"/>
      <c r="D1672" s="6"/>
      <c r="E1672" s="6"/>
      <c r="F1672" s="6"/>
      <c r="G1672" s="6"/>
    </row>
    <row r="1673" spans="1:7" x14ac:dyDescent="0.25">
      <c r="A1673" s="6" t="s">
        <v>10728</v>
      </c>
      <c r="B1673" s="6"/>
      <c r="C1673" s="6"/>
      <c r="D1673" s="6"/>
      <c r="E1673" s="6"/>
      <c r="F1673" s="6"/>
      <c r="G1673" s="6"/>
    </row>
    <row r="1674" spans="1:7" x14ac:dyDescent="0.25">
      <c r="A1674" s="6" t="s">
        <v>10725</v>
      </c>
      <c r="B1674" s="6"/>
      <c r="C1674" s="6"/>
      <c r="D1674" s="6"/>
      <c r="E1674" s="6"/>
      <c r="F1674" s="6"/>
      <c r="G1674" s="6"/>
    </row>
    <row r="1675" spans="1:7" x14ac:dyDescent="0.25">
      <c r="A1675" s="6" t="s">
        <v>9421</v>
      </c>
      <c r="B1675" s="6"/>
      <c r="C1675" s="6"/>
      <c r="D1675" s="6"/>
      <c r="E1675" s="6"/>
      <c r="F1675" s="6"/>
      <c r="G1675" s="6"/>
    </row>
    <row r="1676" spans="1:7" x14ac:dyDescent="0.25">
      <c r="A1676" s="6" t="s">
        <v>9418</v>
      </c>
      <c r="B1676" s="6"/>
      <c r="C1676" s="6"/>
      <c r="D1676" s="6"/>
      <c r="E1676" s="6"/>
      <c r="F1676" s="6"/>
      <c r="G1676" s="6"/>
    </row>
    <row r="1677" spans="1:7" x14ac:dyDescent="0.25">
      <c r="A1677" s="6" t="s">
        <v>9415</v>
      </c>
      <c r="B1677" s="6"/>
      <c r="C1677" s="6"/>
      <c r="D1677" s="6"/>
      <c r="E1677" s="6"/>
      <c r="F1677" s="6"/>
      <c r="G1677" s="6"/>
    </row>
    <row r="1678" spans="1:7" x14ac:dyDescent="0.25">
      <c r="A1678" s="6" t="s">
        <v>957</v>
      </c>
      <c r="B1678" s="6"/>
      <c r="C1678" s="6"/>
      <c r="D1678" s="6"/>
      <c r="E1678" s="6"/>
      <c r="F1678" s="6"/>
      <c r="G1678" s="6"/>
    </row>
    <row r="1679" spans="1:7" x14ac:dyDescent="0.25">
      <c r="A1679" s="6" t="s">
        <v>9410</v>
      </c>
      <c r="B1679" s="6"/>
      <c r="C1679" s="6"/>
      <c r="D1679" s="6"/>
      <c r="E1679" s="6"/>
      <c r="F1679" s="6"/>
      <c r="G1679" s="6"/>
    </row>
    <row r="1680" spans="1:7" x14ac:dyDescent="0.25">
      <c r="A1680" s="6" t="s">
        <v>9407</v>
      </c>
      <c r="B1680" s="6"/>
      <c r="C1680" s="6"/>
      <c r="D1680" s="6"/>
      <c r="E1680" s="6"/>
      <c r="F1680" s="6"/>
      <c r="G1680" s="6"/>
    </row>
    <row r="1681" spans="1:7" x14ac:dyDescent="0.25">
      <c r="A1681" s="6" t="s">
        <v>9404</v>
      </c>
      <c r="B1681" s="6"/>
      <c r="C1681" s="6"/>
      <c r="D1681" s="6"/>
      <c r="E1681" s="6"/>
      <c r="F1681" s="6"/>
      <c r="G1681" s="6"/>
    </row>
    <row r="1682" spans="1:7" x14ac:dyDescent="0.25">
      <c r="A1682" s="6" t="s">
        <v>9401</v>
      </c>
      <c r="B1682" s="6"/>
      <c r="C1682" s="6"/>
      <c r="D1682" s="6"/>
      <c r="E1682" s="6"/>
      <c r="F1682" s="6"/>
      <c r="G1682" s="6"/>
    </row>
    <row r="1683" spans="1:7" x14ac:dyDescent="0.25">
      <c r="A1683" s="6" t="s">
        <v>957</v>
      </c>
      <c r="B1683" s="6"/>
      <c r="C1683" s="6"/>
      <c r="D1683" s="6"/>
      <c r="E1683" s="6"/>
      <c r="F1683" s="6"/>
      <c r="G1683" s="6"/>
    </row>
    <row r="1684" spans="1:7" x14ac:dyDescent="0.25">
      <c r="A1684" s="6" t="s">
        <v>9397</v>
      </c>
      <c r="B1684" s="6"/>
      <c r="C1684" s="6"/>
      <c r="D1684" s="6"/>
      <c r="E1684" s="6"/>
      <c r="F1684" s="6"/>
      <c r="G1684" s="6"/>
    </row>
    <row r="1685" spans="1:7" x14ac:dyDescent="0.25">
      <c r="A1685" s="6" t="s">
        <v>957</v>
      </c>
      <c r="B1685" s="6"/>
      <c r="C1685" s="6"/>
      <c r="D1685" s="6"/>
      <c r="E1685" s="6"/>
      <c r="F1685" s="6"/>
      <c r="G1685" s="6"/>
    </row>
    <row r="1686" spans="1:7" x14ac:dyDescent="0.25">
      <c r="A1686" s="6" t="s">
        <v>957</v>
      </c>
      <c r="B1686" s="6"/>
      <c r="C1686" s="6"/>
      <c r="D1686" s="6"/>
      <c r="E1686" s="6"/>
      <c r="F1686" s="6"/>
      <c r="G1686" s="6"/>
    </row>
    <row r="1687" spans="1:7" x14ac:dyDescent="0.25">
      <c r="A1687" s="6" t="s">
        <v>957</v>
      </c>
      <c r="B1687" s="6"/>
      <c r="C1687" s="6"/>
      <c r="D1687" s="6"/>
      <c r="E1687" s="6"/>
      <c r="F1687" s="6"/>
      <c r="G1687" s="6"/>
    </row>
    <row r="1688" spans="1:7" x14ac:dyDescent="0.25">
      <c r="A1688" s="6" t="s">
        <v>10400</v>
      </c>
      <c r="B1688" s="6"/>
      <c r="C1688" s="6"/>
      <c r="D1688" s="6"/>
      <c r="E1688" s="6"/>
      <c r="F1688" s="6"/>
      <c r="G1688" s="6"/>
    </row>
    <row r="1689" spans="1:7" x14ac:dyDescent="0.25">
      <c r="A1689" s="6" t="s">
        <v>957</v>
      </c>
      <c r="B1689" s="6"/>
      <c r="C1689" s="6"/>
      <c r="D1689" s="6"/>
      <c r="E1689" s="6"/>
      <c r="F1689" s="6"/>
      <c r="G1689" s="6"/>
    </row>
    <row r="1690" spans="1:7" x14ac:dyDescent="0.25">
      <c r="A1690" s="6" t="s">
        <v>10396</v>
      </c>
      <c r="B1690" s="6"/>
      <c r="C1690" s="6"/>
      <c r="D1690" s="6"/>
      <c r="E1690" s="6"/>
      <c r="F1690" s="6"/>
      <c r="G1690" s="6"/>
    </row>
    <row r="1691" spans="1:7" x14ac:dyDescent="0.25">
      <c r="A1691" s="6" t="s">
        <v>10394</v>
      </c>
      <c r="B1691" s="6"/>
      <c r="C1691" s="6"/>
      <c r="D1691" s="6"/>
      <c r="E1691" s="6"/>
      <c r="F1691" s="6"/>
      <c r="G1691" s="6"/>
    </row>
    <row r="1692" spans="1:7" x14ac:dyDescent="0.25">
      <c r="A1692" s="6" t="s">
        <v>957</v>
      </c>
      <c r="B1692" s="6"/>
      <c r="C1692" s="6"/>
      <c r="D1692" s="6"/>
      <c r="E1692" s="6"/>
      <c r="F1692" s="6"/>
      <c r="G1692" s="6"/>
    </row>
    <row r="1693" spans="1:7" x14ac:dyDescent="0.25">
      <c r="A1693" s="6" t="s">
        <v>10390</v>
      </c>
      <c r="B1693" s="6"/>
      <c r="C1693" s="6"/>
      <c r="D1693" s="6"/>
      <c r="E1693" s="6"/>
      <c r="F1693" s="6"/>
      <c r="G1693" s="6"/>
    </row>
    <row r="1694" spans="1:7" x14ac:dyDescent="0.25">
      <c r="A1694" s="6" t="s">
        <v>957</v>
      </c>
      <c r="B1694" s="6"/>
      <c r="C1694" s="6"/>
      <c r="D1694" s="6"/>
      <c r="E1694" s="6"/>
      <c r="F1694" s="6"/>
      <c r="G1694" s="6"/>
    </row>
    <row r="1695" spans="1:7" x14ac:dyDescent="0.25">
      <c r="A1695" s="6" t="s">
        <v>957</v>
      </c>
      <c r="B1695" s="6"/>
      <c r="C1695" s="6"/>
      <c r="D1695" s="6"/>
      <c r="E1695" s="6"/>
      <c r="F1695" s="6"/>
      <c r="G1695" s="6"/>
    </row>
    <row r="1696" spans="1:7" x14ac:dyDescent="0.25">
      <c r="A1696" s="6" t="s">
        <v>10386</v>
      </c>
      <c r="B1696" s="6"/>
      <c r="C1696" s="6"/>
      <c r="D1696" s="6"/>
      <c r="E1696" s="6"/>
      <c r="F1696" s="6"/>
      <c r="G1696" s="6"/>
    </row>
    <row r="1697" spans="1:7" x14ac:dyDescent="0.25">
      <c r="A1697" s="6" t="s">
        <v>957</v>
      </c>
      <c r="B1697" s="6"/>
      <c r="C1697" s="6"/>
      <c r="D1697" s="6"/>
      <c r="E1697" s="6"/>
      <c r="F1697" s="6"/>
      <c r="G1697" s="6"/>
    </row>
    <row r="1698" spans="1:7" x14ac:dyDescent="0.25">
      <c r="A1698" s="6" t="s">
        <v>10382</v>
      </c>
      <c r="B1698" s="6"/>
      <c r="C1698" s="6"/>
      <c r="D1698" s="6"/>
      <c r="E1698" s="6"/>
      <c r="F1698" s="6"/>
      <c r="G1698" s="6"/>
    </row>
    <row r="1699" spans="1:7" x14ac:dyDescent="0.25">
      <c r="A1699" s="6" t="s">
        <v>10379</v>
      </c>
      <c r="B1699" s="6"/>
      <c r="C1699" s="6"/>
      <c r="D1699" s="6"/>
      <c r="E1699" s="6"/>
      <c r="F1699" s="6"/>
      <c r="G1699" s="6"/>
    </row>
    <row r="1700" spans="1:7" x14ac:dyDescent="0.25">
      <c r="A1700" s="6" t="s">
        <v>14179</v>
      </c>
      <c r="B1700" s="6" t="s">
        <v>14180</v>
      </c>
      <c r="C1700" s="6"/>
      <c r="D1700" s="6"/>
      <c r="E1700" s="6"/>
      <c r="F1700" s="6"/>
      <c r="G1700" s="6"/>
    </row>
    <row r="1701" spans="1:7" x14ac:dyDescent="0.25">
      <c r="A1701" s="6" t="s">
        <v>14181</v>
      </c>
      <c r="B1701" s="6" t="s">
        <v>14182</v>
      </c>
      <c r="C1701" s="6"/>
      <c r="D1701" s="6"/>
      <c r="E1701" s="6"/>
      <c r="F1701" s="6"/>
      <c r="G1701" s="6"/>
    </row>
    <row r="1702" spans="1:7" x14ac:dyDescent="0.25">
      <c r="A1702" s="6" t="s">
        <v>957</v>
      </c>
      <c r="B1702" s="6"/>
      <c r="C1702" s="6"/>
      <c r="D1702" s="6"/>
      <c r="E1702" s="6"/>
      <c r="F1702" s="6"/>
      <c r="G1702" s="6"/>
    </row>
    <row r="1703" spans="1:7" x14ac:dyDescent="0.25">
      <c r="A1703" s="6" t="s">
        <v>14183</v>
      </c>
      <c r="B1703" s="6" t="s">
        <v>14184</v>
      </c>
      <c r="C1703" s="6" t="s">
        <v>14185</v>
      </c>
      <c r="D1703" s="6"/>
      <c r="E1703" s="6"/>
      <c r="F1703" s="6"/>
      <c r="G1703" s="6"/>
    </row>
    <row r="1704" spans="1:7" x14ac:dyDescent="0.25">
      <c r="A1704" s="6" t="s">
        <v>14102</v>
      </c>
      <c r="B1704" s="6" t="s">
        <v>14104</v>
      </c>
      <c r="C1704" s="6" t="s">
        <v>14105</v>
      </c>
      <c r="D1704" s="6" t="s">
        <v>14106</v>
      </c>
      <c r="E1704" s="6" t="s">
        <v>14107</v>
      </c>
      <c r="F1704" s="6" t="s">
        <v>14108</v>
      </c>
      <c r="G1704" s="6"/>
    </row>
    <row r="1705" spans="1:7" x14ac:dyDescent="0.25">
      <c r="A1705" s="6" t="s">
        <v>14102</v>
      </c>
      <c r="B1705" s="6" t="s">
        <v>14104</v>
      </c>
      <c r="C1705" s="6" t="s">
        <v>14105</v>
      </c>
      <c r="D1705" s="6" t="s">
        <v>14106</v>
      </c>
      <c r="E1705" s="6" t="s">
        <v>14107</v>
      </c>
      <c r="F1705" s="6" t="s">
        <v>14108</v>
      </c>
      <c r="G1705" s="6"/>
    </row>
    <row r="1706" spans="1:7" x14ac:dyDescent="0.25">
      <c r="A1706" s="6" t="s">
        <v>957</v>
      </c>
      <c r="B1706" s="6"/>
      <c r="C1706" s="6"/>
      <c r="D1706" s="6"/>
      <c r="E1706" s="6"/>
      <c r="F1706" s="6"/>
      <c r="G1706" s="6"/>
    </row>
    <row r="1707" spans="1:7" x14ac:dyDescent="0.25">
      <c r="A1707" s="6" t="s">
        <v>957</v>
      </c>
      <c r="B1707" s="6"/>
      <c r="C1707" s="6"/>
      <c r="D1707" s="6"/>
      <c r="E1707" s="6"/>
      <c r="F1707" s="6"/>
      <c r="G1707" s="6"/>
    </row>
    <row r="1708" spans="1:7" x14ac:dyDescent="0.25">
      <c r="A1708" s="6" t="s">
        <v>9333</v>
      </c>
      <c r="B1708" s="6"/>
      <c r="C1708" s="6"/>
      <c r="D1708" s="6"/>
      <c r="E1708" s="6"/>
      <c r="F1708" s="6"/>
      <c r="G1708" s="6"/>
    </row>
    <row r="1709" spans="1:7" x14ac:dyDescent="0.25">
      <c r="A1709" s="6" t="s">
        <v>9330</v>
      </c>
      <c r="B1709" s="6"/>
      <c r="C1709" s="6"/>
      <c r="D1709" s="6"/>
      <c r="E1709" s="6"/>
      <c r="F1709" s="6"/>
      <c r="G1709" s="6"/>
    </row>
    <row r="1710" spans="1:7" x14ac:dyDescent="0.25">
      <c r="A1710" s="6" t="s">
        <v>9327</v>
      </c>
      <c r="B1710" s="6"/>
      <c r="C1710" s="6"/>
      <c r="D1710" s="6"/>
      <c r="E1710" s="6"/>
      <c r="F1710" s="6"/>
      <c r="G1710" s="6"/>
    </row>
    <row r="1711" spans="1:7" x14ac:dyDescent="0.25">
      <c r="A1711" s="6" t="s">
        <v>9324</v>
      </c>
      <c r="B1711" s="6"/>
      <c r="C1711" s="6"/>
      <c r="D1711" s="6"/>
      <c r="E1711" s="6"/>
      <c r="F1711" s="6"/>
      <c r="G1711" s="6"/>
    </row>
    <row r="1712" spans="1:7" x14ac:dyDescent="0.25">
      <c r="A1712" s="6" t="s">
        <v>9321</v>
      </c>
      <c r="B1712" s="6"/>
      <c r="C1712" s="6"/>
      <c r="D1712" s="6"/>
      <c r="E1712" s="6"/>
      <c r="F1712" s="6"/>
      <c r="G1712" s="6"/>
    </row>
    <row r="1713" spans="1:7" x14ac:dyDescent="0.25">
      <c r="A1713" s="6" t="s">
        <v>957</v>
      </c>
      <c r="B1713" s="6"/>
      <c r="C1713" s="6"/>
      <c r="D1713" s="6"/>
      <c r="E1713" s="6"/>
      <c r="F1713" s="6"/>
      <c r="G1713" s="6"/>
    </row>
    <row r="1714" spans="1:7" x14ac:dyDescent="0.25">
      <c r="A1714" s="6" t="s">
        <v>957</v>
      </c>
      <c r="B1714" s="6"/>
      <c r="C1714" s="6"/>
      <c r="D1714" s="6"/>
      <c r="E1714" s="6"/>
      <c r="F1714" s="6"/>
      <c r="G1714" s="6"/>
    </row>
    <row r="1715" spans="1:7" x14ac:dyDescent="0.25">
      <c r="A1715" s="6" t="s">
        <v>9316</v>
      </c>
      <c r="B1715" s="6"/>
      <c r="C1715" s="6"/>
      <c r="D1715" s="6"/>
      <c r="E1715" s="6"/>
      <c r="F1715" s="6"/>
      <c r="G1715" s="6"/>
    </row>
    <row r="1716" spans="1:7" x14ac:dyDescent="0.25">
      <c r="A1716" s="6" t="s">
        <v>9313</v>
      </c>
      <c r="B1716" s="6"/>
      <c r="C1716" s="6"/>
      <c r="D1716" s="6"/>
      <c r="E1716" s="6"/>
      <c r="F1716" s="6"/>
      <c r="G1716" s="6"/>
    </row>
    <row r="1717" spans="1:7" x14ac:dyDescent="0.25">
      <c r="A1717" s="6" t="s">
        <v>9310</v>
      </c>
      <c r="B1717" s="6"/>
      <c r="C1717" s="6"/>
      <c r="D1717" s="6"/>
      <c r="E1717" s="6"/>
      <c r="F1717" s="6"/>
      <c r="G1717" s="6"/>
    </row>
    <row r="1718" spans="1:7" x14ac:dyDescent="0.25">
      <c r="A1718" s="6" t="s">
        <v>957</v>
      </c>
      <c r="B1718" s="6"/>
      <c r="C1718" s="6"/>
      <c r="D1718" s="6"/>
      <c r="E1718" s="6"/>
      <c r="F1718" s="6"/>
      <c r="G1718" s="6"/>
    </row>
    <row r="1719" spans="1:7" x14ac:dyDescent="0.25">
      <c r="A1719" s="6" t="s">
        <v>957</v>
      </c>
      <c r="B1719" s="6"/>
      <c r="C1719" s="6"/>
      <c r="D1719" s="6"/>
      <c r="E1719" s="6"/>
      <c r="F1719" s="6"/>
      <c r="G1719" s="6"/>
    </row>
    <row r="1720" spans="1:7" x14ac:dyDescent="0.25">
      <c r="A1720" s="6" t="s">
        <v>957</v>
      </c>
      <c r="B1720" s="6"/>
      <c r="C1720" s="6"/>
      <c r="D1720" s="6"/>
      <c r="E1720" s="6"/>
      <c r="F1720" s="6"/>
      <c r="G1720" s="6"/>
    </row>
    <row r="1721" spans="1:7" x14ac:dyDescent="0.25">
      <c r="A1721" s="6" t="s">
        <v>9304</v>
      </c>
      <c r="B1721" s="6"/>
      <c r="C1721" s="6"/>
      <c r="D1721" s="6"/>
      <c r="E1721" s="6"/>
      <c r="F1721" s="6"/>
      <c r="G1721" s="6"/>
    </row>
    <row r="1722" spans="1:7" x14ac:dyDescent="0.25">
      <c r="A1722" s="6" t="s">
        <v>9301</v>
      </c>
      <c r="B1722" s="6"/>
      <c r="C1722" s="6"/>
      <c r="D1722" s="6"/>
      <c r="E1722" s="6"/>
      <c r="F1722" s="6"/>
      <c r="G1722" s="6"/>
    </row>
    <row r="1723" spans="1:7" x14ac:dyDescent="0.25">
      <c r="A1723" s="6" t="s">
        <v>9298</v>
      </c>
      <c r="B1723" s="6"/>
      <c r="C1723" s="6"/>
      <c r="D1723" s="6"/>
      <c r="E1723" s="6"/>
      <c r="F1723" s="6"/>
      <c r="G1723" s="6"/>
    </row>
    <row r="1724" spans="1:7" x14ac:dyDescent="0.25">
      <c r="A1724" s="6" t="s">
        <v>957</v>
      </c>
      <c r="B1724" s="6"/>
      <c r="C1724" s="6"/>
      <c r="D1724" s="6"/>
      <c r="E1724" s="6"/>
      <c r="F1724" s="6"/>
      <c r="G1724" s="6"/>
    </row>
    <row r="1725" spans="1:7" x14ac:dyDescent="0.25">
      <c r="A1725" s="6" t="s">
        <v>957</v>
      </c>
      <c r="B1725" s="6"/>
      <c r="C1725" s="6"/>
      <c r="D1725" s="6"/>
      <c r="E1725" s="6"/>
      <c r="F1725" s="6"/>
      <c r="G1725" s="6"/>
    </row>
    <row r="1726" spans="1:7" x14ac:dyDescent="0.25">
      <c r="A1726" s="6" t="s">
        <v>957</v>
      </c>
      <c r="B1726" s="6"/>
      <c r="C1726" s="6"/>
      <c r="D1726" s="6"/>
      <c r="E1726" s="6"/>
      <c r="F1726" s="6"/>
      <c r="G1726" s="6"/>
    </row>
    <row r="1727" spans="1:7" x14ac:dyDescent="0.25">
      <c r="A1727" s="6" t="s">
        <v>9292</v>
      </c>
      <c r="B1727" s="6"/>
      <c r="C1727" s="6"/>
      <c r="D1727" s="6"/>
      <c r="E1727" s="6"/>
      <c r="F1727" s="6"/>
      <c r="G1727" s="6"/>
    </row>
    <row r="1728" spans="1:7" x14ac:dyDescent="0.25">
      <c r="A1728" s="6" t="s">
        <v>9289</v>
      </c>
      <c r="B1728" s="6"/>
      <c r="C1728" s="6"/>
      <c r="D1728" s="6"/>
      <c r="E1728" s="6"/>
      <c r="F1728" s="6"/>
      <c r="G1728" s="6"/>
    </row>
    <row r="1729" spans="1:7" x14ac:dyDescent="0.25">
      <c r="A1729" s="6" t="s">
        <v>9286</v>
      </c>
      <c r="B1729" s="6"/>
      <c r="C1729" s="6"/>
      <c r="D1729" s="6"/>
      <c r="E1729" s="6"/>
      <c r="F1729" s="6"/>
      <c r="G1729" s="6"/>
    </row>
    <row r="1730" spans="1:7" x14ac:dyDescent="0.25">
      <c r="A1730" s="6" t="s">
        <v>9283</v>
      </c>
      <c r="B1730" s="6"/>
      <c r="C1730" s="6"/>
      <c r="D1730" s="6"/>
      <c r="E1730" s="6"/>
      <c r="F1730" s="6"/>
      <c r="G1730" s="6"/>
    </row>
    <row r="1731" spans="1:7" x14ac:dyDescent="0.25">
      <c r="A1731" s="6" t="s">
        <v>9280</v>
      </c>
      <c r="B1731" s="6"/>
      <c r="C1731" s="6"/>
      <c r="D1731" s="6"/>
      <c r="E1731" s="6"/>
      <c r="F1731" s="6"/>
      <c r="G1731" s="6"/>
    </row>
    <row r="1732" spans="1:7" x14ac:dyDescent="0.25">
      <c r="A1732" s="6" t="s">
        <v>9277</v>
      </c>
      <c r="B1732" s="6"/>
      <c r="C1732" s="6"/>
      <c r="D1732" s="6"/>
      <c r="E1732" s="6"/>
      <c r="F1732" s="6"/>
      <c r="G1732" s="6"/>
    </row>
    <row r="1733" spans="1:7" x14ac:dyDescent="0.25">
      <c r="A1733" s="6" t="s">
        <v>957</v>
      </c>
      <c r="B1733" s="6"/>
      <c r="C1733" s="6"/>
      <c r="D1733" s="6"/>
      <c r="E1733" s="6"/>
      <c r="F1733" s="6"/>
      <c r="G1733" s="6"/>
    </row>
    <row r="1734" spans="1:7" x14ac:dyDescent="0.25">
      <c r="A1734" s="6" t="s">
        <v>9273</v>
      </c>
      <c r="B1734" s="6"/>
      <c r="C1734" s="6"/>
      <c r="D1734" s="6"/>
      <c r="E1734" s="6"/>
      <c r="F1734" s="6"/>
      <c r="G1734" s="6"/>
    </row>
    <row r="1735" spans="1:7" x14ac:dyDescent="0.25">
      <c r="A1735" s="6" t="s">
        <v>10264</v>
      </c>
      <c r="B1735" s="6"/>
      <c r="C1735" s="6"/>
      <c r="D1735" s="6"/>
      <c r="E1735" s="6"/>
      <c r="F1735" s="6"/>
      <c r="G1735" s="6"/>
    </row>
    <row r="1736" spans="1:7" x14ac:dyDescent="0.25">
      <c r="A1736" s="6" t="s">
        <v>10262</v>
      </c>
      <c r="B1736" s="6"/>
      <c r="C1736" s="6"/>
      <c r="D1736" s="6"/>
      <c r="E1736" s="6"/>
      <c r="F1736" s="6"/>
      <c r="G1736" s="6"/>
    </row>
    <row r="1737" spans="1:7" x14ac:dyDescent="0.25">
      <c r="A1737" s="6" t="s">
        <v>10259</v>
      </c>
      <c r="B1737" s="6"/>
      <c r="C1737" s="6"/>
      <c r="D1737" s="6"/>
      <c r="E1737" s="6"/>
      <c r="F1737" s="6"/>
      <c r="G1737" s="6"/>
    </row>
    <row r="1738" spans="1:7" x14ac:dyDescent="0.25">
      <c r="A1738" s="6" t="s">
        <v>10256</v>
      </c>
      <c r="B1738" s="6"/>
      <c r="C1738" s="6"/>
      <c r="D1738" s="6"/>
      <c r="E1738" s="6"/>
      <c r="F1738" s="6"/>
      <c r="G1738" s="6"/>
    </row>
    <row r="1739" spans="1:7" x14ac:dyDescent="0.25">
      <c r="A1739" s="6" t="s">
        <v>14186</v>
      </c>
      <c r="B1739" s="6" t="s">
        <v>14187</v>
      </c>
      <c r="C1739" s="6"/>
      <c r="D1739" s="6"/>
      <c r="E1739" s="6"/>
      <c r="F1739" s="6"/>
      <c r="G1739" s="6"/>
    </row>
    <row r="1740" spans="1:7" x14ac:dyDescent="0.25">
      <c r="A1740" s="6" t="s">
        <v>957</v>
      </c>
      <c r="B1740" s="6"/>
      <c r="C1740" s="6"/>
      <c r="D1740" s="6"/>
      <c r="E1740" s="6"/>
      <c r="F1740" s="6"/>
      <c r="G1740" s="6"/>
    </row>
    <row r="1741" spans="1:7" x14ac:dyDescent="0.25">
      <c r="A1741" s="6" t="s">
        <v>10251</v>
      </c>
      <c r="B1741" s="6"/>
      <c r="C1741" s="6"/>
      <c r="D1741" s="6"/>
      <c r="E1741" s="6"/>
      <c r="F1741" s="6"/>
      <c r="G1741" s="6"/>
    </row>
    <row r="1742" spans="1:7" x14ac:dyDescent="0.25">
      <c r="A1742" s="6" t="s">
        <v>957</v>
      </c>
      <c r="B1742" s="6"/>
      <c r="C1742" s="6"/>
      <c r="D1742" s="6"/>
      <c r="E1742" s="6"/>
      <c r="F1742" s="6"/>
      <c r="G1742" s="6"/>
    </row>
    <row r="1743" spans="1:7" x14ac:dyDescent="0.25">
      <c r="A1743" s="6" t="s">
        <v>10247</v>
      </c>
      <c r="B1743" s="6"/>
      <c r="C1743" s="6"/>
      <c r="D1743" s="6"/>
      <c r="E1743" s="6"/>
      <c r="F1743" s="6"/>
      <c r="G1743" s="6"/>
    </row>
    <row r="1744" spans="1:7" x14ac:dyDescent="0.25">
      <c r="A1744" s="6" t="s">
        <v>10244</v>
      </c>
      <c r="B1744" s="6"/>
      <c r="C1744" s="6"/>
      <c r="D1744" s="6"/>
      <c r="E1744" s="6"/>
      <c r="F1744" s="6"/>
      <c r="G1744" s="6"/>
    </row>
    <row r="1745" spans="1:7" x14ac:dyDescent="0.25">
      <c r="A1745" s="6" t="s">
        <v>957</v>
      </c>
      <c r="B1745" s="6"/>
      <c r="C1745" s="6"/>
      <c r="D1745" s="6"/>
      <c r="E1745" s="6"/>
      <c r="F1745" s="6"/>
      <c r="G1745" s="6"/>
    </row>
    <row r="1746" spans="1:7" x14ac:dyDescent="0.25">
      <c r="A1746" s="6" t="s">
        <v>10241</v>
      </c>
      <c r="B1746" s="6"/>
      <c r="C1746" s="6"/>
      <c r="D1746" s="6"/>
      <c r="E1746" s="6"/>
      <c r="F1746" s="6"/>
      <c r="G1746" s="6"/>
    </row>
    <row r="1747" spans="1:7" x14ac:dyDescent="0.25">
      <c r="A1747" s="6" t="s">
        <v>10238</v>
      </c>
      <c r="B1747" s="6"/>
      <c r="C1747" s="6"/>
      <c r="D1747" s="6"/>
      <c r="E1747" s="6"/>
      <c r="F1747" s="6"/>
      <c r="G1747" s="6"/>
    </row>
    <row r="1748" spans="1:7" x14ac:dyDescent="0.25">
      <c r="A1748" s="6" t="s">
        <v>957</v>
      </c>
      <c r="B1748" s="6"/>
      <c r="C1748" s="6"/>
      <c r="D1748" s="6"/>
      <c r="E1748" s="6"/>
      <c r="F1748" s="6"/>
      <c r="G1748" s="6"/>
    </row>
    <row r="1749" spans="1:7" x14ac:dyDescent="0.25">
      <c r="A1749" s="6" t="s">
        <v>957</v>
      </c>
      <c r="B1749" s="6"/>
      <c r="C1749" s="6"/>
      <c r="D1749" s="6"/>
      <c r="E1749" s="6"/>
      <c r="F1749" s="6"/>
      <c r="G1749" s="6"/>
    </row>
    <row r="1750" spans="1:7" x14ac:dyDescent="0.25">
      <c r="A1750" s="6" t="s">
        <v>10233</v>
      </c>
      <c r="B1750" s="6"/>
      <c r="C1750" s="6"/>
      <c r="D1750" s="6"/>
      <c r="E1750" s="6"/>
      <c r="F1750" s="6"/>
      <c r="G1750" s="6"/>
    </row>
    <row r="1751" spans="1:7" x14ac:dyDescent="0.25">
      <c r="A1751" s="6" t="s">
        <v>9241</v>
      </c>
      <c r="B1751" s="6"/>
      <c r="C1751" s="6"/>
      <c r="D1751" s="6"/>
      <c r="E1751" s="6"/>
      <c r="F1751" s="6"/>
      <c r="G1751" s="6"/>
    </row>
    <row r="1752" spans="1:7" x14ac:dyDescent="0.25">
      <c r="A1752" s="6" t="s">
        <v>957</v>
      </c>
      <c r="B1752" s="6"/>
      <c r="C1752" s="6"/>
      <c r="D1752" s="6"/>
      <c r="E1752" s="6"/>
      <c r="F1752" s="6"/>
      <c r="G1752" s="6"/>
    </row>
    <row r="1753" spans="1:7" x14ac:dyDescent="0.25">
      <c r="A1753" s="6" t="s">
        <v>957</v>
      </c>
      <c r="B1753" s="6"/>
      <c r="C1753" s="6"/>
      <c r="D1753" s="6"/>
      <c r="E1753" s="6"/>
      <c r="F1753" s="6"/>
      <c r="G1753" s="6"/>
    </row>
    <row r="1754" spans="1:7" x14ac:dyDescent="0.25">
      <c r="A1754" s="6" t="s">
        <v>957</v>
      </c>
      <c r="B1754" s="6"/>
      <c r="C1754" s="6"/>
      <c r="D1754" s="6"/>
      <c r="E1754" s="6"/>
      <c r="F1754" s="6"/>
      <c r="G1754" s="6"/>
    </row>
    <row r="1755" spans="1:7" x14ac:dyDescent="0.25">
      <c r="A1755" s="6" t="s">
        <v>957</v>
      </c>
      <c r="B1755" s="6"/>
      <c r="C1755" s="6"/>
      <c r="D1755" s="6"/>
      <c r="E1755" s="6"/>
      <c r="F1755" s="6"/>
      <c r="G1755" s="6"/>
    </row>
    <row r="1756" spans="1:7" x14ac:dyDescent="0.25">
      <c r="A1756" s="6" t="s">
        <v>9234</v>
      </c>
      <c r="B1756" s="6"/>
      <c r="C1756" s="6"/>
      <c r="D1756" s="6"/>
      <c r="E1756" s="6"/>
      <c r="F1756" s="6"/>
      <c r="G1756" s="6"/>
    </row>
    <row r="1757" spans="1:7" x14ac:dyDescent="0.25">
      <c r="A1757" s="6" t="s">
        <v>9231</v>
      </c>
      <c r="B1757" s="6"/>
      <c r="C1757" s="6"/>
      <c r="D1757" s="6"/>
      <c r="E1757" s="6"/>
      <c r="F1757" s="6"/>
      <c r="G1757" s="6"/>
    </row>
    <row r="1758" spans="1:7" x14ac:dyDescent="0.25">
      <c r="A1758" s="6" t="s">
        <v>9228</v>
      </c>
      <c r="B1758" s="6"/>
      <c r="C1758" s="6"/>
      <c r="D1758" s="6"/>
      <c r="E1758" s="6"/>
      <c r="F1758" s="6"/>
      <c r="G1758" s="6"/>
    </row>
    <row r="1759" spans="1:7" x14ac:dyDescent="0.25">
      <c r="A1759" s="6" t="s">
        <v>9225</v>
      </c>
      <c r="B1759" s="6"/>
      <c r="C1759" s="6"/>
      <c r="D1759" s="6"/>
      <c r="E1759" s="6"/>
      <c r="F1759" s="6"/>
      <c r="G1759" s="6"/>
    </row>
    <row r="1760" spans="1:7" x14ac:dyDescent="0.25">
      <c r="A1760" s="6" t="s">
        <v>9223</v>
      </c>
      <c r="B1760" s="6"/>
      <c r="C1760" s="6"/>
      <c r="D1760" s="6"/>
      <c r="E1760" s="6"/>
      <c r="F1760" s="6"/>
      <c r="G1760" s="6"/>
    </row>
    <row r="1761" spans="1:7" x14ac:dyDescent="0.25">
      <c r="A1761" s="6" t="s">
        <v>9220</v>
      </c>
      <c r="B1761" s="6"/>
      <c r="C1761" s="6"/>
      <c r="D1761" s="6"/>
      <c r="E1761" s="6"/>
      <c r="F1761" s="6"/>
      <c r="G1761" s="6"/>
    </row>
    <row r="1762" spans="1:7" x14ac:dyDescent="0.25">
      <c r="A1762" s="6" t="s">
        <v>9217</v>
      </c>
      <c r="B1762" s="6"/>
      <c r="C1762" s="6"/>
      <c r="D1762" s="6"/>
      <c r="E1762" s="6"/>
      <c r="F1762" s="6"/>
      <c r="G1762" s="6"/>
    </row>
    <row r="1763" spans="1:7" x14ac:dyDescent="0.25">
      <c r="A1763" s="6" t="s">
        <v>9214</v>
      </c>
      <c r="B1763" s="6"/>
      <c r="C1763" s="6"/>
      <c r="D1763" s="6"/>
      <c r="E1763" s="6"/>
      <c r="F1763" s="6"/>
      <c r="G1763" s="6"/>
    </row>
    <row r="1764" spans="1:7" x14ac:dyDescent="0.25">
      <c r="A1764" s="6" t="s">
        <v>957</v>
      </c>
      <c r="B1764" s="6"/>
      <c r="C1764" s="6"/>
      <c r="D1764" s="6"/>
      <c r="E1764" s="6"/>
      <c r="F1764" s="6"/>
      <c r="G1764" s="6"/>
    </row>
    <row r="1765" spans="1:7" x14ac:dyDescent="0.25">
      <c r="A1765" s="6" t="s">
        <v>957</v>
      </c>
      <c r="B1765" s="6"/>
      <c r="C1765" s="6"/>
      <c r="D1765" s="6"/>
      <c r="E1765" s="6"/>
      <c r="F1765" s="6"/>
      <c r="G1765" s="6"/>
    </row>
    <row r="1766" spans="1:7" x14ac:dyDescent="0.25">
      <c r="A1766" s="6" t="s">
        <v>9209</v>
      </c>
      <c r="B1766" s="6"/>
      <c r="C1766" s="6"/>
      <c r="D1766" s="6"/>
      <c r="E1766" s="6"/>
      <c r="F1766" s="6"/>
      <c r="G1766" s="6"/>
    </row>
    <row r="1767" spans="1:7" x14ac:dyDescent="0.25">
      <c r="A1767" s="6" t="s">
        <v>9207</v>
      </c>
      <c r="B1767" s="6"/>
      <c r="C1767" s="6"/>
      <c r="D1767" s="6"/>
      <c r="E1767" s="6"/>
      <c r="F1767" s="6"/>
      <c r="G1767" s="6"/>
    </row>
    <row r="1768" spans="1:7" x14ac:dyDescent="0.25">
      <c r="A1768" s="6" t="s">
        <v>9204</v>
      </c>
      <c r="B1768" s="6"/>
      <c r="C1768" s="6"/>
      <c r="D1768" s="6"/>
      <c r="E1768" s="6"/>
      <c r="F1768" s="6"/>
      <c r="G1768" s="6"/>
    </row>
    <row r="1769" spans="1:7" x14ac:dyDescent="0.25">
      <c r="A1769" s="6" t="s">
        <v>9201</v>
      </c>
      <c r="B1769" s="6"/>
      <c r="C1769" s="6"/>
      <c r="D1769" s="6"/>
      <c r="E1769" s="6"/>
      <c r="F1769" s="6"/>
      <c r="G1769" s="6"/>
    </row>
    <row r="1770" spans="1:7" x14ac:dyDescent="0.25">
      <c r="A1770" s="6" t="s">
        <v>9199</v>
      </c>
      <c r="B1770" s="6"/>
      <c r="C1770" s="6"/>
      <c r="D1770" s="6"/>
      <c r="E1770" s="6"/>
      <c r="F1770" s="6"/>
      <c r="G1770" s="6"/>
    </row>
    <row r="1771" spans="1:7" x14ac:dyDescent="0.25">
      <c r="A1771" s="6" t="s">
        <v>9196</v>
      </c>
      <c r="B1771" s="6"/>
      <c r="C1771" s="6"/>
      <c r="D1771" s="6"/>
      <c r="E1771" s="6"/>
      <c r="F1771" s="6"/>
      <c r="G1771" s="6"/>
    </row>
    <row r="1772" spans="1:7" x14ac:dyDescent="0.25">
      <c r="A1772" s="6" t="s">
        <v>957</v>
      </c>
      <c r="B1772" s="6"/>
      <c r="C1772" s="6"/>
      <c r="D1772" s="6"/>
      <c r="E1772" s="6"/>
      <c r="F1772" s="6"/>
      <c r="G1772" s="6"/>
    </row>
    <row r="1773" spans="1:7" x14ac:dyDescent="0.25">
      <c r="A1773" s="6" t="s">
        <v>957</v>
      </c>
      <c r="B1773" s="6"/>
      <c r="C1773" s="6"/>
      <c r="D1773" s="6"/>
      <c r="E1773" s="6"/>
      <c r="F1773" s="6"/>
      <c r="G1773" s="6"/>
    </row>
    <row r="1774" spans="1:7" x14ac:dyDescent="0.25">
      <c r="A1774" s="6" t="s">
        <v>10200</v>
      </c>
      <c r="B1774" s="6"/>
      <c r="C1774" s="6"/>
      <c r="D1774" s="6"/>
      <c r="E1774" s="6"/>
      <c r="F1774" s="6"/>
      <c r="G1774" s="6"/>
    </row>
    <row r="1775" spans="1:7" x14ac:dyDescent="0.25">
      <c r="A1775" s="6" t="s">
        <v>10197</v>
      </c>
      <c r="B1775" s="6"/>
      <c r="C1775" s="6"/>
      <c r="D1775" s="6"/>
      <c r="E1775" s="6"/>
      <c r="F1775" s="6"/>
      <c r="G1775" s="6"/>
    </row>
    <row r="1776" spans="1:7" x14ac:dyDescent="0.25">
      <c r="A1776" s="6" t="s">
        <v>957</v>
      </c>
      <c r="B1776" s="6"/>
      <c r="C1776" s="6"/>
      <c r="D1776" s="6"/>
      <c r="E1776" s="6"/>
      <c r="F1776" s="6"/>
      <c r="G1776" s="6"/>
    </row>
    <row r="1777" spans="1:7" x14ac:dyDescent="0.25">
      <c r="A1777" s="6" t="s">
        <v>10193</v>
      </c>
      <c r="B1777" s="6"/>
      <c r="C1777" s="6"/>
      <c r="D1777" s="6"/>
      <c r="E1777" s="6"/>
      <c r="F1777" s="6"/>
      <c r="G1777" s="6"/>
    </row>
    <row r="1778" spans="1:7" x14ac:dyDescent="0.25">
      <c r="A1778" s="6" t="s">
        <v>10190</v>
      </c>
      <c r="B1778" s="6"/>
      <c r="C1778" s="6"/>
      <c r="D1778" s="6"/>
      <c r="E1778" s="6"/>
      <c r="F1778" s="6"/>
      <c r="G1778" s="6"/>
    </row>
    <row r="1779" spans="1:7" x14ac:dyDescent="0.25">
      <c r="A1779" s="6" t="s">
        <v>10187</v>
      </c>
      <c r="B1779" s="6"/>
      <c r="C1779" s="6"/>
      <c r="D1779" s="6"/>
      <c r="E1779" s="6"/>
      <c r="F1779" s="6"/>
      <c r="G1779" s="6"/>
    </row>
    <row r="1780" spans="1:7" x14ac:dyDescent="0.25">
      <c r="A1780" s="6" t="s">
        <v>10184</v>
      </c>
      <c r="B1780" s="6"/>
      <c r="C1780" s="6"/>
      <c r="D1780" s="6"/>
      <c r="E1780" s="6"/>
      <c r="F1780" s="6"/>
      <c r="G1780" s="6"/>
    </row>
    <row r="1781" spans="1:7" x14ac:dyDescent="0.25">
      <c r="A1781" s="6" t="s">
        <v>957</v>
      </c>
      <c r="B1781" s="6"/>
      <c r="C1781" s="6"/>
      <c r="D1781" s="6"/>
      <c r="E1781" s="6"/>
      <c r="F1781" s="6"/>
      <c r="G1781" s="6"/>
    </row>
    <row r="1782" spans="1:7" x14ac:dyDescent="0.25">
      <c r="A1782" s="6" t="s">
        <v>10180</v>
      </c>
      <c r="B1782" s="6"/>
      <c r="C1782" s="6"/>
      <c r="D1782" s="6"/>
      <c r="E1782" s="6"/>
      <c r="F1782" s="6"/>
      <c r="G1782" s="6"/>
    </row>
    <row r="1783" spans="1:7" x14ac:dyDescent="0.25">
      <c r="A1783" s="6" t="s">
        <v>10177</v>
      </c>
      <c r="B1783" s="6"/>
      <c r="C1783" s="6"/>
      <c r="D1783" s="6"/>
      <c r="E1783" s="6"/>
      <c r="F1783" s="6"/>
      <c r="G1783" s="6"/>
    </row>
    <row r="1784" spans="1:7" x14ac:dyDescent="0.25">
      <c r="A1784" s="6" t="s">
        <v>10174</v>
      </c>
      <c r="B1784" s="6"/>
      <c r="C1784" s="6"/>
      <c r="D1784" s="6"/>
      <c r="E1784" s="6"/>
      <c r="F1784" s="6"/>
      <c r="G1784" s="6"/>
    </row>
    <row r="1785" spans="1:7" x14ac:dyDescent="0.25">
      <c r="A1785" s="6" t="s">
        <v>10171</v>
      </c>
      <c r="B1785" s="6"/>
      <c r="C1785" s="6"/>
      <c r="D1785" s="6"/>
      <c r="E1785" s="6"/>
      <c r="F1785" s="6"/>
      <c r="G1785" s="6"/>
    </row>
    <row r="1786" spans="1:7" x14ac:dyDescent="0.25">
      <c r="A1786" s="6" t="s">
        <v>10169</v>
      </c>
      <c r="B1786" s="6"/>
      <c r="C1786" s="6"/>
      <c r="D1786" s="6"/>
      <c r="E1786" s="6"/>
      <c r="F1786" s="6"/>
      <c r="G1786" s="6"/>
    </row>
    <row r="1787" spans="1:7" x14ac:dyDescent="0.25">
      <c r="A1787" s="6" t="s">
        <v>10166</v>
      </c>
      <c r="B1787" s="6"/>
      <c r="C1787" s="6"/>
      <c r="D1787" s="6"/>
      <c r="E1787" s="6"/>
      <c r="F1787" s="6"/>
      <c r="G1787" s="6"/>
    </row>
    <row r="1788" spans="1:7" x14ac:dyDescent="0.25">
      <c r="A1788" s="6" t="s">
        <v>10163</v>
      </c>
      <c r="B1788" s="6"/>
      <c r="C1788" s="6"/>
      <c r="D1788" s="6"/>
      <c r="E1788" s="6"/>
      <c r="F1788" s="6"/>
      <c r="G1788" s="6"/>
    </row>
    <row r="1789" spans="1:7" x14ac:dyDescent="0.25">
      <c r="A1789" s="6" t="s">
        <v>10160</v>
      </c>
      <c r="B1789" s="6"/>
      <c r="C1789" s="6"/>
      <c r="D1789" s="6"/>
      <c r="E1789" s="6"/>
      <c r="F1789" s="6"/>
      <c r="G1789" s="6"/>
    </row>
    <row r="1790" spans="1:7" x14ac:dyDescent="0.25">
      <c r="A1790" s="6" t="s">
        <v>10157</v>
      </c>
      <c r="B1790" s="6"/>
      <c r="C1790" s="6"/>
      <c r="D1790" s="6"/>
      <c r="E1790" s="6"/>
      <c r="F1790" s="6"/>
      <c r="G1790" s="6"/>
    </row>
    <row r="1791" spans="1:7" x14ac:dyDescent="0.25">
      <c r="A1791" s="6" t="s">
        <v>10154</v>
      </c>
      <c r="B1791" s="6"/>
      <c r="C1791" s="6"/>
      <c r="D1791" s="6"/>
      <c r="E1791" s="6"/>
      <c r="F1791" s="6"/>
      <c r="G1791" s="6"/>
    </row>
    <row r="1792" spans="1:7" x14ac:dyDescent="0.25">
      <c r="A1792" s="6" t="s">
        <v>10151</v>
      </c>
      <c r="B1792" s="6"/>
      <c r="C1792" s="6"/>
      <c r="D1792" s="6"/>
      <c r="E1792" s="6"/>
      <c r="F1792" s="6"/>
      <c r="G1792" s="6"/>
    </row>
    <row r="1793" spans="1:7" x14ac:dyDescent="0.25">
      <c r="A1793" s="6" t="s">
        <v>10148</v>
      </c>
      <c r="B1793" s="6"/>
      <c r="C1793" s="6"/>
      <c r="D1793" s="6"/>
      <c r="E1793" s="6"/>
      <c r="F1793" s="6"/>
      <c r="G1793" s="6"/>
    </row>
    <row r="1794" spans="1:7" x14ac:dyDescent="0.25">
      <c r="A1794" s="6" t="s">
        <v>10145</v>
      </c>
      <c r="B1794" s="6"/>
      <c r="C1794" s="6"/>
      <c r="D1794" s="6"/>
      <c r="E1794" s="6"/>
      <c r="F1794" s="6"/>
      <c r="G1794" s="6"/>
    </row>
    <row r="1795" spans="1:7" x14ac:dyDescent="0.25">
      <c r="A1795" s="6" t="s">
        <v>10142</v>
      </c>
      <c r="B1795" s="6"/>
      <c r="C1795" s="6"/>
      <c r="D1795" s="6"/>
      <c r="E1795" s="6"/>
      <c r="F1795" s="6"/>
      <c r="G1795" s="6"/>
    </row>
    <row r="1796" spans="1:7" x14ac:dyDescent="0.25">
      <c r="A1796" s="6" t="s">
        <v>10139</v>
      </c>
      <c r="B1796" s="6"/>
      <c r="C1796" s="6"/>
      <c r="D1796" s="6"/>
      <c r="E1796" s="6"/>
      <c r="F1796" s="6"/>
      <c r="G1796" s="6"/>
    </row>
    <row r="1797" spans="1:7" x14ac:dyDescent="0.25">
      <c r="A1797" s="6" t="s">
        <v>10136</v>
      </c>
      <c r="B1797" s="6"/>
      <c r="C1797" s="6"/>
      <c r="D1797" s="6"/>
      <c r="E1797" s="6"/>
      <c r="F1797" s="6"/>
      <c r="G1797" s="6"/>
    </row>
    <row r="1798" spans="1:7" x14ac:dyDescent="0.25">
      <c r="A1798" s="6" t="s">
        <v>10133</v>
      </c>
      <c r="B1798" s="6"/>
      <c r="C1798" s="6"/>
      <c r="D1798" s="6"/>
      <c r="E1798" s="6"/>
      <c r="F1798" s="6"/>
      <c r="G1798" s="6"/>
    </row>
    <row r="1799" spans="1:7" x14ac:dyDescent="0.25">
      <c r="A1799" s="6" t="s">
        <v>10130</v>
      </c>
      <c r="B1799" s="6"/>
      <c r="C1799" s="6"/>
      <c r="D1799" s="6"/>
      <c r="E1799" s="6"/>
      <c r="F1799" s="6"/>
      <c r="G1799" s="6"/>
    </row>
    <row r="1800" spans="1:7" x14ac:dyDescent="0.25">
      <c r="A1800" s="6" t="s">
        <v>957</v>
      </c>
      <c r="B1800" s="6"/>
      <c r="C1800" s="6"/>
      <c r="D1800" s="6"/>
      <c r="E1800" s="6"/>
      <c r="F1800" s="6"/>
      <c r="G1800" s="6"/>
    </row>
    <row r="1801" spans="1:7" x14ac:dyDescent="0.25">
      <c r="A1801" s="6" t="s">
        <v>10125</v>
      </c>
      <c r="B1801" s="6"/>
      <c r="C1801" s="6"/>
      <c r="D1801" s="6"/>
      <c r="E1801" s="6"/>
      <c r="F1801" s="6"/>
      <c r="G1801" s="6"/>
    </row>
    <row r="1802" spans="1:7" x14ac:dyDescent="0.25">
      <c r="A1802" s="6" t="s">
        <v>10122</v>
      </c>
      <c r="B1802" s="6"/>
      <c r="C1802" s="6"/>
      <c r="D1802" s="6"/>
      <c r="E1802" s="6"/>
      <c r="F1802" s="6"/>
      <c r="G1802" s="6"/>
    </row>
    <row r="1803" spans="1:7" x14ac:dyDescent="0.25">
      <c r="A1803" s="6" t="s">
        <v>957</v>
      </c>
      <c r="B1803" s="6"/>
      <c r="C1803" s="6"/>
      <c r="D1803" s="6"/>
      <c r="E1803" s="6"/>
      <c r="F1803" s="6"/>
      <c r="G1803" s="6"/>
    </row>
    <row r="1804" spans="1:7" x14ac:dyDescent="0.25">
      <c r="A1804" s="6" t="s">
        <v>10118</v>
      </c>
      <c r="B1804" s="6"/>
      <c r="C1804" s="6"/>
      <c r="D1804" s="6"/>
      <c r="E1804" s="6"/>
      <c r="F1804" s="6"/>
      <c r="G1804" s="6"/>
    </row>
    <row r="1805" spans="1:7" x14ac:dyDescent="0.25">
      <c r="A1805" s="6" t="s">
        <v>957</v>
      </c>
      <c r="B1805" s="6"/>
      <c r="C1805" s="6"/>
      <c r="D1805" s="6"/>
      <c r="E1805" s="6"/>
      <c r="F1805" s="6"/>
      <c r="G1805" s="6"/>
    </row>
    <row r="1806" spans="1:7" x14ac:dyDescent="0.25">
      <c r="A1806" s="6" t="s">
        <v>10114</v>
      </c>
      <c r="B1806" s="6"/>
      <c r="C1806" s="6"/>
      <c r="D1806" s="6"/>
      <c r="E1806" s="6"/>
      <c r="F1806" s="6"/>
      <c r="G1806" s="6"/>
    </row>
    <row r="1807" spans="1:7" x14ac:dyDescent="0.25">
      <c r="A1807" s="6" t="s">
        <v>9084</v>
      </c>
      <c r="B1807" s="6"/>
      <c r="C1807" s="6"/>
      <c r="D1807" s="6"/>
      <c r="E1807" s="6"/>
      <c r="F1807" s="6"/>
      <c r="G1807" s="6"/>
    </row>
    <row r="1808" spans="1:7" x14ac:dyDescent="0.25">
      <c r="A1808" s="6" t="s">
        <v>9081</v>
      </c>
      <c r="B1808" s="6"/>
      <c r="C1808" s="6"/>
      <c r="D1808" s="6"/>
      <c r="E1808" s="6"/>
      <c r="F1808" s="6"/>
      <c r="G1808" s="6"/>
    </row>
    <row r="1809" spans="1:7" x14ac:dyDescent="0.25">
      <c r="A1809" s="6" t="s">
        <v>9078</v>
      </c>
      <c r="B1809" s="6"/>
      <c r="C1809" s="6"/>
      <c r="D1809" s="6"/>
      <c r="E1809" s="6"/>
      <c r="F1809" s="6"/>
      <c r="G1809" s="6"/>
    </row>
    <row r="1810" spans="1:7" x14ac:dyDescent="0.25">
      <c r="A1810" s="6" t="s">
        <v>9075</v>
      </c>
      <c r="B1810" s="6"/>
      <c r="C1810" s="6"/>
      <c r="D1810" s="6"/>
      <c r="E1810" s="6"/>
      <c r="F1810" s="6"/>
      <c r="G1810" s="6"/>
    </row>
    <row r="1811" spans="1:7" x14ac:dyDescent="0.25">
      <c r="A1811" s="6" t="s">
        <v>9072</v>
      </c>
      <c r="B1811" s="6"/>
      <c r="C1811" s="6"/>
      <c r="D1811" s="6"/>
      <c r="E1811" s="6"/>
      <c r="F1811" s="6"/>
      <c r="G1811" s="6"/>
    </row>
    <row r="1812" spans="1:7" x14ac:dyDescent="0.25">
      <c r="A1812" s="6" t="s">
        <v>957</v>
      </c>
      <c r="B1812" s="6"/>
      <c r="C1812" s="6"/>
      <c r="D1812" s="6"/>
      <c r="E1812" s="6"/>
      <c r="F1812" s="6"/>
      <c r="G1812" s="6"/>
    </row>
    <row r="1813" spans="1:7" x14ac:dyDescent="0.25">
      <c r="A1813" s="6" t="s">
        <v>14091</v>
      </c>
      <c r="B1813" s="6" t="s">
        <v>14092</v>
      </c>
      <c r="C1813" s="6"/>
      <c r="D1813" s="6"/>
      <c r="E1813" s="6"/>
      <c r="F1813" s="6"/>
      <c r="G1813" s="6"/>
    </row>
    <row r="1814" spans="1:7" x14ac:dyDescent="0.25">
      <c r="A1814" s="6" t="s">
        <v>9066</v>
      </c>
      <c r="B1814" s="6"/>
      <c r="C1814" s="6"/>
      <c r="D1814" s="6"/>
      <c r="E1814" s="6"/>
      <c r="F1814" s="6"/>
      <c r="G1814" s="6"/>
    </row>
    <row r="1815" spans="1:7" x14ac:dyDescent="0.25">
      <c r="A1815" s="6" t="s">
        <v>10077</v>
      </c>
      <c r="B1815" s="6"/>
      <c r="C1815" s="6"/>
      <c r="D1815" s="6"/>
      <c r="E1815" s="6"/>
      <c r="F1815" s="6"/>
      <c r="G1815" s="6"/>
    </row>
    <row r="1816" spans="1:7" x14ac:dyDescent="0.25">
      <c r="A1816" s="6" t="s">
        <v>10074</v>
      </c>
      <c r="B1816" s="6"/>
      <c r="C1816" s="6"/>
      <c r="D1816" s="6"/>
      <c r="E1816" s="6"/>
      <c r="F1816" s="6"/>
      <c r="G1816" s="6"/>
    </row>
    <row r="1817" spans="1:7" x14ac:dyDescent="0.25">
      <c r="A1817" s="6" t="s">
        <v>10071</v>
      </c>
      <c r="B1817" s="6"/>
      <c r="C1817" s="6"/>
      <c r="D1817" s="6"/>
      <c r="E1817" s="6"/>
      <c r="F1817" s="6"/>
      <c r="G1817" s="6"/>
    </row>
    <row r="1818" spans="1:7" x14ac:dyDescent="0.25">
      <c r="A1818" s="6" t="s">
        <v>957</v>
      </c>
      <c r="B1818" s="6"/>
      <c r="C1818" s="6"/>
      <c r="D1818" s="6"/>
      <c r="E1818" s="6"/>
      <c r="F1818" s="6"/>
      <c r="G1818" s="6"/>
    </row>
    <row r="1819" spans="1:7" x14ac:dyDescent="0.25">
      <c r="A1819" s="6" t="s">
        <v>10067</v>
      </c>
      <c r="B1819" s="6"/>
      <c r="C1819" s="6"/>
      <c r="D1819" s="6"/>
      <c r="E1819" s="6"/>
      <c r="F1819" s="6"/>
      <c r="G1819" s="6"/>
    </row>
    <row r="1820" spans="1:7" x14ac:dyDescent="0.25">
      <c r="A1820" s="6" t="s">
        <v>957</v>
      </c>
      <c r="B1820" s="6"/>
      <c r="C1820" s="6"/>
      <c r="D1820" s="6"/>
      <c r="E1820" s="6"/>
      <c r="F1820" s="6"/>
      <c r="G1820" s="6"/>
    </row>
    <row r="1821" spans="1:7" x14ac:dyDescent="0.25">
      <c r="A1821" s="6" t="s">
        <v>10063</v>
      </c>
      <c r="B1821" s="6"/>
      <c r="C1821" s="6"/>
      <c r="D1821" s="6"/>
      <c r="E1821" s="6"/>
      <c r="F1821" s="6"/>
      <c r="G1821" s="6"/>
    </row>
    <row r="1822" spans="1:7" x14ac:dyDescent="0.25">
      <c r="A1822" s="6" t="s">
        <v>10060</v>
      </c>
      <c r="B1822" s="6"/>
      <c r="C1822" s="6"/>
      <c r="D1822" s="6"/>
      <c r="E1822" s="6"/>
      <c r="F1822" s="6"/>
      <c r="G1822" s="6"/>
    </row>
    <row r="1823" spans="1:7" x14ac:dyDescent="0.25">
      <c r="A1823" s="6" t="s">
        <v>10057</v>
      </c>
      <c r="B1823" s="6"/>
      <c r="C1823" s="6"/>
      <c r="D1823" s="6"/>
      <c r="E1823" s="6"/>
      <c r="F1823" s="6"/>
      <c r="G1823" s="6"/>
    </row>
    <row r="1824" spans="1:7" x14ac:dyDescent="0.25">
      <c r="A1824" s="6" t="s">
        <v>10054</v>
      </c>
      <c r="B1824" s="6"/>
      <c r="C1824" s="6"/>
      <c r="D1824" s="6"/>
      <c r="E1824" s="6"/>
      <c r="F1824" s="6"/>
      <c r="G1824" s="6"/>
    </row>
    <row r="1825" spans="1:7" x14ac:dyDescent="0.25">
      <c r="A1825" s="6" t="s">
        <v>10051</v>
      </c>
      <c r="B1825" s="6"/>
      <c r="C1825" s="6"/>
      <c r="D1825" s="6"/>
      <c r="E1825" s="6"/>
      <c r="F1825" s="6"/>
      <c r="G1825" s="6"/>
    </row>
    <row r="1826" spans="1:7" x14ac:dyDescent="0.25">
      <c r="A1826" s="6" t="s">
        <v>10048</v>
      </c>
      <c r="B1826" s="6"/>
      <c r="C1826" s="6"/>
      <c r="D1826" s="6"/>
      <c r="E1826" s="6"/>
      <c r="F1826" s="6"/>
      <c r="G1826" s="6"/>
    </row>
    <row r="1827" spans="1:7" x14ac:dyDescent="0.25">
      <c r="A1827" s="6" t="s">
        <v>10045</v>
      </c>
      <c r="B1827" s="6"/>
      <c r="C1827" s="6"/>
      <c r="D1827" s="6"/>
      <c r="E1827" s="6"/>
      <c r="F1827" s="6"/>
      <c r="G1827" s="6"/>
    </row>
    <row r="1828" spans="1:7" x14ac:dyDescent="0.25">
      <c r="A1828" s="6" t="s">
        <v>9031</v>
      </c>
      <c r="B1828" s="6"/>
      <c r="C1828" s="6"/>
      <c r="D1828" s="6"/>
      <c r="E1828" s="6"/>
      <c r="F1828" s="6"/>
      <c r="G1828" s="6"/>
    </row>
    <row r="1829" spans="1:7" x14ac:dyDescent="0.25">
      <c r="A1829" s="6" t="s">
        <v>9028</v>
      </c>
      <c r="B1829" s="6"/>
      <c r="C1829" s="6"/>
      <c r="D1829" s="6"/>
      <c r="E1829" s="6"/>
      <c r="F1829" s="6"/>
      <c r="G1829" s="6"/>
    </row>
    <row r="1830" spans="1:7" x14ac:dyDescent="0.25">
      <c r="A1830" s="6" t="s">
        <v>9025</v>
      </c>
      <c r="B1830" s="6"/>
      <c r="C1830" s="6"/>
      <c r="D1830" s="6"/>
      <c r="E1830" s="6"/>
      <c r="F1830" s="6"/>
      <c r="G1830" s="6"/>
    </row>
    <row r="1831" spans="1:7" x14ac:dyDescent="0.25">
      <c r="A1831" s="6" t="s">
        <v>9022</v>
      </c>
      <c r="B1831" s="6"/>
      <c r="C1831" s="6"/>
      <c r="D1831" s="6"/>
      <c r="E1831" s="6"/>
      <c r="F1831" s="6"/>
      <c r="G1831" s="6"/>
    </row>
    <row r="1832" spans="1:7" x14ac:dyDescent="0.25">
      <c r="A1832" s="6" t="s">
        <v>9019</v>
      </c>
      <c r="B1832" s="6"/>
      <c r="C1832" s="6"/>
      <c r="D1832" s="6"/>
      <c r="E1832" s="6"/>
      <c r="F1832" s="6"/>
      <c r="G1832" s="6"/>
    </row>
    <row r="1833" spans="1:7" x14ac:dyDescent="0.25">
      <c r="A1833" s="6" t="s">
        <v>9016</v>
      </c>
      <c r="B1833" s="6"/>
      <c r="C1833" s="6"/>
      <c r="D1833" s="6"/>
      <c r="E1833" s="6"/>
      <c r="F1833" s="6"/>
      <c r="G1833" s="6"/>
    </row>
    <row r="1834" spans="1:7" x14ac:dyDescent="0.25">
      <c r="A1834" s="6" t="s">
        <v>14188</v>
      </c>
      <c r="B1834" s="6" t="s">
        <v>14189</v>
      </c>
      <c r="C1834" s="6"/>
      <c r="D1834" s="6"/>
      <c r="E1834" s="6"/>
      <c r="F1834" s="6"/>
      <c r="G1834" s="6"/>
    </row>
    <row r="1835" spans="1:7" x14ac:dyDescent="0.25">
      <c r="A1835" s="6" t="s">
        <v>9011</v>
      </c>
      <c r="B1835" s="6"/>
      <c r="C1835" s="6"/>
      <c r="D1835" s="6"/>
      <c r="E1835" s="6"/>
      <c r="F1835" s="6"/>
      <c r="G1835" s="6"/>
    </row>
    <row r="1836" spans="1:7" x14ac:dyDescent="0.25">
      <c r="A1836" s="6" t="s">
        <v>9009</v>
      </c>
      <c r="B1836" s="6"/>
      <c r="C1836" s="6"/>
      <c r="D1836" s="6"/>
      <c r="E1836" s="6"/>
      <c r="F1836" s="6"/>
      <c r="G1836" s="6"/>
    </row>
    <row r="1837" spans="1:7" x14ac:dyDescent="0.25">
      <c r="A1837" s="6" t="s">
        <v>957</v>
      </c>
      <c r="B1837" s="6"/>
      <c r="C1837" s="6"/>
      <c r="D1837" s="6"/>
      <c r="E1837" s="6"/>
      <c r="F1837" s="6"/>
      <c r="G1837" s="6"/>
    </row>
    <row r="1838" spans="1:7" x14ac:dyDescent="0.25">
      <c r="A1838" s="6" t="s">
        <v>957</v>
      </c>
      <c r="B1838" s="6"/>
      <c r="C1838" s="6"/>
      <c r="D1838" s="6"/>
      <c r="E1838" s="6"/>
      <c r="F1838" s="6"/>
      <c r="G1838" s="6"/>
    </row>
    <row r="1839" spans="1:7" x14ac:dyDescent="0.25">
      <c r="A1839" s="6" t="s">
        <v>957</v>
      </c>
      <c r="B1839" s="6"/>
      <c r="C1839" s="6"/>
      <c r="D1839" s="6"/>
      <c r="E1839" s="6"/>
      <c r="F1839" s="6"/>
      <c r="G1839" s="6"/>
    </row>
    <row r="1840" spans="1:7" x14ac:dyDescent="0.25">
      <c r="A1840" s="6" t="s">
        <v>957</v>
      </c>
      <c r="B1840" s="6"/>
      <c r="C1840" s="6"/>
      <c r="D1840" s="6"/>
      <c r="E1840" s="6"/>
      <c r="F1840" s="6"/>
      <c r="G1840" s="6"/>
    </row>
    <row r="1841" spans="1:7" x14ac:dyDescent="0.25">
      <c r="A1841" s="6" t="s">
        <v>9002</v>
      </c>
      <c r="B1841" s="6"/>
      <c r="C1841" s="6"/>
      <c r="D1841" s="6"/>
      <c r="E1841" s="6"/>
      <c r="F1841" s="6"/>
      <c r="G1841" s="6"/>
    </row>
    <row r="1842" spans="1:7" x14ac:dyDescent="0.25">
      <c r="A1842" s="6" t="s">
        <v>8999</v>
      </c>
      <c r="B1842" s="6"/>
      <c r="C1842" s="6"/>
      <c r="D1842" s="6"/>
      <c r="E1842" s="6"/>
      <c r="F1842" s="6"/>
      <c r="G1842" s="6"/>
    </row>
    <row r="1843" spans="1:7" x14ac:dyDescent="0.25">
      <c r="A1843" s="6" t="s">
        <v>957</v>
      </c>
      <c r="B1843" s="6"/>
      <c r="C1843" s="6"/>
      <c r="D1843" s="6"/>
      <c r="E1843" s="6"/>
      <c r="F1843" s="6"/>
      <c r="G1843" s="6"/>
    </row>
    <row r="1844" spans="1:7" x14ac:dyDescent="0.25">
      <c r="A1844" s="6" t="s">
        <v>8995</v>
      </c>
      <c r="B1844" s="6"/>
      <c r="C1844" s="6"/>
      <c r="D1844" s="6"/>
      <c r="E1844" s="6"/>
      <c r="F1844" s="6"/>
      <c r="G1844" s="6"/>
    </row>
    <row r="1845" spans="1:7" x14ac:dyDescent="0.25">
      <c r="A1845" s="6" t="s">
        <v>8992</v>
      </c>
      <c r="B1845" s="6"/>
      <c r="C1845" s="6"/>
      <c r="D1845" s="6"/>
      <c r="E1845" s="6"/>
      <c r="F1845" s="6"/>
      <c r="G1845" s="6"/>
    </row>
    <row r="1846" spans="1:7" x14ac:dyDescent="0.25">
      <c r="A1846" s="6" t="s">
        <v>8989</v>
      </c>
      <c r="B1846" s="6"/>
      <c r="C1846" s="6"/>
      <c r="D1846" s="6"/>
      <c r="E1846" s="6"/>
      <c r="F1846" s="6"/>
      <c r="G1846" s="6"/>
    </row>
    <row r="1847" spans="1:7" x14ac:dyDescent="0.25">
      <c r="A1847" s="6" t="s">
        <v>8986</v>
      </c>
      <c r="B1847" s="6"/>
      <c r="C1847" s="6"/>
      <c r="D1847" s="6"/>
      <c r="E1847" s="6"/>
      <c r="F1847" s="6"/>
      <c r="G1847" s="6"/>
    </row>
    <row r="1848" spans="1:7" x14ac:dyDescent="0.25">
      <c r="A1848" s="6" t="s">
        <v>8983</v>
      </c>
      <c r="B1848" s="6"/>
      <c r="C1848" s="6"/>
      <c r="D1848" s="6"/>
      <c r="E1848" s="6"/>
      <c r="F1848" s="6"/>
      <c r="G1848" s="6"/>
    </row>
    <row r="1849" spans="1:7" x14ac:dyDescent="0.25">
      <c r="A1849" s="6" t="s">
        <v>8980</v>
      </c>
      <c r="B1849" s="6"/>
      <c r="C1849" s="6"/>
      <c r="D1849" s="6"/>
      <c r="E1849" s="6"/>
      <c r="F1849" s="6"/>
      <c r="G1849" s="6"/>
    </row>
    <row r="1850" spans="1:7" x14ac:dyDescent="0.25">
      <c r="A1850" s="6" t="s">
        <v>8977</v>
      </c>
      <c r="B1850" s="6"/>
      <c r="C1850" s="6"/>
      <c r="D1850" s="6"/>
      <c r="E1850" s="6"/>
      <c r="F1850" s="6"/>
      <c r="G1850" s="6"/>
    </row>
    <row r="1851" spans="1:7" x14ac:dyDescent="0.25">
      <c r="A1851" s="6" t="s">
        <v>8975</v>
      </c>
      <c r="B1851" s="6"/>
      <c r="C1851" s="6"/>
      <c r="D1851" s="6"/>
      <c r="E1851" s="6"/>
      <c r="F1851" s="6"/>
      <c r="G1851" s="6"/>
    </row>
    <row r="1852" spans="1:7" x14ac:dyDescent="0.25">
      <c r="A1852" s="6" t="s">
        <v>8972</v>
      </c>
      <c r="B1852" s="6"/>
      <c r="C1852" s="6"/>
      <c r="D1852" s="6"/>
      <c r="E1852" s="6"/>
      <c r="F1852" s="6"/>
      <c r="G1852" s="6"/>
    </row>
    <row r="1853" spans="1:7" x14ac:dyDescent="0.25">
      <c r="A1853" s="6" t="s">
        <v>10025</v>
      </c>
      <c r="B1853" s="6"/>
      <c r="C1853" s="6"/>
      <c r="D1853" s="6"/>
      <c r="E1853" s="6"/>
      <c r="F1853" s="6"/>
      <c r="G1853" s="6"/>
    </row>
    <row r="1854" spans="1:7" x14ac:dyDescent="0.25">
      <c r="A1854" s="6" t="s">
        <v>10022</v>
      </c>
      <c r="B1854" s="6"/>
      <c r="C1854" s="6"/>
      <c r="D1854" s="6"/>
      <c r="E1854" s="6"/>
      <c r="F1854" s="6"/>
      <c r="G1854" s="6"/>
    </row>
    <row r="1855" spans="1:7" x14ac:dyDescent="0.25">
      <c r="A1855" s="6" t="s">
        <v>10019</v>
      </c>
      <c r="B1855" s="6"/>
      <c r="C1855" s="6"/>
      <c r="D1855" s="6"/>
      <c r="E1855" s="6"/>
      <c r="F1855" s="6"/>
      <c r="G1855" s="6"/>
    </row>
    <row r="1856" spans="1:7" x14ac:dyDescent="0.25">
      <c r="A1856" s="6" t="s">
        <v>10016</v>
      </c>
      <c r="B1856" s="6"/>
      <c r="C1856" s="6"/>
      <c r="D1856" s="6"/>
      <c r="E1856" s="6"/>
      <c r="F1856" s="6"/>
      <c r="G1856" s="6"/>
    </row>
    <row r="1857" spans="1:7" x14ac:dyDescent="0.25">
      <c r="A1857" s="6" t="s">
        <v>10013</v>
      </c>
      <c r="B1857" s="6"/>
      <c r="C1857" s="6"/>
      <c r="D1857" s="6"/>
      <c r="E1857" s="6"/>
      <c r="F1857" s="6"/>
      <c r="G1857" s="6"/>
    </row>
    <row r="1858" spans="1:7" x14ac:dyDescent="0.25">
      <c r="A1858" s="6" t="s">
        <v>957</v>
      </c>
      <c r="B1858" s="6"/>
      <c r="C1858" s="6"/>
      <c r="D1858" s="6"/>
      <c r="E1858" s="6"/>
      <c r="F1858" s="6"/>
      <c r="G1858" s="6"/>
    </row>
    <row r="1859" spans="1:7" x14ac:dyDescent="0.25">
      <c r="A1859" s="6" t="s">
        <v>10009</v>
      </c>
      <c r="B1859" s="6"/>
      <c r="C1859" s="6"/>
      <c r="D1859" s="6"/>
      <c r="E1859" s="6"/>
      <c r="F1859" s="6"/>
      <c r="G1859" s="6"/>
    </row>
    <row r="1860" spans="1:7" x14ac:dyDescent="0.25">
      <c r="A1860" s="6" t="s">
        <v>10006</v>
      </c>
      <c r="B1860" s="6"/>
      <c r="C1860" s="6"/>
      <c r="D1860" s="6"/>
      <c r="E1860" s="6"/>
      <c r="F1860" s="6"/>
      <c r="G1860" s="6"/>
    </row>
    <row r="1861" spans="1:7" x14ac:dyDescent="0.25">
      <c r="A1861" s="6" t="s">
        <v>10003</v>
      </c>
      <c r="B1861" s="6"/>
      <c r="C1861" s="6"/>
      <c r="D1861" s="6"/>
      <c r="E1861" s="6"/>
      <c r="F1861" s="6"/>
      <c r="G1861" s="6"/>
    </row>
    <row r="1862" spans="1:7" x14ac:dyDescent="0.25">
      <c r="A1862" s="6" t="s">
        <v>10000</v>
      </c>
      <c r="B1862" s="6"/>
      <c r="C1862" s="6"/>
      <c r="D1862" s="6"/>
      <c r="E1862" s="6"/>
      <c r="F1862" s="6"/>
      <c r="G1862" s="6"/>
    </row>
    <row r="1863" spans="1:7" x14ac:dyDescent="0.25">
      <c r="A1863" s="6" t="s">
        <v>9997</v>
      </c>
      <c r="B1863" s="6"/>
      <c r="C1863" s="6"/>
      <c r="D1863" s="6"/>
      <c r="E1863" s="6"/>
      <c r="F1863" s="6"/>
      <c r="G1863" s="6"/>
    </row>
    <row r="1864" spans="1:7" x14ac:dyDescent="0.25">
      <c r="A1864" s="6" t="s">
        <v>957</v>
      </c>
      <c r="B1864" s="6"/>
      <c r="C1864" s="6"/>
      <c r="D1864" s="6"/>
      <c r="E1864" s="6"/>
      <c r="F1864" s="6"/>
      <c r="G1864" s="6"/>
    </row>
    <row r="1865" spans="1:7" x14ac:dyDescent="0.25">
      <c r="A1865" s="6" t="s">
        <v>9994</v>
      </c>
      <c r="B1865" s="6"/>
      <c r="C1865" s="6"/>
      <c r="D1865" s="6"/>
      <c r="E1865" s="6"/>
      <c r="F1865" s="6"/>
      <c r="G1865" s="6"/>
    </row>
    <row r="1866" spans="1:7" x14ac:dyDescent="0.25">
      <c r="A1866" s="6" t="s">
        <v>9991</v>
      </c>
      <c r="B1866" s="6"/>
      <c r="C1866" s="6"/>
      <c r="D1866" s="6"/>
      <c r="E1866" s="6"/>
      <c r="F1866" s="6"/>
      <c r="G1866" s="6"/>
    </row>
    <row r="1867" spans="1:7" x14ac:dyDescent="0.25">
      <c r="A1867" s="6" t="s">
        <v>9988</v>
      </c>
      <c r="B1867" s="6"/>
      <c r="C1867" s="6"/>
      <c r="D1867" s="6"/>
      <c r="E1867" s="6"/>
      <c r="F1867" s="6"/>
      <c r="G1867" s="6"/>
    </row>
    <row r="1868" spans="1:7" x14ac:dyDescent="0.25">
      <c r="A1868" s="6" t="s">
        <v>9985</v>
      </c>
      <c r="B1868" s="6"/>
      <c r="C1868" s="6"/>
      <c r="D1868" s="6"/>
      <c r="E1868" s="6"/>
      <c r="F1868" s="6"/>
      <c r="G1868" s="6"/>
    </row>
    <row r="1869" spans="1:7" x14ac:dyDescent="0.25">
      <c r="A1869" s="6" t="s">
        <v>957</v>
      </c>
      <c r="B1869" s="6"/>
      <c r="C1869" s="6"/>
      <c r="D1869" s="6"/>
      <c r="E1869" s="6"/>
      <c r="F1869" s="6"/>
      <c r="G1869" s="6"/>
    </row>
    <row r="1870" spans="1:7" x14ac:dyDescent="0.25">
      <c r="A1870" s="6" t="s">
        <v>9980</v>
      </c>
      <c r="B1870" s="6"/>
      <c r="C1870" s="6"/>
      <c r="D1870" s="6"/>
      <c r="E1870" s="6"/>
      <c r="F1870" s="6"/>
      <c r="G1870" s="6"/>
    </row>
    <row r="1871" spans="1:7" x14ac:dyDescent="0.25">
      <c r="A1871" s="6" t="s">
        <v>9977</v>
      </c>
      <c r="B1871" s="6"/>
      <c r="C1871" s="6"/>
      <c r="D1871" s="6"/>
      <c r="E1871" s="6"/>
      <c r="F1871" s="6"/>
      <c r="G1871" s="6"/>
    </row>
    <row r="1872" spans="1:7" x14ac:dyDescent="0.25">
      <c r="A1872" s="6" t="s">
        <v>957</v>
      </c>
      <c r="B1872" s="6"/>
      <c r="C1872" s="6"/>
      <c r="D1872" s="6"/>
      <c r="E1872" s="6"/>
      <c r="F1872" s="6"/>
      <c r="G1872" s="6"/>
    </row>
    <row r="1873" spans="1:7" x14ac:dyDescent="0.25">
      <c r="A1873" s="6" t="s">
        <v>9973</v>
      </c>
      <c r="B1873" s="6"/>
      <c r="C1873" s="6"/>
      <c r="D1873" s="6"/>
      <c r="E1873" s="6"/>
      <c r="F1873" s="6"/>
      <c r="G1873" s="6"/>
    </row>
    <row r="1874" spans="1:7" x14ac:dyDescent="0.25">
      <c r="A1874" s="6" t="s">
        <v>9970</v>
      </c>
      <c r="B1874" s="6"/>
      <c r="C1874" s="6"/>
      <c r="D1874" s="6"/>
      <c r="E1874" s="6"/>
      <c r="F1874" s="6"/>
      <c r="G1874" s="6"/>
    </row>
    <row r="1875" spans="1:7" x14ac:dyDescent="0.25">
      <c r="A1875" s="6" t="s">
        <v>9967</v>
      </c>
      <c r="B1875" s="6"/>
      <c r="C1875" s="6"/>
      <c r="D1875" s="6"/>
      <c r="E1875" s="6"/>
      <c r="F1875" s="6"/>
      <c r="G1875" s="6"/>
    </row>
    <row r="1876" spans="1:7" x14ac:dyDescent="0.25">
      <c r="A1876" s="6" t="s">
        <v>9964</v>
      </c>
      <c r="B1876" s="6"/>
      <c r="C1876" s="6"/>
      <c r="D1876" s="6"/>
      <c r="E1876" s="6"/>
      <c r="F1876" s="6"/>
      <c r="G1876" s="6"/>
    </row>
    <row r="1877" spans="1:7" x14ac:dyDescent="0.25">
      <c r="A1877" s="6" t="s">
        <v>9961</v>
      </c>
      <c r="B1877" s="6"/>
      <c r="C1877" s="6"/>
      <c r="D1877" s="6"/>
      <c r="E1877" s="6"/>
      <c r="F1877" s="6"/>
      <c r="G1877" s="6"/>
    </row>
    <row r="1878" spans="1:7" x14ac:dyDescent="0.25">
      <c r="A1878" s="6" t="s">
        <v>9958</v>
      </c>
      <c r="B1878" s="6"/>
      <c r="C1878" s="6"/>
      <c r="D1878" s="6"/>
      <c r="E1878" s="6"/>
      <c r="F1878" s="6"/>
      <c r="G1878" s="6"/>
    </row>
    <row r="1879" spans="1:7" x14ac:dyDescent="0.25">
      <c r="A1879" s="6" t="s">
        <v>9956</v>
      </c>
      <c r="B1879" s="6"/>
      <c r="C1879" s="6"/>
      <c r="D1879" s="6"/>
      <c r="E1879" s="6"/>
      <c r="F1879" s="6"/>
      <c r="G1879" s="6"/>
    </row>
    <row r="1880" spans="1:7" x14ac:dyDescent="0.25">
      <c r="A1880" s="6" t="s">
        <v>8901</v>
      </c>
      <c r="B1880" s="6"/>
      <c r="C1880" s="6"/>
      <c r="D1880" s="6"/>
      <c r="E1880" s="6"/>
      <c r="F1880" s="6"/>
      <c r="G1880" s="6"/>
    </row>
    <row r="1881" spans="1:7" x14ac:dyDescent="0.25">
      <c r="A1881" s="6" t="s">
        <v>8898</v>
      </c>
      <c r="B1881" s="6"/>
      <c r="C1881" s="6"/>
      <c r="D1881" s="6"/>
      <c r="E1881" s="6"/>
      <c r="F1881" s="6"/>
      <c r="G1881" s="6"/>
    </row>
    <row r="1882" spans="1:7" x14ac:dyDescent="0.25">
      <c r="A1882" s="6" t="s">
        <v>8895</v>
      </c>
      <c r="B1882" s="6"/>
      <c r="C1882" s="6"/>
      <c r="D1882" s="6"/>
      <c r="E1882" s="6"/>
      <c r="F1882" s="6"/>
      <c r="G1882" s="6"/>
    </row>
    <row r="1883" spans="1:7" x14ac:dyDescent="0.25">
      <c r="A1883" s="6" t="s">
        <v>8892</v>
      </c>
      <c r="B1883" s="6"/>
      <c r="C1883" s="6"/>
      <c r="D1883" s="6"/>
      <c r="E1883" s="6"/>
      <c r="F1883" s="6"/>
      <c r="G1883" s="6"/>
    </row>
    <row r="1884" spans="1:7" x14ac:dyDescent="0.25">
      <c r="A1884" s="6" t="s">
        <v>8889</v>
      </c>
      <c r="B1884" s="6"/>
      <c r="C1884" s="6"/>
      <c r="D1884" s="6"/>
      <c r="E1884" s="6"/>
      <c r="F1884" s="6"/>
      <c r="G1884" s="6"/>
    </row>
    <row r="1885" spans="1:7" x14ac:dyDescent="0.25">
      <c r="A1885" s="6" t="s">
        <v>8886</v>
      </c>
      <c r="B1885" s="6"/>
      <c r="C1885" s="6"/>
      <c r="D1885" s="6"/>
      <c r="E1885" s="6"/>
      <c r="F1885" s="6"/>
      <c r="G1885" s="6"/>
    </row>
    <row r="1886" spans="1:7" x14ac:dyDescent="0.25">
      <c r="A1886" s="6" t="s">
        <v>8883</v>
      </c>
      <c r="B1886" s="6"/>
      <c r="C1886" s="6"/>
      <c r="D1886" s="6"/>
      <c r="E1886" s="6"/>
      <c r="F1886" s="6"/>
      <c r="G1886" s="6"/>
    </row>
    <row r="1887" spans="1:7" x14ac:dyDescent="0.25">
      <c r="A1887" s="6" t="s">
        <v>8880</v>
      </c>
      <c r="B1887" s="6"/>
      <c r="C1887" s="6"/>
      <c r="D1887" s="6"/>
      <c r="E1887" s="6"/>
      <c r="F1887" s="6"/>
      <c r="G1887" s="6"/>
    </row>
    <row r="1888" spans="1:7" x14ac:dyDescent="0.25">
      <c r="A1888" s="6" t="s">
        <v>14190</v>
      </c>
      <c r="B1888" s="6" t="s">
        <v>14191</v>
      </c>
      <c r="C1888" s="6"/>
      <c r="D1888" s="6"/>
      <c r="E1888" s="6"/>
      <c r="F1888" s="6"/>
      <c r="G1888" s="6"/>
    </row>
    <row r="1889" spans="1:7" x14ac:dyDescent="0.25">
      <c r="A1889" s="6" t="s">
        <v>9919</v>
      </c>
      <c r="B1889" s="6"/>
      <c r="C1889" s="6"/>
      <c r="D1889" s="6"/>
      <c r="E1889" s="6"/>
      <c r="F1889" s="6"/>
      <c r="G1889" s="6"/>
    </row>
    <row r="1890" spans="1:7" x14ac:dyDescent="0.25">
      <c r="A1890" s="6" t="s">
        <v>9916</v>
      </c>
      <c r="B1890" s="6"/>
      <c r="C1890" s="6"/>
      <c r="D1890" s="6"/>
      <c r="E1890" s="6"/>
      <c r="F1890" s="6"/>
      <c r="G1890" s="6"/>
    </row>
    <row r="1891" spans="1:7" x14ac:dyDescent="0.25">
      <c r="A1891" s="6" t="s">
        <v>957</v>
      </c>
      <c r="B1891" s="6"/>
      <c r="C1891" s="6"/>
      <c r="D1891" s="6"/>
      <c r="E1891" s="6"/>
      <c r="F1891" s="6"/>
      <c r="G1891" s="6"/>
    </row>
    <row r="1892" spans="1:7" x14ac:dyDescent="0.25">
      <c r="A1892" s="6" t="s">
        <v>957</v>
      </c>
      <c r="B1892" s="6"/>
      <c r="C1892" s="6"/>
      <c r="D1892" s="6"/>
      <c r="E1892" s="6"/>
      <c r="F1892" s="6"/>
      <c r="G1892" s="6"/>
    </row>
    <row r="1893" spans="1:7" x14ac:dyDescent="0.25">
      <c r="A1893" s="6" t="s">
        <v>957</v>
      </c>
      <c r="B1893" s="6"/>
      <c r="C1893" s="6"/>
      <c r="D1893" s="6"/>
      <c r="E1893" s="6"/>
      <c r="F1893" s="6"/>
      <c r="G1893" s="6"/>
    </row>
    <row r="1894" spans="1:7" x14ac:dyDescent="0.25">
      <c r="A1894" s="6" t="s">
        <v>9911</v>
      </c>
      <c r="B1894" s="6"/>
      <c r="C1894" s="6"/>
      <c r="D1894" s="6"/>
      <c r="E1894" s="6"/>
      <c r="F1894" s="6"/>
      <c r="G1894" s="6"/>
    </row>
    <row r="1895" spans="1:7" x14ac:dyDescent="0.25">
      <c r="A1895" s="6" t="s">
        <v>1375</v>
      </c>
      <c r="B1895" s="6"/>
      <c r="C1895" s="6"/>
      <c r="D1895" s="6"/>
      <c r="E1895" s="6"/>
      <c r="F1895" s="6"/>
      <c r="G1895" s="6"/>
    </row>
    <row r="1896" spans="1:7" x14ac:dyDescent="0.25">
      <c r="A1896" s="6" t="s">
        <v>9906</v>
      </c>
      <c r="B1896" s="6"/>
      <c r="C1896" s="6"/>
      <c r="D1896" s="6"/>
      <c r="E1896" s="6"/>
      <c r="F1896" s="6"/>
      <c r="G1896" s="6"/>
    </row>
    <row r="1897" spans="1:7" x14ac:dyDescent="0.25">
      <c r="A1897" s="6" t="s">
        <v>9903</v>
      </c>
      <c r="B1897" s="6"/>
      <c r="C1897" s="6"/>
      <c r="D1897" s="6"/>
      <c r="E1897" s="6"/>
      <c r="F1897" s="6"/>
      <c r="G1897" s="6"/>
    </row>
    <row r="1898" spans="1:7" x14ac:dyDescent="0.25">
      <c r="A1898" s="6" t="s">
        <v>9900</v>
      </c>
      <c r="B1898" s="6"/>
      <c r="C1898" s="6"/>
      <c r="D1898" s="6"/>
      <c r="E1898" s="6"/>
      <c r="F1898" s="6"/>
      <c r="G1898" s="6"/>
    </row>
    <row r="1899" spans="1:7" x14ac:dyDescent="0.25">
      <c r="A1899" s="6" t="s">
        <v>957</v>
      </c>
      <c r="B1899" s="6"/>
      <c r="C1899" s="6"/>
      <c r="D1899" s="6"/>
      <c r="E1899" s="6"/>
      <c r="F1899" s="6"/>
      <c r="G1899" s="6"/>
    </row>
    <row r="1900" spans="1:7" x14ac:dyDescent="0.25">
      <c r="A1900" s="6" t="s">
        <v>14192</v>
      </c>
      <c r="B1900" s="6" t="s">
        <v>14193</v>
      </c>
      <c r="C1900" s="6"/>
      <c r="D1900" s="6"/>
      <c r="E1900" s="6"/>
      <c r="F1900" s="6"/>
      <c r="G1900" s="6"/>
    </row>
    <row r="1901" spans="1:7" x14ac:dyDescent="0.25">
      <c r="A1901" s="6" t="s">
        <v>8833</v>
      </c>
      <c r="B1901" s="6"/>
      <c r="C1901" s="6"/>
      <c r="D1901" s="6"/>
      <c r="E1901" s="6"/>
      <c r="F1901" s="6"/>
      <c r="G1901" s="6"/>
    </row>
    <row r="1902" spans="1:7" x14ac:dyDescent="0.25">
      <c r="A1902" s="6" t="s">
        <v>8830</v>
      </c>
      <c r="B1902" s="6"/>
      <c r="C1902" s="6"/>
      <c r="D1902" s="6"/>
      <c r="E1902" s="6"/>
      <c r="F1902" s="6"/>
      <c r="G1902" s="6"/>
    </row>
    <row r="1903" spans="1:7" x14ac:dyDescent="0.25">
      <c r="A1903" s="6" t="s">
        <v>8828</v>
      </c>
      <c r="B1903" s="6"/>
      <c r="C1903" s="6"/>
      <c r="D1903" s="6"/>
      <c r="E1903" s="6"/>
      <c r="F1903" s="6"/>
      <c r="G1903" s="6"/>
    </row>
    <row r="1904" spans="1:7" x14ac:dyDescent="0.25">
      <c r="A1904" s="6" t="s">
        <v>8825</v>
      </c>
      <c r="B1904" s="6"/>
      <c r="C1904" s="6"/>
      <c r="D1904" s="6"/>
      <c r="E1904" s="6"/>
      <c r="F1904" s="6"/>
      <c r="G1904" s="6"/>
    </row>
    <row r="1905" spans="1:7" x14ac:dyDescent="0.25">
      <c r="A1905" s="6" t="s">
        <v>8822</v>
      </c>
      <c r="B1905" s="6"/>
      <c r="C1905" s="6"/>
      <c r="D1905" s="6"/>
      <c r="E1905" s="6"/>
      <c r="F1905" s="6"/>
      <c r="G1905" s="6"/>
    </row>
    <row r="1906" spans="1:7" x14ac:dyDescent="0.25">
      <c r="A1906" s="6" t="s">
        <v>8819</v>
      </c>
      <c r="B1906" s="6"/>
      <c r="C1906" s="6"/>
      <c r="D1906" s="6"/>
      <c r="E1906" s="6"/>
      <c r="F1906" s="6"/>
      <c r="G1906" s="6"/>
    </row>
    <row r="1907" spans="1:7" x14ac:dyDescent="0.25">
      <c r="A1907" s="6" t="s">
        <v>8816</v>
      </c>
      <c r="B1907" s="6"/>
      <c r="C1907" s="6"/>
      <c r="D1907" s="6"/>
      <c r="E1907" s="6"/>
      <c r="F1907" s="6"/>
      <c r="G1907" s="6"/>
    </row>
    <row r="1908" spans="1:7" x14ac:dyDescent="0.25">
      <c r="A1908" s="6" t="s">
        <v>957</v>
      </c>
      <c r="B1908" s="6"/>
      <c r="C1908" s="6"/>
      <c r="D1908" s="6"/>
      <c r="E1908" s="6"/>
      <c r="F1908" s="6"/>
      <c r="G1908" s="6"/>
    </row>
    <row r="1909" spans="1:7" x14ac:dyDescent="0.25">
      <c r="A1909" s="6" t="s">
        <v>8811</v>
      </c>
      <c r="B1909" s="6"/>
      <c r="C1909" s="6"/>
      <c r="D1909" s="6"/>
      <c r="E1909" s="6"/>
      <c r="F1909" s="6"/>
      <c r="G1909" s="6"/>
    </row>
    <row r="1910" spans="1:7" x14ac:dyDescent="0.25">
      <c r="A1910" s="6" t="s">
        <v>957</v>
      </c>
      <c r="B1910" s="6"/>
      <c r="C1910" s="6"/>
      <c r="D1910" s="6"/>
      <c r="E1910" s="6"/>
      <c r="F1910" s="6"/>
      <c r="G1910" s="6"/>
    </row>
    <row r="1911" spans="1:7" x14ac:dyDescent="0.25">
      <c r="A1911" s="6" t="s">
        <v>957</v>
      </c>
      <c r="B1911" s="6"/>
      <c r="C1911" s="6"/>
      <c r="D1911" s="6"/>
      <c r="E1911" s="6"/>
      <c r="F1911" s="6"/>
      <c r="G1911" s="6"/>
    </row>
    <row r="1912" spans="1:7" x14ac:dyDescent="0.25">
      <c r="A1912" s="6" t="s">
        <v>8807</v>
      </c>
      <c r="B1912" s="6"/>
      <c r="C1912" s="6"/>
      <c r="D1912" s="6"/>
      <c r="E1912" s="6"/>
      <c r="F1912" s="6"/>
      <c r="G1912" s="6"/>
    </row>
    <row r="1913" spans="1:7" x14ac:dyDescent="0.25">
      <c r="A1913" s="6" t="s">
        <v>8804</v>
      </c>
      <c r="B1913" s="6"/>
      <c r="C1913" s="6"/>
      <c r="D1913" s="6"/>
      <c r="E1913" s="6"/>
      <c r="F1913" s="6"/>
      <c r="G1913" s="6"/>
    </row>
    <row r="1914" spans="1:7" x14ac:dyDescent="0.25">
      <c r="A1914" s="6" t="s">
        <v>8801</v>
      </c>
      <c r="B1914" s="6"/>
      <c r="C1914" s="6"/>
      <c r="D1914" s="6"/>
      <c r="E1914" s="6"/>
      <c r="F1914" s="6"/>
      <c r="G1914" s="6"/>
    </row>
    <row r="1915" spans="1:7" x14ac:dyDescent="0.25">
      <c r="A1915" s="6" t="s">
        <v>8798</v>
      </c>
      <c r="B1915" s="6"/>
      <c r="C1915" s="6"/>
      <c r="D1915" s="6"/>
      <c r="E1915" s="6"/>
      <c r="F1915" s="6"/>
      <c r="G1915" s="6"/>
    </row>
    <row r="1916" spans="1:7" x14ac:dyDescent="0.25">
      <c r="A1916" s="6" t="s">
        <v>8795</v>
      </c>
      <c r="B1916" s="6"/>
      <c r="C1916" s="6"/>
      <c r="D1916" s="6"/>
      <c r="E1916" s="6"/>
      <c r="F1916" s="6"/>
      <c r="G1916" s="6"/>
    </row>
    <row r="1917" spans="1:7" x14ac:dyDescent="0.25">
      <c r="A1917" s="6" t="s">
        <v>8792</v>
      </c>
      <c r="B1917" s="6"/>
      <c r="C1917" s="6"/>
      <c r="D1917" s="6"/>
      <c r="E1917" s="6"/>
      <c r="F1917" s="6"/>
      <c r="G1917" s="6"/>
    </row>
    <row r="1918" spans="1:7" x14ac:dyDescent="0.25">
      <c r="A1918" s="6" t="s">
        <v>8789</v>
      </c>
      <c r="B1918" s="6"/>
      <c r="C1918" s="6"/>
      <c r="D1918" s="6"/>
      <c r="E1918" s="6"/>
      <c r="F1918" s="6"/>
      <c r="G1918" s="6"/>
    </row>
    <row r="1919" spans="1:7" x14ac:dyDescent="0.25">
      <c r="A1919" s="6" t="s">
        <v>8786</v>
      </c>
      <c r="B1919" s="6"/>
      <c r="C1919" s="6"/>
      <c r="D1919" s="6"/>
      <c r="E1919" s="6"/>
      <c r="F1919" s="6"/>
      <c r="G1919" s="6"/>
    </row>
    <row r="1920" spans="1:7" x14ac:dyDescent="0.25">
      <c r="A1920" s="6" t="s">
        <v>8784</v>
      </c>
      <c r="B1920" s="6"/>
      <c r="C1920" s="6"/>
      <c r="D1920" s="6"/>
      <c r="E1920" s="6"/>
      <c r="F1920" s="6"/>
      <c r="G1920" s="6"/>
    </row>
    <row r="1921" spans="1:7" x14ac:dyDescent="0.25">
      <c r="A1921" s="6" t="s">
        <v>8781</v>
      </c>
      <c r="B1921" s="6"/>
      <c r="C1921" s="6"/>
      <c r="D1921" s="6"/>
      <c r="E1921" s="6"/>
      <c r="F1921" s="6"/>
      <c r="G1921" s="6"/>
    </row>
    <row r="1922" spans="1:7" x14ac:dyDescent="0.25">
      <c r="A1922" s="6" t="s">
        <v>8778</v>
      </c>
      <c r="B1922" s="6"/>
      <c r="C1922" s="6"/>
      <c r="D1922" s="6"/>
      <c r="E1922" s="6"/>
      <c r="F1922" s="6"/>
      <c r="G1922" s="6"/>
    </row>
    <row r="1923" spans="1:7" x14ac:dyDescent="0.25">
      <c r="A1923" s="6" t="s">
        <v>8775</v>
      </c>
      <c r="B1923" s="6"/>
      <c r="C1923" s="6"/>
      <c r="D1923" s="6"/>
      <c r="E1923" s="6"/>
      <c r="F1923" s="6"/>
      <c r="G1923" s="6"/>
    </row>
    <row r="1924" spans="1:7" x14ac:dyDescent="0.25">
      <c r="A1924" s="6" t="s">
        <v>8772</v>
      </c>
      <c r="B1924" s="6"/>
      <c r="C1924" s="6"/>
      <c r="D1924" s="6"/>
      <c r="E1924" s="6"/>
      <c r="F1924" s="6"/>
      <c r="G1924" s="6"/>
    </row>
    <row r="1925" spans="1:7" x14ac:dyDescent="0.25">
      <c r="A1925" s="6" t="s">
        <v>8769</v>
      </c>
      <c r="B1925" s="6"/>
      <c r="C1925" s="6"/>
      <c r="D1925" s="6"/>
      <c r="E1925" s="6"/>
      <c r="F1925" s="6"/>
      <c r="G1925" s="6"/>
    </row>
    <row r="1926" spans="1:7" x14ac:dyDescent="0.25">
      <c r="A1926" s="6" t="s">
        <v>957</v>
      </c>
      <c r="B1926" s="6"/>
      <c r="C1926" s="6"/>
      <c r="D1926" s="6"/>
      <c r="E1926" s="6"/>
      <c r="F1926" s="6"/>
      <c r="G1926" s="6"/>
    </row>
    <row r="1927" spans="1:7" x14ac:dyDescent="0.25">
      <c r="A1927" s="6" t="s">
        <v>8765</v>
      </c>
      <c r="B1927" s="6"/>
      <c r="C1927" s="6"/>
      <c r="D1927" s="6"/>
      <c r="E1927" s="6"/>
      <c r="F1927" s="6"/>
      <c r="G1927" s="6"/>
    </row>
    <row r="1928" spans="1:7" x14ac:dyDescent="0.25">
      <c r="A1928" s="6" t="s">
        <v>8762</v>
      </c>
      <c r="B1928" s="6"/>
      <c r="C1928" s="6"/>
      <c r="D1928" s="6"/>
      <c r="E1928" s="6"/>
      <c r="F1928" s="6"/>
      <c r="G1928" s="6"/>
    </row>
    <row r="1929" spans="1:7" x14ac:dyDescent="0.25">
      <c r="A1929" s="6" t="s">
        <v>8759</v>
      </c>
      <c r="B1929" s="6"/>
      <c r="C1929" s="6"/>
      <c r="D1929" s="6"/>
      <c r="E1929" s="6"/>
      <c r="F1929" s="6"/>
      <c r="G1929" s="6"/>
    </row>
    <row r="1930" spans="1:7" x14ac:dyDescent="0.25">
      <c r="A1930" s="6" t="s">
        <v>8756</v>
      </c>
      <c r="B1930" s="6"/>
      <c r="C1930" s="6"/>
      <c r="D1930" s="6"/>
      <c r="E1930" s="6"/>
      <c r="F1930" s="6"/>
      <c r="G1930" s="6"/>
    </row>
    <row r="1931" spans="1:7" x14ac:dyDescent="0.25">
      <c r="A1931" s="6" t="s">
        <v>8753</v>
      </c>
      <c r="B1931" s="6"/>
      <c r="C1931" s="6"/>
      <c r="D1931" s="6"/>
      <c r="E1931" s="6"/>
      <c r="F1931" s="6"/>
      <c r="G1931" s="6"/>
    </row>
    <row r="1932" spans="1:7" x14ac:dyDescent="0.25">
      <c r="A1932" s="6" t="s">
        <v>8750</v>
      </c>
      <c r="B1932" s="6"/>
      <c r="C1932" s="6"/>
      <c r="D1932" s="6"/>
      <c r="E1932" s="6"/>
      <c r="F1932" s="6"/>
      <c r="G1932" s="6"/>
    </row>
    <row r="1933" spans="1:7" x14ac:dyDescent="0.25">
      <c r="A1933" s="6" t="s">
        <v>957</v>
      </c>
      <c r="B1933" s="6"/>
      <c r="C1933" s="6"/>
      <c r="D1933" s="6"/>
      <c r="E1933" s="6"/>
      <c r="F1933" s="6"/>
      <c r="G1933" s="6"/>
    </row>
    <row r="1934" spans="1:7" x14ac:dyDescent="0.25">
      <c r="A1934" s="6" t="s">
        <v>8745</v>
      </c>
      <c r="B1934" s="6"/>
      <c r="C1934" s="6"/>
      <c r="D1934" s="6"/>
      <c r="E1934" s="6"/>
      <c r="F1934" s="6"/>
      <c r="G1934" s="6"/>
    </row>
    <row r="1935" spans="1:7" x14ac:dyDescent="0.25">
      <c r="A1935" s="6" t="s">
        <v>8742</v>
      </c>
      <c r="B1935" s="6"/>
      <c r="C1935" s="6"/>
      <c r="D1935" s="6"/>
      <c r="E1935" s="6"/>
      <c r="F1935" s="6"/>
      <c r="G1935" s="6"/>
    </row>
    <row r="1936" spans="1:7" x14ac:dyDescent="0.25">
      <c r="A1936" s="6" t="s">
        <v>957</v>
      </c>
      <c r="B1936" s="6"/>
      <c r="C1936" s="6"/>
      <c r="D1936" s="6"/>
      <c r="E1936" s="6"/>
      <c r="F1936" s="6"/>
      <c r="G1936" s="6"/>
    </row>
    <row r="1937" spans="1:7" x14ac:dyDescent="0.25">
      <c r="A1937" s="6" t="s">
        <v>9778</v>
      </c>
      <c r="B1937" s="6"/>
      <c r="C1937" s="6"/>
      <c r="D1937" s="6"/>
      <c r="E1937" s="6"/>
      <c r="F1937" s="6"/>
      <c r="G1937" s="6"/>
    </row>
    <row r="1938" spans="1:7" x14ac:dyDescent="0.25">
      <c r="A1938" s="6" t="s">
        <v>9775</v>
      </c>
      <c r="B1938" s="6"/>
      <c r="C1938" s="6"/>
      <c r="D1938" s="6"/>
      <c r="E1938" s="6"/>
      <c r="F1938" s="6"/>
      <c r="G1938" s="6"/>
    </row>
    <row r="1939" spans="1:7" x14ac:dyDescent="0.25">
      <c r="A1939" s="6" t="s">
        <v>9772</v>
      </c>
      <c r="B1939" s="6"/>
      <c r="C1939" s="6"/>
      <c r="D1939" s="6"/>
      <c r="E1939" s="6"/>
      <c r="F1939" s="6"/>
      <c r="G1939" s="6"/>
    </row>
    <row r="1940" spans="1:7" x14ac:dyDescent="0.25">
      <c r="A1940" s="6" t="s">
        <v>9769</v>
      </c>
      <c r="B1940" s="6"/>
      <c r="C1940" s="6"/>
      <c r="D1940" s="6"/>
      <c r="E1940" s="6"/>
      <c r="F1940" s="6"/>
      <c r="G1940" s="6"/>
    </row>
    <row r="1941" spans="1:7" x14ac:dyDescent="0.25">
      <c r="A1941" s="6" t="s">
        <v>9766</v>
      </c>
      <c r="B1941" s="6"/>
      <c r="C1941" s="6"/>
      <c r="D1941" s="6"/>
      <c r="E1941" s="6"/>
      <c r="F1941" s="6"/>
      <c r="G1941" s="6"/>
    </row>
    <row r="1942" spans="1:7" x14ac:dyDescent="0.25">
      <c r="A1942" s="6" t="s">
        <v>9763</v>
      </c>
      <c r="B1942" s="6"/>
      <c r="C1942" s="6"/>
      <c r="D1942" s="6"/>
      <c r="E1942" s="6"/>
      <c r="F1942" s="6"/>
      <c r="G1942" s="6"/>
    </row>
    <row r="1943" spans="1:7" x14ac:dyDescent="0.25">
      <c r="A1943" s="6" t="s">
        <v>957</v>
      </c>
      <c r="B1943" s="6"/>
      <c r="C1943" s="6"/>
      <c r="D1943" s="6"/>
      <c r="E1943" s="6"/>
      <c r="F1943" s="6"/>
      <c r="G1943" s="6"/>
    </row>
    <row r="1944" spans="1:7" x14ac:dyDescent="0.25">
      <c r="A1944" s="6" t="s">
        <v>9759</v>
      </c>
      <c r="B1944" s="6"/>
      <c r="C1944" s="6"/>
      <c r="D1944" s="6"/>
      <c r="E1944" s="6"/>
      <c r="F1944" s="6"/>
      <c r="G1944" s="6"/>
    </row>
    <row r="1945" spans="1:7" x14ac:dyDescent="0.25">
      <c r="A1945" s="6" t="s">
        <v>9756</v>
      </c>
      <c r="B1945" s="6"/>
      <c r="C1945" s="6"/>
      <c r="D1945" s="6"/>
      <c r="E1945" s="6"/>
      <c r="F1945" s="6"/>
      <c r="G1945" s="6"/>
    </row>
    <row r="1946" spans="1:7" x14ac:dyDescent="0.25">
      <c r="A1946" s="6" t="s">
        <v>9754</v>
      </c>
      <c r="B1946" s="6"/>
      <c r="C1946" s="6"/>
      <c r="D1946" s="6"/>
      <c r="E1946" s="6"/>
      <c r="F1946" s="6"/>
      <c r="G1946" s="6"/>
    </row>
    <row r="1947" spans="1:7" x14ac:dyDescent="0.25">
      <c r="A1947" s="6" t="s">
        <v>9751</v>
      </c>
      <c r="B1947" s="6"/>
      <c r="C1947" s="6"/>
      <c r="D1947" s="6"/>
      <c r="E1947" s="6"/>
      <c r="F1947" s="6"/>
      <c r="G1947" s="6"/>
    </row>
    <row r="1948" spans="1:7" x14ac:dyDescent="0.25">
      <c r="A1948" s="6" t="s">
        <v>9748</v>
      </c>
      <c r="B1948" s="6"/>
      <c r="C1948" s="6"/>
      <c r="D1948" s="6"/>
      <c r="E1948" s="6"/>
      <c r="F1948" s="6"/>
      <c r="G1948" s="6"/>
    </row>
    <row r="1949" spans="1:7" x14ac:dyDescent="0.25">
      <c r="A1949" s="6" t="s">
        <v>8707</v>
      </c>
      <c r="B1949" s="6"/>
      <c r="C1949" s="6"/>
      <c r="D1949" s="6"/>
      <c r="E1949" s="6"/>
      <c r="F1949" s="6"/>
      <c r="G1949" s="6"/>
    </row>
    <row r="1950" spans="1:7" x14ac:dyDescent="0.25">
      <c r="A1950" s="6" t="s">
        <v>8704</v>
      </c>
      <c r="B1950" s="6"/>
      <c r="C1950" s="6"/>
      <c r="D1950" s="6"/>
      <c r="E1950" s="6"/>
      <c r="F1950" s="6"/>
      <c r="G1950" s="6"/>
    </row>
    <row r="1951" spans="1:7" x14ac:dyDescent="0.25">
      <c r="A1951" s="6" t="s">
        <v>8701</v>
      </c>
      <c r="B1951" s="6"/>
      <c r="C1951" s="6"/>
      <c r="D1951" s="6"/>
      <c r="E1951" s="6"/>
      <c r="F1951" s="6"/>
      <c r="G1951" s="6"/>
    </row>
    <row r="1952" spans="1:7" x14ac:dyDescent="0.25">
      <c r="A1952" s="6" t="s">
        <v>8698</v>
      </c>
      <c r="B1952" s="6"/>
      <c r="C1952" s="6"/>
      <c r="D1952" s="6"/>
      <c r="E1952" s="6"/>
      <c r="F1952" s="6"/>
      <c r="G1952" s="6"/>
    </row>
    <row r="1953" spans="1:7" x14ac:dyDescent="0.25">
      <c r="A1953" s="6" t="s">
        <v>8695</v>
      </c>
      <c r="B1953" s="6"/>
      <c r="C1953" s="6"/>
      <c r="D1953" s="6"/>
      <c r="E1953" s="6"/>
      <c r="F1953" s="6"/>
      <c r="G1953" s="6"/>
    </row>
    <row r="1954" spans="1:7" x14ac:dyDescent="0.25">
      <c r="A1954" s="6" t="s">
        <v>8692</v>
      </c>
      <c r="B1954" s="6"/>
      <c r="C1954" s="6"/>
      <c r="D1954" s="6"/>
      <c r="E1954" s="6"/>
      <c r="F1954" s="6"/>
      <c r="G1954" s="6"/>
    </row>
    <row r="1955" spans="1:7" x14ac:dyDescent="0.25">
      <c r="A1955" s="6" t="s">
        <v>8689</v>
      </c>
      <c r="B1955" s="6"/>
      <c r="C1955" s="6"/>
      <c r="D1955" s="6"/>
      <c r="E1955" s="6"/>
      <c r="F1955" s="6"/>
      <c r="G1955" s="6"/>
    </row>
    <row r="1956" spans="1:7" x14ac:dyDescent="0.25">
      <c r="A1956" s="6" t="s">
        <v>8687</v>
      </c>
      <c r="B1956" s="6"/>
      <c r="C1956" s="6"/>
      <c r="D1956" s="6"/>
      <c r="E1956" s="6"/>
      <c r="F1956" s="6"/>
      <c r="G1956" s="6"/>
    </row>
    <row r="1957" spans="1:7" x14ac:dyDescent="0.25">
      <c r="A1957" s="6" t="s">
        <v>8684</v>
      </c>
      <c r="B1957" s="6"/>
      <c r="C1957" s="6"/>
      <c r="D1957" s="6"/>
      <c r="E1957" s="6"/>
      <c r="F1957" s="6"/>
      <c r="G1957" s="6"/>
    </row>
    <row r="1958" spans="1:7" x14ac:dyDescent="0.25">
      <c r="A1958" s="6" t="s">
        <v>8681</v>
      </c>
      <c r="B1958" s="6"/>
      <c r="C1958" s="6"/>
      <c r="D1958" s="6"/>
      <c r="E1958" s="6"/>
      <c r="F1958" s="6"/>
      <c r="G1958" s="6"/>
    </row>
    <row r="1959" spans="1:7" x14ac:dyDescent="0.25">
      <c r="A1959" s="6" t="s">
        <v>8678</v>
      </c>
      <c r="B1959" s="6"/>
      <c r="C1959" s="6"/>
      <c r="D1959" s="6"/>
      <c r="E1959" s="6"/>
      <c r="F1959" s="6"/>
      <c r="G1959" s="6"/>
    </row>
    <row r="1960" spans="1:7" x14ac:dyDescent="0.25">
      <c r="A1960" s="6" t="s">
        <v>8676</v>
      </c>
      <c r="B1960" s="6"/>
      <c r="C1960" s="6"/>
      <c r="D1960" s="6"/>
      <c r="E1960" s="6"/>
      <c r="F1960" s="6"/>
      <c r="G1960" s="6"/>
    </row>
    <row r="1961" spans="1:7" x14ac:dyDescent="0.25">
      <c r="A1961" s="6" t="s">
        <v>9715</v>
      </c>
      <c r="B1961" s="6"/>
      <c r="C1961" s="6"/>
      <c r="D1961" s="6"/>
      <c r="E1961" s="6"/>
      <c r="F1961" s="6"/>
      <c r="G1961" s="6"/>
    </row>
    <row r="1962" spans="1:7" x14ac:dyDescent="0.25">
      <c r="A1962" s="6" t="s">
        <v>957</v>
      </c>
      <c r="B1962" s="6"/>
      <c r="C1962" s="6"/>
      <c r="D1962" s="6"/>
      <c r="E1962" s="6"/>
      <c r="F1962" s="6"/>
      <c r="G1962" s="6"/>
    </row>
    <row r="1963" spans="1:7" x14ac:dyDescent="0.25">
      <c r="A1963" s="6" t="s">
        <v>9711</v>
      </c>
      <c r="B1963" s="6"/>
      <c r="C1963" s="6"/>
      <c r="D1963" s="6"/>
      <c r="E1963" s="6"/>
      <c r="F1963" s="6"/>
      <c r="G1963" s="6"/>
    </row>
    <row r="1964" spans="1:7" x14ac:dyDescent="0.25">
      <c r="A1964" s="6" t="s">
        <v>9708</v>
      </c>
      <c r="B1964" s="6"/>
      <c r="C1964" s="6"/>
      <c r="D1964" s="6"/>
      <c r="E1964" s="6"/>
      <c r="F1964" s="6"/>
      <c r="G1964" s="6"/>
    </row>
    <row r="1965" spans="1:7" x14ac:dyDescent="0.25">
      <c r="A1965" s="6" t="s">
        <v>9706</v>
      </c>
      <c r="B1965" s="6"/>
      <c r="C1965" s="6"/>
      <c r="D1965" s="6"/>
      <c r="E1965" s="6"/>
      <c r="F1965" s="6"/>
      <c r="G1965" s="6"/>
    </row>
    <row r="1966" spans="1:7" x14ac:dyDescent="0.25">
      <c r="A1966" s="6" t="s">
        <v>9703</v>
      </c>
      <c r="B1966" s="6"/>
      <c r="C1966" s="6"/>
      <c r="D1966" s="6"/>
      <c r="E1966" s="6"/>
      <c r="F1966" s="6"/>
      <c r="G1966" s="6"/>
    </row>
    <row r="1967" spans="1:7" x14ac:dyDescent="0.25">
      <c r="A1967" s="6" t="s">
        <v>9700</v>
      </c>
      <c r="B1967" s="6"/>
      <c r="C1967" s="6"/>
      <c r="D1967" s="6"/>
      <c r="E1967" s="6"/>
      <c r="F1967" s="6"/>
      <c r="G1967" s="6"/>
    </row>
    <row r="1968" spans="1:7" x14ac:dyDescent="0.25">
      <c r="A1968" s="6" t="s">
        <v>9697</v>
      </c>
      <c r="B1968" s="6"/>
      <c r="C1968" s="6"/>
      <c r="D1968" s="6"/>
      <c r="E1968" s="6"/>
      <c r="F1968" s="6"/>
      <c r="G1968" s="6"/>
    </row>
    <row r="1969" spans="1:7" x14ac:dyDescent="0.25">
      <c r="A1969" s="6" t="s">
        <v>957</v>
      </c>
      <c r="B1969" s="6"/>
      <c r="C1969" s="6"/>
      <c r="D1969" s="6"/>
      <c r="E1969" s="6"/>
      <c r="F1969" s="6"/>
      <c r="G1969" s="6"/>
    </row>
    <row r="1970" spans="1:7" x14ac:dyDescent="0.25">
      <c r="A1970" s="6" t="s">
        <v>9693</v>
      </c>
      <c r="B1970" s="6"/>
      <c r="C1970" s="6"/>
      <c r="D1970" s="6"/>
      <c r="E1970" s="6"/>
      <c r="F1970" s="6"/>
      <c r="G1970" s="6"/>
    </row>
    <row r="1971" spans="1:7" x14ac:dyDescent="0.25">
      <c r="A1971" s="6" t="s">
        <v>9690</v>
      </c>
      <c r="B1971" s="6"/>
      <c r="C1971" s="6"/>
      <c r="D1971" s="6"/>
      <c r="E1971" s="6"/>
      <c r="F1971" s="6"/>
      <c r="G1971" s="6"/>
    </row>
    <row r="1972" spans="1:7" x14ac:dyDescent="0.25">
      <c r="A1972" s="6" t="s">
        <v>9687</v>
      </c>
      <c r="B1972" s="6"/>
      <c r="C1972" s="6"/>
      <c r="D1972" s="6"/>
      <c r="E1972" s="6"/>
      <c r="F1972" s="6"/>
      <c r="G1972" s="6"/>
    </row>
    <row r="1973" spans="1:7" x14ac:dyDescent="0.25">
      <c r="A1973" s="6" t="s">
        <v>957</v>
      </c>
      <c r="B1973" s="6"/>
      <c r="C1973" s="6"/>
      <c r="D1973" s="6"/>
      <c r="E1973" s="6"/>
      <c r="F1973" s="6"/>
      <c r="G1973" s="6"/>
    </row>
    <row r="1974" spans="1:7" x14ac:dyDescent="0.25">
      <c r="A1974" s="6" t="s">
        <v>957</v>
      </c>
      <c r="B1974" s="6"/>
      <c r="C1974" s="6"/>
      <c r="D1974" s="6"/>
      <c r="E1974" s="6"/>
      <c r="F1974" s="6"/>
      <c r="G1974" s="6"/>
    </row>
    <row r="1975" spans="1:7" x14ac:dyDescent="0.25">
      <c r="A1975" s="6" t="s">
        <v>9682</v>
      </c>
      <c r="B1975" s="6"/>
      <c r="C1975" s="6"/>
      <c r="D1975" s="6"/>
      <c r="E1975" s="6"/>
      <c r="F1975" s="6"/>
      <c r="G1975" s="6"/>
    </row>
    <row r="1976" spans="1:7" x14ac:dyDescent="0.25">
      <c r="A1976" s="6" t="s">
        <v>9679</v>
      </c>
      <c r="B1976" s="6"/>
      <c r="C1976" s="6"/>
      <c r="D1976" s="6"/>
      <c r="E1976" s="6"/>
      <c r="F1976" s="6"/>
      <c r="G1976" s="6"/>
    </row>
    <row r="1977" spans="1:7" x14ac:dyDescent="0.25">
      <c r="A1977" s="6" t="s">
        <v>9676</v>
      </c>
      <c r="B1977" s="6"/>
      <c r="C1977" s="6"/>
      <c r="D1977" s="6"/>
      <c r="E1977" s="6"/>
      <c r="F1977" s="6"/>
      <c r="G1977" s="6"/>
    </row>
    <row r="1978" spans="1:7" x14ac:dyDescent="0.25">
      <c r="A1978" s="6" t="s">
        <v>957</v>
      </c>
      <c r="B1978" s="6"/>
      <c r="C1978" s="6"/>
      <c r="D1978" s="6"/>
      <c r="E1978" s="6"/>
      <c r="F1978" s="6"/>
      <c r="G1978" s="6"/>
    </row>
    <row r="1979" spans="1:7" x14ac:dyDescent="0.25">
      <c r="A1979" s="6" t="s">
        <v>9672</v>
      </c>
      <c r="B1979" s="6"/>
      <c r="C1979" s="6"/>
      <c r="D1979" s="6"/>
      <c r="E1979" s="6"/>
      <c r="F1979" s="6"/>
      <c r="G1979" s="6"/>
    </row>
    <row r="1980" spans="1:7" x14ac:dyDescent="0.25">
      <c r="A1980" s="6" t="s">
        <v>9669</v>
      </c>
      <c r="B1980" s="6"/>
      <c r="C1980" s="6"/>
      <c r="D1980" s="6"/>
      <c r="E1980" s="6"/>
      <c r="F1980" s="6"/>
      <c r="G1980" s="6"/>
    </row>
    <row r="1981" spans="1:7" x14ac:dyDescent="0.25">
      <c r="A1981" s="6" t="s">
        <v>9666</v>
      </c>
      <c r="B1981" s="6"/>
      <c r="C1981" s="6"/>
      <c r="D1981" s="6"/>
      <c r="E1981" s="6"/>
      <c r="F1981" s="6"/>
      <c r="G1981" s="6"/>
    </row>
    <row r="1982" spans="1:7" x14ac:dyDescent="0.25">
      <c r="A1982" s="6" t="s">
        <v>9663</v>
      </c>
      <c r="B1982" s="6"/>
      <c r="C1982" s="6"/>
      <c r="D1982" s="6"/>
      <c r="E1982" s="6"/>
      <c r="F1982" s="6"/>
      <c r="G1982" s="6"/>
    </row>
    <row r="1983" spans="1:7" x14ac:dyDescent="0.25">
      <c r="A1983" s="6" t="s">
        <v>9660</v>
      </c>
      <c r="B1983" s="6"/>
      <c r="C1983" s="6"/>
      <c r="D1983" s="6"/>
      <c r="E1983" s="6"/>
      <c r="F1983" s="6"/>
      <c r="G1983" s="6"/>
    </row>
    <row r="1984" spans="1:7" x14ac:dyDescent="0.25">
      <c r="A1984" s="6" t="s">
        <v>957</v>
      </c>
      <c r="B1984" s="6"/>
      <c r="C1984" s="6"/>
      <c r="D1984" s="6"/>
      <c r="E1984" s="6"/>
      <c r="F1984" s="6"/>
      <c r="G1984" s="6"/>
    </row>
    <row r="1985" spans="1:7" x14ac:dyDescent="0.25">
      <c r="A1985" s="6" t="s">
        <v>9656</v>
      </c>
      <c r="B1985" s="6"/>
      <c r="C1985" s="6"/>
      <c r="D1985" s="6"/>
      <c r="E1985" s="6"/>
      <c r="F1985" s="6"/>
      <c r="G1985" s="6"/>
    </row>
    <row r="1986" spans="1:7" x14ac:dyDescent="0.25">
      <c r="A1986" s="6" t="s">
        <v>9653</v>
      </c>
      <c r="B1986" s="6"/>
      <c r="C1986" s="6"/>
      <c r="D1986" s="6"/>
      <c r="E1986" s="6"/>
      <c r="F1986" s="6"/>
      <c r="G1986" s="6"/>
    </row>
    <row r="1987" spans="1:7" x14ac:dyDescent="0.25">
      <c r="A1987" s="6" t="s">
        <v>9650</v>
      </c>
      <c r="B1987" s="6"/>
      <c r="C1987" s="6"/>
      <c r="D1987" s="6"/>
      <c r="E1987" s="6"/>
      <c r="F1987" s="6"/>
      <c r="G1987" s="6"/>
    </row>
    <row r="1988" spans="1:7" x14ac:dyDescent="0.25">
      <c r="A1988" s="6" t="s">
        <v>9647</v>
      </c>
      <c r="B1988" s="6"/>
      <c r="C1988" s="6"/>
      <c r="D1988" s="6"/>
      <c r="E1988" s="6"/>
      <c r="F1988" s="6"/>
      <c r="G1988" s="6"/>
    </row>
    <row r="1989" spans="1:7" x14ac:dyDescent="0.25">
      <c r="A1989" s="6" t="s">
        <v>9644</v>
      </c>
      <c r="B1989" s="6"/>
      <c r="C1989" s="6"/>
      <c r="D1989" s="6"/>
      <c r="E1989" s="6"/>
      <c r="F1989" s="6"/>
      <c r="G1989" s="6"/>
    </row>
    <row r="1990" spans="1:7" x14ac:dyDescent="0.25">
      <c r="A1990" s="6" t="s">
        <v>9641</v>
      </c>
      <c r="B1990" s="6"/>
      <c r="C1990" s="6"/>
      <c r="D1990" s="6"/>
      <c r="E1990" s="6"/>
      <c r="F1990" s="6"/>
      <c r="G1990" s="6"/>
    </row>
    <row r="1991" spans="1:7" x14ac:dyDescent="0.25">
      <c r="A1991" s="6" t="s">
        <v>9638</v>
      </c>
      <c r="B1991" s="6"/>
      <c r="C1991" s="6"/>
      <c r="D1991" s="6"/>
      <c r="E1991" s="6"/>
      <c r="F1991" s="6"/>
      <c r="G1991" s="6"/>
    </row>
    <row r="1992" spans="1:7" x14ac:dyDescent="0.25">
      <c r="A1992" s="6" t="s">
        <v>957</v>
      </c>
      <c r="B1992" s="6"/>
      <c r="C1992" s="6"/>
      <c r="D1992" s="6"/>
      <c r="E1992" s="6"/>
      <c r="F1992" s="6"/>
      <c r="G1992" s="6"/>
    </row>
    <row r="1993" spans="1:7" x14ac:dyDescent="0.25">
      <c r="A1993" s="6" t="s">
        <v>9634</v>
      </c>
      <c r="B1993" s="6"/>
      <c r="C1993" s="6"/>
      <c r="D1993" s="6"/>
      <c r="E1993" s="6"/>
      <c r="F1993" s="6"/>
      <c r="G1993" s="6"/>
    </row>
    <row r="1994" spans="1:7" x14ac:dyDescent="0.25">
      <c r="A1994" s="6" t="s">
        <v>9631</v>
      </c>
      <c r="B1994" s="6"/>
      <c r="C1994" s="6"/>
      <c r="D1994" s="6"/>
      <c r="E1994" s="6"/>
      <c r="F1994" s="6"/>
      <c r="G1994" s="6"/>
    </row>
    <row r="1995" spans="1:7" x14ac:dyDescent="0.25">
      <c r="A1995" s="6" t="s">
        <v>9628</v>
      </c>
      <c r="B1995" s="6"/>
      <c r="C1995" s="6"/>
      <c r="D1995" s="6"/>
      <c r="E1995" s="6"/>
      <c r="F1995" s="6"/>
      <c r="G1995" s="6"/>
    </row>
    <row r="1996" spans="1:7" x14ac:dyDescent="0.25">
      <c r="A1996" s="6" t="s">
        <v>9625</v>
      </c>
      <c r="B1996" s="6"/>
      <c r="C1996" s="6"/>
      <c r="D1996" s="6"/>
      <c r="E1996" s="6"/>
      <c r="F1996" s="6"/>
      <c r="G1996" s="6"/>
    </row>
    <row r="1997" spans="1:7" x14ac:dyDescent="0.25">
      <c r="A1997" s="6" t="s">
        <v>8577</v>
      </c>
      <c r="B1997" s="6"/>
      <c r="C1997" s="6"/>
      <c r="D1997" s="6"/>
      <c r="E1997" s="6"/>
      <c r="F1997" s="6"/>
      <c r="G1997" s="6"/>
    </row>
    <row r="1998" spans="1:7" x14ac:dyDescent="0.25">
      <c r="A1998" s="6" t="s">
        <v>8574</v>
      </c>
      <c r="B1998" s="6"/>
      <c r="C1998" s="6"/>
      <c r="D1998" s="6"/>
      <c r="E1998" s="6"/>
      <c r="F1998" s="6"/>
      <c r="G1998" s="6"/>
    </row>
    <row r="1999" spans="1:7" x14ac:dyDescent="0.25">
      <c r="A1999" s="6" t="s">
        <v>8571</v>
      </c>
      <c r="B1999" s="6"/>
      <c r="C1999" s="6"/>
      <c r="D1999" s="6"/>
      <c r="E1999" s="6"/>
      <c r="F1999" s="6"/>
      <c r="G1999" s="6"/>
    </row>
    <row r="2000" spans="1:7" x14ac:dyDescent="0.25">
      <c r="A2000" s="6" t="s">
        <v>957</v>
      </c>
      <c r="B2000" s="6"/>
      <c r="C2000" s="6"/>
      <c r="D2000" s="6"/>
      <c r="E2000" s="6"/>
      <c r="F2000" s="6"/>
      <c r="G2000" s="6"/>
    </row>
    <row r="2001" spans="1:7" x14ac:dyDescent="0.25">
      <c r="A2001" s="6" t="s">
        <v>957</v>
      </c>
      <c r="B2001" s="6"/>
      <c r="C2001" s="6"/>
      <c r="D2001" s="6"/>
      <c r="E2001" s="6"/>
      <c r="F2001" s="6"/>
      <c r="G2001" s="6"/>
    </row>
    <row r="2002" spans="1:7" x14ac:dyDescent="0.25">
      <c r="A2002" s="6" t="s">
        <v>8566</v>
      </c>
      <c r="B2002" s="6"/>
      <c r="C2002" s="6"/>
      <c r="D2002" s="6"/>
      <c r="E2002" s="6"/>
      <c r="F2002" s="6"/>
      <c r="G2002" s="6"/>
    </row>
    <row r="2003" spans="1:7" x14ac:dyDescent="0.25">
      <c r="A2003" s="6" t="s">
        <v>957</v>
      </c>
      <c r="B2003" s="6"/>
      <c r="C2003" s="6"/>
      <c r="D2003" s="6"/>
      <c r="E2003" s="6"/>
      <c r="F2003" s="6"/>
      <c r="G2003" s="6"/>
    </row>
    <row r="2004" spans="1:7" x14ac:dyDescent="0.25">
      <c r="A2004" s="6" t="s">
        <v>8563</v>
      </c>
      <c r="B2004" s="6"/>
      <c r="C2004" s="6"/>
      <c r="D2004" s="6"/>
      <c r="E2004" s="6"/>
      <c r="F2004" s="6"/>
      <c r="G2004" s="6"/>
    </row>
    <row r="2005" spans="1:7" x14ac:dyDescent="0.25">
      <c r="A2005" s="6" t="s">
        <v>957</v>
      </c>
      <c r="B2005" s="6"/>
      <c r="C2005" s="6"/>
      <c r="D2005" s="6"/>
      <c r="E2005" s="6"/>
      <c r="F2005" s="6"/>
      <c r="G2005" s="6"/>
    </row>
    <row r="2006" spans="1:7" x14ac:dyDescent="0.25">
      <c r="A2006" s="6" t="s">
        <v>8558</v>
      </c>
      <c r="B2006" s="6"/>
      <c r="C2006" s="6"/>
      <c r="D2006" s="6"/>
      <c r="E2006" s="6"/>
      <c r="F2006" s="6"/>
      <c r="G2006" s="6"/>
    </row>
    <row r="2007" spans="1:7" x14ac:dyDescent="0.25">
      <c r="A2007" s="6" t="s">
        <v>8555</v>
      </c>
      <c r="B2007" s="6"/>
      <c r="C2007" s="6"/>
      <c r="D2007" s="6"/>
      <c r="E2007" s="6"/>
      <c r="F2007" s="6"/>
      <c r="G2007" s="6"/>
    </row>
    <row r="2008" spans="1:7" x14ac:dyDescent="0.25">
      <c r="A2008" s="6" t="s">
        <v>8552</v>
      </c>
      <c r="B2008" s="6"/>
      <c r="C2008" s="6"/>
      <c r="D2008" s="6"/>
      <c r="E2008" s="6"/>
      <c r="F2008" s="6"/>
      <c r="G2008" s="6"/>
    </row>
    <row r="2009" spans="1:7" x14ac:dyDescent="0.25">
      <c r="A2009" s="6" t="s">
        <v>8549</v>
      </c>
      <c r="B2009" s="6"/>
      <c r="C2009" s="6"/>
      <c r="D2009" s="6"/>
      <c r="E2009" s="6"/>
      <c r="F2009" s="6"/>
      <c r="G2009" s="6"/>
    </row>
    <row r="2010" spans="1:7" x14ac:dyDescent="0.25">
      <c r="A2010" s="6" t="s">
        <v>8546</v>
      </c>
      <c r="B2010" s="6"/>
      <c r="C2010" s="6"/>
      <c r="D2010" s="6"/>
      <c r="E2010" s="6"/>
      <c r="F2010" s="6"/>
      <c r="G2010" s="6"/>
    </row>
    <row r="2011" spans="1:7" x14ac:dyDescent="0.25">
      <c r="A2011" s="6" t="s">
        <v>9591</v>
      </c>
      <c r="B2011" s="6"/>
      <c r="C2011" s="6"/>
      <c r="D2011" s="6"/>
      <c r="E2011" s="6"/>
      <c r="F2011" s="6"/>
      <c r="G2011" s="6"/>
    </row>
    <row r="2012" spans="1:7" x14ac:dyDescent="0.25">
      <c r="A2012" s="6" t="s">
        <v>9588</v>
      </c>
      <c r="B2012" s="6"/>
      <c r="C2012" s="6"/>
      <c r="D2012" s="6"/>
      <c r="E2012" s="6"/>
      <c r="F2012" s="6"/>
      <c r="G2012" s="6"/>
    </row>
    <row r="2013" spans="1:7" x14ac:dyDescent="0.25">
      <c r="A2013" s="6" t="s">
        <v>9585</v>
      </c>
      <c r="B2013" s="6"/>
      <c r="C2013" s="6"/>
      <c r="D2013" s="6"/>
      <c r="E2013" s="6"/>
      <c r="F2013" s="6"/>
      <c r="G2013" s="6"/>
    </row>
    <row r="2014" spans="1:7" x14ac:dyDescent="0.25">
      <c r="A2014" s="6" t="s">
        <v>9583</v>
      </c>
      <c r="B2014" s="6"/>
      <c r="C2014" s="6"/>
      <c r="D2014" s="6"/>
      <c r="E2014" s="6"/>
      <c r="F2014" s="6"/>
      <c r="G2014" s="6"/>
    </row>
    <row r="2015" spans="1:7" x14ac:dyDescent="0.25">
      <c r="A2015" s="6" t="s">
        <v>957</v>
      </c>
      <c r="B2015" s="6"/>
      <c r="C2015" s="6"/>
      <c r="D2015" s="6"/>
      <c r="E2015" s="6"/>
      <c r="F2015" s="6"/>
      <c r="G2015" s="6"/>
    </row>
    <row r="2016" spans="1:7" x14ac:dyDescent="0.25">
      <c r="A2016" s="6" t="s">
        <v>9579</v>
      </c>
      <c r="B2016" s="6"/>
      <c r="C2016" s="6"/>
      <c r="D2016" s="6"/>
      <c r="E2016" s="6"/>
      <c r="F2016" s="6"/>
      <c r="G2016" s="6"/>
    </row>
    <row r="2017" spans="1:7" x14ac:dyDescent="0.25">
      <c r="A2017" s="6" t="s">
        <v>9576</v>
      </c>
      <c r="B2017" s="6"/>
      <c r="C2017" s="6"/>
      <c r="D2017" s="6"/>
      <c r="E2017" s="6"/>
      <c r="F2017" s="6"/>
      <c r="G2017" s="6"/>
    </row>
    <row r="2018" spans="1:7" x14ac:dyDescent="0.25">
      <c r="A2018" s="6" t="s">
        <v>957</v>
      </c>
      <c r="B2018" s="6"/>
      <c r="C2018" s="6"/>
      <c r="D2018" s="6"/>
      <c r="E2018" s="6"/>
      <c r="F2018" s="6"/>
      <c r="G2018" s="6"/>
    </row>
    <row r="2019" spans="1:7" x14ac:dyDescent="0.25">
      <c r="A2019" s="6" t="s">
        <v>957</v>
      </c>
      <c r="B2019" s="6"/>
      <c r="C2019" s="6"/>
      <c r="D2019" s="6"/>
      <c r="E2019" s="6"/>
      <c r="F2019" s="6"/>
      <c r="G2019" s="6"/>
    </row>
    <row r="2020" spans="1:7" x14ac:dyDescent="0.25">
      <c r="A2020" s="6" t="s">
        <v>957</v>
      </c>
      <c r="B2020" s="6"/>
      <c r="C2020" s="6"/>
      <c r="D2020" s="6"/>
      <c r="E2020" s="6"/>
      <c r="F2020" s="6"/>
      <c r="G2020" s="6"/>
    </row>
    <row r="2021" spans="1:7" x14ac:dyDescent="0.25">
      <c r="A2021" s="6" t="s">
        <v>9570</v>
      </c>
      <c r="B2021" s="6"/>
      <c r="C2021" s="6"/>
      <c r="D2021" s="6"/>
      <c r="E2021" s="6"/>
      <c r="F2021" s="6"/>
      <c r="G2021" s="6"/>
    </row>
    <row r="2022" spans="1:7" x14ac:dyDescent="0.25">
      <c r="A2022" s="6" t="s">
        <v>9567</v>
      </c>
      <c r="B2022" s="6"/>
      <c r="C2022" s="6"/>
      <c r="D2022" s="6"/>
      <c r="E2022" s="6"/>
      <c r="F2022" s="6"/>
      <c r="G2022" s="6"/>
    </row>
    <row r="2023" spans="1:7" x14ac:dyDescent="0.25">
      <c r="A2023" s="6" t="s">
        <v>957</v>
      </c>
      <c r="B2023" s="6"/>
      <c r="C2023" s="6"/>
      <c r="D2023" s="6"/>
      <c r="E2023" s="6"/>
      <c r="F2023" s="6"/>
      <c r="G2023" s="6"/>
    </row>
    <row r="2024" spans="1:7" x14ac:dyDescent="0.25">
      <c r="A2024" s="6" t="s">
        <v>9563</v>
      </c>
      <c r="B2024" s="6"/>
      <c r="C2024" s="6"/>
      <c r="D2024" s="6"/>
      <c r="E2024" s="6"/>
      <c r="F2024" s="6"/>
      <c r="G2024" s="6"/>
    </row>
    <row r="2025" spans="1:7" x14ac:dyDescent="0.25">
      <c r="A2025" s="6" t="s">
        <v>8512</v>
      </c>
      <c r="B2025" s="6"/>
      <c r="C2025" s="6"/>
      <c r="D2025" s="6"/>
      <c r="E2025" s="6"/>
      <c r="F2025" s="6"/>
      <c r="G2025" s="6"/>
    </row>
    <row r="2026" spans="1:7" x14ac:dyDescent="0.25">
      <c r="A2026" s="6" t="s">
        <v>957</v>
      </c>
      <c r="B2026" s="6"/>
      <c r="C2026" s="6"/>
      <c r="D2026" s="6"/>
      <c r="E2026" s="6"/>
      <c r="F2026" s="6"/>
      <c r="G2026" s="6"/>
    </row>
    <row r="2027" spans="1:7" x14ac:dyDescent="0.25">
      <c r="A2027" s="6" t="s">
        <v>4312</v>
      </c>
      <c r="B2027" s="6" t="s">
        <v>14194</v>
      </c>
      <c r="C2027" s="6"/>
      <c r="D2027" s="6"/>
      <c r="E2027" s="6"/>
      <c r="F2027" s="6"/>
      <c r="G2027" s="6"/>
    </row>
    <row r="2028" spans="1:7" x14ac:dyDescent="0.25">
      <c r="A2028" s="6" t="s">
        <v>8506</v>
      </c>
      <c r="B2028" s="6"/>
      <c r="C2028" s="6"/>
      <c r="D2028" s="6"/>
      <c r="E2028" s="6"/>
      <c r="F2028" s="6"/>
      <c r="G2028" s="6"/>
    </row>
    <row r="2029" spans="1:7" x14ac:dyDescent="0.25">
      <c r="A2029" s="6" t="s">
        <v>8503</v>
      </c>
      <c r="B2029" s="6"/>
      <c r="C2029" s="6"/>
      <c r="D2029" s="6"/>
      <c r="E2029" s="6"/>
      <c r="F2029" s="6"/>
      <c r="G2029" s="6"/>
    </row>
    <row r="2030" spans="1:7" x14ac:dyDescent="0.25">
      <c r="A2030" s="6" t="s">
        <v>8501</v>
      </c>
      <c r="B2030" s="6"/>
      <c r="C2030" s="6"/>
      <c r="D2030" s="6"/>
      <c r="E2030" s="6"/>
      <c r="F2030" s="6"/>
      <c r="G2030" s="6"/>
    </row>
    <row r="2031" spans="1:7" x14ac:dyDescent="0.25">
      <c r="A2031" s="6" t="s">
        <v>957</v>
      </c>
      <c r="B2031" s="6"/>
      <c r="C2031" s="6"/>
      <c r="D2031" s="6"/>
      <c r="E2031" s="6"/>
      <c r="F2031" s="6"/>
      <c r="G2031" s="6"/>
    </row>
    <row r="2032" spans="1:7" x14ac:dyDescent="0.25">
      <c r="A2032" s="6" t="s">
        <v>8497</v>
      </c>
      <c r="B2032" s="6"/>
      <c r="C2032" s="6"/>
      <c r="D2032" s="6"/>
      <c r="E2032" s="6"/>
      <c r="F2032" s="6"/>
      <c r="G2032" s="6"/>
    </row>
    <row r="2033" spans="1:7" x14ac:dyDescent="0.25">
      <c r="A2033" s="6" t="s">
        <v>8494</v>
      </c>
      <c r="B2033" s="6"/>
      <c r="C2033" s="6"/>
      <c r="D2033" s="6"/>
      <c r="E2033" s="6"/>
      <c r="F2033" s="6"/>
      <c r="G2033" s="6"/>
    </row>
    <row r="2034" spans="1:7" x14ac:dyDescent="0.25">
      <c r="A2034" s="6" t="s">
        <v>8491</v>
      </c>
      <c r="B2034" s="6"/>
      <c r="C2034" s="6"/>
      <c r="D2034" s="6"/>
      <c r="E2034" s="6"/>
      <c r="F2034" s="6"/>
      <c r="G2034" s="6"/>
    </row>
    <row r="2035" spans="1:7" x14ac:dyDescent="0.25">
      <c r="A2035" s="6" t="s">
        <v>957</v>
      </c>
      <c r="B2035" s="6"/>
      <c r="C2035" s="6"/>
      <c r="D2035" s="6"/>
      <c r="E2035" s="6"/>
      <c r="F2035" s="6"/>
      <c r="G2035" s="6"/>
    </row>
    <row r="2036" spans="1:7" x14ac:dyDescent="0.25">
      <c r="A2036" s="6" t="s">
        <v>957</v>
      </c>
      <c r="B2036" s="6"/>
      <c r="C2036" s="6"/>
      <c r="D2036" s="6"/>
      <c r="E2036" s="6"/>
      <c r="F2036" s="6"/>
      <c r="G2036" s="6"/>
    </row>
    <row r="2037" spans="1:7" x14ac:dyDescent="0.25">
      <c r="A2037" s="6" t="s">
        <v>8485</v>
      </c>
      <c r="B2037" s="6"/>
      <c r="C2037" s="6"/>
      <c r="D2037" s="6"/>
      <c r="E2037" s="6"/>
      <c r="F2037" s="6"/>
      <c r="G2037" s="6"/>
    </row>
    <row r="2038" spans="1:7" x14ac:dyDescent="0.25">
      <c r="A2038" s="6" t="s">
        <v>8482</v>
      </c>
      <c r="B2038" s="6"/>
      <c r="C2038" s="6"/>
      <c r="D2038" s="6"/>
      <c r="E2038" s="6"/>
      <c r="F2038" s="6"/>
      <c r="G2038" s="6"/>
    </row>
    <row r="2039" spans="1:7" x14ac:dyDescent="0.25">
      <c r="A2039" s="6" t="s">
        <v>8479</v>
      </c>
      <c r="B2039" s="6"/>
      <c r="C2039" s="6"/>
      <c r="D2039" s="6"/>
      <c r="E2039" s="6"/>
      <c r="F2039" s="6"/>
      <c r="G2039" s="6"/>
    </row>
    <row r="2040" spans="1:7" x14ac:dyDescent="0.25">
      <c r="A2040" s="6" t="s">
        <v>8476</v>
      </c>
      <c r="B2040" s="6"/>
      <c r="C2040" s="6"/>
      <c r="D2040" s="6"/>
      <c r="E2040" s="6"/>
      <c r="F2040" s="6"/>
      <c r="G2040" s="6"/>
    </row>
    <row r="2041" spans="1:7" x14ac:dyDescent="0.25">
      <c r="A2041" s="6" t="s">
        <v>8473</v>
      </c>
      <c r="B2041" s="6"/>
      <c r="C2041" s="6"/>
      <c r="D2041" s="6"/>
      <c r="E2041" s="6"/>
      <c r="F2041" s="6"/>
      <c r="G2041" s="6"/>
    </row>
    <row r="2042" spans="1:7" x14ac:dyDescent="0.25">
      <c r="A2042" s="6" t="s">
        <v>957</v>
      </c>
      <c r="B2042" s="6"/>
      <c r="C2042" s="6"/>
      <c r="D2042" s="6"/>
      <c r="E2042" s="6"/>
      <c r="F2042" s="6"/>
      <c r="G2042" s="6"/>
    </row>
    <row r="2043" spans="1:7" x14ac:dyDescent="0.25">
      <c r="A2043" s="6" t="s">
        <v>957</v>
      </c>
      <c r="B2043" s="6"/>
      <c r="C2043" s="6"/>
      <c r="D2043" s="6"/>
      <c r="E2043" s="6"/>
      <c r="F2043" s="6"/>
      <c r="G2043" s="6"/>
    </row>
    <row r="2044" spans="1:7" x14ac:dyDescent="0.25">
      <c r="A2044" s="6" t="s">
        <v>8468</v>
      </c>
      <c r="B2044" s="6"/>
      <c r="C2044" s="6"/>
      <c r="D2044" s="6"/>
      <c r="E2044" s="6"/>
      <c r="F2044" s="6"/>
      <c r="G2044" s="6"/>
    </row>
    <row r="2045" spans="1:7" x14ac:dyDescent="0.25">
      <c r="A2045" s="6" t="s">
        <v>957</v>
      </c>
      <c r="B2045" s="6"/>
      <c r="C2045" s="6"/>
      <c r="D2045" s="6"/>
      <c r="E2045" s="6"/>
      <c r="F2045" s="6"/>
      <c r="G2045" s="6"/>
    </row>
    <row r="2046" spans="1:7" x14ac:dyDescent="0.25">
      <c r="A2046" s="6" t="s">
        <v>957</v>
      </c>
      <c r="B2046" s="6"/>
      <c r="C2046" s="6"/>
      <c r="D2046" s="6"/>
      <c r="E2046" s="6"/>
      <c r="F2046" s="6"/>
      <c r="G2046" s="6"/>
    </row>
    <row r="2047" spans="1:7" x14ac:dyDescent="0.25">
      <c r="A2047" s="6" t="s">
        <v>8462</v>
      </c>
      <c r="B2047" s="6"/>
      <c r="C2047" s="6"/>
      <c r="D2047" s="6"/>
      <c r="E2047" s="6"/>
      <c r="F2047" s="6"/>
      <c r="G2047" s="6"/>
    </row>
    <row r="2048" spans="1:7" x14ac:dyDescent="0.25">
      <c r="A2048" s="6" t="s">
        <v>8459</v>
      </c>
      <c r="B2048" s="6"/>
      <c r="C2048" s="6"/>
      <c r="D2048" s="6"/>
      <c r="E2048" s="6"/>
      <c r="F2048" s="6"/>
      <c r="G2048" s="6"/>
    </row>
    <row r="2049" spans="1:7" x14ac:dyDescent="0.25">
      <c r="A2049" s="6" t="s">
        <v>9497</v>
      </c>
      <c r="B2049" s="6"/>
      <c r="C2049" s="6"/>
      <c r="D2049" s="6"/>
      <c r="E2049" s="6"/>
      <c r="F2049" s="6"/>
      <c r="G2049" s="6"/>
    </row>
    <row r="2050" spans="1:7" x14ac:dyDescent="0.25">
      <c r="A2050" s="6" t="s">
        <v>957</v>
      </c>
      <c r="B2050" s="6"/>
      <c r="C2050" s="6"/>
      <c r="D2050" s="6"/>
      <c r="E2050" s="6"/>
      <c r="F2050" s="6"/>
      <c r="G2050" s="6"/>
    </row>
    <row r="2051" spans="1:7" x14ac:dyDescent="0.25">
      <c r="A2051" s="6" t="s">
        <v>957</v>
      </c>
      <c r="B2051" s="6"/>
      <c r="C2051" s="6"/>
      <c r="D2051" s="6"/>
      <c r="E2051" s="6"/>
      <c r="F2051" s="6"/>
      <c r="G2051" s="6"/>
    </row>
    <row r="2052" spans="1:7" x14ac:dyDescent="0.25">
      <c r="A2052" s="6" t="s">
        <v>957</v>
      </c>
      <c r="B2052" s="6"/>
      <c r="C2052" s="6"/>
      <c r="D2052" s="6"/>
      <c r="E2052" s="6"/>
      <c r="F2052" s="6"/>
      <c r="G2052" s="6"/>
    </row>
    <row r="2053" spans="1:7" x14ac:dyDescent="0.25">
      <c r="A2053" s="6" t="s">
        <v>9490</v>
      </c>
      <c r="B2053" s="6"/>
      <c r="C2053" s="6"/>
      <c r="D2053" s="6"/>
      <c r="E2053" s="6"/>
      <c r="F2053" s="6"/>
      <c r="G2053" s="6"/>
    </row>
    <row r="2054" spans="1:7" x14ac:dyDescent="0.25">
      <c r="A2054" s="6" t="s">
        <v>9488</v>
      </c>
      <c r="B2054" s="6"/>
      <c r="C2054" s="6"/>
      <c r="D2054" s="6"/>
      <c r="E2054" s="6"/>
      <c r="F2054" s="6"/>
      <c r="G2054" s="6"/>
    </row>
    <row r="2055" spans="1:7" x14ac:dyDescent="0.25">
      <c r="A2055" s="6" t="s">
        <v>9486</v>
      </c>
      <c r="B2055" s="6"/>
      <c r="C2055" s="6"/>
      <c r="D2055" s="6"/>
      <c r="E2055" s="6"/>
      <c r="F2055" s="6"/>
      <c r="G2055" s="6"/>
    </row>
    <row r="2056" spans="1:7" x14ac:dyDescent="0.25">
      <c r="A2056" s="6" t="s">
        <v>957</v>
      </c>
      <c r="B2056" s="6"/>
      <c r="C2056" s="6"/>
      <c r="D2056" s="6"/>
      <c r="E2056" s="6"/>
      <c r="F2056" s="6"/>
      <c r="G2056" s="6"/>
    </row>
    <row r="2057" spans="1:7" x14ac:dyDescent="0.25">
      <c r="A2057" s="6" t="s">
        <v>9482</v>
      </c>
      <c r="B2057" s="6"/>
      <c r="C2057" s="6"/>
      <c r="D2057" s="6"/>
      <c r="E2057" s="6"/>
      <c r="F2057" s="6"/>
      <c r="G2057" s="6"/>
    </row>
    <row r="2058" spans="1:7" x14ac:dyDescent="0.25">
      <c r="A2058" s="6" t="s">
        <v>9479</v>
      </c>
      <c r="B2058" s="6"/>
      <c r="C2058" s="6"/>
      <c r="D2058" s="6"/>
      <c r="E2058" s="6"/>
      <c r="F2058" s="6"/>
      <c r="G2058" s="6"/>
    </row>
    <row r="2059" spans="1:7" x14ac:dyDescent="0.25">
      <c r="A2059" s="6" t="s">
        <v>9476</v>
      </c>
      <c r="B2059" s="6"/>
      <c r="C2059" s="6"/>
      <c r="D2059" s="6"/>
      <c r="E2059" s="6"/>
      <c r="F2059" s="6"/>
      <c r="G2059" s="6"/>
    </row>
    <row r="2060" spans="1:7" x14ac:dyDescent="0.25">
      <c r="A2060" s="6" t="s">
        <v>9473</v>
      </c>
      <c r="B2060" s="6"/>
      <c r="C2060" s="6"/>
      <c r="D2060" s="6"/>
      <c r="E2060" s="6"/>
      <c r="F2060" s="6"/>
      <c r="G2060" s="6"/>
    </row>
    <row r="2061" spans="1:7" x14ac:dyDescent="0.25">
      <c r="A2061" s="6" t="s">
        <v>9470</v>
      </c>
      <c r="B2061" s="6"/>
      <c r="C2061" s="6"/>
      <c r="D2061" s="6"/>
      <c r="E2061" s="6"/>
      <c r="F2061" s="6"/>
      <c r="G2061" s="6"/>
    </row>
    <row r="2062" spans="1:7" x14ac:dyDescent="0.25">
      <c r="A2062" s="6" t="s">
        <v>9467</v>
      </c>
      <c r="B2062" s="6"/>
      <c r="C2062" s="6"/>
      <c r="D2062" s="6"/>
      <c r="E2062" s="6"/>
      <c r="F2062" s="6"/>
      <c r="G2062" s="6"/>
    </row>
    <row r="2063" spans="1:7" x14ac:dyDescent="0.25">
      <c r="A2063" s="6" t="s">
        <v>957</v>
      </c>
      <c r="B2063" s="6"/>
      <c r="C2063" s="6"/>
      <c r="D2063" s="6"/>
      <c r="E2063" s="6"/>
      <c r="F2063" s="6"/>
      <c r="G2063" s="6"/>
    </row>
    <row r="2064" spans="1:7" x14ac:dyDescent="0.25">
      <c r="A2064" s="6" t="s">
        <v>957</v>
      </c>
      <c r="B2064" s="6"/>
      <c r="C2064" s="6"/>
      <c r="D2064" s="6"/>
      <c r="E2064" s="6"/>
      <c r="F2064" s="6"/>
      <c r="G2064" s="6"/>
    </row>
    <row r="2065" spans="1:7" x14ac:dyDescent="0.25">
      <c r="A2065" s="6" t="s">
        <v>957</v>
      </c>
      <c r="B2065" s="6"/>
      <c r="C2065" s="6"/>
      <c r="D2065" s="6"/>
      <c r="E2065" s="6"/>
      <c r="F2065" s="6"/>
      <c r="G2065" s="6"/>
    </row>
    <row r="2066" spans="1:7" x14ac:dyDescent="0.25">
      <c r="A2066" s="6" t="s">
        <v>9460</v>
      </c>
      <c r="B2066" s="6"/>
      <c r="C2066" s="6"/>
      <c r="D2066" s="6"/>
      <c r="E2066" s="6"/>
      <c r="F2066" s="6"/>
      <c r="G2066" s="6"/>
    </row>
    <row r="2067" spans="1:7" x14ac:dyDescent="0.25">
      <c r="A2067" s="6" t="s">
        <v>957</v>
      </c>
      <c r="B2067" s="6"/>
      <c r="C2067" s="6"/>
      <c r="D2067" s="6"/>
      <c r="E2067" s="6"/>
      <c r="F2067" s="6"/>
      <c r="G2067" s="6"/>
    </row>
    <row r="2068" spans="1:7" x14ac:dyDescent="0.25">
      <c r="A2068" s="6" t="s">
        <v>9456</v>
      </c>
      <c r="B2068" s="6"/>
      <c r="C2068" s="6"/>
      <c r="D2068" s="6"/>
      <c r="E2068" s="6"/>
      <c r="F2068" s="6"/>
      <c r="G2068" s="6"/>
    </row>
    <row r="2069" spans="1:7" x14ac:dyDescent="0.25">
      <c r="A2069" s="6" t="s">
        <v>9453</v>
      </c>
      <c r="B2069" s="6"/>
      <c r="C2069" s="6"/>
      <c r="D2069" s="6"/>
      <c r="E2069" s="6"/>
      <c r="F2069" s="6"/>
      <c r="G2069" s="6"/>
    </row>
    <row r="2070" spans="1:7" x14ac:dyDescent="0.25">
      <c r="A2070" s="6" t="s">
        <v>9450</v>
      </c>
      <c r="B2070" s="6"/>
      <c r="C2070" s="6"/>
      <c r="D2070" s="6"/>
      <c r="E2070" s="6"/>
      <c r="F2070" s="6"/>
      <c r="G2070" s="6"/>
    </row>
    <row r="2071" spans="1:7" x14ac:dyDescent="0.25">
      <c r="A2071" s="6" t="s">
        <v>9448</v>
      </c>
      <c r="B2071" s="6"/>
      <c r="C2071" s="6"/>
      <c r="D2071" s="6"/>
      <c r="E2071" s="6"/>
      <c r="F2071" s="6"/>
      <c r="G2071" s="6"/>
    </row>
    <row r="2072" spans="1:7" x14ac:dyDescent="0.25">
      <c r="A2072" s="6" t="s">
        <v>9445</v>
      </c>
      <c r="B2072" s="6"/>
      <c r="C2072" s="6"/>
      <c r="D2072" s="6"/>
      <c r="E2072" s="6"/>
      <c r="F2072" s="6"/>
      <c r="G2072" s="6"/>
    </row>
    <row r="2073" spans="1:7" x14ac:dyDescent="0.25">
      <c r="A2073" s="6" t="s">
        <v>9442</v>
      </c>
      <c r="B2073" s="6"/>
      <c r="C2073" s="6"/>
      <c r="D2073" s="6"/>
      <c r="E2073" s="6"/>
      <c r="F2073" s="6"/>
      <c r="G2073" s="6"/>
    </row>
    <row r="2074" spans="1:7" x14ac:dyDescent="0.25">
      <c r="A2074" s="6" t="s">
        <v>957</v>
      </c>
      <c r="B2074" s="6"/>
      <c r="C2074" s="6"/>
      <c r="D2074" s="6"/>
      <c r="E2074" s="6"/>
      <c r="F2074" s="6"/>
      <c r="G2074" s="6"/>
    </row>
    <row r="2075" spans="1:7" x14ac:dyDescent="0.25">
      <c r="A2075" s="6" t="s">
        <v>9438</v>
      </c>
      <c r="B2075" s="6"/>
      <c r="C2075" s="6"/>
      <c r="D2075" s="6"/>
      <c r="E2075" s="6"/>
      <c r="F2075" s="6"/>
      <c r="G2075" s="6"/>
    </row>
    <row r="2076" spans="1:7" x14ac:dyDescent="0.25">
      <c r="A2076" s="6" t="s">
        <v>9435</v>
      </c>
      <c r="B2076" s="6"/>
      <c r="C2076" s="6"/>
      <c r="D2076" s="6"/>
      <c r="E2076" s="6"/>
      <c r="F2076" s="6"/>
      <c r="G2076" s="6"/>
    </row>
    <row r="2077" spans="1:7" x14ac:dyDescent="0.25">
      <c r="A2077" s="6" t="s">
        <v>9432</v>
      </c>
      <c r="B2077" s="6"/>
      <c r="C2077" s="6"/>
      <c r="D2077" s="6"/>
      <c r="E2077" s="6"/>
      <c r="F2077" s="6"/>
      <c r="G2077" s="6"/>
    </row>
    <row r="2078" spans="1:7" x14ac:dyDescent="0.25">
      <c r="A2078" s="6" t="s">
        <v>9429</v>
      </c>
      <c r="B2078" s="6"/>
      <c r="C2078" s="6"/>
      <c r="D2078" s="6"/>
      <c r="E2078" s="6"/>
      <c r="F2078" s="6"/>
      <c r="G2078" s="6"/>
    </row>
    <row r="2079" spans="1:7" x14ac:dyDescent="0.25">
      <c r="A2079" s="6" t="s">
        <v>9427</v>
      </c>
      <c r="B2079" s="6"/>
      <c r="C2079" s="6"/>
      <c r="D2079" s="6"/>
      <c r="E2079" s="6"/>
      <c r="F2079" s="6"/>
      <c r="G2079" s="6"/>
    </row>
    <row r="2080" spans="1:7" x14ac:dyDescent="0.25">
      <c r="A2080" s="6" t="s">
        <v>14195</v>
      </c>
      <c r="B2080" s="6" t="s">
        <v>14196</v>
      </c>
      <c r="C2080" s="6"/>
      <c r="D2080" s="6"/>
      <c r="E2080" s="6"/>
      <c r="F2080" s="6"/>
      <c r="G2080" s="6"/>
    </row>
    <row r="2081" spans="1:7" x14ac:dyDescent="0.25">
      <c r="A2081" s="6" t="s">
        <v>9423</v>
      </c>
      <c r="B2081" s="6"/>
      <c r="C2081" s="6"/>
      <c r="D2081" s="6"/>
      <c r="E2081" s="6"/>
      <c r="F2081" s="6"/>
      <c r="G2081" s="6"/>
    </row>
    <row r="2082" spans="1:7" x14ac:dyDescent="0.25">
      <c r="A2082" s="6" t="s">
        <v>8402</v>
      </c>
      <c r="B2082" s="6"/>
      <c r="C2082" s="6"/>
      <c r="D2082" s="6"/>
      <c r="E2082" s="6"/>
      <c r="F2082" s="6"/>
      <c r="G2082" s="6"/>
    </row>
    <row r="2083" spans="1:7" x14ac:dyDescent="0.25">
      <c r="A2083" s="6" t="s">
        <v>8399</v>
      </c>
      <c r="B2083" s="6"/>
      <c r="C2083" s="6"/>
      <c r="D2083" s="6"/>
      <c r="E2083" s="6"/>
      <c r="F2083" s="6"/>
      <c r="G2083" s="6"/>
    </row>
    <row r="2084" spans="1:7" x14ac:dyDescent="0.25">
      <c r="A2084" s="6" t="s">
        <v>8396</v>
      </c>
      <c r="B2084" s="6"/>
      <c r="C2084" s="6"/>
      <c r="D2084" s="6"/>
      <c r="E2084" s="6"/>
      <c r="F2084" s="6"/>
      <c r="G2084" s="6"/>
    </row>
    <row r="2085" spans="1:7" x14ac:dyDescent="0.25">
      <c r="A2085" s="6" t="s">
        <v>8394</v>
      </c>
      <c r="B2085" s="6"/>
      <c r="C2085" s="6"/>
      <c r="D2085" s="6"/>
      <c r="E2085" s="6"/>
      <c r="F2085" s="6"/>
      <c r="G2085" s="6"/>
    </row>
    <row r="2086" spans="1:7" x14ac:dyDescent="0.25">
      <c r="A2086" s="6" t="s">
        <v>8392</v>
      </c>
      <c r="B2086" s="6"/>
      <c r="C2086" s="6"/>
      <c r="D2086" s="6"/>
      <c r="E2086" s="6"/>
      <c r="F2086" s="6"/>
      <c r="G2086" s="6"/>
    </row>
    <row r="2087" spans="1:7" x14ac:dyDescent="0.25">
      <c r="A2087" s="6" t="s">
        <v>8389</v>
      </c>
      <c r="B2087" s="6"/>
      <c r="C2087" s="6"/>
      <c r="D2087" s="6"/>
      <c r="E2087" s="6"/>
      <c r="F2087" s="6"/>
      <c r="G2087" s="6"/>
    </row>
    <row r="2088" spans="1:7" x14ac:dyDescent="0.25">
      <c r="A2088" s="6" t="s">
        <v>957</v>
      </c>
      <c r="B2088" s="6"/>
      <c r="C2088" s="6"/>
      <c r="D2088" s="6"/>
      <c r="E2088" s="6"/>
      <c r="F2088" s="6"/>
      <c r="G2088" s="6"/>
    </row>
    <row r="2089" spans="1:7" x14ac:dyDescent="0.25">
      <c r="A2089" s="6" t="s">
        <v>8385</v>
      </c>
      <c r="B2089" s="6"/>
      <c r="C2089" s="6"/>
      <c r="D2089" s="6"/>
      <c r="E2089" s="6"/>
      <c r="F2089" s="6"/>
      <c r="G2089" s="6"/>
    </row>
    <row r="2090" spans="1:7" x14ac:dyDescent="0.25">
      <c r="A2090" s="6" t="s">
        <v>8383</v>
      </c>
      <c r="B2090" s="6"/>
      <c r="C2090" s="6"/>
      <c r="D2090" s="6"/>
      <c r="E2090" s="6"/>
      <c r="F2090" s="6"/>
      <c r="G2090" s="6"/>
    </row>
    <row r="2091" spans="1:7" x14ac:dyDescent="0.25">
      <c r="A2091" s="6" t="s">
        <v>8380</v>
      </c>
      <c r="B2091" s="6"/>
      <c r="C2091" s="6"/>
      <c r="D2091" s="6"/>
      <c r="E2091" s="6"/>
      <c r="F2091" s="6"/>
      <c r="G2091" s="6"/>
    </row>
    <row r="2092" spans="1:7" x14ac:dyDescent="0.25">
      <c r="A2092" s="6" t="s">
        <v>8377</v>
      </c>
      <c r="B2092" s="6"/>
      <c r="C2092" s="6"/>
      <c r="D2092" s="6"/>
      <c r="E2092" s="6"/>
      <c r="F2092" s="6"/>
      <c r="G2092" s="6"/>
    </row>
    <row r="2093" spans="1:7" x14ac:dyDescent="0.25">
      <c r="A2093" s="6" t="s">
        <v>8374</v>
      </c>
      <c r="B2093" s="6"/>
      <c r="C2093" s="6"/>
      <c r="D2093" s="6"/>
      <c r="E2093" s="6"/>
      <c r="F2093" s="6"/>
      <c r="G2093" s="6"/>
    </row>
    <row r="2094" spans="1:7" x14ac:dyDescent="0.25">
      <c r="A2094" s="6" t="s">
        <v>8371</v>
      </c>
      <c r="B2094" s="6"/>
      <c r="C2094" s="6"/>
      <c r="D2094" s="6"/>
      <c r="E2094" s="6"/>
      <c r="F2094" s="6"/>
      <c r="G2094" s="6"/>
    </row>
    <row r="2095" spans="1:7" x14ac:dyDescent="0.25">
      <c r="A2095" s="6" t="s">
        <v>9389</v>
      </c>
      <c r="B2095" s="6"/>
      <c r="C2095" s="6"/>
      <c r="D2095" s="6"/>
      <c r="E2095" s="6"/>
      <c r="F2095" s="6"/>
      <c r="G2095" s="6"/>
    </row>
    <row r="2096" spans="1:7" x14ac:dyDescent="0.25">
      <c r="A2096" s="6" t="s">
        <v>9386</v>
      </c>
      <c r="B2096" s="6"/>
      <c r="C2096" s="6"/>
      <c r="D2096" s="6"/>
      <c r="E2096" s="6"/>
      <c r="F2096" s="6"/>
      <c r="G2096" s="6"/>
    </row>
    <row r="2097" spans="1:7" x14ac:dyDescent="0.25">
      <c r="A2097" s="6" t="s">
        <v>957</v>
      </c>
      <c r="B2097" s="6"/>
      <c r="C2097" s="6"/>
      <c r="D2097" s="6"/>
      <c r="E2097" s="6"/>
      <c r="F2097" s="6"/>
      <c r="G2097" s="6"/>
    </row>
    <row r="2098" spans="1:7" x14ac:dyDescent="0.25">
      <c r="A2098" s="6" t="s">
        <v>9382</v>
      </c>
      <c r="B2098" s="6"/>
      <c r="C2098" s="6"/>
      <c r="D2098" s="6"/>
      <c r="E2098" s="6"/>
      <c r="F2098" s="6"/>
      <c r="G2098" s="6"/>
    </row>
    <row r="2099" spans="1:7" x14ac:dyDescent="0.25">
      <c r="A2099" s="6" t="s">
        <v>9379</v>
      </c>
      <c r="B2099" s="6"/>
      <c r="C2099" s="6"/>
      <c r="D2099" s="6"/>
      <c r="E2099" s="6"/>
      <c r="F2099" s="6"/>
      <c r="G2099" s="6"/>
    </row>
    <row r="2100" spans="1:7" x14ac:dyDescent="0.25">
      <c r="A2100" s="6" t="s">
        <v>9377</v>
      </c>
      <c r="B2100" s="6"/>
      <c r="C2100" s="6"/>
      <c r="D2100" s="6"/>
      <c r="E2100" s="6"/>
      <c r="F2100" s="6"/>
      <c r="G2100" s="6"/>
    </row>
    <row r="2101" spans="1:7" x14ac:dyDescent="0.25">
      <c r="A2101" s="6" t="s">
        <v>957</v>
      </c>
      <c r="B2101" s="6"/>
      <c r="C2101" s="6"/>
      <c r="D2101" s="6"/>
      <c r="E2101" s="6"/>
      <c r="F2101" s="6"/>
      <c r="G2101" s="6"/>
    </row>
    <row r="2102" spans="1:7" x14ac:dyDescent="0.25">
      <c r="A2102" s="6" t="s">
        <v>9374</v>
      </c>
      <c r="B2102" s="6"/>
      <c r="C2102" s="6"/>
      <c r="D2102" s="6"/>
      <c r="E2102" s="6"/>
      <c r="F2102" s="6"/>
      <c r="G2102" s="6"/>
    </row>
    <row r="2103" spans="1:7" x14ac:dyDescent="0.25">
      <c r="A2103" s="6" t="s">
        <v>9371</v>
      </c>
      <c r="B2103" s="6"/>
      <c r="C2103" s="6"/>
      <c r="D2103" s="6"/>
      <c r="E2103" s="6"/>
      <c r="F2103" s="6"/>
      <c r="G2103" s="6"/>
    </row>
    <row r="2104" spans="1:7" x14ac:dyDescent="0.25">
      <c r="A2104" s="6" t="s">
        <v>957</v>
      </c>
      <c r="B2104" s="6"/>
      <c r="C2104" s="6"/>
      <c r="D2104" s="6"/>
      <c r="E2104" s="6"/>
      <c r="F2104" s="6"/>
      <c r="G2104" s="6"/>
    </row>
    <row r="2105" spans="1:7" x14ac:dyDescent="0.25">
      <c r="A2105" s="6" t="s">
        <v>957</v>
      </c>
      <c r="B2105" s="6"/>
      <c r="C2105" s="6"/>
      <c r="D2105" s="6"/>
      <c r="E2105" s="6"/>
      <c r="F2105" s="6"/>
      <c r="G2105" s="6"/>
    </row>
    <row r="2106" spans="1:7" x14ac:dyDescent="0.25">
      <c r="A2106" s="6" t="s">
        <v>957</v>
      </c>
      <c r="B2106" s="6"/>
      <c r="C2106" s="6"/>
      <c r="D2106" s="6"/>
      <c r="E2106" s="6"/>
      <c r="F2106" s="6"/>
      <c r="G2106" s="6"/>
    </row>
    <row r="2107" spans="1:7" x14ac:dyDescent="0.25">
      <c r="A2107" s="6" t="s">
        <v>957</v>
      </c>
      <c r="B2107" s="6"/>
      <c r="C2107" s="6"/>
      <c r="D2107" s="6"/>
      <c r="E2107" s="6"/>
      <c r="F2107" s="6"/>
      <c r="G2107" s="6"/>
    </row>
    <row r="2108" spans="1:7" x14ac:dyDescent="0.25">
      <c r="A2108" s="6" t="s">
        <v>9364</v>
      </c>
      <c r="B2108" s="6"/>
      <c r="C2108" s="6"/>
      <c r="D2108" s="6"/>
      <c r="E2108" s="6"/>
      <c r="F2108" s="6"/>
      <c r="G2108" s="6"/>
    </row>
    <row r="2109" spans="1:7" x14ac:dyDescent="0.25">
      <c r="A2109" s="6" t="s">
        <v>9361</v>
      </c>
      <c r="B2109" s="6"/>
      <c r="C2109" s="6"/>
      <c r="D2109" s="6"/>
      <c r="E2109" s="6"/>
      <c r="F2109" s="6"/>
      <c r="G2109" s="6"/>
    </row>
    <row r="2110" spans="1:7" x14ac:dyDescent="0.25">
      <c r="A2110" s="6" t="s">
        <v>9358</v>
      </c>
      <c r="B2110" s="6"/>
      <c r="C2110" s="6"/>
      <c r="D2110" s="6"/>
      <c r="E2110" s="6"/>
      <c r="F2110" s="6"/>
      <c r="G2110" s="6"/>
    </row>
    <row r="2111" spans="1:7" x14ac:dyDescent="0.25">
      <c r="A2111" s="6" t="s">
        <v>957</v>
      </c>
      <c r="B2111" s="6"/>
      <c r="C2111" s="6"/>
      <c r="D2111" s="6"/>
      <c r="E2111" s="6"/>
      <c r="F2111" s="6"/>
      <c r="G2111" s="6"/>
    </row>
    <row r="2112" spans="1:7" x14ac:dyDescent="0.25">
      <c r="A2112" s="6" t="s">
        <v>14197</v>
      </c>
      <c r="B2112" s="6" t="s">
        <v>14198</v>
      </c>
      <c r="C2112" s="6"/>
      <c r="D2112" s="6"/>
      <c r="E2112" s="6"/>
      <c r="F2112" s="6"/>
      <c r="G2112" s="6"/>
    </row>
    <row r="2113" spans="1:7" x14ac:dyDescent="0.25">
      <c r="A2113" s="6" t="s">
        <v>9353</v>
      </c>
      <c r="B2113" s="6"/>
      <c r="C2113" s="6"/>
      <c r="D2113" s="6"/>
      <c r="E2113" s="6"/>
      <c r="F2113" s="6"/>
      <c r="G2113" s="6"/>
    </row>
    <row r="2114" spans="1:7" x14ac:dyDescent="0.25">
      <c r="A2114" s="6" t="s">
        <v>9351</v>
      </c>
      <c r="B2114" s="6"/>
      <c r="C2114" s="6"/>
      <c r="D2114" s="6"/>
      <c r="E2114" s="6"/>
      <c r="F2114" s="6"/>
      <c r="G2114" s="6"/>
    </row>
    <row r="2115" spans="1:7" x14ac:dyDescent="0.25">
      <c r="A2115" s="6" t="s">
        <v>9348</v>
      </c>
      <c r="B2115" s="6"/>
      <c r="C2115" s="6"/>
      <c r="D2115" s="6"/>
      <c r="E2115" s="6"/>
      <c r="F2115" s="6"/>
      <c r="G2115" s="6"/>
    </row>
    <row r="2116" spans="1:7" x14ac:dyDescent="0.25">
      <c r="A2116" s="6" t="s">
        <v>957</v>
      </c>
      <c r="B2116" s="6"/>
      <c r="C2116" s="6"/>
      <c r="D2116" s="6"/>
      <c r="E2116" s="6"/>
      <c r="F2116" s="6"/>
      <c r="G2116" s="6"/>
    </row>
    <row r="2117" spans="1:7" x14ac:dyDescent="0.25">
      <c r="A2117" s="6" t="s">
        <v>957</v>
      </c>
      <c r="B2117" s="6"/>
      <c r="C2117" s="6"/>
      <c r="D2117" s="6"/>
      <c r="E2117" s="6"/>
      <c r="F2117" s="6"/>
      <c r="G2117" s="6"/>
    </row>
    <row r="2118" spans="1:7" x14ac:dyDescent="0.25">
      <c r="A2118" s="6" t="s">
        <v>8340</v>
      </c>
      <c r="B2118" s="6"/>
      <c r="C2118" s="6"/>
      <c r="D2118" s="6"/>
      <c r="E2118" s="6"/>
      <c r="F2118" s="6"/>
      <c r="G2118" s="6"/>
    </row>
    <row r="2119" spans="1:7" x14ac:dyDescent="0.25">
      <c r="A2119" s="6" t="s">
        <v>8337</v>
      </c>
      <c r="B2119" s="6"/>
      <c r="C2119" s="6"/>
      <c r="D2119" s="6"/>
      <c r="E2119" s="6"/>
      <c r="F2119" s="6"/>
      <c r="G2119" s="6"/>
    </row>
    <row r="2120" spans="1:7" x14ac:dyDescent="0.25">
      <c r="A2120" s="6" t="s">
        <v>957</v>
      </c>
      <c r="B2120" s="6"/>
      <c r="C2120" s="6"/>
      <c r="D2120" s="6"/>
      <c r="E2120" s="6"/>
      <c r="F2120" s="6"/>
      <c r="G2120" s="6"/>
    </row>
    <row r="2121" spans="1:7" x14ac:dyDescent="0.25">
      <c r="A2121" s="6" t="s">
        <v>957</v>
      </c>
      <c r="B2121" s="6"/>
      <c r="C2121" s="6"/>
      <c r="D2121" s="6"/>
      <c r="E2121" s="6"/>
      <c r="F2121" s="6"/>
      <c r="G2121" s="6"/>
    </row>
    <row r="2122" spans="1:7" x14ac:dyDescent="0.25">
      <c r="A2122" s="6" t="s">
        <v>957</v>
      </c>
      <c r="B2122" s="6"/>
      <c r="C2122" s="6"/>
      <c r="D2122" s="6"/>
      <c r="E2122" s="6"/>
      <c r="F2122" s="6"/>
      <c r="G2122" s="6"/>
    </row>
    <row r="2123" spans="1:7" x14ac:dyDescent="0.25">
      <c r="A2123" s="6" t="s">
        <v>8331</v>
      </c>
      <c r="B2123" s="6"/>
      <c r="C2123" s="6"/>
      <c r="D2123" s="6"/>
      <c r="E2123" s="6"/>
      <c r="F2123" s="6"/>
      <c r="G2123" s="6"/>
    </row>
    <row r="2124" spans="1:7" x14ac:dyDescent="0.25">
      <c r="A2124" s="6" t="s">
        <v>8328</v>
      </c>
      <c r="B2124" s="6"/>
      <c r="C2124" s="6"/>
      <c r="D2124" s="6"/>
      <c r="E2124" s="6"/>
      <c r="F2124" s="6"/>
      <c r="G2124" s="6"/>
    </row>
    <row r="2125" spans="1:7" x14ac:dyDescent="0.25">
      <c r="A2125" s="6" t="s">
        <v>957</v>
      </c>
      <c r="B2125" s="6"/>
      <c r="C2125" s="6"/>
      <c r="D2125" s="6"/>
      <c r="E2125" s="6"/>
      <c r="F2125" s="6"/>
      <c r="G2125" s="6"/>
    </row>
    <row r="2126" spans="1:7" x14ac:dyDescent="0.25">
      <c r="A2126" s="6" t="s">
        <v>957</v>
      </c>
      <c r="B2126" s="6"/>
      <c r="C2126" s="6"/>
      <c r="D2126" s="6"/>
      <c r="E2126" s="6"/>
      <c r="F2126" s="6"/>
      <c r="G2126" s="6"/>
    </row>
    <row r="2127" spans="1:7" x14ac:dyDescent="0.25">
      <c r="A2127" s="6" t="s">
        <v>8324</v>
      </c>
      <c r="B2127" s="6"/>
      <c r="C2127" s="6"/>
      <c r="D2127" s="6"/>
      <c r="E2127" s="6"/>
      <c r="F2127" s="6"/>
      <c r="G2127" s="6"/>
    </row>
    <row r="2128" spans="1:7" x14ac:dyDescent="0.25">
      <c r="A2128" s="6" t="s">
        <v>8321</v>
      </c>
      <c r="B2128" s="6"/>
      <c r="C2128" s="6"/>
      <c r="D2128" s="6"/>
      <c r="E2128" s="6"/>
      <c r="F2128" s="6"/>
      <c r="G2128" s="6"/>
    </row>
    <row r="2129" spans="1:7" x14ac:dyDescent="0.25">
      <c r="A2129" s="6" t="s">
        <v>8319</v>
      </c>
      <c r="B2129" s="6"/>
      <c r="C2129" s="6"/>
      <c r="D2129" s="6"/>
      <c r="E2129" s="6"/>
      <c r="F2129" s="6"/>
      <c r="G2129" s="6"/>
    </row>
    <row r="2130" spans="1:7" x14ac:dyDescent="0.25">
      <c r="A2130" s="6" t="s">
        <v>8316</v>
      </c>
      <c r="B2130" s="6"/>
      <c r="C2130" s="6"/>
      <c r="D2130" s="6"/>
      <c r="E2130" s="6"/>
      <c r="F2130" s="6"/>
      <c r="G2130" s="6"/>
    </row>
    <row r="2131" spans="1:7" x14ac:dyDescent="0.25">
      <c r="A2131" s="6" t="s">
        <v>8313</v>
      </c>
      <c r="B2131" s="6"/>
      <c r="C2131" s="6"/>
      <c r="D2131" s="6"/>
      <c r="E2131" s="6"/>
      <c r="F2131" s="6"/>
      <c r="G2131" s="6"/>
    </row>
    <row r="2132" spans="1:7" x14ac:dyDescent="0.25">
      <c r="A2132" s="6" t="s">
        <v>458</v>
      </c>
      <c r="B2132" s="6" t="s">
        <v>14199</v>
      </c>
      <c r="C2132" s="6"/>
      <c r="D2132" s="6"/>
      <c r="E2132" s="6"/>
      <c r="F2132" s="6"/>
      <c r="G2132" s="6"/>
    </row>
    <row r="2133" spans="1:7" x14ac:dyDescent="0.25">
      <c r="A2133" s="6" t="s">
        <v>8308</v>
      </c>
      <c r="B2133" s="6"/>
      <c r="C2133" s="6"/>
      <c r="D2133" s="6"/>
      <c r="E2133" s="6"/>
      <c r="F2133" s="6"/>
      <c r="G2133" s="6"/>
    </row>
    <row r="2134" spans="1:7" x14ac:dyDescent="0.25">
      <c r="A2134" s="6" t="s">
        <v>8305</v>
      </c>
      <c r="B2134" s="6"/>
      <c r="C2134" s="6"/>
      <c r="D2134" s="6"/>
      <c r="E2134" s="6"/>
      <c r="F2134" s="6"/>
      <c r="G2134" s="6"/>
    </row>
    <row r="2135" spans="1:7" x14ac:dyDescent="0.25">
      <c r="A2135" s="6" t="s">
        <v>8302</v>
      </c>
      <c r="B2135" s="6"/>
      <c r="C2135" s="6"/>
      <c r="D2135" s="6"/>
      <c r="E2135" s="6"/>
      <c r="F2135" s="6"/>
      <c r="G2135" s="6"/>
    </row>
    <row r="2136" spans="1:7" x14ac:dyDescent="0.25">
      <c r="A2136" s="6" t="s">
        <v>8299</v>
      </c>
      <c r="B2136" s="6"/>
      <c r="C2136" s="6"/>
      <c r="D2136" s="6"/>
      <c r="E2136" s="6"/>
      <c r="F2136" s="6"/>
      <c r="G2136" s="6"/>
    </row>
    <row r="2137" spans="1:7" x14ac:dyDescent="0.25">
      <c r="A2137" s="6" t="s">
        <v>8296</v>
      </c>
      <c r="B2137" s="6"/>
      <c r="C2137" s="6"/>
      <c r="D2137" s="6"/>
      <c r="E2137" s="6"/>
      <c r="F2137" s="6"/>
      <c r="G2137" s="6"/>
    </row>
    <row r="2138" spans="1:7" x14ac:dyDescent="0.25">
      <c r="A2138" s="6" t="s">
        <v>8293</v>
      </c>
      <c r="B2138" s="6"/>
      <c r="C2138" s="6"/>
      <c r="D2138" s="6"/>
      <c r="E2138" s="6"/>
      <c r="F2138" s="6"/>
      <c r="G2138" s="6"/>
    </row>
    <row r="2139" spans="1:7" x14ac:dyDescent="0.25">
      <c r="A2139" s="6" t="s">
        <v>957</v>
      </c>
      <c r="B2139" s="6"/>
      <c r="C2139" s="6"/>
      <c r="D2139" s="6"/>
      <c r="E2139" s="6"/>
      <c r="F2139" s="6"/>
      <c r="G2139" s="6"/>
    </row>
    <row r="2140" spans="1:7" x14ac:dyDescent="0.25">
      <c r="A2140" s="6" t="s">
        <v>957</v>
      </c>
      <c r="B2140" s="6"/>
      <c r="C2140" s="6"/>
      <c r="D2140" s="6"/>
      <c r="E2140" s="6"/>
      <c r="F2140" s="6"/>
      <c r="G2140" s="6"/>
    </row>
    <row r="2141" spans="1:7" x14ac:dyDescent="0.25">
      <c r="A2141" s="6" t="s">
        <v>8288</v>
      </c>
      <c r="B2141" s="6"/>
      <c r="C2141" s="6"/>
      <c r="D2141" s="6"/>
      <c r="E2141" s="6"/>
      <c r="F2141" s="6"/>
      <c r="G2141" s="6"/>
    </row>
    <row r="2142" spans="1:7" x14ac:dyDescent="0.25">
      <c r="A2142" s="6" t="s">
        <v>8285</v>
      </c>
      <c r="B2142" s="6"/>
      <c r="C2142" s="6"/>
      <c r="D2142" s="6"/>
      <c r="E2142" s="6"/>
      <c r="F2142" s="6"/>
      <c r="G2142" s="6"/>
    </row>
    <row r="2143" spans="1:7" x14ac:dyDescent="0.25">
      <c r="A2143" s="6" t="s">
        <v>957</v>
      </c>
      <c r="B2143" s="6"/>
      <c r="C2143" s="6"/>
      <c r="D2143" s="6"/>
      <c r="E2143" s="6"/>
      <c r="F2143" s="6"/>
      <c r="G2143" s="6"/>
    </row>
    <row r="2144" spans="1:7" x14ac:dyDescent="0.25">
      <c r="A2144" s="6" t="s">
        <v>957</v>
      </c>
      <c r="B2144" s="6"/>
      <c r="C2144" s="6"/>
      <c r="D2144" s="6"/>
      <c r="E2144" s="6"/>
      <c r="F2144" s="6"/>
      <c r="G2144" s="6"/>
    </row>
    <row r="2145" spans="1:7" x14ac:dyDescent="0.25">
      <c r="A2145" s="6" t="s">
        <v>8280</v>
      </c>
      <c r="B2145" s="6"/>
      <c r="C2145" s="6"/>
      <c r="D2145" s="6"/>
      <c r="E2145" s="6"/>
      <c r="F2145" s="6"/>
      <c r="G2145" s="6"/>
    </row>
    <row r="2146" spans="1:7" x14ac:dyDescent="0.25">
      <c r="A2146" s="6" t="s">
        <v>957</v>
      </c>
      <c r="B2146" s="6"/>
      <c r="C2146" s="6"/>
      <c r="D2146" s="6"/>
      <c r="E2146" s="6"/>
      <c r="F2146" s="6"/>
      <c r="G2146" s="6"/>
    </row>
    <row r="2147" spans="1:7" x14ac:dyDescent="0.25">
      <c r="A2147" s="6" t="s">
        <v>957</v>
      </c>
      <c r="B2147" s="6"/>
      <c r="C2147" s="6"/>
      <c r="D2147" s="6"/>
      <c r="E2147" s="6"/>
      <c r="F2147" s="6"/>
      <c r="G2147" s="6"/>
    </row>
    <row r="2148" spans="1:7" x14ac:dyDescent="0.25">
      <c r="A2148" s="6" t="s">
        <v>8274</v>
      </c>
      <c r="B2148" s="6"/>
      <c r="C2148" s="6"/>
      <c r="D2148" s="6"/>
      <c r="E2148" s="6"/>
      <c r="F2148" s="6"/>
      <c r="G2148" s="6"/>
    </row>
    <row r="2149" spans="1:7" x14ac:dyDescent="0.25">
      <c r="A2149" s="6" t="s">
        <v>8271</v>
      </c>
      <c r="B2149" s="6"/>
      <c r="C2149" s="6"/>
      <c r="D2149" s="6"/>
      <c r="E2149" s="6"/>
      <c r="F2149" s="6"/>
      <c r="G2149" s="6"/>
    </row>
    <row r="2150" spans="1:7" x14ac:dyDescent="0.25">
      <c r="A2150" s="6" t="s">
        <v>8268</v>
      </c>
      <c r="B2150" s="6"/>
      <c r="C2150" s="6"/>
      <c r="D2150" s="6"/>
      <c r="E2150" s="6"/>
      <c r="F2150" s="6"/>
      <c r="G2150" s="6"/>
    </row>
    <row r="2151" spans="1:7" x14ac:dyDescent="0.25">
      <c r="A2151" s="6" t="s">
        <v>8265</v>
      </c>
      <c r="B2151" s="6"/>
      <c r="C2151" s="6"/>
      <c r="D2151" s="6"/>
      <c r="E2151" s="6"/>
      <c r="F2151" s="6"/>
      <c r="G2151" s="6"/>
    </row>
    <row r="2152" spans="1:7" x14ac:dyDescent="0.25">
      <c r="A2152" s="6" t="s">
        <v>8262</v>
      </c>
      <c r="B2152" s="6"/>
      <c r="C2152" s="6"/>
      <c r="D2152" s="6"/>
      <c r="E2152" s="6"/>
      <c r="F2152" s="6"/>
      <c r="G2152" s="6"/>
    </row>
    <row r="2153" spans="1:7" x14ac:dyDescent="0.25">
      <c r="A2153" s="6" t="s">
        <v>8259</v>
      </c>
      <c r="B2153" s="6"/>
      <c r="C2153" s="6"/>
      <c r="D2153" s="6"/>
      <c r="E2153" s="6"/>
      <c r="F2153" s="6"/>
      <c r="G2153" s="6"/>
    </row>
    <row r="2154" spans="1:7" x14ac:dyDescent="0.25">
      <c r="A2154" s="6" t="s">
        <v>8256</v>
      </c>
      <c r="B2154" s="6"/>
      <c r="C2154" s="6"/>
      <c r="D2154" s="6"/>
      <c r="E2154" s="6"/>
      <c r="F2154" s="6"/>
      <c r="G2154" s="6"/>
    </row>
    <row r="2155" spans="1:7" x14ac:dyDescent="0.25">
      <c r="A2155" s="6" t="s">
        <v>8253</v>
      </c>
      <c r="B2155" s="6"/>
      <c r="C2155" s="6"/>
      <c r="D2155" s="6"/>
      <c r="E2155" s="6"/>
      <c r="F2155" s="6"/>
      <c r="G2155" s="6"/>
    </row>
    <row r="2156" spans="1:7" x14ac:dyDescent="0.25">
      <c r="A2156" s="6" t="s">
        <v>8251</v>
      </c>
      <c r="B2156" s="6"/>
      <c r="C2156" s="6"/>
      <c r="D2156" s="6"/>
      <c r="E2156" s="6"/>
      <c r="F2156" s="6"/>
      <c r="G2156" s="6"/>
    </row>
    <row r="2157" spans="1:7" x14ac:dyDescent="0.25">
      <c r="A2157" s="6" t="s">
        <v>8248</v>
      </c>
      <c r="B2157" s="6"/>
      <c r="C2157" s="6"/>
      <c r="D2157" s="6"/>
      <c r="E2157" s="6"/>
      <c r="F2157" s="6"/>
      <c r="G2157" s="6"/>
    </row>
    <row r="2158" spans="1:7" x14ac:dyDescent="0.25">
      <c r="A2158" s="6" t="s">
        <v>8245</v>
      </c>
      <c r="B2158" s="6"/>
      <c r="C2158" s="6"/>
      <c r="D2158" s="6"/>
      <c r="E2158" s="6"/>
      <c r="F2158" s="6"/>
      <c r="G2158" s="6"/>
    </row>
    <row r="2159" spans="1:7" x14ac:dyDescent="0.25">
      <c r="A2159" s="6" t="s">
        <v>957</v>
      </c>
      <c r="B2159" s="6"/>
      <c r="C2159" s="6"/>
      <c r="D2159" s="6"/>
      <c r="E2159" s="6"/>
      <c r="F2159" s="6"/>
      <c r="G2159" s="6"/>
    </row>
    <row r="2160" spans="1:7" x14ac:dyDescent="0.25">
      <c r="A2160" s="6" t="s">
        <v>8241</v>
      </c>
      <c r="B2160" s="6"/>
      <c r="C2160" s="6"/>
      <c r="D2160" s="6"/>
      <c r="E2160" s="6"/>
      <c r="F2160" s="6"/>
      <c r="G2160" s="6"/>
    </row>
    <row r="2161" spans="1:7" x14ac:dyDescent="0.25">
      <c r="A2161" s="6" t="s">
        <v>957</v>
      </c>
      <c r="B2161" s="6"/>
      <c r="C2161" s="6"/>
      <c r="D2161" s="6"/>
      <c r="E2161" s="6"/>
      <c r="F2161" s="6"/>
      <c r="G2161" s="6"/>
    </row>
    <row r="2162" spans="1:7" x14ac:dyDescent="0.25">
      <c r="A2162" s="6" t="s">
        <v>8237</v>
      </c>
      <c r="B2162" s="6"/>
      <c r="C2162" s="6"/>
      <c r="D2162" s="6"/>
      <c r="E2162" s="6"/>
      <c r="F2162" s="6"/>
      <c r="G2162" s="6"/>
    </row>
    <row r="2163" spans="1:7" x14ac:dyDescent="0.25">
      <c r="A2163" s="6" t="s">
        <v>8234</v>
      </c>
      <c r="B2163" s="6"/>
      <c r="C2163" s="6"/>
      <c r="D2163" s="6"/>
      <c r="E2163" s="6"/>
      <c r="F2163" s="6"/>
      <c r="G2163" s="6"/>
    </row>
    <row r="2164" spans="1:7" x14ac:dyDescent="0.25">
      <c r="A2164" s="6" t="s">
        <v>8231</v>
      </c>
      <c r="B2164" s="6"/>
      <c r="C2164" s="6"/>
      <c r="D2164" s="6"/>
      <c r="E2164" s="6"/>
      <c r="F2164" s="6"/>
      <c r="G2164" s="6"/>
    </row>
    <row r="2165" spans="1:7" x14ac:dyDescent="0.25">
      <c r="A2165" s="6" t="s">
        <v>9270</v>
      </c>
      <c r="B2165" s="6"/>
      <c r="C2165" s="6"/>
      <c r="D2165" s="6"/>
      <c r="E2165" s="6"/>
      <c r="F2165" s="6"/>
      <c r="G2165" s="6"/>
    </row>
    <row r="2166" spans="1:7" x14ac:dyDescent="0.25">
      <c r="A2166" s="6" t="s">
        <v>9267</v>
      </c>
      <c r="B2166" s="6"/>
      <c r="C2166" s="6"/>
      <c r="D2166" s="6"/>
      <c r="E2166" s="6"/>
      <c r="F2166" s="6"/>
      <c r="G2166" s="6"/>
    </row>
    <row r="2167" spans="1:7" x14ac:dyDescent="0.25">
      <c r="A2167" s="6" t="s">
        <v>957</v>
      </c>
      <c r="B2167" s="6"/>
      <c r="C2167" s="6"/>
      <c r="D2167" s="6"/>
      <c r="E2167" s="6"/>
      <c r="F2167" s="6"/>
      <c r="G2167" s="6"/>
    </row>
    <row r="2168" spans="1:7" x14ac:dyDescent="0.25">
      <c r="A2168" s="6" t="s">
        <v>9263</v>
      </c>
      <c r="B2168" s="6"/>
      <c r="C2168" s="6"/>
      <c r="D2168" s="6"/>
      <c r="E2168" s="6"/>
      <c r="F2168" s="6"/>
      <c r="G2168" s="6"/>
    </row>
    <row r="2169" spans="1:7" x14ac:dyDescent="0.25">
      <c r="A2169" s="6" t="s">
        <v>9260</v>
      </c>
      <c r="B2169" s="6"/>
      <c r="C2169" s="6"/>
      <c r="D2169" s="6"/>
      <c r="E2169" s="6"/>
      <c r="F2169" s="6"/>
      <c r="G2169" s="6"/>
    </row>
    <row r="2170" spans="1:7" x14ac:dyDescent="0.25">
      <c r="A2170" s="6" t="s">
        <v>9257</v>
      </c>
      <c r="B2170" s="6"/>
      <c r="C2170" s="6"/>
      <c r="D2170" s="6"/>
      <c r="E2170" s="6"/>
      <c r="F2170" s="6"/>
      <c r="G2170" s="6"/>
    </row>
    <row r="2171" spans="1:7" x14ac:dyDescent="0.25">
      <c r="A2171" s="6" t="s">
        <v>9255</v>
      </c>
      <c r="B2171" s="6"/>
      <c r="C2171" s="6"/>
      <c r="D2171" s="6"/>
      <c r="E2171" s="6"/>
      <c r="F2171" s="6"/>
      <c r="G2171" s="6"/>
    </row>
    <row r="2172" spans="1:7" x14ac:dyDescent="0.25">
      <c r="A2172" s="6" t="s">
        <v>9253</v>
      </c>
      <c r="B2172" s="6"/>
      <c r="C2172" s="6"/>
      <c r="D2172" s="6"/>
      <c r="E2172" s="6"/>
      <c r="F2172" s="6"/>
      <c r="G2172" s="6"/>
    </row>
    <row r="2173" spans="1:7" x14ac:dyDescent="0.25">
      <c r="A2173" s="6" t="s">
        <v>9250</v>
      </c>
      <c r="B2173" s="6"/>
      <c r="C2173" s="6"/>
      <c r="D2173" s="6"/>
      <c r="E2173" s="6"/>
      <c r="F2173" s="6"/>
      <c r="G2173" s="6"/>
    </row>
    <row r="2174" spans="1:7" x14ac:dyDescent="0.25">
      <c r="A2174" s="6" t="s">
        <v>9247</v>
      </c>
      <c r="B2174" s="6"/>
      <c r="C2174" s="6"/>
      <c r="D2174" s="6"/>
      <c r="E2174" s="6"/>
      <c r="F2174" s="6"/>
      <c r="G2174" s="6"/>
    </row>
    <row r="2175" spans="1:7" x14ac:dyDescent="0.25">
      <c r="A2175" s="6" t="s">
        <v>9244</v>
      </c>
      <c r="B2175" s="6"/>
      <c r="C2175" s="6"/>
      <c r="D2175" s="6"/>
      <c r="E2175" s="6"/>
      <c r="F2175" s="6"/>
      <c r="G2175" s="6"/>
    </row>
    <row r="2176" spans="1:7" x14ac:dyDescent="0.25">
      <c r="A2176" s="6" t="s">
        <v>8185</v>
      </c>
      <c r="B2176" s="6"/>
      <c r="C2176" s="6"/>
      <c r="D2176" s="6"/>
      <c r="E2176" s="6"/>
      <c r="F2176" s="6"/>
      <c r="G2176" s="6"/>
    </row>
    <row r="2177" spans="1:7" x14ac:dyDescent="0.25">
      <c r="A2177" s="6" t="s">
        <v>8182</v>
      </c>
      <c r="B2177" s="6"/>
      <c r="C2177" s="6"/>
      <c r="D2177" s="6"/>
      <c r="E2177" s="6"/>
      <c r="F2177" s="6"/>
      <c r="G2177" s="6"/>
    </row>
    <row r="2178" spans="1:7" x14ac:dyDescent="0.25">
      <c r="A2178" s="6" t="s">
        <v>8179</v>
      </c>
      <c r="B2178" s="6"/>
      <c r="C2178" s="6"/>
      <c r="D2178" s="6"/>
      <c r="E2178" s="6"/>
      <c r="F2178" s="6"/>
      <c r="G2178" s="6"/>
    </row>
    <row r="2179" spans="1:7" x14ac:dyDescent="0.25">
      <c r="A2179" s="6" t="s">
        <v>8176</v>
      </c>
      <c r="B2179" s="6"/>
      <c r="C2179" s="6"/>
      <c r="D2179" s="6"/>
      <c r="E2179" s="6"/>
      <c r="F2179" s="6"/>
      <c r="G2179" s="6"/>
    </row>
    <row r="2180" spans="1:7" x14ac:dyDescent="0.25">
      <c r="A2180" s="6" t="s">
        <v>8173</v>
      </c>
      <c r="B2180" s="6"/>
      <c r="C2180" s="6"/>
      <c r="D2180" s="6"/>
      <c r="E2180" s="6"/>
      <c r="F2180" s="6"/>
      <c r="G2180" s="6"/>
    </row>
    <row r="2181" spans="1:7" x14ac:dyDescent="0.25">
      <c r="A2181" s="6" t="s">
        <v>8170</v>
      </c>
      <c r="B2181" s="6"/>
      <c r="C2181" s="6"/>
      <c r="D2181" s="6"/>
      <c r="E2181" s="6"/>
      <c r="F2181" s="6"/>
      <c r="G2181" s="6"/>
    </row>
    <row r="2182" spans="1:7" x14ac:dyDescent="0.25">
      <c r="A2182" s="6" t="s">
        <v>14200</v>
      </c>
      <c r="B2182" s="6" t="s">
        <v>14201</v>
      </c>
      <c r="C2182" s="6"/>
      <c r="D2182" s="6"/>
      <c r="E2182" s="6"/>
      <c r="F2182" s="6"/>
      <c r="G2182" s="6"/>
    </row>
    <row r="2183" spans="1:7" x14ac:dyDescent="0.25">
      <c r="A2183" s="6" t="s">
        <v>8165</v>
      </c>
      <c r="B2183" s="6"/>
      <c r="C2183" s="6"/>
      <c r="D2183" s="6"/>
      <c r="E2183" s="6"/>
      <c r="F2183" s="6"/>
      <c r="G2183" s="6"/>
    </row>
    <row r="2184" spans="1:7" x14ac:dyDescent="0.25">
      <c r="A2184" s="6" t="s">
        <v>8162</v>
      </c>
      <c r="B2184" s="6"/>
      <c r="C2184" s="6"/>
      <c r="D2184" s="6"/>
      <c r="E2184" s="6"/>
      <c r="F2184" s="6"/>
      <c r="G2184" s="6"/>
    </row>
    <row r="2185" spans="1:7" x14ac:dyDescent="0.25">
      <c r="A2185" s="6" t="s">
        <v>9192</v>
      </c>
      <c r="B2185" s="6"/>
      <c r="C2185" s="6"/>
      <c r="D2185" s="6"/>
      <c r="E2185" s="6"/>
      <c r="F2185" s="6"/>
      <c r="G2185" s="6"/>
    </row>
    <row r="2186" spans="1:7" x14ac:dyDescent="0.25">
      <c r="A2186" s="6" t="s">
        <v>9190</v>
      </c>
      <c r="B2186" s="6"/>
      <c r="C2186" s="6"/>
      <c r="D2186" s="6"/>
      <c r="E2186" s="6"/>
      <c r="F2186" s="6"/>
      <c r="G2186" s="6"/>
    </row>
    <row r="2187" spans="1:7" x14ac:dyDescent="0.25">
      <c r="A2187" s="6" t="s">
        <v>9187</v>
      </c>
      <c r="B2187" s="6"/>
      <c r="C2187" s="6"/>
      <c r="D2187" s="6"/>
      <c r="E2187" s="6"/>
      <c r="F2187" s="6"/>
      <c r="G2187" s="6"/>
    </row>
    <row r="2188" spans="1:7" x14ac:dyDescent="0.25">
      <c r="A2188" s="6" t="s">
        <v>957</v>
      </c>
      <c r="B2188" s="6"/>
      <c r="C2188" s="6"/>
      <c r="D2188" s="6"/>
      <c r="E2188" s="6"/>
      <c r="F2188" s="6"/>
      <c r="G2188" s="6"/>
    </row>
    <row r="2189" spans="1:7" x14ac:dyDescent="0.25">
      <c r="A2189" s="6" t="s">
        <v>9182</v>
      </c>
      <c r="B2189" s="6"/>
      <c r="C2189" s="6"/>
      <c r="D2189" s="6"/>
      <c r="E2189" s="6"/>
      <c r="F2189" s="6"/>
      <c r="G2189" s="6"/>
    </row>
    <row r="2190" spans="1:7" x14ac:dyDescent="0.25">
      <c r="A2190" s="6" t="s">
        <v>9179</v>
      </c>
      <c r="B2190" s="6"/>
      <c r="C2190" s="6"/>
      <c r="D2190" s="6"/>
      <c r="E2190" s="6"/>
      <c r="F2190" s="6"/>
      <c r="G2190" s="6"/>
    </row>
    <row r="2191" spans="1:7" x14ac:dyDescent="0.25">
      <c r="A2191" s="6" t="s">
        <v>957</v>
      </c>
      <c r="B2191" s="6"/>
      <c r="C2191" s="6"/>
      <c r="D2191" s="6"/>
      <c r="E2191" s="6"/>
      <c r="F2191" s="6"/>
      <c r="G2191" s="6"/>
    </row>
    <row r="2192" spans="1:7" x14ac:dyDescent="0.25">
      <c r="A2192" s="6" t="s">
        <v>9175</v>
      </c>
      <c r="B2192" s="6"/>
      <c r="C2192" s="6"/>
      <c r="D2192" s="6"/>
      <c r="E2192" s="6"/>
      <c r="F2192" s="6"/>
      <c r="G2192" s="6"/>
    </row>
    <row r="2193" spans="1:7" x14ac:dyDescent="0.25">
      <c r="A2193" s="6" t="s">
        <v>957</v>
      </c>
      <c r="B2193" s="6"/>
      <c r="C2193" s="6"/>
      <c r="D2193" s="6"/>
      <c r="E2193" s="6"/>
      <c r="F2193" s="6"/>
      <c r="G2193" s="6"/>
    </row>
    <row r="2194" spans="1:7" x14ac:dyDescent="0.25">
      <c r="A2194" s="6" t="s">
        <v>957</v>
      </c>
      <c r="B2194" s="6"/>
      <c r="C2194" s="6"/>
      <c r="D2194" s="6"/>
      <c r="E2194" s="6"/>
      <c r="F2194" s="6"/>
      <c r="G2194" s="6"/>
    </row>
    <row r="2195" spans="1:7" x14ac:dyDescent="0.25">
      <c r="A2195" s="6" t="s">
        <v>9169</v>
      </c>
      <c r="B2195" s="6"/>
      <c r="C2195" s="6"/>
      <c r="D2195" s="6"/>
      <c r="E2195" s="6"/>
      <c r="F2195" s="6"/>
      <c r="G2195" s="6"/>
    </row>
    <row r="2196" spans="1:7" x14ac:dyDescent="0.25">
      <c r="A2196" s="6" t="s">
        <v>957</v>
      </c>
      <c r="B2196" s="6"/>
      <c r="C2196" s="6"/>
      <c r="D2196" s="6"/>
      <c r="E2196" s="6"/>
      <c r="F2196" s="6"/>
      <c r="G2196" s="6"/>
    </row>
    <row r="2197" spans="1:7" x14ac:dyDescent="0.25">
      <c r="A2197" s="6" t="s">
        <v>957</v>
      </c>
      <c r="B2197" s="6"/>
      <c r="C2197" s="6"/>
      <c r="D2197" s="6"/>
      <c r="E2197" s="6"/>
      <c r="F2197" s="6"/>
      <c r="G2197" s="6"/>
    </row>
    <row r="2198" spans="1:7" x14ac:dyDescent="0.25">
      <c r="A2198" s="6" t="s">
        <v>957</v>
      </c>
      <c r="B2198" s="6"/>
      <c r="C2198" s="6"/>
      <c r="D2198" s="6"/>
      <c r="E2198" s="6"/>
      <c r="F2198" s="6"/>
      <c r="G2198" s="6"/>
    </row>
    <row r="2199" spans="1:7" x14ac:dyDescent="0.25">
      <c r="A2199" s="6" t="s">
        <v>9162</v>
      </c>
      <c r="B2199" s="6"/>
      <c r="C2199" s="6"/>
      <c r="D2199" s="6"/>
      <c r="E2199" s="6"/>
      <c r="F2199" s="6"/>
      <c r="G2199" s="6"/>
    </row>
    <row r="2200" spans="1:7" x14ac:dyDescent="0.25">
      <c r="A2200" s="6" t="s">
        <v>9160</v>
      </c>
      <c r="B2200" s="6"/>
      <c r="C2200" s="6"/>
      <c r="D2200" s="6"/>
      <c r="E2200" s="6"/>
      <c r="F2200" s="6"/>
      <c r="G2200" s="6"/>
    </row>
    <row r="2201" spans="1:7" x14ac:dyDescent="0.25">
      <c r="A2201" s="6" t="s">
        <v>957</v>
      </c>
      <c r="B2201" s="6"/>
      <c r="C2201" s="6"/>
      <c r="D2201" s="6"/>
      <c r="E2201" s="6"/>
      <c r="F2201" s="6"/>
      <c r="G2201" s="6"/>
    </row>
    <row r="2202" spans="1:7" x14ac:dyDescent="0.25">
      <c r="A2202" s="6" t="s">
        <v>9156</v>
      </c>
      <c r="B2202" s="6"/>
      <c r="C2202" s="6"/>
      <c r="D2202" s="6"/>
      <c r="E2202" s="6"/>
      <c r="F2202" s="6"/>
      <c r="G2202" s="6"/>
    </row>
    <row r="2203" spans="1:7" x14ac:dyDescent="0.25">
      <c r="A2203" s="6" t="s">
        <v>9153</v>
      </c>
      <c r="B2203" s="6"/>
      <c r="C2203" s="6"/>
      <c r="D2203" s="6"/>
      <c r="E2203" s="6"/>
      <c r="F2203" s="6"/>
      <c r="G2203" s="6"/>
    </row>
    <row r="2204" spans="1:7" x14ac:dyDescent="0.25">
      <c r="A2204" s="6" t="s">
        <v>9150</v>
      </c>
      <c r="B2204" s="6"/>
      <c r="C2204" s="6"/>
      <c r="D2204" s="6"/>
      <c r="E2204" s="6"/>
      <c r="F2204" s="6"/>
      <c r="G2204" s="6"/>
    </row>
    <row r="2205" spans="1:7" x14ac:dyDescent="0.25">
      <c r="A2205" s="6" t="s">
        <v>9147</v>
      </c>
      <c r="B2205" s="6"/>
      <c r="C2205" s="6"/>
      <c r="D2205" s="6"/>
      <c r="E2205" s="6"/>
      <c r="F2205" s="6"/>
      <c r="G2205" s="6"/>
    </row>
    <row r="2206" spans="1:7" x14ac:dyDescent="0.25">
      <c r="A2206" s="6" t="s">
        <v>9145</v>
      </c>
      <c r="B2206" s="6"/>
      <c r="C2206" s="6"/>
      <c r="D2206" s="6"/>
      <c r="E2206" s="6"/>
      <c r="F2206" s="6"/>
      <c r="G2206" s="6"/>
    </row>
    <row r="2207" spans="1:7" x14ac:dyDescent="0.25">
      <c r="A2207" s="6" t="s">
        <v>9142</v>
      </c>
      <c r="B2207" s="6"/>
      <c r="C2207" s="6"/>
      <c r="D2207" s="6"/>
      <c r="E2207" s="6"/>
      <c r="F2207" s="6"/>
      <c r="G2207" s="6"/>
    </row>
    <row r="2208" spans="1:7" x14ac:dyDescent="0.25">
      <c r="A2208" s="6" t="s">
        <v>9139</v>
      </c>
      <c r="B2208" s="6"/>
      <c r="C2208" s="6"/>
      <c r="D2208" s="6"/>
      <c r="E2208" s="6"/>
      <c r="F2208" s="6"/>
      <c r="G2208" s="6"/>
    </row>
    <row r="2209" spans="1:7" x14ac:dyDescent="0.25">
      <c r="A2209" s="6" t="s">
        <v>9136</v>
      </c>
      <c r="B2209" s="6"/>
      <c r="C2209" s="6"/>
      <c r="D2209" s="6"/>
      <c r="E2209" s="6"/>
      <c r="F2209" s="6"/>
      <c r="G2209" s="6"/>
    </row>
    <row r="2210" spans="1:7" x14ac:dyDescent="0.25">
      <c r="A2210" s="6" t="s">
        <v>9134</v>
      </c>
      <c r="B2210" s="6"/>
      <c r="C2210" s="6"/>
      <c r="D2210" s="6"/>
      <c r="E2210" s="6"/>
      <c r="F2210" s="6"/>
      <c r="G2210" s="6"/>
    </row>
    <row r="2211" spans="1:7" x14ac:dyDescent="0.25">
      <c r="A2211" s="6" t="s">
        <v>9131</v>
      </c>
      <c r="B2211" s="6"/>
      <c r="C2211" s="6"/>
      <c r="D2211" s="6"/>
      <c r="E2211" s="6"/>
      <c r="F2211" s="6"/>
      <c r="G2211" s="6"/>
    </row>
    <row r="2212" spans="1:7" x14ac:dyDescent="0.25">
      <c r="A2212" s="6" t="s">
        <v>9128</v>
      </c>
      <c r="B2212" s="6"/>
      <c r="C2212" s="6"/>
      <c r="D2212" s="6"/>
      <c r="E2212" s="6"/>
      <c r="F2212" s="6"/>
      <c r="G2212" s="6"/>
    </row>
    <row r="2213" spans="1:7" x14ac:dyDescent="0.25">
      <c r="A2213" s="6" t="s">
        <v>9125</v>
      </c>
      <c r="B2213" s="6"/>
      <c r="C2213" s="6"/>
      <c r="D2213" s="6"/>
      <c r="E2213" s="6"/>
      <c r="F2213" s="6"/>
      <c r="G2213" s="6"/>
    </row>
    <row r="2214" spans="1:7" x14ac:dyDescent="0.25">
      <c r="A2214" s="6" t="s">
        <v>9122</v>
      </c>
      <c r="B2214" s="6"/>
      <c r="C2214" s="6"/>
      <c r="D2214" s="6"/>
      <c r="E2214" s="6"/>
      <c r="F2214" s="6"/>
      <c r="G2214" s="6"/>
    </row>
    <row r="2215" spans="1:7" x14ac:dyDescent="0.25">
      <c r="A2215" s="6" t="s">
        <v>9119</v>
      </c>
      <c r="B2215" s="6"/>
      <c r="C2215" s="6"/>
      <c r="D2215" s="6"/>
      <c r="E2215" s="6"/>
      <c r="F2215" s="6"/>
      <c r="G2215" s="6"/>
    </row>
    <row r="2216" spans="1:7" x14ac:dyDescent="0.25">
      <c r="A2216" s="6" t="s">
        <v>957</v>
      </c>
      <c r="B2216" s="6"/>
      <c r="C2216" s="6"/>
      <c r="D2216" s="6"/>
      <c r="E2216" s="6"/>
      <c r="F2216" s="6"/>
      <c r="G2216" s="6"/>
    </row>
    <row r="2217" spans="1:7" x14ac:dyDescent="0.25">
      <c r="A2217" s="6" t="s">
        <v>9115</v>
      </c>
      <c r="B2217" s="6"/>
      <c r="C2217" s="6"/>
      <c r="D2217" s="6"/>
      <c r="E2217" s="6"/>
      <c r="F2217" s="6"/>
      <c r="G2217" s="6"/>
    </row>
    <row r="2218" spans="1:7" x14ac:dyDescent="0.25">
      <c r="A2218" s="6" t="s">
        <v>9112</v>
      </c>
      <c r="B2218" s="6"/>
      <c r="C2218" s="6"/>
      <c r="D2218" s="6"/>
      <c r="E2218" s="6"/>
      <c r="F2218" s="6"/>
      <c r="G2218" s="6"/>
    </row>
    <row r="2219" spans="1:7" x14ac:dyDescent="0.25">
      <c r="A2219" s="6" t="s">
        <v>9109</v>
      </c>
      <c r="B2219" s="6"/>
      <c r="C2219" s="6"/>
      <c r="D2219" s="6"/>
      <c r="E2219" s="6"/>
      <c r="F2219" s="6"/>
      <c r="G2219" s="6"/>
    </row>
    <row r="2220" spans="1:7" x14ac:dyDescent="0.25">
      <c r="A2220" s="6" t="s">
        <v>9106</v>
      </c>
      <c r="B2220" s="6"/>
      <c r="C2220" s="6"/>
      <c r="D2220" s="6"/>
      <c r="E2220" s="6"/>
      <c r="F2220" s="6"/>
      <c r="G2220" s="6"/>
    </row>
    <row r="2221" spans="1:7" x14ac:dyDescent="0.25">
      <c r="A2221" s="6" t="s">
        <v>9103</v>
      </c>
      <c r="B2221" s="6"/>
      <c r="C2221" s="6"/>
      <c r="D2221" s="6"/>
      <c r="E2221" s="6"/>
      <c r="F2221" s="6"/>
      <c r="G2221" s="6"/>
    </row>
    <row r="2222" spans="1:7" x14ac:dyDescent="0.25">
      <c r="A2222" s="6" t="s">
        <v>9100</v>
      </c>
      <c r="B2222" s="6"/>
      <c r="C2222" s="6"/>
      <c r="D2222" s="6"/>
      <c r="E2222" s="6"/>
      <c r="F2222" s="6"/>
      <c r="G2222" s="6"/>
    </row>
    <row r="2223" spans="1:7" x14ac:dyDescent="0.25">
      <c r="A2223" s="6" t="s">
        <v>9097</v>
      </c>
      <c r="B2223" s="6"/>
      <c r="C2223" s="6"/>
      <c r="D2223" s="6"/>
      <c r="E2223" s="6"/>
      <c r="F2223" s="6"/>
      <c r="G2223" s="6"/>
    </row>
    <row r="2224" spans="1:7" x14ac:dyDescent="0.25">
      <c r="A2224" s="6" t="s">
        <v>957</v>
      </c>
      <c r="B2224" s="6"/>
      <c r="C2224" s="6"/>
      <c r="D2224" s="6"/>
      <c r="E2224" s="6"/>
      <c r="F2224" s="6"/>
      <c r="G2224" s="6"/>
    </row>
    <row r="2225" spans="1:7" x14ac:dyDescent="0.25">
      <c r="A2225" s="6" t="s">
        <v>9094</v>
      </c>
      <c r="B2225" s="6"/>
      <c r="C2225" s="6"/>
      <c r="D2225" s="6"/>
      <c r="E2225" s="6"/>
      <c r="F2225" s="6"/>
      <c r="G2225" s="6"/>
    </row>
    <row r="2226" spans="1:7" x14ac:dyDescent="0.25">
      <c r="A2226" s="6" t="s">
        <v>957</v>
      </c>
      <c r="B2226" s="6"/>
      <c r="C2226" s="6"/>
      <c r="D2226" s="6"/>
      <c r="E2226" s="6"/>
      <c r="F2226" s="6"/>
      <c r="G2226" s="6"/>
    </row>
    <row r="2227" spans="1:7" x14ac:dyDescent="0.25">
      <c r="A2227" s="6" t="s">
        <v>9090</v>
      </c>
      <c r="B2227" s="6"/>
      <c r="C2227" s="6"/>
      <c r="D2227" s="6"/>
      <c r="E2227" s="6"/>
      <c r="F2227" s="6"/>
      <c r="G2227" s="6"/>
    </row>
    <row r="2228" spans="1:7" x14ac:dyDescent="0.25">
      <c r="A2228" s="6" t="s">
        <v>9087</v>
      </c>
      <c r="B2228" s="6"/>
      <c r="C2228" s="6"/>
      <c r="D2228" s="6"/>
      <c r="E2228" s="6"/>
      <c r="F2228" s="6"/>
      <c r="G2228" s="6"/>
    </row>
    <row r="2229" spans="1:7" x14ac:dyDescent="0.25">
      <c r="A2229" s="6" t="s">
        <v>8064</v>
      </c>
      <c r="B2229" s="6"/>
      <c r="C2229" s="6"/>
      <c r="D2229" s="6"/>
      <c r="E2229" s="6"/>
      <c r="F2229" s="6"/>
      <c r="G2229" s="6"/>
    </row>
    <row r="2230" spans="1:7" x14ac:dyDescent="0.25">
      <c r="A2230" s="6" t="s">
        <v>957</v>
      </c>
      <c r="B2230" s="6"/>
      <c r="C2230" s="6"/>
      <c r="D2230" s="6"/>
      <c r="E2230" s="6"/>
      <c r="F2230" s="6"/>
      <c r="G2230" s="6"/>
    </row>
    <row r="2231" spans="1:7" x14ac:dyDescent="0.25">
      <c r="A2231" s="6" t="s">
        <v>8060</v>
      </c>
      <c r="B2231" s="6"/>
      <c r="C2231" s="6"/>
      <c r="D2231" s="6"/>
      <c r="E2231" s="6"/>
      <c r="F2231" s="6"/>
      <c r="G2231" s="6"/>
    </row>
    <row r="2232" spans="1:7" x14ac:dyDescent="0.25">
      <c r="A2232" s="6" t="s">
        <v>957</v>
      </c>
      <c r="B2232" s="6"/>
      <c r="C2232" s="6"/>
      <c r="D2232" s="6"/>
      <c r="E2232" s="6"/>
      <c r="F2232" s="6"/>
      <c r="G2232" s="6"/>
    </row>
    <row r="2233" spans="1:7" x14ac:dyDescent="0.25">
      <c r="A2233" s="6" t="s">
        <v>8056</v>
      </c>
      <c r="B2233" s="6"/>
      <c r="C2233" s="6"/>
      <c r="D2233" s="6"/>
      <c r="E2233" s="6"/>
      <c r="F2233" s="6"/>
      <c r="G2233" s="6"/>
    </row>
    <row r="2234" spans="1:7" x14ac:dyDescent="0.25">
      <c r="A2234" s="6" t="s">
        <v>8053</v>
      </c>
      <c r="B2234" s="6"/>
      <c r="C2234" s="6"/>
      <c r="D2234" s="6"/>
      <c r="E2234" s="6"/>
      <c r="F2234" s="6"/>
      <c r="G2234" s="6"/>
    </row>
    <row r="2235" spans="1:7" x14ac:dyDescent="0.25">
      <c r="A2235" s="6" t="s">
        <v>8050</v>
      </c>
      <c r="B2235" s="6"/>
      <c r="C2235" s="6"/>
      <c r="D2235" s="6"/>
      <c r="E2235" s="6"/>
      <c r="F2235" s="6"/>
      <c r="G2235" s="6"/>
    </row>
    <row r="2236" spans="1:7" x14ac:dyDescent="0.25">
      <c r="A2236" s="6" t="s">
        <v>8047</v>
      </c>
      <c r="B2236" s="6"/>
      <c r="C2236" s="6"/>
      <c r="D2236" s="6"/>
      <c r="E2236" s="6"/>
      <c r="F2236" s="6"/>
      <c r="G2236" s="6"/>
    </row>
    <row r="2237" spans="1:7" x14ac:dyDescent="0.25">
      <c r="A2237" s="6" t="s">
        <v>8044</v>
      </c>
      <c r="B2237" s="6"/>
      <c r="C2237" s="6"/>
      <c r="D2237" s="6"/>
      <c r="E2237" s="6"/>
      <c r="F2237" s="6"/>
      <c r="G2237" s="6"/>
    </row>
    <row r="2238" spans="1:7" x14ac:dyDescent="0.25">
      <c r="A2238" s="6" t="s">
        <v>8041</v>
      </c>
      <c r="B2238" s="6"/>
      <c r="C2238" s="6"/>
      <c r="D2238" s="6"/>
      <c r="E2238" s="6"/>
      <c r="F2238" s="6"/>
      <c r="G2238" s="6"/>
    </row>
    <row r="2239" spans="1:7" x14ac:dyDescent="0.25">
      <c r="A2239" s="6" t="s">
        <v>957</v>
      </c>
      <c r="B2239" s="6"/>
      <c r="C2239" s="6"/>
      <c r="D2239" s="6"/>
      <c r="E2239" s="6"/>
      <c r="F2239" s="6"/>
      <c r="G2239" s="6"/>
    </row>
    <row r="2240" spans="1:7" x14ac:dyDescent="0.25">
      <c r="A2240" s="6" t="s">
        <v>957</v>
      </c>
      <c r="B2240" s="6"/>
      <c r="C2240" s="6"/>
      <c r="D2240" s="6"/>
      <c r="E2240" s="6"/>
      <c r="F2240" s="6"/>
      <c r="G2240" s="6"/>
    </row>
    <row r="2241" spans="1:7" x14ac:dyDescent="0.25">
      <c r="A2241" s="6" t="s">
        <v>8036</v>
      </c>
      <c r="B2241" s="6"/>
      <c r="C2241" s="6"/>
      <c r="D2241" s="6"/>
      <c r="E2241" s="6"/>
      <c r="F2241" s="6"/>
      <c r="G2241" s="6"/>
    </row>
    <row r="2242" spans="1:7" x14ac:dyDescent="0.25">
      <c r="A2242" s="6" t="s">
        <v>8033</v>
      </c>
      <c r="B2242" s="6"/>
      <c r="C2242" s="6"/>
      <c r="D2242" s="6"/>
      <c r="E2242" s="6"/>
      <c r="F2242" s="6"/>
      <c r="G2242" s="6"/>
    </row>
    <row r="2243" spans="1:7" x14ac:dyDescent="0.25">
      <c r="A2243" s="6" t="s">
        <v>14202</v>
      </c>
      <c r="B2243" s="6" t="s">
        <v>14203</v>
      </c>
      <c r="C2243" s="6"/>
      <c r="D2243" s="6"/>
      <c r="E2243" s="6"/>
      <c r="F2243" s="6"/>
      <c r="G2243" s="6"/>
    </row>
    <row r="2244" spans="1:7" x14ac:dyDescent="0.25">
      <c r="A2244" s="6" t="s">
        <v>9065</v>
      </c>
      <c r="B2244" s="6"/>
      <c r="C2244" s="6"/>
      <c r="D2244" s="6"/>
      <c r="E2244" s="6"/>
      <c r="F2244" s="6"/>
      <c r="G2244" s="6"/>
    </row>
    <row r="2245" spans="1:7" x14ac:dyDescent="0.25">
      <c r="A2245" s="6" t="s">
        <v>9062</v>
      </c>
      <c r="B2245" s="6"/>
      <c r="C2245" s="6"/>
      <c r="D2245" s="6"/>
      <c r="E2245" s="6"/>
      <c r="F2245" s="6"/>
      <c r="G2245" s="6"/>
    </row>
    <row r="2246" spans="1:7" x14ac:dyDescent="0.25">
      <c r="A2246" s="6" t="s">
        <v>9059</v>
      </c>
      <c r="B2246" s="6"/>
      <c r="C2246" s="6"/>
      <c r="D2246" s="6"/>
      <c r="E2246" s="6"/>
      <c r="F2246" s="6"/>
      <c r="G2246" s="6"/>
    </row>
    <row r="2247" spans="1:7" x14ac:dyDescent="0.25">
      <c r="A2247" s="6" t="s">
        <v>9056</v>
      </c>
      <c r="B2247" s="6"/>
      <c r="C2247" s="6"/>
      <c r="D2247" s="6"/>
      <c r="E2247" s="6"/>
      <c r="F2247" s="6"/>
      <c r="G2247" s="6"/>
    </row>
    <row r="2248" spans="1:7" x14ac:dyDescent="0.25">
      <c r="A2248" s="6" t="s">
        <v>9053</v>
      </c>
      <c r="B2248" s="6"/>
      <c r="C2248" s="6"/>
      <c r="D2248" s="6"/>
      <c r="E2248" s="6"/>
      <c r="F2248" s="6"/>
      <c r="G2248" s="6"/>
    </row>
    <row r="2249" spans="1:7" x14ac:dyDescent="0.25">
      <c r="A2249" s="6" t="s">
        <v>9050</v>
      </c>
      <c r="B2249" s="6"/>
      <c r="C2249" s="6"/>
      <c r="D2249" s="6"/>
      <c r="E2249" s="6"/>
      <c r="F2249" s="6"/>
      <c r="G2249" s="6"/>
    </row>
    <row r="2250" spans="1:7" x14ac:dyDescent="0.25">
      <c r="A2250" s="6" t="s">
        <v>9048</v>
      </c>
      <c r="B2250" s="6"/>
      <c r="C2250" s="6"/>
      <c r="D2250" s="6"/>
      <c r="E2250" s="6"/>
      <c r="F2250" s="6"/>
      <c r="G2250" s="6"/>
    </row>
    <row r="2251" spans="1:7" x14ac:dyDescent="0.25">
      <c r="A2251" s="6" t="s">
        <v>957</v>
      </c>
      <c r="B2251" s="6"/>
      <c r="C2251" s="6"/>
      <c r="D2251" s="6"/>
      <c r="E2251" s="6"/>
      <c r="F2251" s="6"/>
      <c r="G2251" s="6"/>
    </row>
    <row r="2252" spans="1:7" x14ac:dyDescent="0.25">
      <c r="A2252" s="6" t="s">
        <v>9043</v>
      </c>
      <c r="B2252" s="6"/>
      <c r="C2252" s="6"/>
      <c r="D2252" s="6"/>
      <c r="E2252" s="6"/>
      <c r="F2252" s="6"/>
      <c r="G2252" s="6"/>
    </row>
    <row r="2253" spans="1:7" x14ac:dyDescent="0.25">
      <c r="A2253" s="6" t="s">
        <v>957</v>
      </c>
      <c r="B2253" s="6"/>
      <c r="C2253" s="6"/>
      <c r="D2253" s="6"/>
      <c r="E2253" s="6"/>
      <c r="F2253" s="6"/>
      <c r="G2253" s="6"/>
    </row>
    <row r="2254" spans="1:7" x14ac:dyDescent="0.25">
      <c r="A2254" s="6" t="s">
        <v>9038</v>
      </c>
      <c r="B2254" s="6"/>
      <c r="C2254" s="6"/>
      <c r="D2254" s="6"/>
      <c r="E2254" s="6"/>
      <c r="F2254" s="6"/>
      <c r="G2254" s="6"/>
    </row>
    <row r="2255" spans="1:7" x14ac:dyDescent="0.25">
      <c r="A2255" s="6" t="s">
        <v>9035</v>
      </c>
      <c r="B2255" s="6"/>
      <c r="C2255" s="6"/>
      <c r="D2255" s="6"/>
      <c r="E2255" s="6"/>
      <c r="F2255" s="6"/>
      <c r="G2255" s="6"/>
    </row>
    <row r="2256" spans="1:7" x14ac:dyDescent="0.25">
      <c r="A2256" s="6" t="s">
        <v>7997</v>
      </c>
      <c r="B2256" s="6"/>
      <c r="C2256" s="6"/>
      <c r="D2256" s="6"/>
      <c r="E2256" s="6"/>
      <c r="F2256" s="6"/>
      <c r="G2256" s="6"/>
    </row>
    <row r="2257" spans="1:7" x14ac:dyDescent="0.25">
      <c r="A2257" s="6" t="s">
        <v>957</v>
      </c>
      <c r="B2257" s="6"/>
      <c r="C2257" s="6"/>
      <c r="D2257" s="6"/>
      <c r="E2257" s="6"/>
      <c r="F2257" s="6"/>
      <c r="G2257" s="6"/>
    </row>
    <row r="2258" spans="1:7" x14ac:dyDescent="0.25">
      <c r="A2258" s="6" t="s">
        <v>7993</v>
      </c>
      <c r="B2258" s="6"/>
      <c r="C2258" s="6"/>
      <c r="D2258" s="6"/>
      <c r="E2258" s="6"/>
      <c r="F2258" s="6"/>
      <c r="G2258" s="6"/>
    </row>
    <row r="2259" spans="1:7" x14ac:dyDescent="0.25">
      <c r="A2259" s="6" t="s">
        <v>957</v>
      </c>
      <c r="B2259" s="6"/>
      <c r="C2259" s="6"/>
      <c r="D2259" s="6"/>
      <c r="E2259" s="6"/>
      <c r="F2259" s="6"/>
      <c r="G2259" s="6"/>
    </row>
    <row r="2260" spans="1:7" x14ac:dyDescent="0.25">
      <c r="A2260" s="6" t="s">
        <v>957</v>
      </c>
      <c r="B2260" s="6"/>
      <c r="C2260" s="6"/>
      <c r="D2260" s="6"/>
      <c r="E2260" s="6"/>
      <c r="F2260" s="6"/>
      <c r="G2260" s="6"/>
    </row>
    <row r="2261" spans="1:7" x14ac:dyDescent="0.25">
      <c r="A2261" s="6" t="s">
        <v>7988</v>
      </c>
      <c r="B2261" s="6"/>
      <c r="C2261" s="6"/>
      <c r="D2261" s="6"/>
      <c r="E2261" s="6"/>
      <c r="F2261" s="6"/>
      <c r="G2261" s="6"/>
    </row>
    <row r="2262" spans="1:7" x14ac:dyDescent="0.25">
      <c r="A2262" s="6" t="s">
        <v>7985</v>
      </c>
      <c r="B2262" s="6"/>
      <c r="C2262" s="6"/>
      <c r="D2262" s="6"/>
      <c r="E2262" s="6"/>
      <c r="F2262" s="6"/>
      <c r="G2262" s="6"/>
    </row>
    <row r="2263" spans="1:7" x14ac:dyDescent="0.25">
      <c r="A2263" s="6" t="s">
        <v>7982</v>
      </c>
      <c r="B2263" s="6"/>
      <c r="C2263" s="6"/>
      <c r="D2263" s="6"/>
      <c r="E2263" s="6"/>
      <c r="F2263" s="6"/>
      <c r="G2263" s="6"/>
    </row>
    <row r="2264" spans="1:7" x14ac:dyDescent="0.25">
      <c r="A2264" s="6" t="s">
        <v>957</v>
      </c>
      <c r="B2264" s="6"/>
      <c r="C2264" s="6"/>
      <c r="D2264" s="6"/>
      <c r="E2264" s="6"/>
      <c r="F2264" s="6"/>
      <c r="G2264" s="6"/>
    </row>
    <row r="2265" spans="1:7" x14ac:dyDescent="0.25">
      <c r="A2265" s="6" t="s">
        <v>7977</v>
      </c>
      <c r="B2265" s="6"/>
      <c r="C2265" s="6"/>
      <c r="D2265" s="6"/>
      <c r="E2265" s="6"/>
      <c r="F2265" s="6"/>
      <c r="G2265" s="6"/>
    </row>
    <row r="2266" spans="1:7" x14ac:dyDescent="0.25">
      <c r="A2266" s="6" t="s">
        <v>7974</v>
      </c>
      <c r="B2266" s="6"/>
      <c r="C2266" s="6"/>
      <c r="D2266" s="6"/>
      <c r="E2266" s="6"/>
      <c r="F2266" s="6"/>
      <c r="G2266" s="6"/>
    </row>
    <row r="2267" spans="1:7" x14ac:dyDescent="0.25">
      <c r="A2267" s="6" t="s">
        <v>7971</v>
      </c>
      <c r="B2267" s="6"/>
      <c r="C2267" s="6"/>
      <c r="D2267" s="6"/>
      <c r="E2267" s="6"/>
      <c r="F2267" s="6"/>
      <c r="G2267" s="6"/>
    </row>
    <row r="2268" spans="1:7" x14ac:dyDescent="0.25">
      <c r="A2268" s="6" t="s">
        <v>7968</v>
      </c>
      <c r="B2268" s="6"/>
      <c r="C2268" s="6"/>
      <c r="D2268" s="6"/>
      <c r="E2268" s="6"/>
      <c r="F2268" s="6"/>
      <c r="G2268" s="6"/>
    </row>
    <row r="2269" spans="1:7" x14ac:dyDescent="0.25">
      <c r="A2269" s="6" t="s">
        <v>7965</v>
      </c>
      <c r="B2269" s="6"/>
      <c r="C2269" s="6"/>
      <c r="D2269" s="6"/>
      <c r="E2269" s="6"/>
      <c r="F2269" s="6"/>
      <c r="G2269" s="6"/>
    </row>
    <row r="2270" spans="1:7" x14ac:dyDescent="0.25">
      <c r="A2270" s="6" t="s">
        <v>957</v>
      </c>
      <c r="B2270" s="6"/>
      <c r="C2270" s="6"/>
      <c r="D2270" s="6"/>
      <c r="E2270" s="6"/>
      <c r="F2270" s="6"/>
      <c r="G2270" s="6"/>
    </row>
    <row r="2271" spans="1:7" x14ac:dyDescent="0.25">
      <c r="A2271" s="6" t="s">
        <v>7961</v>
      </c>
      <c r="B2271" s="6"/>
      <c r="C2271" s="6"/>
      <c r="D2271" s="6"/>
      <c r="E2271" s="6"/>
      <c r="F2271" s="6"/>
      <c r="G2271" s="6"/>
    </row>
    <row r="2272" spans="1:7" x14ac:dyDescent="0.25">
      <c r="A2272" s="6" t="s">
        <v>7958</v>
      </c>
      <c r="B2272" s="6"/>
      <c r="C2272" s="6"/>
      <c r="D2272" s="6"/>
      <c r="E2272" s="6"/>
      <c r="F2272" s="6"/>
      <c r="G2272" s="6"/>
    </row>
    <row r="2273" spans="1:7" x14ac:dyDescent="0.25">
      <c r="A2273" s="6" t="s">
        <v>7955</v>
      </c>
      <c r="B2273" s="6"/>
      <c r="C2273" s="6"/>
      <c r="D2273" s="6"/>
      <c r="E2273" s="6"/>
      <c r="F2273" s="6"/>
      <c r="G2273" s="6"/>
    </row>
    <row r="2274" spans="1:7" x14ac:dyDescent="0.25">
      <c r="A2274" s="6" t="s">
        <v>957</v>
      </c>
      <c r="B2274" s="6"/>
      <c r="C2274" s="6"/>
      <c r="D2274" s="6"/>
      <c r="E2274" s="6"/>
      <c r="F2274" s="6"/>
      <c r="G2274" s="6"/>
    </row>
    <row r="2275" spans="1:7" x14ac:dyDescent="0.25">
      <c r="A2275" s="6" t="s">
        <v>7951</v>
      </c>
      <c r="B2275" s="6"/>
      <c r="C2275" s="6"/>
      <c r="D2275" s="6"/>
      <c r="E2275" s="6"/>
      <c r="F2275" s="6"/>
      <c r="G2275" s="6"/>
    </row>
    <row r="2276" spans="1:7" x14ac:dyDescent="0.25">
      <c r="A2276" s="6" t="s">
        <v>7948</v>
      </c>
      <c r="B2276" s="6"/>
      <c r="C2276" s="6"/>
      <c r="D2276" s="6"/>
      <c r="E2276" s="6"/>
      <c r="F2276" s="6"/>
      <c r="G2276" s="6"/>
    </row>
    <row r="2277" spans="1:7" x14ac:dyDescent="0.25">
      <c r="A2277" s="6" t="s">
        <v>14124</v>
      </c>
      <c r="B2277" s="6" t="s">
        <v>14183</v>
      </c>
      <c r="C2277" s="6" t="s">
        <v>14184</v>
      </c>
      <c r="D2277" s="6" t="s">
        <v>14185</v>
      </c>
      <c r="E2277" s="6" t="s">
        <v>14125</v>
      </c>
      <c r="F2277" s="6"/>
      <c r="G2277" s="6"/>
    </row>
    <row r="2278" spans="1:7" x14ac:dyDescent="0.25">
      <c r="A2278" s="6" t="s">
        <v>14204</v>
      </c>
      <c r="B2278" s="6" t="s">
        <v>14205</v>
      </c>
      <c r="C2278" s="6"/>
      <c r="D2278" s="6"/>
      <c r="E2278" s="6"/>
      <c r="F2278" s="6"/>
      <c r="G2278" s="6"/>
    </row>
    <row r="2279" spans="1:7" x14ac:dyDescent="0.25">
      <c r="A2279" s="6" t="s">
        <v>7942</v>
      </c>
      <c r="B2279" s="6"/>
      <c r="C2279" s="6"/>
      <c r="D2279" s="6"/>
      <c r="E2279" s="6"/>
      <c r="F2279" s="6"/>
      <c r="G2279" s="6"/>
    </row>
    <row r="2280" spans="1:7" x14ac:dyDescent="0.25">
      <c r="A2280" s="6" t="s">
        <v>7939</v>
      </c>
      <c r="B2280" s="6"/>
      <c r="C2280" s="6"/>
      <c r="D2280" s="6"/>
      <c r="E2280" s="6"/>
      <c r="F2280" s="6"/>
      <c r="G2280" s="6"/>
    </row>
    <row r="2281" spans="1:7" x14ac:dyDescent="0.25">
      <c r="A2281" s="6" t="s">
        <v>7937</v>
      </c>
      <c r="B2281" s="6"/>
      <c r="C2281" s="6"/>
      <c r="D2281" s="6"/>
      <c r="E2281" s="6"/>
      <c r="F2281" s="6"/>
      <c r="G2281" s="6"/>
    </row>
    <row r="2282" spans="1:7" x14ac:dyDescent="0.25">
      <c r="A2282" s="6" t="s">
        <v>7934</v>
      </c>
      <c r="B2282" s="6"/>
      <c r="C2282" s="6"/>
      <c r="D2282" s="6"/>
      <c r="E2282" s="6"/>
      <c r="F2282" s="6"/>
      <c r="G2282" s="6"/>
    </row>
    <row r="2283" spans="1:7" x14ac:dyDescent="0.25">
      <c r="A2283" s="6" t="s">
        <v>8969</v>
      </c>
      <c r="B2283" s="6"/>
      <c r="C2283" s="6"/>
      <c r="D2283" s="6"/>
      <c r="E2283" s="6"/>
      <c r="F2283" s="6"/>
      <c r="G2283" s="6"/>
    </row>
    <row r="2284" spans="1:7" x14ac:dyDescent="0.25">
      <c r="A2284" s="6" t="s">
        <v>957</v>
      </c>
      <c r="B2284" s="6"/>
      <c r="C2284" s="6"/>
      <c r="D2284" s="6"/>
      <c r="E2284" s="6"/>
      <c r="F2284" s="6"/>
      <c r="G2284" s="6"/>
    </row>
    <row r="2285" spans="1:7" x14ac:dyDescent="0.25">
      <c r="A2285" s="6" t="s">
        <v>8966</v>
      </c>
      <c r="B2285" s="6"/>
      <c r="C2285" s="6"/>
      <c r="D2285" s="6"/>
      <c r="E2285" s="6"/>
      <c r="F2285" s="6"/>
      <c r="G2285" s="6"/>
    </row>
    <row r="2286" spans="1:7" x14ac:dyDescent="0.25">
      <c r="A2286" s="6" t="s">
        <v>957</v>
      </c>
      <c r="B2286" s="6"/>
      <c r="C2286" s="6"/>
      <c r="D2286" s="6"/>
      <c r="E2286" s="6"/>
      <c r="F2286" s="6"/>
      <c r="G2286" s="6"/>
    </row>
    <row r="2287" spans="1:7" x14ac:dyDescent="0.25">
      <c r="A2287" s="6" t="s">
        <v>957</v>
      </c>
      <c r="B2287" s="6"/>
      <c r="C2287" s="6"/>
      <c r="D2287" s="6"/>
      <c r="E2287" s="6"/>
      <c r="F2287" s="6"/>
      <c r="G2287" s="6"/>
    </row>
    <row r="2288" spans="1:7" x14ac:dyDescent="0.25">
      <c r="A2288" s="6" t="s">
        <v>957</v>
      </c>
      <c r="B2288" s="6"/>
      <c r="C2288" s="6"/>
      <c r="D2288" s="6"/>
      <c r="E2288" s="6"/>
      <c r="F2288" s="6"/>
      <c r="G2288" s="6"/>
    </row>
    <row r="2289" spans="1:7" x14ac:dyDescent="0.25">
      <c r="A2289" s="6" t="s">
        <v>8960</v>
      </c>
      <c r="B2289" s="6"/>
      <c r="C2289" s="6"/>
      <c r="D2289" s="6"/>
      <c r="E2289" s="6"/>
      <c r="F2289" s="6"/>
      <c r="G2289" s="6"/>
    </row>
    <row r="2290" spans="1:7" x14ac:dyDescent="0.25">
      <c r="A2290" s="6" t="s">
        <v>957</v>
      </c>
      <c r="B2290" s="6"/>
      <c r="C2290" s="6"/>
      <c r="D2290" s="6"/>
      <c r="E2290" s="6"/>
      <c r="F2290" s="6"/>
      <c r="G2290" s="6"/>
    </row>
    <row r="2291" spans="1:7" x14ac:dyDescent="0.25">
      <c r="A2291" s="6" t="s">
        <v>957</v>
      </c>
      <c r="B2291" s="6"/>
      <c r="C2291" s="6"/>
      <c r="D2291" s="6"/>
      <c r="E2291" s="6"/>
      <c r="F2291" s="6"/>
      <c r="G2291" s="6"/>
    </row>
    <row r="2292" spans="1:7" x14ac:dyDescent="0.25">
      <c r="A2292" s="6" t="s">
        <v>8955</v>
      </c>
      <c r="B2292" s="6"/>
      <c r="C2292" s="6"/>
      <c r="D2292" s="6"/>
      <c r="E2292" s="6"/>
      <c r="F2292" s="6"/>
      <c r="G2292" s="6"/>
    </row>
    <row r="2293" spans="1:7" x14ac:dyDescent="0.25">
      <c r="A2293" s="6" t="s">
        <v>8952</v>
      </c>
      <c r="B2293" s="6"/>
      <c r="C2293" s="6"/>
      <c r="D2293" s="6"/>
      <c r="E2293" s="6"/>
      <c r="F2293" s="6"/>
      <c r="G2293" s="6"/>
    </row>
    <row r="2294" spans="1:7" x14ac:dyDescent="0.25">
      <c r="A2294" s="6" t="s">
        <v>957</v>
      </c>
      <c r="B2294" s="6"/>
      <c r="C2294" s="6"/>
      <c r="D2294" s="6"/>
      <c r="E2294" s="6"/>
      <c r="F2294" s="6"/>
      <c r="G2294" s="6"/>
    </row>
    <row r="2295" spans="1:7" x14ac:dyDescent="0.25">
      <c r="A2295" s="6" t="s">
        <v>8948</v>
      </c>
      <c r="B2295" s="6"/>
      <c r="C2295" s="6"/>
      <c r="D2295" s="6"/>
      <c r="E2295" s="6"/>
      <c r="F2295" s="6"/>
      <c r="G2295" s="6"/>
    </row>
    <row r="2296" spans="1:7" x14ac:dyDescent="0.25">
      <c r="A2296" s="6" t="s">
        <v>957</v>
      </c>
      <c r="B2296" s="6"/>
      <c r="C2296" s="6"/>
      <c r="D2296" s="6"/>
      <c r="E2296" s="6"/>
      <c r="F2296" s="6"/>
      <c r="G2296" s="6"/>
    </row>
    <row r="2297" spans="1:7" x14ac:dyDescent="0.25">
      <c r="A2297" s="6" t="s">
        <v>957</v>
      </c>
      <c r="B2297" s="6"/>
      <c r="C2297" s="6"/>
      <c r="D2297" s="6"/>
      <c r="E2297" s="6"/>
      <c r="F2297" s="6"/>
      <c r="G2297" s="6"/>
    </row>
    <row r="2298" spans="1:7" x14ac:dyDescent="0.25">
      <c r="A2298" s="6" t="s">
        <v>8943</v>
      </c>
      <c r="B2298" s="6"/>
      <c r="C2298" s="6"/>
      <c r="D2298" s="6"/>
      <c r="E2298" s="6"/>
      <c r="F2298" s="6"/>
      <c r="G2298" s="6"/>
    </row>
    <row r="2299" spans="1:7" x14ac:dyDescent="0.25">
      <c r="A2299" s="6" t="s">
        <v>8940</v>
      </c>
      <c r="B2299" s="6"/>
      <c r="C2299" s="6"/>
      <c r="D2299" s="6"/>
      <c r="E2299" s="6"/>
      <c r="F2299" s="6"/>
      <c r="G2299" s="6"/>
    </row>
    <row r="2300" spans="1:7" x14ac:dyDescent="0.25">
      <c r="A2300" s="6" t="s">
        <v>957</v>
      </c>
      <c r="B2300" s="6"/>
      <c r="C2300" s="6"/>
      <c r="D2300" s="6"/>
      <c r="E2300" s="6"/>
      <c r="F2300" s="6"/>
      <c r="G2300" s="6"/>
    </row>
    <row r="2301" spans="1:7" x14ac:dyDescent="0.25">
      <c r="A2301" s="6" t="s">
        <v>8936</v>
      </c>
      <c r="B2301" s="6"/>
      <c r="C2301" s="6"/>
      <c r="D2301" s="6"/>
      <c r="E2301" s="6"/>
      <c r="F2301" s="6"/>
      <c r="G2301" s="6"/>
    </row>
    <row r="2302" spans="1:7" x14ac:dyDescent="0.25">
      <c r="A2302" s="6" t="s">
        <v>8933</v>
      </c>
      <c r="B2302" s="6"/>
      <c r="C2302" s="6"/>
      <c r="D2302" s="6"/>
      <c r="E2302" s="6"/>
      <c r="F2302" s="6"/>
      <c r="G2302" s="6"/>
    </row>
    <row r="2303" spans="1:7" x14ac:dyDescent="0.25">
      <c r="A2303" s="6" t="s">
        <v>8930</v>
      </c>
      <c r="B2303" s="6"/>
      <c r="C2303" s="6"/>
      <c r="D2303" s="6"/>
      <c r="E2303" s="6"/>
      <c r="F2303" s="6"/>
      <c r="G2303" s="6"/>
    </row>
    <row r="2304" spans="1:7" x14ac:dyDescent="0.25">
      <c r="A2304" s="6" t="s">
        <v>8927</v>
      </c>
      <c r="B2304" s="6"/>
      <c r="C2304" s="6"/>
      <c r="D2304" s="6"/>
      <c r="E2304" s="6"/>
      <c r="F2304" s="6"/>
      <c r="G2304" s="6"/>
    </row>
    <row r="2305" spans="1:7" x14ac:dyDescent="0.25">
      <c r="A2305" s="6" t="s">
        <v>957</v>
      </c>
      <c r="B2305" s="6"/>
      <c r="C2305" s="6"/>
      <c r="D2305" s="6"/>
      <c r="E2305" s="6"/>
      <c r="F2305" s="6"/>
      <c r="G2305" s="6"/>
    </row>
    <row r="2306" spans="1:7" x14ac:dyDescent="0.25">
      <c r="A2306" s="6" t="s">
        <v>8923</v>
      </c>
      <c r="B2306" s="6"/>
      <c r="C2306" s="6"/>
      <c r="D2306" s="6"/>
      <c r="E2306" s="6"/>
      <c r="F2306" s="6"/>
      <c r="G2306" s="6"/>
    </row>
    <row r="2307" spans="1:7" x14ac:dyDescent="0.25">
      <c r="A2307" s="6" t="s">
        <v>8920</v>
      </c>
      <c r="B2307" s="6"/>
      <c r="C2307" s="6"/>
      <c r="D2307" s="6"/>
      <c r="E2307" s="6"/>
      <c r="F2307" s="6"/>
      <c r="G2307" s="6"/>
    </row>
    <row r="2308" spans="1:7" x14ac:dyDescent="0.25">
      <c r="A2308" s="6" t="s">
        <v>957</v>
      </c>
      <c r="B2308" s="6"/>
      <c r="C2308" s="6"/>
      <c r="D2308" s="6"/>
      <c r="E2308" s="6"/>
      <c r="F2308" s="6"/>
      <c r="G2308" s="6"/>
    </row>
    <row r="2309" spans="1:7" x14ac:dyDescent="0.25">
      <c r="A2309" s="6" t="s">
        <v>8916</v>
      </c>
      <c r="B2309" s="6"/>
      <c r="C2309" s="6"/>
      <c r="D2309" s="6"/>
      <c r="E2309" s="6"/>
      <c r="F2309" s="6"/>
      <c r="G2309" s="6"/>
    </row>
    <row r="2310" spans="1:7" x14ac:dyDescent="0.25">
      <c r="A2310" s="6" t="s">
        <v>8913</v>
      </c>
      <c r="B2310" s="6"/>
      <c r="C2310" s="6"/>
      <c r="D2310" s="6"/>
      <c r="E2310" s="6"/>
      <c r="F2310" s="6"/>
      <c r="G2310" s="6"/>
    </row>
    <row r="2311" spans="1:7" x14ac:dyDescent="0.25">
      <c r="A2311" s="6" t="s">
        <v>8910</v>
      </c>
      <c r="B2311" s="6"/>
      <c r="C2311" s="6"/>
      <c r="D2311" s="6"/>
      <c r="E2311" s="6"/>
      <c r="F2311" s="6"/>
      <c r="G2311" s="6"/>
    </row>
    <row r="2312" spans="1:7" x14ac:dyDescent="0.25">
      <c r="A2312" s="6" t="s">
        <v>14206</v>
      </c>
      <c r="B2312" s="6" t="s">
        <v>14207</v>
      </c>
      <c r="C2312" s="6"/>
      <c r="D2312" s="6"/>
      <c r="E2312" s="6"/>
      <c r="F2312" s="6"/>
      <c r="G2312" s="6"/>
    </row>
    <row r="2313" spans="1:7" x14ac:dyDescent="0.25">
      <c r="A2313" s="6" t="s">
        <v>8906</v>
      </c>
      <c r="B2313" s="6"/>
      <c r="C2313" s="6"/>
      <c r="D2313" s="6"/>
      <c r="E2313" s="6"/>
      <c r="F2313" s="6"/>
      <c r="G2313" s="6"/>
    </row>
    <row r="2314" spans="1:7" x14ac:dyDescent="0.25">
      <c r="A2314" s="6" t="s">
        <v>957</v>
      </c>
      <c r="B2314" s="6"/>
      <c r="C2314" s="6"/>
      <c r="D2314" s="6"/>
      <c r="E2314" s="6"/>
      <c r="F2314" s="6"/>
      <c r="G2314" s="6"/>
    </row>
    <row r="2315" spans="1:7" x14ac:dyDescent="0.25">
      <c r="A2315" s="6" t="s">
        <v>7857</v>
      </c>
      <c r="B2315" s="6"/>
      <c r="C2315" s="6"/>
      <c r="D2315" s="6"/>
      <c r="E2315" s="6"/>
      <c r="F2315" s="6"/>
      <c r="G2315" s="6"/>
    </row>
    <row r="2316" spans="1:7" x14ac:dyDescent="0.25">
      <c r="A2316" s="6" t="s">
        <v>7854</v>
      </c>
      <c r="B2316" s="6"/>
      <c r="C2316" s="6"/>
      <c r="D2316" s="6"/>
      <c r="E2316" s="6"/>
      <c r="F2316" s="6"/>
      <c r="G2316" s="6"/>
    </row>
    <row r="2317" spans="1:7" x14ac:dyDescent="0.25">
      <c r="A2317" s="6" t="s">
        <v>957</v>
      </c>
      <c r="B2317" s="6"/>
      <c r="C2317" s="6"/>
      <c r="D2317" s="6"/>
      <c r="E2317" s="6"/>
      <c r="F2317" s="6"/>
      <c r="G2317" s="6"/>
    </row>
    <row r="2318" spans="1:7" x14ac:dyDescent="0.25">
      <c r="A2318" s="6" t="s">
        <v>7850</v>
      </c>
      <c r="B2318" s="6"/>
      <c r="C2318" s="6"/>
      <c r="D2318" s="6"/>
      <c r="E2318" s="6"/>
      <c r="F2318" s="6"/>
      <c r="G2318" s="6"/>
    </row>
    <row r="2319" spans="1:7" x14ac:dyDescent="0.25">
      <c r="A2319" s="6" t="s">
        <v>957</v>
      </c>
      <c r="B2319" s="6"/>
      <c r="C2319" s="6"/>
      <c r="D2319" s="6"/>
      <c r="E2319" s="6"/>
      <c r="F2319" s="6"/>
      <c r="G2319" s="6"/>
    </row>
    <row r="2320" spans="1:7" x14ac:dyDescent="0.25">
      <c r="A2320" s="6" t="s">
        <v>7847</v>
      </c>
      <c r="B2320" s="6"/>
      <c r="C2320" s="6"/>
      <c r="D2320" s="6"/>
      <c r="E2320" s="6"/>
      <c r="F2320" s="6"/>
      <c r="G2320" s="6"/>
    </row>
    <row r="2321" spans="1:7" x14ac:dyDescent="0.25">
      <c r="A2321" s="6" t="s">
        <v>957</v>
      </c>
      <c r="B2321" s="6"/>
      <c r="C2321" s="6"/>
      <c r="D2321" s="6"/>
      <c r="E2321" s="6"/>
      <c r="F2321" s="6"/>
      <c r="G2321" s="6"/>
    </row>
    <row r="2322" spans="1:7" x14ac:dyDescent="0.25">
      <c r="A2322" s="6" t="s">
        <v>7842</v>
      </c>
      <c r="B2322" s="6"/>
      <c r="C2322" s="6"/>
      <c r="D2322" s="6"/>
      <c r="E2322" s="6"/>
      <c r="F2322" s="6"/>
      <c r="G2322" s="6"/>
    </row>
    <row r="2323" spans="1:7" x14ac:dyDescent="0.25">
      <c r="A2323" s="6" t="s">
        <v>957</v>
      </c>
      <c r="B2323" s="6"/>
      <c r="C2323" s="6"/>
      <c r="D2323" s="6"/>
      <c r="E2323" s="6"/>
      <c r="F2323" s="6"/>
      <c r="G2323" s="6"/>
    </row>
    <row r="2324" spans="1:7" x14ac:dyDescent="0.25">
      <c r="A2324" s="6" t="s">
        <v>7838</v>
      </c>
      <c r="B2324" s="6"/>
      <c r="C2324" s="6"/>
      <c r="D2324" s="6"/>
      <c r="E2324" s="6"/>
      <c r="F2324" s="6"/>
      <c r="G2324" s="6"/>
    </row>
    <row r="2325" spans="1:7" x14ac:dyDescent="0.25">
      <c r="A2325" s="6" t="s">
        <v>7836</v>
      </c>
      <c r="B2325" s="6"/>
      <c r="C2325" s="6"/>
      <c r="D2325" s="6"/>
      <c r="E2325" s="6"/>
      <c r="F2325" s="6"/>
      <c r="G2325" s="6"/>
    </row>
    <row r="2326" spans="1:7" x14ac:dyDescent="0.25">
      <c r="A2326" s="6" t="s">
        <v>7833</v>
      </c>
      <c r="B2326" s="6"/>
      <c r="C2326" s="6"/>
      <c r="D2326" s="6"/>
      <c r="E2326" s="6"/>
      <c r="F2326" s="6"/>
      <c r="G2326" s="6"/>
    </row>
    <row r="2327" spans="1:7" x14ac:dyDescent="0.25">
      <c r="A2327" s="6" t="s">
        <v>7830</v>
      </c>
      <c r="B2327" s="6"/>
      <c r="C2327" s="6"/>
      <c r="D2327" s="6"/>
      <c r="E2327" s="6"/>
      <c r="F2327" s="6"/>
      <c r="G2327" s="6"/>
    </row>
    <row r="2328" spans="1:7" x14ac:dyDescent="0.25">
      <c r="A2328" s="6" t="s">
        <v>957</v>
      </c>
      <c r="B2328" s="6"/>
      <c r="C2328" s="6"/>
      <c r="D2328" s="6"/>
      <c r="E2328" s="6"/>
      <c r="F2328" s="6"/>
      <c r="G2328" s="6"/>
    </row>
    <row r="2329" spans="1:7" x14ac:dyDescent="0.25">
      <c r="A2329" s="6" t="s">
        <v>7826</v>
      </c>
      <c r="B2329" s="6"/>
      <c r="C2329" s="6"/>
      <c r="D2329" s="6"/>
      <c r="E2329" s="6"/>
      <c r="F2329" s="6"/>
      <c r="G2329" s="6"/>
    </row>
    <row r="2330" spans="1:7" x14ac:dyDescent="0.25">
      <c r="A2330" s="6" t="s">
        <v>7823</v>
      </c>
      <c r="B2330" s="6"/>
      <c r="C2330" s="6"/>
      <c r="D2330" s="6"/>
      <c r="E2330" s="6"/>
      <c r="F2330" s="6"/>
      <c r="G2330" s="6"/>
    </row>
    <row r="2331" spans="1:7" x14ac:dyDescent="0.25">
      <c r="A2331" s="6" t="s">
        <v>8875</v>
      </c>
      <c r="B2331" s="6"/>
      <c r="C2331" s="6"/>
      <c r="D2331" s="6"/>
      <c r="E2331" s="6"/>
      <c r="F2331" s="6"/>
      <c r="G2331" s="6"/>
    </row>
    <row r="2332" spans="1:7" x14ac:dyDescent="0.25">
      <c r="A2332" s="6" t="s">
        <v>8872</v>
      </c>
      <c r="B2332" s="6"/>
      <c r="C2332" s="6"/>
      <c r="D2332" s="6"/>
      <c r="E2332" s="6"/>
      <c r="F2332" s="6"/>
      <c r="G2332" s="6"/>
    </row>
    <row r="2333" spans="1:7" x14ac:dyDescent="0.25">
      <c r="A2333" s="6" t="s">
        <v>8869</v>
      </c>
      <c r="B2333" s="6"/>
      <c r="C2333" s="6"/>
      <c r="D2333" s="6"/>
      <c r="E2333" s="6"/>
      <c r="F2333" s="6"/>
      <c r="G2333" s="6"/>
    </row>
    <row r="2334" spans="1:7" x14ac:dyDescent="0.25">
      <c r="A2334" s="6" t="s">
        <v>957</v>
      </c>
      <c r="B2334" s="6"/>
      <c r="C2334" s="6"/>
      <c r="D2334" s="6"/>
      <c r="E2334" s="6"/>
      <c r="F2334" s="6"/>
      <c r="G2334" s="6"/>
    </row>
    <row r="2335" spans="1:7" x14ac:dyDescent="0.25">
      <c r="A2335" s="6" t="s">
        <v>8865</v>
      </c>
      <c r="B2335" s="6"/>
      <c r="C2335" s="6"/>
      <c r="D2335" s="6"/>
      <c r="E2335" s="6"/>
      <c r="F2335" s="6"/>
      <c r="G2335" s="6"/>
    </row>
    <row r="2336" spans="1:7" x14ac:dyDescent="0.25">
      <c r="A2336" s="6" t="s">
        <v>957</v>
      </c>
      <c r="B2336" s="6"/>
      <c r="C2336" s="6"/>
      <c r="D2336" s="6"/>
      <c r="E2336" s="6"/>
      <c r="F2336" s="6"/>
      <c r="G2336" s="6"/>
    </row>
    <row r="2337" spans="1:7" x14ac:dyDescent="0.25">
      <c r="A2337" s="6" t="s">
        <v>8861</v>
      </c>
      <c r="B2337" s="6"/>
      <c r="C2337" s="6"/>
      <c r="D2337" s="6"/>
      <c r="E2337" s="6"/>
      <c r="F2337" s="6"/>
      <c r="G2337" s="6"/>
    </row>
    <row r="2338" spans="1:7" x14ac:dyDescent="0.25">
      <c r="A2338" s="6" t="s">
        <v>8858</v>
      </c>
      <c r="B2338" s="6"/>
      <c r="C2338" s="6"/>
      <c r="D2338" s="6"/>
      <c r="E2338" s="6"/>
      <c r="F2338" s="6"/>
      <c r="G2338" s="6"/>
    </row>
    <row r="2339" spans="1:7" x14ac:dyDescent="0.25">
      <c r="A2339" s="6" t="s">
        <v>8855</v>
      </c>
      <c r="B2339" s="6"/>
      <c r="C2339" s="6"/>
      <c r="D2339" s="6"/>
      <c r="E2339" s="6"/>
      <c r="F2339" s="6"/>
      <c r="G2339" s="6"/>
    </row>
    <row r="2340" spans="1:7" x14ac:dyDescent="0.25">
      <c r="A2340" s="6" t="s">
        <v>8853</v>
      </c>
      <c r="B2340" s="6"/>
      <c r="C2340" s="6"/>
      <c r="D2340" s="6"/>
      <c r="E2340" s="6"/>
      <c r="F2340" s="6"/>
      <c r="G2340" s="6"/>
    </row>
    <row r="2341" spans="1:7" x14ac:dyDescent="0.25">
      <c r="A2341" s="6" t="s">
        <v>8850</v>
      </c>
      <c r="B2341" s="6"/>
      <c r="C2341" s="6"/>
      <c r="D2341" s="6"/>
      <c r="E2341" s="6"/>
      <c r="F2341" s="6"/>
      <c r="G2341" s="6"/>
    </row>
    <row r="2342" spans="1:7" x14ac:dyDescent="0.25">
      <c r="A2342" s="6" t="s">
        <v>8847</v>
      </c>
      <c r="B2342" s="6"/>
      <c r="C2342" s="6"/>
      <c r="D2342" s="6"/>
      <c r="E2342" s="6"/>
      <c r="F2342" s="6"/>
      <c r="G2342" s="6"/>
    </row>
    <row r="2343" spans="1:7" x14ac:dyDescent="0.25">
      <c r="A2343" s="6" t="s">
        <v>8844</v>
      </c>
      <c r="B2343" s="6"/>
      <c r="C2343" s="6"/>
      <c r="D2343" s="6"/>
      <c r="E2343" s="6"/>
      <c r="F2343" s="6"/>
      <c r="G2343" s="6"/>
    </row>
    <row r="2344" spans="1:7" x14ac:dyDescent="0.25">
      <c r="A2344" s="6" t="s">
        <v>8841</v>
      </c>
      <c r="B2344" s="6"/>
      <c r="C2344" s="6"/>
      <c r="D2344" s="6"/>
      <c r="E2344" s="6"/>
      <c r="F2344" s="6"/>
      <c r="G2344" s="6"/>
    </row>
    <row r="2345" spans="1:7" x14ac:dyDescent="0.25">
      <c r="A2345" s="6" t="s">
        <v>8838</v>
      </c>
      <c r="B2345" s="6"/>
      <c r="C2345" s="6"/>
      <c r="D2345" s="6"/>
      <c r="E2345" s="6"/>
      <c r="F2345" s="6"/>
      <c r="G2345" s="6"/>
    </row>
    <row r="2346" spans="1:7" x14ac:dyDescent="0.25">
      <c r="A2346" s="6" t="s">
        <v>8835</v>
      </c>
      <c r="B2346" s="6"/>
      <c r="C2346" s="6"/>
      <c r="D2346" s="6"/>
      <c r="E2346" s="6"/>
      <c r="F2346" s="6"/>
      <c r="G2346" s="6"/>
    </row>
    <row r="2347" spans="1:7" x14ac:dyDescent="0.25">
      <c r="A2347" s="6" t="s">
        <v>957</v>
      </c>
      <c r="B2347" s="6"/>
      <c r="C2347" s="6"/>
      <c r="D2347" s="6"/>
      <c r="E2347" s="6"/>
      <c r="F2347" s="6"/>
      <c r="G2347" s="6"/>
    </row>
    <row r="2348" spans="1:7" x14ac:dyDescent="0.25">
      <c r="A2348" s="6" t="s">
        <v>7778</v>
      </c>
      <c r="B2348" s="6"/>
      <c r="C2348" s="6"/>
      <c r="D2348" s="6"/>
      <c r="E2348" s="6"/>
      <c r="F2348" s="6"/>
      <c r="G2348" s="6"/>
    </row>
    <row r="2349" spans="1:7" x14ac:dyDescent="0.25">
      <c r="A2349" s="6" t="s">
        <v>7776</v>
      </c>
      <c r="B2349" s="6"/>
      <c r="C2349" s="6"/>
      <c r="D2349" s="6"/>
      <c r="E2349" s="6"/>
      <c r="F2349" s="6"/>
      <c r="G2349" s="6"/>
    </row>
    <row r="2350" spans="1:7" x14ac:dyDescent="0.25">
      <c r="A2350" s="6" t="s">
        <v>957</v>
      </c>
      <c r="B2350" s="6"/>
      <c r="C2350" s="6"/>
      <c r="D2350" s="6"/>
      <c r="E2350" s="6"/>
      <c r="F2350" s="6"/>
      <c r="G2350" s="6"/>
    </row>
    <row r="2351" spans="1:7" x14ac:dyDescent="0.25">
      <c r="A2351" s="6" t="s">
        <v>957</v>
      </c>
      <c r="B2351" s="6"/>
      <c r="C2351" s="6"/>
      <c r="D2351" s="6"/>
      <c r="E2351" s="6"/>
      <c r="F2351" s="6"/>
      <c r="G2351" s="6"/>
    </row>
    <row r="2352" spans="1:7" x14ac:dyDescent="0.25">
      <c r="A2352" s="6" t="s">
        <v>7771</v>
      </c>
      <c r="B2352" s="6"/>
      <c r="C2352" s="6"/>
      <c r="D2352" s="6"/>
      <c r="E2352" s="6"/>
      <c r="F2352" s="6"/>
      <c r="G2352" s="6"/>
    </row>
    <row r="2353" spans="1:7" x14ac:dyDescent="0.25">
      <c r="A2353" s="6" t="s">
        <v>7768</v>
      </c>
      <c r="B2353" s="6"/>
      <c r="C2353" s="6"/>
      <c r="D2353" s="6"/>
      <c r="E2353" s="6"/>
      <c r="F2353" s="6"/>
      <c r="G2353" s="6"/>
    </row>
    <row r="2354" spans="1:7" x14ac:dyDescent="0.25">
      <c r="A2354" s="6" t="s">
        <v>7765</v>
      </c>
      <c r="B2354" s="6"/>
      <c r="C2354" s="6"/>
      <c r="D2354" s="6"/>
      <c r="E2354" s="6"/>
      <c r="F2354" s="6"/>
      <c r="G2354" s="6"/>
    </row>
    <row r="2355" spans="1:7" x14ac:dyDescent="0.25">
      <c r="A2355" s="6" t="s">
        <v>7762</v>
      </c>
      <c r="B2355" s="6"/>
      <c r="C2355" s="6"/>
      <c r="D2355" s="6"/>
      <c r="E2355" s="6"/>
      <c r="F2355" s="6"/>
      <c r="G2355" s="6"/>
    </row>
    <row r="2356" spans="1:7" x14ac:dyDescent="0.25">
      <c r="A2356" s="6" t="s">
        <v>7759</v>
      </c>
      <c r="B2356" s="6"/>
      <c r="C2356" s="6"/>
      <c r="D2356" s="6"/>
      <c r="E2356" s="6"/>
      <c r="F2356" s="6"/>
      <c r="G2356" s="6"/>
    </row>
    <row r="2357" spans="1:7" x14ac:dyDescent="0.25">
      <c r="A2357" s="6" t="s">
        <v>7756</v>
      </c>
      <c r="B2357" s="6"/>
      <c r="C2357" s="6"/>
      <c r="D2357" s="6"/>
      <c r="E2357" s="6"/>
      <c r="F2357" s="6"/>
      <c r="G2357" s="6"/>
    </row>
    <row r="2358" spans="1:7" x14ac:dyDescent="0.25">
      <c r="A2358" s="6" t="s">
        <v>957</v>
      </c>
      <c r="B2358" s="6"/>
      <c r="C2358" s="6"/>
      <c r="D2358" s="6"/>
      <c r="E2358" s="6"/>
      <c r="F2358" s="6"/>
      <c r="G2358" s="6"/>
    </row>
    <row r="2359" spans="1:7" x14ac:dyDescent="0.25">
      <c r="A2359" s="6" t="s">
        <v>7752</v>
      </c>
      <c r="B2359" s="6"/>
      <c r="C2359" s="6"/>
      <c r="D2359" s="6"/>
      <c r="E2359" s="6"/>
      <c r="F2359" s="6"/>
      <c r="G2359" s="6"/>
    </row>
    <row r="2360" spans="1:7" x14ac:dyDescent="0.25">
      <c r="A2360" s="6" t="s">
        <v>7749</v>
      </c>
      <c r="B2360" s="6"/>
      <c r="C2360" s="6"/>
      <c r="D2360" s="6"/>
      <c r="E2360" s="6"/>
      <c r="F2360" s="6"/>
      <c r="G2360" s="6"/>
    </row>
    <row r="2361" spans="1:7" x14ac:dyDescent="0.25">
      <c r="A2361" s="6" t="s">
        <v>957</v>
      </c>
      <c r="B2361" s="6"/>
      <c r="C2361" s="6"/>
      <c r="D2361" s="6"/>
      <c r="E2361" s="6"/>
      <c r="F2361" s="6"/>
      <c r="G2361" s="6"/>
    </row>
    <row r="2362" spans="1:7" x14ac:dyDescent="0.25">
      <c r="A2362" s="6" t="s">
        <v>957</v>
      </c>
      <c r="B2362" s="6"/>
      <c r="C2362" s="6"/>
      <c r="D2362" s="6"/>
      <c r="E2362" s="6"/>
      <c r="F2362" s="6"/>
      <c r="G2362" s="6"/>
    </row>
    <row r="2363" spans="1:7" x14ac:dyDescent="0.25">
      <c r="A2363" s="6" t="s">
        <v>7744</v>
      </c>
      <c r="B2363" s="6"/>
      <c r="C2363" s="6"/>
      <c r="D2363" s="6"/>
      <c r="E2363" s="6"/>
      <c r="F2363" s="6"/>
      <c r="G2363" s="6"/>
    </row>
    <row r="2364" spans="1:7" x14ac:dyDescent="0.25">
      <c r="A2364" s="6" t="s">
        <v>957</v>
      </c>
      <c r="B2364" s="6"/>
      <c r="C2364" s="6"/>
      <c r="D2364" s="6"/>
      <c r="E2364" s="6"/>
      <c r="F2364" s="6"/>
      <c r="G2364" s="6"/>
    </row>
    <row r="2365" spans="1:7" x14ac:dyDescent="0.25">
      <c r="A2365" s="6" t="s">
        <v>957</v>
      </c>
      <c r="B2365" s="6"/>
      <c r="C2365" s="6"/>
      <c r="D2365" s="6"/>
      <c r="E2365" s="6"/>
      <c r="F2365" s="6"/>
      <c r="G2365" s="6"/>
    </row>
    <row r="2366" spans="1:7" x14ac:dyDescent="0.25">
      <c r="A2366" s="6" t="s">
        <v>7739</v>
      </c>
      <c r="B2366" s="6"/>
      <c r="C2366" s="6"/>
      <c r="D2366" s="6"/>
      <c r="E2366" s="6"/>
      <c r="F2366" s="6"/>
      <c r="G2366" s="6"/>
    </row>
    <row r="2367" spans="1:7" x14ac:dyDescent="0.25">
      <c r="A2367" s="6" t="s">
        <v>7736</v>
      </c>
      <c r="B2367" s="6"/>
      <c r="C2367" s="6"/>
      <c r="D2367" s="6"/>
      <c r="E2367" s="6"/>
      <c r="F2367" s="6"/>
      <c r="G2367" s="6"/>
    </row>
    <row r="2368" spans="1:7" x14ac:dyDescent="0.25">
      <c r="A2368" s="6" t="s">
        <v>7733</v>
      </c>
      <c r="B2368" s="6"/>
      <c r="C2368" s="6"/>
      <c r="D2368" s="6"/>
      <c r="E2368" s="6"/>
      <c r="F2368" s="6"/>
      <c r="G2368" s="6"/>
    </row>
    <row r="2369" spans="1:7" x14ac:dyDescent="0.25">
      <c r="A2369" s="6" t="s">
        <v>7730</v>
      </c>
      <c r="B2369" s="6"/>
      <c r="C2369" s="6"/>
      <c r="D2369" s="6"/>
      <c r="E2369" s="6"/>
      <c r="F2369" s="6"/>
      <c r="G2369" s="6"/>
    </row>
    <row r="2370" spans="1:7" x14ac:dyDescent="0.25">
      <c r="A2370" s="6" t="s">
        <v>7727</v>
      </c>
      <c r="B2370" s="6"/>
      <c r="C2370" s="6"/>
      <c r="D2370" s="6"/>
      <c r="E2370" s="6"/>
      <c r="F2370" s="6"/>
      <c r="G2370" s="6"/>
    </row>
    <row r="2371" spans="1:7" x14ac:dyDescent="0.25">
      <c r="A2371" s="6" t="s">
        <v>7724</v>
      </c>
      <c r="B2371" s="6"/>
      <c r="C2371" s="6"/>
      <c r="D2371" s="6"/>
      <c r="E2371" s="6"/>
      <c r="F2371" s="6"/>
      <c r="G2371" s="6"/>
    </row>
    <row r="2372" spans="1:7" x14ac:dyDescent="0.25">
      <c r="A2372" s="6" t="s">
        <v>7721</v>
      </c>
      <c r="B2372" s="6"/>
      <c r="C2372" s="6"/>
      <c r="D2372" s="6"/>
      <c r="E2372" s="6"/>
      <c r="F2372" s="6"/>
      <c r="G2372" s="6"/>
    </row>
    <row r="2373" spans="1:7" x14ac:dyDescent="0.25">
      <c r="A2373" s="6" t="s">
        <v>14208</v>
      </c>
      <c r="B2373" s="6" t="s">
        <v>7716</v>
      </c>
      <c r="C2373" s="6"/>
      <c r="D2373" s="6"/>
      <c r="E2373" s="6"/>
      <c r="F2373" s="6"/>
      <c r="G2373" s="6"/>
    </row>
    <row r="2374" spans="1:7" x14ac:dyDescent="0.25">
      <c r="A2374" s="6" t="s">
        <v>7716</v>
      </c>
      <c r="B2374" s="6"/>
      <c r="C2374" s="6"/>
      <c r="D2374" s="6"/>
      <c r="E2374" s="6"/>
      <c r="F2374" s="6"/>
      <c r="G2374" s="6"/>
    </row>
    <row r="2375" spans="1:7" x14ac:dyDescent="0.25">
      <c r="A2375" s="6" t="s">
        <v>957</v>
      </c>
      <c r="B2375" s="6"/>
      <c r="C2375" s="6"/>
      <c r="D2375" s="6"/>
      <c r="E2375" s="6"/>
      <c r="F2375" s="6"/>
      <c r="G2375" s="6"/>
    </row>
    <row r="2376" spans="1:7" x14ac:dyDescent="0.25">
      <c r="A2376" s="6" t="s">
        <v>7712</v>
      </c>
      <c r="B2376" s="6"/>
      <c r="C2376" s="6"/>
      <c r="D2376" s="6"/>
      <c r="E2376" s="6"/>
      <c r="F2376" s="6"/>
      <c r="G2376" s="6"/>
    </row>
    <row r="2377" spans="1:7" x14ac:dyDescent="0.25">
      <c r="A2377" s="6" t="s">
        <v>7709</v>
      </c>
      <c r="B2377" s="6"/>
      <c r="C2377" s="6"/>
      <c r="D2377" s="6"/>
      <c r="E2377" s="6"/>
      <c r="F2377" s="6"/>
      <c r="G2377" s="6"/>
    </row>
    <row r="2378" spans="1:7" x14ac:dyDescent="0.25">
      <c r="A2378" s="6" t="s">
        <v>957</v>
      </c>
      <c r="B2378" s="6"/>
      <c r="C2378" s="6"/>
      <c r="D2378" s="6"/>
      <c r="E2378" s="6"/>
      <c r="F2378" s="6"/>
      <c r="G2378" s="6"/>
    </row>
    <row r="2379" spans="1:7" x14ac:dyDescent="0.25">
      <c r="A2379" s="6" t="s">
        <v>7705</v>
      </c>
      <c r="B2379" s="6"/>
      <c r="C2379" s="6"/>
      <c r="D2379" s="6"/>
      <c r="E2379" s="6"/>
      <c r="F2379" s="6"/>
      <c r="G2379" s="6"/>
    </row>
    <row r="2380" spans="1:7" x14ac:dyDescent="0.25">
      <c r="A2380" s="6" t="s">
        <v>7702</v>
      </c>
      <c r="B2380" s="6"/>
      <c r="C2380" s="6"/>
      <c r="D2380" s="6"/>
      <c r="E2380" s="6"/>
      <c r="F2380" s="6"/>
      <c r="G2380" s="6"/>
    </row>
    <row r="2381" spans="1:7" x14ac:dyDescent="0.25">
      <c r="A2381" s="6" t="s">
        <v>957</v>
      </c>
      <c r="B2381" s="6"/>
      <c r="C2381" s="6"/>
      <c r="D2381" s="6"/>
      <c r="E2381" s="6"/>
      <c r="F2381" s="6"/>
      <c r="G2381" s="6"/>
    </row>
    <row r="2382" spans="1:7" x14ac:dyDescent="0.25">
      <c r="A2382" s="6" t="s">
        <v>7698</v>
      </c>
      <c r="B2382" s="6"/>
      <c r="C2382" s="6"/>
      <c r="D2382" s="6"/>
      <c r="E2382" s="6"/>
      <c r="F2382" s="6"/>
      <c r="G2382" s="6"/>
    </row>
    <row r="2383" spans="1:7" x14ac:dyDescent="0.25">
      <c r="A2383" s="6" t="s">
        <v>7695</v>
      </c>
      <c r="B2383" s="6"/>
      <c r="C2383" s="6"/>
      <c r="D2383" s="6"/>
      <c r="E2383" s="6"/>
      <c r="F2383" s="6"/>
      <c r="G2383" s="6"/>
    </row>
    <row r="2384" spans="1:7" x14ac:dyDescent="0.25">
      <c r="A2384" s="6" t="s">
        <v>14209</v>
      </c>
      <c r="B2384" s="6" t="s">
        <v>14210</v>
      </c>
      <c r="C2384" s="6"/>
      <c r="D2384" s="6"/>
      <c r="E2384" s="6"/>
      <c r="F2384" s="6"/>
      <c r="G2384" s="6"/>
    </row>
    <row r="2385" spans="1:7" x14ac:dyDescent="0.25">
      <c r="A2385" s="6" t="s">
        <v>7690</v>
      </c>
      <c r="B2385" s="6"/>
      <c r="C2385" s="6"/>
      <c r="D2385" s="6"/>
      <c r="E2385" s="6"/>
      <c r="F2385" s="6"/>
      <c r="G2385" s="6"/>
    </row>
    <row r="2386" spans="1:7" x14ac:dyDescent="0.25">
      <c r="A2386" s="6" t="s">
        <v>8738</v>
      </c>
      <c r="B2386" s="6"/>
      <c r="C2386" s="6"/>
      <c r="D2386" s="6"/>
      <c r="E2386" s="6"/>
      <c r="F2386" s="6"/>
      <c r="G2386" s="6"/>
    </row>
    <row r="2387" spans="1:7" x14ac:dyDescent="0.25">
      <c r="A2387" s="6" t="s">
        <v>8735</v>
      </c>
      <c r="B2387" s="6"/>
      <c r="C2387" s="6"/>
      <c r="D2387" s="6"/>
      <c r="E2387" s="6"/>
      <c r="F2387" s="6"/>
      <c r="G2387" s="6"/>
    </row>
    <row r="2388" spans="1:7" x14ac:dyDescent="0.25">
      <c r="A2388" s="6" t="s">
        <v>8733</v>
      </c>
      <c r="B2388" s="6"/>
      <c r="C2388" s="6"/>
      <c r="D2388" s="6"/>
      <c r="E2388" s="6"/>
      <c r="F2388" s="6"/>
      <c r="G2388" s="6"/>
    </row>
    <row r="2389" spans="1:7" x14ac:dyDescent="0.25">
      <c r="A2389" s="6" t="s">
        <v>8730</v>
      </c>
      <c r="B2389" s="6"/>
      <c r="C2389" s="6"/>
      <c r="D2389" s="6"/>
      <c r="E2389" s="6"/>
      <c r="F2389" s="6"/>
      <c r="G2389" s="6"/>
    </row>
    <row r="2390" spans="1:7" x14ac:dyDescent="0.25">
      <c r="A2390" s="6" t="s">
        <v>8727</v>
      </c>
      <c r="B2390" s="6"/>
      <c r="C2390" s="6"/>
      <c r="D2390" s="6"/>
      <c r="E2390" s="6"/>
      <c r="F2390" s="6"/>
      <c r="G2390" s="6"/>
    </row>
    <row r="2391" spans="1:7" x14ac:dyDescent="0.25">
      <c r="A2391" s="6" t="s">
        <v>8725</v>
      </c>
      <c r="B2391" s="6"/>
      <c r="C2391" s="6"/>
      <c r="D2391" s="6"/>
      <c r="E2391" s="6"/>
      <c r="F2391" s="6"/>
      <c r="G2391" s="6"/>
    </row>
    <row r="2392" spans="1:7" x14ac:dyDescent="0.25">
      <c r="A2392" s="6" t="s">
        <v>8722</v>
      </c>
      <c r="B2392" s="6"/>
      <c r="C2392" s="6"/>
      <c r="D2392" s="6"/>
      <c r="E2392" s="6"/>
      <c r="F2392" s="6"/>
      <c r="G2392" s="6"/>
    </row>
    <row r="2393" spans="1:7" x14ac:dyDescent="0.25">
      <c r="A2393" s="6" t="s">
        <v>8719</v>
      </c>
      <c r="B2393" s="6"/>
      <c r="C2393" s="6"/>
      <c r="D2393" s="6"/>
      <c r="E2393" s="6"/>
      <c r="F2393" s="6"/>
      <c r="G2393" s="6"/>
    </row>
    <row r="2394" spans="1:7" x14ac:dyDescent="0.25">
      <c r="A2394" s="6" t="s">
        <v>8716</v>
      </c>
      <c r="B2394" s="6"/>
      <c r="C2394" s="6"/>
      <c r="D2394" s="6"/>
      <c r="E2394" s="6"/>
      <c r="F2394" s="6"/>
      <c r="G2394" s="6"/>
    </row>
    <row r="2395" spans="1:7" x14ac:dyDescent="0.25">
      <c r="A2395" s="6" t="s">
        <v>8713</v>
      </c>
      <c r="B2395" s="6"/>
      <c r="C2395" s="6"/>
      <c r="D2395" s="6"/>
      <c r="E2395" s="6"/>
      <c r="F2395" s="6"/>
      <c r="G2395" s="6"/>
    </row>
    <row r="2396" spans="1:7" x14ac:dyDescent="0.25">
      <c r="A2396" s="6" t="s">
        <v>8710</v>
      </c>
      <c r="B2396" s="6"/>
      <c r="C2396" s="6"/>
      <c r="D2396" s="6"/>
      <c r="E2396" s="6"/>
      <c r="F2396" s="6"/>
      <c r="G2396" s="6"/>
    </row>
    <row r="2397" spans="1:7" x14ac:dyDescent="0.25">
      <c r="A2397" s="6" t="s">
        <v>7645</v>
      </c>
      <c r="B2397" s="6"/>
      <c r="C2397" s="6"/>
      <c r="D2397" s="6"/>
      <c r="E2397" s="6"/>
      <c r="F2397" s="6"/>
      <c r="G2397" s="6"/>
    </row>
    <row r="2398" spans="1:7" x14ac:dyDescent="0.25">
      <c r="A2398" s="6" t="s">
        <v>7642</v>
      </c>
      <c r="B2398" s="6"/>
      <c r="C2398" s="6"/>
      <c r="D2398" s="6"/>
      <c r="E2398" s="6"/>
      <c r="F2398" s="6"/>
      <c r="G2398" s="6"/>
    </row>
    <row r="2399" spans="1:7" x14ac:dyDescent="0.25">
      <c r="A2399" s="6" t="s">
        <v>7639</v>
      </c>
      <c r="B2399" s="6"/>
      <c r="C2399" s="6"/>
      <c r="D2399" s="6"/>
      <c r="E2399" s="6"/>
      <c r="F2399" s="6"/>
      <c r="G2399" s="6"/>
    </row>
    <row r="2400" spans="1:7" x14ac:dyDescent="0.25">
      <c r="A2400" s="6" t="s">
        <v>7636</v>
      </c>
      <c r="B2400" s="6"/>
      <c r="C2400" s="6"/>
      <c r="D2400" s="6"/>
      <c r="E2400" s="6"/>
      <c r="F2400" s="6"/>
      <c r="G2400" s="6"/>
    </row>
    <row r="2401" spans="1:7" x14ac:dyDescent="0.25">
      <c r="A2401" s="6" t="s">
        <v>7633</v>
      </c>
      <c r="B2401" s="6"/>
      <c r="C2401" s="6"/>
      <c r="D2401" s="6"/>
      <c r="E2401" s="6"/>
      <c r="F2401" s="6"/>
      <c r="G2401" s="6"/>
    </row>
    <row r="2402" spans="1:7" x14ac:dyDescent="0.25">
      <c r="A2402" s="6" t="s">
        <v>7630</v>
      </c>
      <c r="B2402" s="6"/>
      <c r="C2402" s="6"/>
      <c r="D2402" s="6"/>
      <c r="E2402" s="6"/>
      <c r="F2402" s="6"/>
      <c r="G2402" s="6"/>
    </row>
    <row r="2403" spans="1:7" x14ac:dyDescent="0.25">
      <c r="A2403" s="6" t="s">
        <v>7627</v>
      </c>
      <c r="B2403" s="6"/>
      <c r="C2403" s="6"/>
      <c r="D2403" s="6"/>
      <c r="E2403" s="6"/>
      <c r="F2403" s="6"/>
      <c r="G2403" s="6"/>
    </row>
    <row r="2404" spans="1:7" x14ac:dyDescent="0.25">
      <c r="A2404" s="6" t="s">
        <v>7624</v>
      </c>
      <c r="B2404" s="6"/>
      <c r="C2404" s="6"/>
      <c r="D2404" s="6"/>
      <c r="E2404" s="6"/>
      <c r="F2404" s="6"/>
      <c r="G2404" s="6"/>
    </row>
    <row r="2405" spans="1:7" x14ac:dyDescent="0.25">
      <c r="A2405" s="6" t="s">
        <v>7621</v>
      </c>
      <c r="B2405" s="6"/>
      <c r="C2405" s="6"/>
      <c r="D2405" s="6"/>
      <c r="E2405" s="6"/>
      <c r="F2405" s="6"/>
      <c r="G2405" s="6"/>
    </row>
    <row r="2406" spans="1:7" x14ac:dyDescent="0.25">
      <c r="A2406" s="6" t="s">
        <v>7618</v>
      </c>
      <c r="B2406" s="6"/>
      <c r="C2406" s="6"/>
      <c r="D2406" s="6"/>
      <c r="E2406" s="6"/>
      <c r="F2406" s="6"/>
      <c r="G2406" s="6"/>
    </row>
    <row r="2407" spans="1:7" x14ac:dyDescent="0.25">
      <c r="A2407" s="6" t="s">
        <v>8673</v>
      </c>
      <c r="B2407" s="6"/>
      <c r="C2407" s="6"/>
      <c r="D2407" s="6"/>
      <c r="E2407" s="6"/>
      <c r="F2407" s="6"/>
      <c r="G2407" s="6"/>
    </row>
    <row r="2408" spans="1:7" x14ac:dyDescent="0.25">
      <c r="A2408" s="6" t="s">
        <v>957</v>
      </c>
      <c r="B2408" s="6"/>
      <c r="C2408" s="6"/>
      <c r="D2408" s="6"/>
      <c r="E2408" s="6"/>
      <c r="F2408" s="6"/>
      <c r="G2408" s="6"/>
    </row>
    <row r="2409" spans="1:7" x14ac:dyDescent="0.25">
      <c r="A2409" s="6" t="s">
        <v>8669</v>
      </c>
      <c r="B2409" s="6"/>
      <c r="C2409" s="6"/>
      <c r="D2409" s="6"/>
      <c r="E2409" s="6"/>
      <c r="F2409" s="6"/>
      <c r="G2409" s="6"/>
    </row>
    <row r="2410" spans="1:7" x14ac:dyDescent="0.25">
      <c r="A2410" s="6" t="s">
        <v>8666</v>
      </c>
      <c r="B2410" s="6"/>
      <c r="C2410" s="6"/>
      <c r="D2410" s="6"/>
      <c r="E2410" s="6"/>
      <c r="F2410" s="6"/>
      <c r="G2410" s="6"/>
    </row>
    <row r="2411" spans="1:7" x14ac:dyDescent="0.25">
      <c r="A2411" s="6" t="s">
        <v>957</v>
      </c>
      <c r="B2411" s="6"/>
      <c r="C2411" s="6"/>
      <c r="D2411" s="6"/>
      <c r="E2411" s="6"/>
      <c r="F2411" s="6"/>
      <c r="G2411" s="6"/>
    </row>
    <row r="2412" spans="1:7" x14ac:dyDescent="0.25">
      <c r="A2412" s="6" t="s">
        <v>8662</v>
      </c>
      <c r="B2412" s="6"/>
      <c r="C2412" s="6"/>
      <c r="D2412" s="6"/>
      <c r="E2412" s="6"/>
      <c r="F2412" s="6"/>
      <c r="G2412" s="6"/>
    </row>
    <row r="2413" spans="1:7" x14ac:dyDescent="0.25">
      <c r="A2413" s="6" t="s">
        <v>8659</v>
      </c>
      <c r="B2413" s="6"/>
      <c r="C2413" s="6"/>
      <c r="D2413" s="6"/>
      <c r="E2413" s="6"/>
      <c r="F2413" s="6"/>
      <c r="G2413" s="6"/>
    </row>
    <row r="2414" spans="1:7" x14ac:dyDescent="0.25">
      <c r="A2414" s="6" t="s">
        <v>8656</v>
      </c>
      <c r="B2414" s="6"/>
      <c r="C2414" s="6"/>
      <c r="D2414" s="6"/>
      <c r="E2414" s="6"/>
      <c r="F2414" s="6"/>
      <c r="G2414" s="6"/>
    </row>
    <row r="2415" spans="1:7" x14ac:dyDescent="0.25">
      <c r="A2415" s="6" t="s">
        <v>8653</v>
      </c>
      <c r="B2415" s="6"/>
      <c r="C2415" s="6"/>
      <c r="D2415" s="6"/>
      <c r="E2415" s="6"/>
      <c r="F2415" s="6"/>
      <c r="G2415" s="6"/>
    </row>
    <row r="2416" spans="1:7" x14ac:dyDescent="0.25">
      <c r="A2416" s="6" t="s">
        <v>8650</v>
      </c>
      <c r="B2416" s="6"/>
      <c r="C2416" s="6"/>
      <c r="D2416" s="6"/>
      <c r="E2416" s="6"/>
      <c r="F2416" s="6"/>
      <c r="G2416" s="6"/>
    </row>
    <row r="2417" spans="1:7" x14ac:dyDescent="0.25">
      <c r="A2417" s="6" t="s">
        <v>8647</v>
      </c>
      <c r="B2417" s="6"/>
      <c r="C2417" s="6"/>
      <c r="D2417" s="6"/>
      <c r="E2417" s="6"/>
      <c r="F2417" s="6"/>
      <c r="G2417" s="6"/>
    </row>
    <row r="2418" spans="1:7" x14ac:dyDescent="0.25">
      <c r="A2418" s="6" t="s">
        <v>957</v>
      </c>
      <c r="B2418" s="6"/>
      <c r="C2418" s="6"/>
      <c r="D2418" s="6"/>
      <c r="E2418" s="6"/>
      <c r="F2418" s="6"/>
      <c r="G2418" s="6"/>
    </row>
    <row r="2419" spans="1:7" x14ac:dyDescent="0.25">
      <c r="A2419" s="6" t="s">
        <v>957</v>
      </c>
      <c r="B2419" s="6"/>
      <c r="C2419" s="6"/>
      <c r="D2419" s="6"/>
      <c r="E2419" s="6"/>
      <c r="F2419" s="6"/>
      <c r="G2419" s="6"/>
    </row>
    <row r="2420" spans="1:7" x14ac:dyDescent="0.25">
      <c r="A2420" s="6" t="s">
        <v>8641</v>
      </c>
      <c r="B2420" s="6"/>
      <c r="C2420" s="6"/>
      <c r="D2420" s="6"/>
      <c r="E2420" s="6"/>
      <c r="F2420" s="6"/>
      <c r="G2420" s="6"/>
    </row>
    <row r="2421" spans="1:7" x14ac:dyDescent="0.25">
      <c r="A2421" s="6" t="s">
        <v>8638</v>
      </c>
      <c r="B2421" s="6"/>
      <c r="C2421" s="6"/>
      <c r="D2421" s="6"/>
      <c r="E2421" s="6"/>
      <c r="F2421" s="6"/>
      <c r="G2421" s="6"/>
    </row>
    <row r="2422" spans="1:7" x14ac:dyDescent="0.25">
      <c r="A2422" s="6" t="s">
        <v>8635</v>
      </c>
      <c r="B2422" s="6"/>
      <c r="C2422" s="6"/>
      <c r="D2422" s="6"/>
      <c r="E2422" s="6"/>
      <c r="F2422" s="6"/>
      <c r="G2422" s="6"/>
    </row>
    <row r="2423" spans="1:7" x14ac:dyDescent="0.25">
      <c r="A2423" s="6" t="s">
        <v>8632</v>
      </c>
      <c r="B2423" s="6"/>
      <c r="C2423" s="6"/>
      <c r="D2423" s="6"/>
      <c r="E2423" s="6"/>
      <c r="F2423" s="6"/>
      <c r="G2423" s="6"/>
    </row>
    <row r="2424" spans="1:7" x14ac:dyDescent="0.25">
      <c r="A2424" s="6" t="s">
        <v>8630</v>
      </c>
      <c r="B2424" s="6"/>
      <c r="C2424" s="6"/>
      <c r="D2424" s="6"/>
      <c r="E2424" s="6"/>
      <c r="F2424" s="6"/>
      <c r="G2424" s="6"/>
    </row>
    <row r="2425" spans="1:7" x14ac:dyDescent="0.25">
      <c r="A2425" s="6" t="s">
        <v>8627</v>
      </c>
      <c r="B2425" s="6"/>
      <c r="C2425" s="6"/>
      <c r="D2425" s="6"/>
      <c r="E2425" s="6"/>
      <c r="F2425" s="6"/>
      <c r="G2425" s="6"/>
    </row>
    <row r="2426" spans="1:7" x14ac:dyDescent="0.25">
      <c r="A2426" s="6" t="s">
        <v>8624</v>
      </c>
      <c r="B2426" s="6"/>
      <c r="C2426" s="6"/>
      <c r="D2426" s="6"/>
      <c r="E2426" s="6"/>
      <c r="F2426" s="6"/>
      <c r="G2426" s="6"/>
    </row>
    <row r="2427" spans="1:7" x14ac:dyDescent="0.25">
      <c r="A2427" s="6" t="s">
        <v>957</v>
      </c>
      <c r="B2427" s="6"/>
      <c r="C2427" s="6"/>
      <c r="D2427" s="6"/>
      <c r="E2427" s="6"/>
      <c r="F2427" s="6"/>
      <c r="G2427" s="6"/>
    </row>
    <row r="2428" spans="1:7" x14ac:dyDescent="0.25">
      <c r="A2428" s="6" t="s">
        <v>8620</v>
      </c>
      <c r="B2428" s="6"/>
      <c r="C2428" s="6"/>
      <c r="D2428" s="6"/>
      <c r="E2428" s="6"/>
      <c r="F2428" s="6"/>
      <c r="G2428" s="6"/>
    </row>
    <row r="2429" spans="1:7" x14ac:dyDescent="0.25">
      <c r="A2429" s="6" t="s">
        <v>8617</v>
      </c>
      <c r="B2429" s="6"/>
      <c r="C2429" s="6"/>
      <c r="D2429" s="6"/>
      <c r="E2429" s="6"/>
      <c r="F2429" s="6"/>
      <c r="G2429" s="6"/>
    </row>
    <row r="2430" spans="1:7" x14ac:dyDescent="0.25">
      <c r="A2430" s="6" t="s">
        <v>957</v>
      </c>
      <c r="B2430" s="6"/>
      <c r="C2430" s="6"/>
      <c r="D2430" s="6"/>
      <c r="E2430" s="6"/>
      <c r="F2430" s="6"/>
      <c r="G2430" s="6"/>
    </row>
    <row r="2431" spans="1:7" x14ac:dyDescent="0.25">
      <c r="A2431" s="6" t="s">
        <v>8613</v>
      </c>
      <c r="B2431" s="6"/>
      <c r="C2431" s="6"/>
      <c r="D2431" s="6"/>
      <c r="E2431" s="6"/>
      <c r="F2431" s="6"/>
      <c r="G2431" s="6"/>
    </row>
    <row r="2432" spans="1:7" x14ac:dyDescent="0.25">
      <c r="A2432" s="6" t="s">
        <v>8610</v>
      </c>
      <c r="B2432" s="6"/>
      <c r="C2432" s="6"/>
      <c r="D2432" s="6"/>
      <c r="E2432" s="6"/>
      <c r="F2432" s="6"/>
      <c r="G2432" s="6"/>
    </row>
    <row r="2433" spans="1:7" x14ac:dyDescent="0.25">
      <c r="A2433" s="6" t="s">
        <v>8607</v>
      </c>
      <c r="B2433" s="6"/>
      <c r="C2433" s="6"/>
      <c r="D2433" s="6"/>
      <c r="E2433" s="6"/>
      <c r="F2433" s="6"/>
      <c r="G2433" s="6"/>
    </row>
    <row r="2434" spans="1:7" x14ac:dyDescent="0.25">
      <c r="A2434" s="6" t="s">
        <v>8604</v>
      </c>
      <c r="B2434" s="6"/>
      <c r="C2434" s="6"/>
      <c r="D2434" s="6"/>
      <c r="E2434" s="6"/>
      <c r="F2434" s="6"/>
      <c r="G2434" s="6"/>
    </row>
    <row r="2435" spans="1:7" x14ac:dyDescent="0.25">
      <c r="A2435" s="6" t="s">
        <v>8601</v>
      </c>
      <c r="B2435" s="6"/>
      <c r="C2435" s="6"/>
      <c r="D2435" s="6"/>
      <c r="E2435" s="6"/>
      <c r="F2435" s="6"/>
      <c r="G2435" s="6"/>
    </row>
    <row r="2436" spans="1:7" x14ac:dyDescent="0.25">
      <c r="A2436" s="6" t="s">
        <v>8598</v>
      </c>
      <c r="B2436" s="6"/>
      <c r="C2436" s="6"/>
      <c r="D2436" s="6"/>
      <c r="E2436" s="6"/>
      <c r="F2436" s="6"/>
      <c r="G2436" s="6"/>
    </row>
    <row r="2437" spans="1:7" x14ac:dyDescent="0.25">
      <c r="A2437" s="6" t="s">
        <v>8596</v>
      </c>
      <c r="B2437" s="6"/>
      <c r="C2437" s="6"/>
      <c r="D2437" s="6"/>
      <c r="E2437" s="6"/>
      <c r="F2437" s="6"/>
      <c r="G2437" s="6"/>
    </row>
    <row r="2438" spans="1:7" x14ac:dyDescent="0.25">
      <c r="A2438" s="6" t="s">
        <v>8593</v>
      </c>
      <c r="B2438" s="6"/>
      <c r="C2438" s="6"/>
      <c r="D2438" s="6"/>
      <c r="E2438" s="6"/>
      <c r="F2438" s="6"/>
      <c r="G2438" s="6"/>
    </row>
    <row r="2439" spans="1:7" x14ac:dyDescent="0.25">
      <c r="A2439" s="6" t="s">
        <v>8590</v>
      </c>
      <c r="B2439" s="6"/>
      <c r="C2439" s="6"/>
      <c r="D2439" s="6"/>
      <c r="E2439" s="6"/>
      <c r="F2439" s="6"/>
      <c r="G2439" s="6"/>
    </row>
    <row r="2440" spans="1:7" x14ac:dyDescent="0.25">
      <c r="A2440" s="6" t="s">
        <v>8588</v>
      </c>
      <c r="B2440" s="6"/>
      <c r="C2440" s="6"/>
      <c r="D2440" s="6"/>
      <c r="E2440" s="6"/>
      <c r="F2440" s="6"/>
      <c r="G2440" s="6"/>
    </row>
    <row r="2441" spans="1:7" x14ac:dyDescent="0.25">
      <c r="A2441" s="6" t="s">
        <v>8585</v>
      </c>
      <c r="B2441" s="6"/>
      <c r="C2441" s="6"/>
      <c r="D2441" s="6"/>
      <c r="E2441" s="6"/>
      <c r="F2441" s="6"/>
      <c r="G2441" s="6"/>
    </row>
    <row r="2442" spans="1:7" x14ac:dyDescent="0.25">
      <c r="A2442" s="6" t="s">
        <v>957</v>
      </c>
      <c r="B2442" s="6"/>
      <c r="C2442" s="6"/>
      <c r="D2442" s="6"/>
      <c r="E2442" s="6"/>
      <c r="F2442" s="6"/>
      <c r="G2442" s="6"/>
    </row>
    <row r="2443" spans="1:7" x14ac:dyDescent="0.25">
      <c r="A2443" s="6" t="s">
        <v>957</v>
      </c>
      <c r="B2443" s="6"/>
      <c r="C2443" s="6"/>
      <c r="D2443" s="6"/>
      <c r="E2443" s="6"/>
      <c r="F2443" s="6"/>
      <c r="G2443" s="6"/>
    </row>
    <row r="2444" spans="1:7" x14ac:dyDescent="0.25">
      <c r="A2444" s="6" t="s">
        <v>8580</v>
      </c>
      <c r="B2444" s="6"/>
      <c r="C2444" s="6"/>
      <c r="D2444" s="6"/>
      <c r="E2444" s="6"/>
      <c r="F2444" s="6"/>
      <c r="G2444" s="6"/>
    </row>
    <row r="2445" spans="1:7" x14ac:dyDescent="0.25">
      <c r="A2445" s="6" t="s">
        <v>7504</v>
      </c>
      <c r="B2445" s="6"/>
      <c r="C2445" s="6"/>
      <c r="D2445" s="6"/>
      <c r="E2445" s="6"/>
      <c r="F2445" s="6"/>
      <c r="G2445" s="6"/>
    </row>
    <row r="2446" spans="1:7" x14ac:dyDescent="0.25">
      <c r="A2446" s="6" t="s">
        <v>7501</v>
      </c>
      <c r="B2446" s="6"/>
      <c r="C2446" s="6"/>
      <c r="D2446" s="6"/>
      <c r="E2446" s="6"/>
      <c r="F2446" s="6"/>
      <c r="G2446" s="6"/>
    </row>
    <row r="2447" spans="1:7" x14ac:dyDescent="0.25">
      <c r="A2447" s="6" t="s">
        <v>7498</v>
      </c>
      <c r="B2447" s="6"/>
      <c r="C2447" s="6"/>
      <c r="D2447" s="6"/>
      <c r="E2447" s="6"/>
      <c r="F2447" s="6"/>
      <c r="G2447" s="6"/>
    </row>
    <row r="2448" spans="1:7" x14ac:dyDescent="0.25">
      <c r="A2448" s="6" t="s">
        <v>7495</v>
      </c>
      <c r="B2448" s="6"/>
      <c r="C2448" s="6"/>
      <c r="D2448" s="6"/>
      <c r="E2448" s="6"/>
      <c r="F2448" s="6"/>
      <c r="G2448" s="6"/>
    </row>
    <row r="2449" spans="1:7" x14ac:dyDescent="0.25">
      <c r="A2449" s="6" t="s">
        <v>7492</v>
      </c>
      <c r="B2449" s="6"/>
      <c r="C2449" s="6"/>
      <c r="D2449" s="6"/>
      <c r="E2449" s="6"/>
      <c r="F2449" s="6"/>
      <c r="G2449" s="6"/>
    </row>
    <row r="2450" spans="1:7" x14ac:dyDescent="0.25">
      <c r="A2450" s="6" t="s">
        <v>7489</v>
      </c>
      <c r="B2450" s="6"/>
      <c r="C2450" s="6"/>
      <c r="D2450" s="6"/>
      <c r="E2450" s="6"/>
      <c r="F2450" s="6"/>
      <c r="G2450" s="6"/>
    </row>
    <row r="2451" spans="1:7" x14ac:dyDescent="0.25">
      <c r="A2451" s="6" t="s">
        <v>7486</v>
      </c>
      <c r="B2451" s="6"/>
      <c r="C2451" s="6"/>
      <c r="D2451" s="6"/>
      <c r="E2451" s="6"/>
      <c r="F2451" s="6"/>
      <c r="G2451" s="6"/>
    </row>
    <row r="2452" spans="1:7" x14ac:dyDescent="0.25">
      <c r="A2452" s="6" t="s">
        <v>957</v>
      </c>
      <c r="B2452" s="6"/>
      <c r="C2452" s="6"/>
      <c r="D2452" s="6"/>
      <c r="E2452" s="6"/>
      <c r="F2452" s="6"/>
      <c r="G2452" s="6"/>
    </row>
    <row r="2453" spans="1:7" x14ac:dyDescent="0.25">
      <c r="A2453" s="6" t="s">
        <v>7482</v>
      </c>
      <c r="B2453" s="6"/>
      <c r="C2453" s="6"/>
      <c r="D2453" s="6"/>
      <c r="E2453" s="6"/>
      <c r="F2453" s="6"/>
      <c r="G2453" s="6"/>
    </row>
    <row r="2454" spans="1:7" x14ac:dyDescent="0.25">
      <c r="A2454" s="6" t="s">
        <v>7479</v>
      </c>
      <c r="B2454" s="6"/>
      <c r="C2454" s="6"/>
      <c r="D2454" s="6"/>
      <c r="E2454" s="6"/>
      <c r="F2454" s="6"/>
      <c r="G2454" s="6"/>
    </row>
    <row r="2455" spans="1:7" x14ac:dyDescent="0.25">
      <c r="A2455" s="6" t="s">
        <v>957</v>
      </c>
      <c r="B2455" s="6"/>
      <c r="C2455" s="6"/>
      <c r="D2455" s="6"/>
      <c r="E2455" s="6"/>
      <c r="F2455" s="6"/>
      <c r="G2455" s="6"/>
    </row>
    <row r="2456" spans="1:7" x14ac:dyDescent="0.25">
      <c r="A2456" s="6" t="s">
        <v>957</v>
      </c>
      <c r="B2456" s="6"/>
      <c r="C2456" s="6"/>
      <c r="D2456" s="6"/>
      <c r="E2456" s="6"/>
      <c r="F2456" s="6"/>
      <c r="G2456" s="6"/>
    </row>
    <row r="2457" spans="1:7" x14ac:dyDescent="0.25">
      <c r="A2457" s="6" t="s">
        <v>8543</v>
      </c>
      <c r="B2457" s="6"/>
      <c r="C2457" s="6"/>
      <c r="D2457" s="6"/>
      <c r="E2457" s="6"/>
      <c r="F2457" s="6"/>
      <c r="G2457" s="6"/>
    </row>
    <row r="2458" spans="1:7" x14ac:dyDescent="0.25">
      <c r="A2458" s="6" t="s">
        <v>8540</v>
      </c>
      <c r="B2458" s="6"/>
      <c r="C2458" s="6"/>
      <c r="D2458" s="6"/>
      <c r="E2458" s="6"/>
      <c r="F2458" s="6"/>
      <c r="G2458" s="6"/>
    </row>
    <row r="2459" spans="1:7" x14ac:dyDescent="0.25">
      <c r="A2459" s="6" t="s">
        <v>957</v>
      </c>
      <c r="B2459" s="6"/>
      <c r="C2459" s="6"/>
      <c r="D2459" s="6"/>
      <c r="E2459" s="6"/>
      <c r="F2459" s="6"/>
      <c r="G2459" s="6"/>
    </row>
    <row r="2460" spans="1:7" x14ac:dyDescent="0.25">
      <c r="A2460" s="6" t="s">
        <v>8536</v>
      </c>
      <c r="B2460" s="6"/>
      <c r="C2460" s="6"/>
      <c r="D2460" s="6"/>
      <c r="E2460" s="6"/>
      <c r="F2460" s="6"/>
      <c r="G2460" s="6"/>
    </row>
    <row r="2461" spans="1:7" x14ac:dyDescent="0.25">
      <c r="A2461" s="6" t="s">
        <v>957</v>
      </c>
      <c r="B2461" s="6"/>
      <c r="C2461" s="6"/>
      <c r="D2461" s="6"/>
      <c r="E2461" s="6"/>
      <c r="F2461" s="6"/>
      <c r="G2461" s="6"/>
    </row>
    <row r="2462" spans="1:7" x14ac:dyDescent="0.25">
      <c r="A2462" s="6" t="s">
        <v>957</v>
      </c>
      <c r="B2462" s="6"/>
      <c r="C2462" s="6"/>
      <c r="D2462" s="6"/>
      <c r="E2462" s="6"/>
      <c r="F2462" s="6"/>
      <c r="G2462" s="6"/>
    </row>
    <row r="2463" spans="1:7" x14ac:dyDescent="0.25">
      <c r="A2463" s="6" t="s">
        <v>8530</v>
      </c>
      <c r="B2463" s="6"/>
      <c r="C2463" s="6"/>
      <c r="D2463" s="6"/>
      <c r="E2463" s="6"/>
      <c r="F2463" s="6"/>
      <c r="G2463" s="6"/>
    </row>
    <row r="2464" spans="1:7" x14ac:dyDescent="0.25">
      <c r="A2464" s="6" t="s">
        <v>8527</v>
      </c>
      <c r="B2464" s="6"/>
      <c r="C2464" s="6"/>
      <c r="D2464" s="6"/>
      <c r="E2464" s="6"/>
      <c r="F2464" s="6"/>
      <c r="G2464" s="6"/>
    </row>
    <row r="2465" spans="1:7" x14ac:dyDescent="0.25">
      <c r="A2465" s="6" t="s">
        <v>8524</v>
      </c>
      <c r="B2465" s="6"/>
      <c r="C2465" s="6"/>
      <c r="D2465" s="6"/>
      <c r="E2465" s="6"/>
      <c r="F2465" s="6"/>
      <c r="G2465" s="6"/>
    </row>
    <row r="2466" spans="1:7" x14ac:dyDescent="0.25">
      <c r="A2466" s="6" t="s">
        <v>8521</v>
      </c>
      <c r="B2466" s="6"/>
      <c r="C2466" s="6"/>
      <c r="D2466" s="6"/>
      <c r="E2466" s="6"/>
      <c r="F2466" s="6"/>
      <c r="G2466" s="6"/>
    </row>
    <row r="2467" spans="1:7" x14ac:dyDescent="0.25">
      <c r="A2467" s="6" t="s">
        <v>957</v>
      </c>
      <c r="B2467" s="6"/>
      <c r="C2467" s="6"/>
      <c r="D2467" s="6"/>
      <c r="E2467" s="6"/>
      <c r="F2467" s="6"/>
      <c r="G2467" s="6"/>
    </row>
    <row r="2468" spans="1:7" x14ac:dyDescent="0.25">
      <c r="A2468" s="6" t="s">
        <v>8516</v>
      </c>
      <c r="B2468" s="6"/>
      <c r="C2468" s="6"/>
      <c r="D2468" s="6"/>
      <c r="E2468" s="6"/>
      <c r="F2468" s="6"/>
      <c r="G2468" s="6"/>
    </row>
    <row r="2469" spans="1:7" x14ac:dyDescent="0.25">
      <c r="A2469" s="6" t="s">
        <v>957</v>
      </c>
      <c r="B2469" s="6"/>
      <c r="C2469" s="6"/>
      <c r="D2469" s="6"/>
      <c r="E2469" s="6"/>
      <c r="F2469" s="6"/>
      <c r="G2469" s="6"/>
    </row>
    <row r="2470" spans="1:7" x14ac:dyDescent="0.25">
      <c r="A2470" s="6" t="s">
        <v>14211</v>
      </c>
      <c r="B2470" s="6" t="s">
        <v>14212</v>
      </c>
      <c r="C2470" s="6"/>
      <c r="D2470" s="6"/>
      <c r="E2470" s="6"/>
      <c r="F2470" s="6"/>
      <c r="G2470" s="6"/>
    </row>
    <row r="2471" spans="1:7" x14ac:dyDescent="0.25">
      <c r="A2471" s="6" t="s">
        <v>7440</v>
      </c>
      <c r="B2471" s="6"/>
      <c r="C2471" s="6"/>
      <c r="D2471" s="6"/>
      <c r="E2471" s="6"/>
      <c r="F2471" s="6"/>
      <c r="G2471" s="6"/>
    </row>
    <row r="2472" spans="1:7" x14ac:dyDescent="0.25">
      <c r="A2472" s="6" t="s">
        <v>7437</v>
      </c>
      <c r="B2472" s="6"/>
      <c r="C2472" s="6"/>
      <c r="D2472" s="6"/>
      <c r="E2472" s="6"/>
      <c r="F2472" s="6"/>
      <c r="G2472" s="6"/>
    </row>
    <row r="2473" spans="1:7" x14ac:dyDescent="0.25">
      <c r="A2473" s="6" t="s">
        <v>7434</v>
      </c>
      <c r="B2473" s="6"/>
      <c r="C2473" s="6"/>
      <c r="D2473" s="6"/>
      <c r="E2473" s="6"/>
      <c r="F2473" s="6"/>
      <c r="G2473" s="6"/>
    </row>
    <row r="2474" spans="1:7" x14ac:dyDescent="0.25">
      <c r="A2474" s="6" t="s">
        <v>7431</v>
      </c>
      <c r="B2474" s="6"/>
      <c r="C2474" s="6"/>
      <c r="D2474" s="6"/>
      <c r="E2474" s="6"/>
      <c r="F2474" s="6"/>
      <c r="G2474" s="6"/>
    </row>
    <row r="2475" spans="1:7" x14ac:dyDescent="0.25">
      <c r="A2475" s="6" t="s">
        <v>7428</v>
      </c>
      <c r="B2475" s="6"/>
      <c r="C2475" s="6"/>
      <c r="D2475" s="6"/>
      <c r="E2475" s="6"/>
      <c r="F2475" s="6"/>
      <c r="G2475" s="6"/>
    </row>
    <row r="2476" spans="1:7" x14ac:dyDescent="0.25">
      <c r="A2476" s="6" t="s">
        <v>7426</v>
      </c>
      <c r="B2476" s="6"/>
      <c r="C2476" s="6"/>
      <c r="D2476" s="6"/>
      <c r="E2476" s="6"/>
      <c r="F2476" s="6"/>
      <c r="G2476" s="6"/>
    </row>
    <row r="2477" spans="1:7" x14ac:dyDescent="0.25">
      <c r="A2477" s="6" t="s">
        <v>7423</v>
      </c>
      <c r="B2477" s="6"/>
      <c r="C2477" s="6"/>
      <c r="D2477" s="6"/>
      <c r="E2477" s="6"/>
      <c r="F2477" s="6"/>
      <c r="G2477" s="6"/>
    </row>
    <row r="2478" spans="1:7" x14ac:dyDescent="0.25">
      <c r="A2478" s="6" t="s">
        <v>7420</v>
      </c>
      <c r="B2478" s="6"/>
      <c r="C2478" s="6"/>
      <c r="D2478" s="6"/>
      <c r="E2478" s="6"/>
      <c r="F2478" s="6"/>
      <c r="G2478" s="6"/>
    </row>
    <row r="2479" spans="1:7" x14ac:dyDescent="0.25">
      <c r="A2479" s="6" t="s">
        <v>7417</v>
      </c>
      <c r="B2479" s="6"/>
      <c r="C2479" s="6"/>
      <c r="D2479" s="6"/>
      <c r="E2479" s="6"/>
      <c r="F2479" s="6"/>
      <c r="G2479" s="6"/>
    </row>
    <row r="2480" spans="1:7" x14ac:dyDescent="0.25">
      <c r="A2480" s="6" t="s">
        <v>957</v>
      </c>
      <c r="B2480" s="6"/>
      <c r="C2480" s="6"/>
      <c r="D2480" s="6"/>
      <c r="E2480" s="6"/>
      <c r="F2480" s="6"/>
      <c r="G2480" s="6"/>
    </row>
    <row r="2481" spans="1:7" x14ac:dyDescent="0.25">
      <c r="A2481" s="6" t="s">
        <v>7413</v>
      </c>
      <c r="B2481" s="6"/>
      <c r="C2481" s="6"/>
      <c r="D2481" s="6"/>
      <c r="E2481" s="6"/>
      <c r="F2481" s="6"/>
      <c r="G2481" s="6"/>
    </row>
    <row r="2482" spans="1:7" x14ac:dyDescent="0.25">
      <c r="A2482" s="6" t="s">
        <v>7410</v>
      </c>
      <c r="B2482" s="6"/>
      <c r="C2482" s="6"/>
      <c r="D2482" s="6"/>
      <c r="E2482" s="6"/>
      <c r="F2482" s="6"/>
      <c r="G2482" s="6"/>
    </row>
    <row r="2483" spans="1:7" x14ac:dyDescent="0.25">
      <c r="A2483" s="6" t="s">
        <v>7407</v>
      </c>
      <c r="B2483" s="6"/>
      <c r="C2483" s="6"/>
      <c r="D2483" s="6"/>
      <c r="E2483" s="6"/>
      <c r="F2483" s="6"/>
      <c r="G2483" s="6"/>
    </row>
    <row r="2484" spans="1:7" x14ac:dyDescent="0.25">
      <c r="A2484" s="6" t="s">
        <v>7405</v>
      </c>
      <c r="B2484" s="6"/>
      <c r="C2484" s="6"/>
      <c r="D2484" s="6"/>
      <c r="E2484" s="6"/>
      <c r="F2484" s="6"/>
      <c r="G2484" s="6"/>
    </row>
    <row r="2485" spans="1:7" x14ac:dyDescent="0.25">
      <c r="A2485" s="6" t="s">
        <v>7402</v>
      </c>
      <c r="B2485" s="6"/>
      <c r="C2485" s="6"/>
      <c r="D2485" s="6"/>
      <c r="E2485" s="6"/>
      <c r="F2485" s="6"/>
      <c r="G2485" s="6"/>
    </row>
    <row r="2486" spans="1:7" x14ac:dyDescent="0.25">
      <c r="A2486" s="6" t="s">
        <v>7399</v>
      </c>
      <c r="B2486" s="6"/>
      <c r="C2486" s="6"/>
      <c r="D2486" s="6"/>
      <c r="E2486" s="6"/>
      <c r="F2486" s="6"/>
      <c r="G2486" s="6"/>
    </row>
    <row r="2487" spans="1:7" x14ac:dyDescent="0.25">
      <c r="A2487" s="6" t="s">
        <v>7396</v>
      </c>
      <c r="B2487" s="6"/>
      <c r="C2487" s="6"/>
      <c r="D2487" s="6"/>
      <c r="E2487" s="6"/>
      <c r="F2487" s="6"/>
      <c r="G2487" s="6"/>
    </row>
    <row r="2488" spans="1:7" x14ac:dyDescent="0.25">
      <c r="A2488" s="6" t="s">
        <v>957</v>
      </c>
      <c r="B2488" s="6"/>
      <c r="C2488" s="6"/>
      <c r="D2488" s="6"/>
      <c r="E2488" s="6"/>
      <c r="F2488" s="6"/>
      <c r="G2488" s="6"/>
    </row>
    <row r="2489" spans="1:7" x14ac:dyDescent="0.25">
      <c r="A2489" s="6" t="s">
        <v>7391</v>
      </c>
      <c r="B2489" s="6"/>
      <c r="C2489" s="6"/>
      <c r="D2489" s="6"/>
      <c r="E2489" s="6"/>
      <c r="F2489" s="6"/>
      <c r="G2489" s="6"/>
    </row>
    <row r="2490" spans="1:7" x14ac:dyDescent="0.25">
      <c r="A2490" s="6" t="s">
        <v>7388</v>
      </c>
      <c r="B2490" s="6"/>
      <c r="C2490" s="6"/>
      <c r="D2490" s="6"/>
      <c r="E2490" s="6"/>
      <c r="F2490" s="6"/>
      <c r="G2490" s="6"/>
    </row>
    <row r="2491" spans="1:7" x14ac:dyDescent="0.25">
      <c r="A2491" s="6" t="s">
        <v>957</v>
      </c>
      <c r="B2491" s="6"/>
      <c r="C2491" s="6"/>
      <c r="D2491" s="6"/>
      <c r="E2491" s="6"/>
      <c r="F2491" s="6"/>
      <c r="G2491" s="6"/>
    </row>
    <row r="2492" spans="1:7" x14ac:dyDescent="0.25">
      <c r="A2492" s="6" t="s">
        <v>7384</v>
      </c>
      <c r="B2492" s="6"/>
      <c r="C2492" s="6"/>
      <c r="D2492" s="6"/>
      <c r="E2492" s="6"/>
      <c r="F2492" s="6"/>
      <c r="G2492" s="6"/>
    </row>
    <row r="2493" spans="1:7" x14ac:dyDescent="0.25">
      <c r="A2493" s="6" t="s">
        <v>7381</v>
      </c>
      <c r="B2493" s="6"/>
      <c r="C2493" s="6"/>
      <c r="D2493" s="6"/>
      <c r="E2493" s="6"/>
      <c r="F2493" s="6"/>
      <c r="G2493" s="6"/>
    </row>
    <row r="2494" spans="1:7" x14ac:dyDescent="0.25">
      <c r="A2494" s="6" t="s">
        <v>7378</v>
      </c>
      <c r="B2494" s="6"/>
      <c r="C2494" s="6"/>
      <c r="D2494" s="6"/>
      <c r="E2494" s="6"/>
      <c r="F2494" s="6"/>
      <c r="G2494" s="6"/>
    </row>
    <row r="2495" spans="1:7" x14ac:dyDescent="0.25">
      <c r="A2495" s="6" t="s">
        <v>7375</v>
      </c>
      <c r="B2495" s="6"/>
      <c r="C2495" s="6"/>
      <c r="D2495" s="6"/>
      <c r="E2495" s="6"/>
      <c r="F2495" s="6"/>
      <c r="G2495" s="6"/>
    </row>
    <row r="2496" spans="1:7" x14ac:dyDescent="0.25">
      <c r="A2496" s="6" t="s">
        <v>7372</v>
      </c>
      <c r="B2496" s="6"/>
      <c r="C2496" s="6"/>
      <c r="D2496" s="6"/>
      <c r="E2496" s="6"/>
      <c r="F2496" s="6"/>
      <c r="G2496" s="6"/>
    </row>
    <row r="2497" spans="1:7" x14ac:dyDescent="0.25">
      <c r="A2497" s="6" t="s">
        <v>8455</v>
      </c>
      <c r="B2497" s="6"/>
      <c r="C2497" s="6"/>
      <c r="D2497" s="6"/>
      <c r="E2497" s="6"/>
      <c r="F2497" s="6"/>
      <c r="G2497" s="6"/>
    </row>
    <row r="2498" spans="1:7" x14ac:dyDescent="0.25">
      <c r="A2498" s="6" t="s">
        <v>8452</v>
      </c>
      <c r="B2498" s="6"/>
      <c r="C2498" s="6"/>
      <c r="D2498" s="6"/>
      <c r="E2498" s="6"/>
      <c r="F2498" s="6"/>
      <c r="G2498" s="6"/>
    </row>
    <row r="2499" spans="1:7" x14ac:dyDescent="0.25">
      <c r="A2499" s="6" t="s">
        <v>8449</v>
      </c>
      <c r="B2499" s="6"/>
      <c r="C2499" s="6"/>
      <c r="D2499" s="6"/>
      <c r="E2499" s="6"/>
      <c r="F2499" s="6"/>
      <c r="G2499" s="6"/>
    </row>
    <row r="2500" spans="1:7" x14ac:dyDescent="0.25">
      <c r="A2500" s="6" t="s">
        <v>8446</v>
      </c>
      <c r="B2500" s="6"/>
      <c r="C2500" s="6"/>
      <c r="D2500" s="6"/>
      <c r="E2500" s="6"/>
      <c r="F2500" s="6"/>
      <c r="G2500" s="6"/>
    </row>
    <row r="2501" spans="1:7" x14ac:dyDescent="0.25">
      <c r="A2501" s="6" t="s">
        <v>8444</v>
      </c>
      <c r="B2501" s="6"/>
      <c r="C2501" s="6"/>
      <c r="D2501" s="6"/>
      <c r="E2501" s="6"/>
      <c r="F2501" s="6"/>
      <c r="G2501" s="6"/>
    </row>
    <row r="2502" spans="1:7" x14ac:dyDescent="0.25">
      <c r="A2502" s="6" t="s">
        <v>14202</v>
      </c>
      <c r="B2502" s="6" t="s">
        <v>14203</v>
      </c>
      <c r="C2502" s="6"/>
      <c r="D2502" s="6"/>
      <c r="E2502" s="6"/>
      <c r="F2502" s="6"/>
      <c r="G2502" s="6"/>
    </row>
    <row r="2503" spans="1:7" x14ac:dyDescent="0.25">
      <c r="A2503" s="6" t="s">
        <v>8439</v>
      </c>
      <c r="B2503" s="6"/>
      <c r="C2503" s="6"/>
      <c r="D2503" s="6"/>
      <c r="E2503" s="6"/>
      <c r="F2503" s="6"/>
      <c r="G2503" s="6"/>
    </row>
    <row r="2504" spans="1:7" x14ac:dyDescent="0.25">
      <c r="A2504" s="6" t="s">
        <v>957</v>
      </c>
      <c r="B2504" s="6"/>
      <c r="C2504" s="6"/>
      <c r="D2504" s="6"/>
      <c r="E2504" s="6"/>
      <c r="F2504" s="6"/>
      <c r="G2504" s="6"/>
    </row>
    <row r="2505" spans="1:7" x14ac:dyDescent="0.25">
      <c r="A2505" s="6" t="s">
        <v>8435</v>
      </c>
      <c r="B2505" s="6"/>
      <c r="C2505" s="6"/>
      <c r="D2505" s="6"/>
      <c r="E2505" s="6"/>
      <c r="F2505" s="6"/>
      <c r="G2505" s="6"/>
    </row>
    <row r="2506" spans="1:7" x14ac:dyDescent="0.25">
      <c r="A2506" s="6" t="s">
        <v>957</v>
      </c>
      <c r="B2506" s="6"/>
      <c r="C2506" s="6"/>
      <c r="D2506" s="6"/>
      <c r="E2506" s="6"/>
      <c r="F2506" s="6"/>
      <c r="G2506" s="6"/>
    </row>
    <row r="2507" spans="1:7" x14ac:dyDescent="0.25">
      <c r="A2507" s="6" t="s">
        <v>8431</v>
      </c>
      <c r="B2507" s="6"/>
      <c r="C2507" s="6"/>
      <c r="D2507" s="6"/>
      <c r="E2507" s="6"/>
      <c r="F2507" s="6"/>
      <c r="G2507" s="6"/>
    </row>
    <row r="2508" spans="1:7" x14ac:dyDescent="0.25">
      <c r="A2508" s="6" t="s">
        <v>8428</v>
      </c>
      <c r="B2508" s="6"/>
      <c r="C2508" s="6"/>
      <c r="D2508" s="6"/>
      <c r="E2508" s="6"/>
      <c r="F2508" s="6"/>
      <c r="G2508" s="6"/>
    </row>
    <row r="2509" spans="1:7" x14ac:dyDescent="0.25">
      <c r="A2509" s="6" t="s">
        <v>957</v>
      </c>
      <c r="B2509" s="6"/>
      <c r="C2509" s="6"/>
      <c r="D2509" s="6"/>
      <c r="E2509" s="6"/>
      <c r="F2509" s="6"/>
      <c r="G2509" s="6"/>
    </row>
    <row r="2510" spans="1:7" x14ac:dyDescent="0.25">
      <c r="A2510" s="6" t="s">
        <v>957</v>
      </c>
      <c r="B2510" s="6"/>
      <c r="C2510" s="6"/>
      <c r="D2510" s="6"/>
      <c r="E2510" s="6"/>
      <c r="F2510" s="6"/>
      <c r="G2510" s="6"/>
    </row>
    <row r="2511" spans="1:7" x14ac:dyDescent="0.25">
      <c r="A2511" s="6" t="s">
        <v>8421</v>
      </c>
      <c r="B2511" s="6"/>
      <c r="C2511" s="6"/>
      <c r="D2511" s="6"/>
      <c r="E2511" s="6"/>
      <c r="F2511" s="6"/>
      <c r="G2511" s="6"/>
    </row>
    <row r="2512" spans="1:7" x14ac:dyDescent="0.25">
      <c r="A2512" s="6" t="s">
        <v>8418</v>
      </c>
      <c r="B2512" s="6"/>
      <c r="C2512" s="6"/>
      <c r="D2512" s="6"/>
      <c r="E2512" s="6"/>
      <c r="F2512" s="6"/>
      <c r="G2512" s="6"/>
    </row>
    <row r="2513" spans="1:7" x14ac:dyDescent="0.25">
      <c r="A2513" s="6" t="s">
        <v>8415</v>
      </c>
      <c r="B2513" s="6"/>
      <c r="C2513" s="6"/>
      <c r="D2513" s="6"/>
      <c r="E2513" s="6"/>
      <c r="F2513" s="6"/>
      <c r="G2513" s="6"/>
    </row>
    <row r="2514" spans="1:7" x14ac:dyDescent="0.25">
      <c r="A2514" s="6" t="s">
        <v>8412</v>
      </c>
      <c r="B2514" s="6"/>
      <c r="C2514" s="6"/>
      <c r="D2514" s="6"/>
      <c r="E2514" s="6"/>
      <c r="F2514" s="6"/>
      <c r="G2514" s="6"/>
    </row>
    <row r="2515" spans="1:7" x14ac:dyDescent="0.25">
      <c r="A2515" s="6" t="s">
        <v>8409</v>
      </c>
      <c r="B2515" s="6"/>
      <c r="C2515" s="6"/>
      <c r="D2515" s="6"/>
      <c r="E2515" s="6"/>
      <c r="F2515" s="6"/>
      <c r="G2515" s="6"/>
    </row>
    <row r="2516" spans="1:7" x14ac:dyDescent="0.25">
      <c r="A2516" s="6" t="s">
        <v>8406</v>
      </c>
      <c r="B2516" s="6"/>
      <c r="C2516" s="6"/>
      <c r="D2516" s="6"/>
      <c r="E2516" s="6"/>
      <c r="F2516" s="6"/>
      <c r="G2516" s="6"/>
    </row>
    <row r="2517" spans="1:7" x14ac:dyDescent="0.25">
      <c r="A2517" s="6" t="s">
        <v>7299</v>
      </c>
      <c r="B2517" s="6"/>
      <c r="C2517" s="6"/>
      <c r="D2517" s="6"/>
      <c r="E2517" s="6"/>
      <c r="F2517" s="6"/>
      <c r="G2517" s="6"/>
    </row>
    <row r="2518" spans="1:7" x14ac:dyDescent="0.25">
      <c r="A2518" s="6" t="s">
        <v>7296</v>
      </c>
      <c r="B2518" s="6"/>
      <c r="C2518" s="6"/>
      <c r="D2518" s="6"/>
      <c r="E2518" s="6"/>
      <c r="F2518" s="6"/>
      <c r="G2518" s="6"/>
    </row>
    <row r="2519" spans="1:7" x14ac:dyDescent="0.25">
      <c r="A2519" s="6" t="s">
        <v>7293</v>
      </c>
      <c r="B2519" s="6"/>
      <c r="C2519" s="6"/>
      <c r="D2519" s="6"/>
      <c r="E2519" s="6"/>
      <c r="F2519" s="6"/>
      <c r="G2519" s="6"/>
    </row>
    <row r="2520" spans="1:7" x14ac:dyDescent="0.25">
      <c r="A2520" s="6" t="s">
        <v>957</v>
      </c>
      <c r="B2520" s="6"/>
      <c r="C2520" s="6"/>
      <c r="D2520" s="6"/>
      <c r="E2520" s="6"/>
      <c r="F2520" s="6"/>
      <c r="G2520" s="6"/>
    </row>
    <row r="2521" spans="1:7" x14ac:dyDescent="0.25">
      <c r="A2521" s="6" t="s">
        <v>7289</v>
      </c>
      <c r="B2521" s="6"/>
      <c r="C2521" s="6"/>
      <c r="D2521" s="6"/>
      <c r="E2521" s="6"/>
      <c r="F2521" s="6"/>
      <c r="G2521" s="6"/>
    </row>
    <row r="2522" spans="1:7" x14ac:dyDescent="0.25">
      <c r="A2522" s="6" t="s">
        <v>7286</v>
      </c>
      <c r="B2522" s="6"/>
      <c r="C2522" s="6"/>
      <c r="D2522" s="6"/>
      <c r="E2522" s="6"/>
      <c r="F2522" s="6"/>
      <c r="G2522" s="6"/>
    </row>
    <row r="2523" spans="1:7" x14ac:dyDescent="0.25">
      <c r="A2523" s="6" t="s">
        <v>7283</v>
      </c>
      <c r="B2523" s="6"/>
      <c r="C2523" s="6"/>
      <c r="D2523" s="6"/>
      <c r="E2523" s="6"/>
      <c r="F2523" s="6"/>
      <c r="G2523" s="6"/>
    </row>
    <row r="2524" spans="1:7" x14ac:dyDescent="0.25">
      <c r="A2524" s="6" t="s">
        <v>7281</v>
      </c>
      <c r="B2524" s="6"/>
      <c r="C2524" s="6"/>
      <c r="D2524" s="6"/>
      <c r="E2524" s="6"/>
      <c r="F2524" s="6"/>
      <c r="G2524" s="6"/>
    </row>
    <row r="2525" spans="1:7" x14ac:dyDescent="0.25">
      <c r="A2525" s="6" t="s">
        <v>7278</v>
      </c>
      <c r="B2525" s="6"/>
      <c r="C2525" s="6"/>
      <c r="D2525" s="6"/>
      <c r="E2525" s="6"/>
      <c r="F2525" s="6"/>
      <c r="G2525" s="6"/>
    </row>
    <row r="2526" spans="1:7" x14ac:dyDescent="0.25">
      <c r="A2526" s="6" t="s">
        <v>957</v>
      </c>
      <c r="B2526" s="6"/>
      <c r="C2526" s="6"/>
      <c r="D2526" s="6"/>
      <c r="E2526" s="6"/>
      <c r="F2526" s="6"/>
      <c r="G2526" s="6"/>
    </row>
    <row r="2527" spans="1:7" x14ac:dyDescent="0.25">
      <c r="A2527" s="6" t="s">
        <v>957</v>
      </c>
      <c r="B2527" s="6"/>
      <c r="C2527" s="6"/>
      <c r="D2527" s="6"/>
      <c r="E2527" s="6"/>
      <c r="F2527" s="6"/>
      <c r="G2527" s="6"/>
    </row>
    <row r="2528" spans="1:7" x14ac:dyDescent="0.25">
      <c r="A2528" s="6" t="s">
        <v>957</v>
      </c>
      <c r="B2528" s="6"/>
      <c r="C2528" s="6"/>
      <c r="D2528" s="6"/>
      <c r="E2528" s="6"/>
      <c r="F2528" s="6"/>
      <c r="G2528" s="6"/>
    </row>
    <row r="2529" spans="1:7" x14ac:dyDescent="0.25">
      <c r="A2529" s="6" t="s">
        <v>7272</v>
      </c>
      <c r="B2529" s="6"/>
      <c r="C2529" s="6"/>
      <c r="D2529" s="6"/>
      <c r="E2529" s="6"/>
      <c r="F2529" s="6"/>
      <c r="G2529" s="6"/>
    </row>
    <row r="2530" spans="1:7" x14ac:dyDescent="0.25">
      <c r="A2530" s="6" t="s">
        <v>7269</v>
      </c>
      <c r="B2530" s="6"/>
      <c r="C2530" s="6"/>
      <c r="D2530" s="6"/>
      <c r="E2530" s="6"/>
      <c r="F2530" s="6"/>
      <c r="G2530" s="6"/>
    </row>
    <row r="2531" spans="1:7" x14ac:dyDescent="0.25">
      <c r="A2531" s="6" t="s">
        <v>957</v>
      </c>
      <c r="B2531" s="6"/>
      <c r="C2531" s="6"/>
      <c r="D2531" s="6"/>
      <c r="E2531" s="6"/>
      <c r="F2531" s="6"/>
      <c r="G2531" s="6"/>
    </row>
    <row r="2532" spans="1:7" x14ac:dyDescent="0.25">
      <c r="A2532" s="6" t="s">
        <v>14213</v>
      </c>
      <c r="B2532" s="6" t="s">
        <v>14214</v>
      </c>
      <c r="C2532" s="6"/>
      <c r="D2532" s="6"/>
      <c r="E2532" s="6"/>
      <c r="F2532" s="6"/>
      <c r="G2532" s="6"/>
    </row>
    <row r="2533" spans="1:7" x14ac:dyDescent="0.25">
      <c r="A2533" s="6" t="s">
        <v>8366</v>
      </c>
      <c r="B2533" s="6"/>
      <c r="C2533" s="6"/>
      <c r="D2533" s="6"/>
      <c r="E2533" s="6"/>
      <c r="F2533" s="6"/>
      <c r="G2533" s="6"/>
    </row>
    <row r="2534" spans="1:7" x14ac:dyDescent="0.25">
      <c r="A2534" s="6" t="s">
        <v>8363</v>
      </c>
      <c r="B2534" s="6"/>
      <c r="C2534" s="6"/>
      <c r="D2534" s="6"/>
      <c r="E2534" s="6"/>
      <c r="F2534" s="6"/>
      <c r="G2534" s="6"/>
    </row>
    <row r="2535" spans="1:7" x14ac:dyDescent="0.25">
      <c r="A2535" s="6" t="s">
        <v>8360</v>
      </c>
      <c r="B2535" s="6"/>
      <c r="C2535" s="6"/>
      <c r="D2535" s="6"/>
      <c r="E2535" s="6"/>
      <c r="F2535" s="6"/>
      <c r="G2535" s="6"/>
    </row>
    <row r="2536" spans="1:7" x14ac:dyDescent="0.25">
      <c r="A2536" s="6" t="s">
        <v>8357</v>
      </c>
      <c r="B2536" s="6"/>
      <c r="C2536" s="6"/>
      <c r="D2536" s="6"/>
      <c r="E2536" s="6"/>
      <c r="F2536" s="6"/>
      <c r="G2536" s="6"/>
    </row>
    <row r="2537" spans="1:7" x14ac:dyDescent="0.25">
      <c r="A2537" s="6" t="s">
        <v>8354</v>
      </c>
      <c r="B2537" s="6"/>
      <c r="C2537" s="6"/>
      <c r="D2537" s="6"/>
      <c r="E2537" s="6"/>
      <c r="F2537" s="6"/>
      <c r="G2537" s="6"/>
    </row>
    <row r="2538" spans="1:7" x14ac:dyDescent="0.25">
      <c r="A2538" s="6" t="s">
        <v>957</v>
      </c>
      <c r="B2538" s="6"/>
      <c r="C2538" s="6"/>
      <c r="D2538" s="6"/>
      <c r="E2538" s="6"/>
      <c r="F2538" s="6"/>
      <c r="G2538" s="6"/>
    </row>
    <row r="2539" spans="1:7" x14ac:dyDescent="0.25">
      <c r="A2539" s="6" t="s">
        <v>957</v>
      </c>
      <c r="B2539" s="6"/>
      <c r="C2539" s="6"/>
      <c r="D2539" s="6"/>
      <c r="E2539" s="6"/>
      <c r="F2539" s="6"/>
      <c r="G2539" s="6"/>
    </row>
    <row r="2540" spans="1:7" x14ac:dyDescent="0.25">
      <c r="A2540" s="6" t="s">
        <v>957</v>
      </c>
      <c r="B2540" s="6"/>
      <c r="C2540" s="6"/>
      <c r="D2540" s="6"/>
      <c r="E2540" s="6"/>
      <c r="F2540" s="6"/>
      <c r="G2540" s="6"/>
    </row>
    <row r="2541" spans="1:7" x14ac:dyDescent="0.25">
      <c r="A2541" s="6" t="s">
        <v>957</v>
      </c>
      <c r="B2541" s="6"/>
      <c r="C2541" s="6"/>
      <c r="D2541" s="6"/>
      <c r="E2541" s="6"/>
      <c r="F2541" s="6"/>
      <c r="G2541" s="6"/>
    </row>
    <row r="2542" spans="1:7" x14ac:dyDescent="0.25">
      <c r="A2542" s="6" t="s">
        <v>957</v>
      </c>
      <c r="B2542" s="6"/>
      <c r="C2542" s="6"/>
      <c r="D2542" s="6"/>
      <c r="E2542" s="6"/>
      <c r="F2542" s="6"/>
      <c r="G2542" s="6"/>
    </row>
    <row r="2543" spans="1:7" x14ac:dyDescent="0.25">
      <c r="A2543" s="6" t="s">
        <v>957</v>
      </c>
      <c r="B2543" s="6"/>
      <c r="C2543" s="6"/>
      <c r="D2543" s="6"/>
      <c r="E2543" s="6"/>
      <c r="F2543" s="6"/>
      <c r="G2543" s="6"/>
    </row>
    <row r="2544" spans="1:7" x14ac:dyDescent="0.25">
      <c r="A2544" s="6" t="s">
        <v>957</v>
      </c>
      <c r="B2544" s="6"/>
      <c r="C2544" s="6"/>
      <c r="D2544" s="6"/>
      <c r="E2544" s="6"/>
      <c r="F2544" s="6"/>
      <c r="G2544" s="6"/>
    </row>
    <row r="2545" spans="1:7" x14ac:dyDescent="0.25">
      <c r="A2545" s="6" t="s">
        <v>14095</v>
      </c>
      <c r="B2545" s="6" t="s">
        <v>14096</v>
      </c>
      <c r="C2545" s="6"/>
      <c r="D2545" s="6"/>
      <c r="E2545" s="6"/>
      <c r="F2545" s="6"/>
      <c r="G2545" s="6"/>
    </row>
    <row r="2546" spans="1:7" x14ac:dyDescent="0.25">
      <c r="A2546" s="6" t="s">
        <v>957</v>
      </c>
      <c r="B2546" s="6"/>
      <c r="C2546" s="6"/>
      <c r="D2546" s="6"/>
      <c r="E2546" s="6"/>
      <c r="F2546" s="6"/>
      <c r="G2546" s="6"/>
    </row>
    <row r="2547" spans="1:7" x14ac:dyDescent="0.25">
      <c r="A2547" s="6" t="s">
        <v>7225</v>
      </c>
      <c r="B2547" s="6"/>
      <c r="C2547" s="6"/>
      <c r="D2547" s="6"/>
      <c r="E2547" s="6"/>
      <c r="F2547" s="6"/>
      <c r="G2547" s="6"/>
    </row>
    <row r="2548" spans="1:7" x14ac:dyDescent="0.25">
      <c r="A2548" s="6" t="s">
        <v>957</v>
      </c>
      <c r="B2548" s="6"/>
      <c r="C2548" s="6"/>
      <c r="D2548" s="6"/>
      <c r="E2548" s="6"/>
      <c r="F2548" s="6"/>
      <c r="G2548" s="6"/>
    </row>
    <row r="2549" spans="1:7" x14ac:dyDescent="0.25">
      <c r="A2549" s="6" t="s">
        <v>7221</v>
      </c>
      <c r="B2549" s="6"/>
      <c r="C2549" s="6"/>
      <c r="D2549" s="6"/>
      <c r="E2549" s="6"/>
      <c r="F2549" s="6"/>
      <c r="G2549" s="6"/>
    </row>
    <row r="2550" spans="1:7" x14ac:dyDescent="0.25">
      <c r="A2550" s="6" t="s">
        <v>7218</v>
      </c>
      <c r="B2550" s="6"/>
      <c r="C2550" s="6"/>
      <c r="D2550" s="6"/>
      <c r="E2550" s="6"/>
      <c r="F2550" s="6"/>
      <c r="G2550" s="6"/>
    </row>
    <row r="2551" spans="1:7" x14ac:dyDescent="0.25">
      <c r="A2551" s="6" t="s">
        <v>7215</v>
      </c>
      <c r="B2551" s="6"/>
      <c r="C2551" s="6"/>
      <c r="D2551" s="6"/>
      <c r="E2551" s="6"/>
      <c r="F2551" s="6"/>
      <c r="G2551" s="6"/>
    </row>
    <row r="2552" spans="1:7" x14ac:dyDescent="0.25">
      <c r="A2552" s="6" t="s">
        <v>957</v>
      </c>
      <c r="B2552" s="6"/>
      <c r="C2552" s="6"/>
      <c r="D2552" s="6"/>
      <c r="E2552" s="6"/>
      <c r="F2552" s="6"/>
      <c r="G2552" s="6"/>
    </row>
    <row r="2553" spans="1:7" x14ac:dyDescent="0.25">
      <c r="A2553" s="6" t="s">
        <v>7210</v>
      </c>
      <c r="B2553" s="6"/>
      <c r="C2553" s="6"/>
      <c r="D2553" s="6"/>
      <c r="E2553" s="6"/>
      <c r="F2553" s="6"/>
      <c r="G2553" s="6"/>
    </row>
    <row r="2554" spans="1:7" x14ac:dyDescent="0.25">
      <c r="A2554" s="6" t="s">
        <v>7207</v>
      </c>
      <c r="B2554" s="6"/>
      <c r="C2554" s="6"/>
      <c r="D2554" s="6"/>
      <c r="E2554" s="6"/>
      <c r="F2554" s="6"/>
      <c r="G2554" s="6"/>
    </row>
    <row r="2555" spans="1:7" x14ac:dyDescent="0.25">
      <c r="A2555" s="6" t="s">
        <v>7204</v>
      </c>
      <c r="B2555" s="6"/>
      <c r="C2555" s="6"/>
      <c r="D2555" s="6"/>
      <c r="E2555" s="6"/>
      <c r="F2555" s="6"/>
      <c r="G2555" s="6"/>
    </row>
    <row r="2556" spans="1:7" x14ac:dyDescent="0.25">
      <c r="A2556" s="6" t="s">
        <v>7201</v>
      </c>
      <c r="B2556" s="6"/>
      <c r="C2556" s="6"/>
      <c r="D2556" s="6"/>
      <c r="E2556" s="6"/>
      <c r="F2556" s="6"/>
      <c r="G2556" s="6"/>
    </row>
    <row r="2557" spans="1:7" x14ac:dyDescent="0.25">
      <c r="A2557" s="6" t="s">
        <v>7198</v>
      </c>
      <c r="B2557" s="6"/>
      <c r="C2557" s="6"/>
      <c r="D2557" s="6"/>
      <c r="E2557" s="6"/>
      <c r="F2557" s="6"/>
      <c r="G2557" s="6"/>
    </row>
    <row r="2558" spans="1:7" x14ac:dyDescent="0.25">
      <c r="A2558" s="6" t="s">
        <v>7195</v>
      </c>
      <c r="B2558" s="6"/>
      <c r="C2558" s="6"/>
      <c r="D2558" s="6"/>
      <c r="E2558" s="6"/>
      <c r="F2558" s="6"/>
      <c r="G2558" s="6"/>
    </row>
    <row r="2559" spans="1:7" x14ac:dyDescent="0.25">
      <c r="A2559" s="6" t="s">
        <v>7192</v>
      </c>
      <c r="B2559" s="6"/>
      <c r="C2559" s="6"/>
      <c r="D2559" s="6"/>
      <c r="E2559" s="6"/>
      <c r="F2559" s="6"/>
      <c r="G2559" s="6"/>
    </row>
    <row r="2560" spans="1:7" x14ac:dyDescent="0.25">
      <c r="A2560" s="6" t="s">
        <v>957</v>
      </c>
      <c r="B2560" s="6"/>
      <c r="C2560" s="6"/>
      <c r="D2560" s="6"/>
      <c r="E2560" s="6"/>
      <c r="F2560" s="6"/>
      <c r="G2560" s="6"/>
    </row>
    <row r="2561" spans="1:7" x14ac:dyDescent="0.25">
      <c r="A2561" s="6" t="s">
        <v>7188</v>
      </c>
      <c r="B2561" s="6"/>
      <c r="C2561" s="6"/>
      <c r="D2561" s="6"/>
      <c r="E2561" s="6"/>
      <c r="F2561" s="6"/>
      <c r="G2561" s="6"/>
    </row>
    <row r="2562" spans="1:7" x14ac:dyDescent="0.25">
      <c r="A2562" s="6" t="s">
        <v>7185</v>
      </c>
      <c r="B2562" s="6"/>
      <c r="C2562" s="6"/>
      <c r="D2562" s="6"/>
      <c r="E2562" s="6"/>
      <c r="F2562" s="6"/>
      <c r="G2562" s="6"/>
    </row>
    <row r="2563" spans="1:7" x14ac:dyDescent="0.25">
      <c r="A2563" s="6" t="s">
        <v>7182</v>
      </c>
      <c r="B2563" s="6"/>
      <c r="C2563" s="6"/>
      <c r="D2563" s="6"/>
      <c r="E2563" s="6"/>
      <c r="F2563" s="6"/>
      <c r="G2563" s="6"/>
    </row>
    <row r="2564" spans="1:7" x14ac:dyDescent="0.25">
      <c r="A2564" s="6" t="s">
        <v>7179</v>
      </c>
      <c r="B2564" s="6"/>
      <c r="C2564" s="6"/>
      <c r="D2564" s="6"/>
      <c r="E2564" s="6"/>
      <c r="F2564" s="6"/>
      <c r="G2564" s="6"/>
    </row>
    <row r="2565" spans="1:7" x14ac:dyDescent="0.25">
      <c r="A2565" s="6" t="s">
        <v>14186</v>
      </c>
      <c r="B2565" s="6" t="s">
        <v>14187</v>
      </c>
      <c r="C2565" s="6"/>
      <c r="D2565" s="6"/>
      <c r="E2565" s="6"/>
      <c r="F2565" s="6"/>
      <c r="G2565" s="6"/>
    </row>
    <row r="2566" spans="1:7" x14ac:dyDescent="0.25">
      <c r="A2566" s="6" t="s">
        <v>7174</v>
      </c>
      <c r="B2566" s="6"/>
      <c r="C2566" s="6"/>
      <c r="D2566" s="6"/>
      <c r="E2566" s="6"/>
      <c r="F2566" s="6"/>
      <c r="G2566" s="6"/>
    </row>
    <row r="2567" spans="1:7" x14ac:dyDescent="0.25">
      <c r="A2567" s="6" t="s">
        <v>7171</v>
      </c>
      <c r="B2567" s="6"/>
      <c r="C2567" s="6"/>
      <c r="D2567" s="6"/>
      <c r="E2567" s="6"/>
      <c r="F2567" s="6"/>
      <c r="G2567" s="6"/>
    </row>
    <row r="2568" spans="1:7" x14ac:dyDescent="0.25">
      <c r="A2568" s="6" t="s">
        <v>7168</v>
      </c>
      <c r="B2568" s="6"/>
      <c r="C2568" s="6"/>
      <c r="D2568" s="6"/>
      <c r="E2568" s="6"/>
      <c r="F2568" s="6"/>
      <c r="G2568" s="6"/>
    </row>
    <row r="2569" spans="1:7" x14ac:dyDescent="0.25">
      <c r="A2569" s="6" t="s">
        <v>7165</v>
      </c>
      <c r="B2569" s="6"/>
      <c r="C2569" s="6"/>
      <c r="D2569" s="6"/>
      <c r="E2569" s="6"/>
      <c r="F2569" s="6"/>
      <c r="G2569" s="6"/>
    </row>
    <row r="2570" spans="1:7" x14ac:dyDescent="0.25">
      <c r="A2570" s="6" t="s">
        <v>957</v>
      </c>
      <c r="B2570" s="6"/>
      <c r="C2570" s="6"/>
      <c r="D2570" s="6"/>
      <c r="E2570" s="6"/>
      <c r="F2570" s="6"/>
      <c r="G2570" s="6"/>
    </row>
    <row r="2571" spans="1:7" x14ac:dyDescent="0.25">
      <c r="A2571" s="6" t="s">
        <v>957</v>
      </c>
      <c r="B2571" s="6"/>
      <c r="C2571" s="6"/>
      <c r="D2571" s="6"/>
      <c r="E2571" s="6"/>
      <c r="F2571" s="6"/>
      <c r="G2571" s="6"/>
    </row>
    <row r="2572" spans="1:7" x14ac:dyDescent="0.25">
      <c r="A2572" s="6" t="s">
        <v>7160</v>
      </c>
      <c r="B2572" s="6"/>
      <c r="C2572" s="6"/>
      <c r="D2572" s="6"/>
      <c r="E2572" s="6"/>
      <c r="F2572" s="6"/>
      <c r="G2572" s="6"/>
    </row>
    <row r="2573" spans="1:7" x14ac:dyDescent="0.25">
      <c r="A2573" s="6" t="s">
        <v>7157</v>
      </c>
      <c r="B2573" s="6"/>
      <c r="C2573" s="6"/>
      <c r="D2573" s="6"/>
      <c r="E2573" s="6"/>
      <c r="F2573" s="6"/>
      <c r="G2573" s="6"/>
    </row>
    <row r="2574" spans="1:7" x14ac:dyDescent="0.25">
      <c r="A2574" s="6" t="s">
        <v>957</v>
      </c>
      <c r="B2574" s="6"/>
      <c r="C2574" s="6"/>
      <c r="D2574" s="6"/>
      <c r="E2574" s="6"/>
      <c r="F2574" s="6"/>
      <c r="G2574" s="6"/>
    </row>
    <row r="2575" spans="1:7" x14ac:dyDescent="0.25">
      <c r="A2575" s="6" t="s">
        <v>7153</v>
      </c>
      <c r="B2575" s="6"/>
      <c r="C2575" s="6"/>
      <c r="D2575" s="6"/>
      <c r="E2575" s="6"/>
      <c r="F2575" s="6"/>
      <c r="G2575" s="6"/>
    </row>
    <row r="2576" spans="1:7" x14ac:dyDescent="0.25">
      <c r="A2576" s="6" t="s">
        <v>7150</v>
      </c>
      <c r="B2576" s="6"/>
      <c r="C2576" s="6"/>
      <c r="D2576" s="6"/>
      <c r="E2576" s="6"/>
      <c r="F2576" s="6"/>
      <c r="G2576" s="6"/>
    </row>
    <row r="2577" spans="1:7" x14ac:dyDescent="0.25">
      <c r="A2577" s="6" t="s">
        <v>7147</v>
      </c>
      <c r="B2577" s="6"/>
      <c r="C2577" s="6"/>
      <c r="D2577" s="6"/>
      <c r="E2577" s="6"/>
      <c r="F2577" s="6"/>
      <c r="G2577" s="6"/>
    </row>
    <row r="2578" spans="1:7" x14ac:dyDescent="0.25">
      <c r="A2578" s="6" t="s">
        <v>7144</v>
      </c>
      <c r="B2578" s="6"/>
      <c r="C2578" s="6"/>
      <c r="D2578" s="6"/>
      <c r="E2578" s="6"/>
      <c r="F2578" s="6"/>
      <c r="G2578" s="6"/>
    </row>
    <row r="2579" spans="1:7" x14ac:dyDescent="0.25">
      <c r="A2579" s="6" t="s">
        <v>8228</v>
      </c>
      <c r="B2579" s="6"/>
      <c r="C2579" s="6"/>
      <c r="D2579" s="6"/>
      <c r="E2579" s="6"/>
      <c r="F2579" s="6"/>
      <c r="G2579" s="6"/>
    </row>
    <row r="2580" spans="1:7" x14ac:dyDescent="0.25">
      <c r="A2580" s="6" t="s">
        <v>8225</v>
      </c>
      <c r="B2580" s="6"/>
      <c r="C2580" s="6"/>
      <c r="D2580" s="6"/>
      <c r="E2580" s="6"/>
      <c r="F2580" s="6"/>
      <c r="G2580" s="6"/>
    </row>
    <row r="2581" spans="1:7" x14ac:dyDescent="0.25">
      <c r="A2581" s="6" t="s">
        <v>8222</v>
      </c>
      <c r="B2581" s="6"/>
      <c r="C2581" s="6"/>
      <c r="D2581" s="6"/>
      <c r="E2581" s="6"/>
      <c r="F2581" s="6"/>
      <c r="G2581" s="6"/>
    </row>
    <row r="2582" spans="1:7" x14ac:dyDescent="0.25">
      <c r="A2582" s="6" t="s">
        <v>8220</v>
      </c>
      <c r="B2582" s="6"/>
      <c r="C2582" s="6"/>
      <c r="D2582" s="6"/>
      <c r="E2582" s="6"/>
      <c r="F2582" s="6"/>
      <c r="G2582" s="6"/>
    </row>
    <row r="2583" spans="1:7" x14ac:dyDescent="0.25">
      <c r="A2583" s="6" t="s">
        <v>957</v>
      </c>
      <c r="B2583" s="6"/>
      <c r="C2583" s="6"/>
      <c r="D2583" s="6"/>
      <c r="E2583" s="6"/>
      <c r="F2583" s="6"/>
      <c r="G2583" s="6"/>
    </row>
    <row r="2584" spans="1:7" x14ac:dyDescent="0.25">
      <c r="A2584" s="6" t="s">
        <v>8216</v>
      </c>
      <c r="B2584" s="6"/>
      <c r="C2584" s="6"/>
      <c r="D2584" s="6"/>
      <c r="E2584" s="6"/>
      <c r="F2584" s="6"/>
      <c r="G2584" s="6"/>
    </row>
    <row r="2585" spans="1:7" x14ac:dyDescent="0.25">
      <c r="A2585" s="6" t="s">
        <v>957</v>
      </c>
      <c r="B2585" s="6"/>
      <c r="C2585" s="6"/>
      <c r="D2585" s="6"/>
      <c r="E2585" s="6"/>
      <c r="F2585" s="6"/>
      <c r="G2585" s="6"/>
    </row>
    <row r="2586" spans="1:7" x14ac:dyDescent="0.25">
      <c r="A2586" s="6" t="s">
        <v>957</v>
      </c>
      <c r="B2586" s="6"/>
      <c r="C2586" s="6"/>
      <c r="D2586" s="6"/>
      <c r="E2586" s="6"/>
      <c r="F2586" s="6"/>
      <c r="G2586" s="6"/>
    </row>
    <row r="2587" spans="1:7" x14ac:dyDescent="0.25">
      <c r="A2587" s="6" t="s">
        <v>8210</v>
      </c>
      <c r="B2587" s="6"/>
      <c r="C2587" s="6"/>
      <c r="D2587" s="6"/>
      <c r="E2587" s="6"/>
      <c r="F2587" s="6"/>
      <c r="G2587" s="6"/>
    </row>
    <row r="2588" spans="1:7" x14ac:dyDescent="0.25">
      <c r="A2588" s="6" t="s">
        <v>8207</v>
      </c>
      <c r="B2588" s="6"/>
      <c r="C2588" s="6"/>
      <c r="D2588" s="6"/>
      <c r="E2588" s="6"/>
      <c r="F2588" s="6"/>
      <c r="G2588" s="6"/>
    </row>
    <row r="2589" spans="1:7" x14ac:dyDescent="0.25">
      <c r="A2589" s="6" t="s">
        <v>8204</v>
      </c>
      <c r="B2589" s="6"/>
      <c r="C2589" s="6"/>
      <c r="D2589" s="6"/>
      <c r="E2589" s="6"/>
      <c r="F2589" s="6"/>
      <c r="G2589" s="6"/>
    </row>
    <row r="2590" spans="1:7" x14ac:dyDescent="0.25">
      <c r="A2590" s="6" t="s">
        <v>8201</v>
      </c>
      <c r="B2590" s="6"/>
      <c r="C2590" s="6"/>
      <c r="D2590" s="6"/>
      <c r="E2590" s="6"/>
      <c r="F2590" s="6"/>
      <c r="G2590" s="6"/>
    </row>
    <row r="2591" spans="1:7" x14ac:dyDescent="0.25">
      <c r="A2591" s="6" t="s">
        <v>957</v>
      </c>
      <c r="B2591" s="6"/>
      <c r="C2591" s="6"/>
      <c r="D2591" s="6"/>
      <c r="E2591" s="6"/>
      <c r="F2591" s="6"/>
      <c r="G2591" s="6"/>
    </row>
    <row r="2592" spans="1:7" x14ac:dyDescent="0.25">
      <c r="A2592" s="6" t="s">
        <v>8197</v>
      </c>
      <c r="B2592" s="6"/>
      <c r="C2592" s="6"/>
      <c r="D2592" s="6"/>
      <c r="E2592" s="6"/>
      <c r="F2592" s="6"/>
      <c r="G2592" s="6"/>
    </row>
    <row r="2593" spans="1:7" x14ac:dyDescent="0.25">
      <c r="A2593" s="6" t="s">
        <v>8194</v>
      </c>
      <c r="B2593" s="6"/>
      <c r="C2593" s="6"/>
      <c r="D2593" s="6"/>
      <c r="E2593" s="6"/>
      <c r="F2593" s="6"/>
      <c r="G2593" s="6"/>
    </row>
    <row r="2594" spans="1:7" x14ac:dyDescent="0.25">
      <c r="A2594" s="6" t="s">
        <v>8191</v>
      </c>
      <c r="B2594" s="6"/>
      <c r="C2594" s="6"/>
      <c r="D2594" s="6"/>
      <c r="E2594" s="6"/>
      <c r="F2594" s="6"/>
      <c r="G2594" s="6"/>
    </row>
    <row r="2595" spans="1:7" x14ac:dyDescent="0.25">
      <c r="A2595" s="6" t="s">
        <v>8188</v>
      </c>
      <c r="B2595" s="6"/>
      <c r="C2595" s="6"/>
      <c r="D2595" s="6"/>
      <c r="E2595" s="6"/>
      <c r="F2595" s="6"/>
      <c r="G2595" s="6"/>
    </row>
    <row r="2596" spans="1:7" x14ac:dyDescent="0.25">
      <c r="A2596" s="6" t="s">
        <v>7096</v>
      </c>
      <c r="B2596" s="6"/>
      <c r="C2596" s="6"/>
      <c r="D2596" s="6"/>
      <c r="E2596" s="6"/>
      <c r="F2596" s="6"/>
      <c r="G2596" s="6"/>
    </row>
    <row r="2597" spans="1:7" x14ac:dyDescent="0.25">
      <c r="A2597" s="6" t="s">
        <v>7093</v>
      </c>
      <c r="B2597" s="6"/>
      <c r="C2597" s="6"/>
      <c r="D2597" s="6"/>
      <c r="E2597" s="6"/>
      <c r="F2597" s="6"/>
      <c r="G2597" s="6"/>
    </row>
    <row r="2598" spans="1:7" x14ac:dyDescent="0.25">
      <c r="A2598" s="6" t="s">
        <v>7090</v>
      </c>
      <c r="B2598" s="6"/>
      <c r="C2598" s="6"/>
      <c r="D2598" s="6"/>
      <c r="E2598" s="6"/>
      <c r="F2598" s="6"/>
      <c r="G2598" s="6"/>
    </row>
    <row r="2599" spans="1:7" x14ac:dyDescent="0.25">
      <c r="A2599" s="6" t="s">
        <v>957</v>
      </c>
      <c r="B2599" s="6"/>
      <c r="C2599" s="6"/>
      <c r="D2599" s="6"/>
      <c r="E2599" s="6"/>
      <c r="F2599" s="6"/>
      <c r="G2599" s="6"/>
    </row>
    <row r="2600" spans="1:7" x14ac:dyDescent="0.25">
      <c r="A2600" s="6" t="s">
        <v>957</v>
      </c>
      <c r="B2600" s="6"/>
      <c r="C2600" s="6"/>
      <c r="D2600" s="6"/>
      <c r="E2600" s="6"/>
      <c r="F2600" s="6"/>
      <c r="G2600" s="6"/>
    </row>
    <row r="2601" spans="1:7" x14ac:dyDescent="0.25">
      <c r="A2601" s="6" t="s">
        <v>957</v>
      </c>
      <c r="B2601" s="6"/>
      <c r="C2601" s="6"/>
      <c r="D2601" s="6"/>
      <c r="E2601" s="6"/>
      <c r="F2601" s="6"/>
      <c r="G2601" s="6"/>
    </row>
    <row r="2602" spans="1:7" x14ac:dyDescent="0.25">
      <c r="A2602" s="6" t="s">
        <v>957</v>
      </c>
      <c r="B2602" s="6"/>
      <c r="C2602" s="6"/>
      <c r="D2602" s="6"/>
      <c r="E2602" s="6"/>
      <c r="F2602" s="6"/>
      <c r="G2602" s="6"/>
    </row>
    <row r="2603" spans="1:7" x14ac:dyDescent="0.25">
      <c r="A2603" s="6" t="s">
        <v>7083</v>
      </c>
      <c r="B2603" s="6"/>
      <c r="C2603" s="6"/>
      <c r="D2603" s="6"/>
      <c r="E2603" s="6"/>
      <c r="F2603" s="6"/>
      <c r="G2603" s="6"/>
    </row>
    <row r="2604" spans="1:7" x14ac:dyDescent="0.25">
      <c r="A2604" s="6" t="s">
        <v>7081</v>
      </c>
      <c r="B2604" s="6"/>
      <c r="C2604" s="6"/>
      <c r="D2604" s="6"/>
      <c r="E2604" s="6"/>
      <c r="F2604" s="6"/>
      <c r="G2604" s="6"/>
    </row>
    <row r="2605" spans="1:7" x14ac:dyDescent="0.25">
      <c r="A2605" s="6" t="s">
        <v>7078</v>
      </c>
      <c r="B2605" s="6"/>
      <c r="C2605" s="6"/>
      <c r="D2605" s="6"/>
      <c r="E2605" s="6"/>
      <c r="F2605" s="6"/>
      <c r="G2605" s="6"/>
    </row>
    <row r="2606" spans="1:7" x14ac:dyDescent="0.25">
      <c r="A2606" s="6" t="s">
        <v>957</v>
      </c>
      <c r="B2606" s="6"/>
      <c r="C2606" s="6"/>
      <c r="D2606" s="6"/>
      <c r="E2606" s="6"/>
      <c r="F2606" s="6"/>
      <c r="G2606" s="6"/>
    </row>
    <row r="2607" spans="1:7" x14ac:dyDescent="0.25">
      <c r="A2607" s="6" t="s">
        <v>7074</v>
      </c>
      <c r="B2607" s="6"/>
      <c r="C2607" s="6"/>
      <c r="D2607" s="6"/>
      <c r="E2607" s="6"/>
      <c r="F2607" s="6"/>
      <c r="G2607" s="6"/>
    </row>
    <row r="2608" spans="1:7" x14ac:dyDescent="0.25">
      <c r="A2608" s="6" t="s">
        <v>7071</v>
      </c>
      <c r="B2608" s="6"/>
      <c r="C2608" s="6"/>
      <c r="D2608" s="6"/>
      <c r="E2608" s="6"/>
      <c r="F2608" s="6"/>
      <c r="G2608" s="6"/>
    </row>
    <row r="2609" spans="1:7" x14ac:dyDescent="0.25">
      <c r="A2609" s="6" t="s">
        <v>957</v>
      </c>
      <c r="B2609" s="6"/>
      <c r="C2609" s="6"/>
      <c r="D2609" s="6"/>
      <c r="E2609" s="6"/>
      <c r="F2609" s="6"/>
      <c r="G2609" s="6"/>
    </row>
    <row r="2610" spans="1:7" x14ac:dyDescent="0.25">
      <c r="A2610" s="6" t="s">
        <v>7067</v>
      </c>
      <c r="B2610" s="6"/>
      <c r="C2610" s="6"/>
      <c r="D2610" s="6"/>
      <c r="E2610" s="6"/>
      <c r="F2610" s="6"/>
      <c r="G2610" s="6"/>
    </row>
    <row r="2611" spans="1:7" x14ac:dyDescent="0.25">
      <c r="A2611" s="6" t="s">
        <v>14177</v>
      </c>
      <c r="B2611" s="6" t="s">
        <v>14178</v>
      </c>
      <c r="C2611" s="6"/>
      <c r="D2611" s="6"/>
      <c r="E2611" s="6"/>
      <c r="F2611" s="6"/>
      <c r="G2611" s="6"/>
    </row>
    <row r="2612" spans="1:7" x14ac:dyDescent="0.25">
      <c r="A2612" s="6" t="s">
        <v>7062</v>
      </c>
      <c r="B2612" s="6"/>
      <c r="C2612" s="6"/>
      <c r="D2612" s="6"/>
      <c r="E2612" s="6"/>
      <c r="F2612" s="6"/>
      <c r="G2612" s="6"/>
    </row>
    <row r="2613" spans="1:7" x14ac:dyDescent="0.25">
      <c r="A2613" s="6" t="s">
        <v>8159</v>
      </c>
      <c r="B2613" s="6"/>
      <c r="C2613" s="6"/>
      <c r="D2613" s="6"/>
      <c r="E2613" s="6"/>
      <c r="F2613" s="6"/>
      <c r="G2613" s="6"/>
    </row>
    <row r="2614" spans="1:7" x14ac:dyDescent="0.25">
      <c r="A2614" s="6" t="s">
        <v>8156</v>
      </c>
      <c r="B2614" s="6"/>
      <c r="C2614" s="6"/>
      <c r="D2614" s="6"/>
      <c r="E2614" s="6"/>
      <c r="F2614" s="6"/>
      <c r="G2614" s="6"/>
    </row>
    <row r="2615" spans="1:7" x14ac:dyDescent="0.25">
      <c r="A2615" s="6" t="s">
        <v>8153</v>
      </c>
      <c r="B2615" s="6"/>
      <c r="C2615" s="6"/>
      <c r="D2615" s="6"/>
      <c r="E2615" s="6"/>
      <c r="F2615" s="6"/>
      <c r="G2615" s="6"/>
    </row>
    <row r="2616" spans="1:7" x14ac:dyDescent="0.25">
      <c r="A2616" s="6" t="s">
        <v>8150</v>
      </c>
      <c r="B2616" s="6"/>
      <c r="C2616" s="6"/>
      <c r="D2616" s="6"/>
      <c r="E2616" s="6"/>
      <c r="F2616" s="6"/>
      <c r="G2616" s="6"/>
    </row>
    <row r="2617" spans="1:7" x14ac:dyDescent="0.25">
      <c r="A2617" s="6" t="s">
        <v>8147</v>
      </c>
      <c r="B2617" s="6"/>
      <c r="C2617" s="6"/>
      <c r="D2617" s="6"/>
      <c r="E2617" s="6"/>
      <c r="F2617" s="6"/>
      <c r="G2617" s="6"/>
    </row>
    <row r="2618" spans="1:7" x14ac:dyDescent="0.25">
      <c r="A2618" s="6" t="s">
        <v>8144</v>
      </c>
      <c r="B2618" s="6"/>
      <c r="C2618" s="6"/>
      <c r="D2618" s="6"/>
      <c r="E2618" s="6"/>
      <c r="F2618" s="6"/>
      <c r="G2618" s="6"/>
    </row>
    <row r="2619" spans="1:7" x14ac:dyDescent="0.25">
      <c r="A2619" s="6" t="s">
        <v>957</v>
      </c>
      <c r="B2619" s="6"/>
      <c r="C2619" s="6"/>
      <c r="D2619" s="6"/>
      <c r="E2619" s="6"/>
      <c r="F2619" s="6"/>
      <c r="G2619" s="6"/>
    </row>
    <row r="2620" spans="1:7" x14ac:dyDescent="0.25">
      <c r="A2620" s="6" t="s">
        <v>8140</v>
      </c>
      <c r="B2620" s="6"/>
      <c r="C2620" s="6"/>
      <c r="D2620" s="6"/>
      <c r="E2620" s="6"/>
      <c r="F2620" s="6"/>
      <c r="G2620" s="6"/>
    </row>
    <row r="2621" spans="1:7" x14ac:dyDescent="0.25">
      <c r="A2621" s="6" t="s">
        <v>8137</v>
      </c>
      <c r="B2621" s="6"/>
      <c r="C2621" s="6"/>
      <c r="D2621" s="6"/>
      <c r="E2621" s="6"/>
      <c r="F2621" s="6"/>
      <c r="G2621" s="6"/>
    </row>
    <row r="2622" spans="1:7" x14ac:dyDescent="0.25">
      <c r="A2622" s="6" t="s">
        <v>957</v>
      </c>
      <c r="B2622" s="6"/>
      <c r="C2622" s="6"/>
      <c r="D2622" s="6"/>
      <c r="E2622" s="6"/>
      <c r="F2622" s="6"/>
      <c r="G2622" s="6"/>
    </row>
    <row r="2623" spans="1:7" x14ac:dyDescent="0.25">
      <c r="A2623" s="6" t="s">
        <v>957</v>
      </c>
      <c r="B2623" s="6"/>
      <c r="C2623" s="6"/>
      <c r="D2623" s="6"/>
      <c r="E2623" s="6"/>
      <c r="F2623" s="6"/>
      <c r="G2623" s="6"/>
    </row>
    <row r="2624" spans="1:7" x14ac:dyDescent="0.25">
      <c r="A2624" s="6" t="s">
        <v>8130</v>
      </c>
      <c r="B2624" s="6"/>
      <c r="C2624" s="6"/>
      <c r="D2624" s="6"/>
      <c r="E2624" s="6"/>
      <c r="F2624" s="6"/>
      <c r="G2624" s="6"/>
    </row>
    <row r="2625" spans="1:7" x14ac:dyDescent="0.25">
      <c r="A2625" s="6" t="s">
        <v>8128</v>
      </c>
      <c r="B2625" s="6"/>
      <c r="C2625" s="6"/>
      <c r="D2625" s="6"/>
      <c r="E2625" s="6"/>
      <c r="F2625" s="6"/>
      <c r="G2625" s="6"/>
    </row>
    <row r="2626" spans="1:7" x14ac:dyDescent="0.25">
      <c r="A2626" s="6" t="s">
        <v>957</v>
      </c>
      <c r="B2626" s="6"/>
      <c r="C2626" s="6"/>
      <c r="D2626" s="6"/>
      <c r="E2626" s="6"/>
      <c r="F2626" s="6"/>
      <c r="G2626" s="6"/>
    </row>
    <row r="2627" spans="1:7" x14ac:dyDescent="0.25">
      <c r="A2627" s="6" t="s">
        <v>8124</v>
      </c>
      <c r="B2627" s="6"/>
      <c r="C2627" s="6"/>
      <c r="D2627" s="6"/>
      <c r="E2627" s="6"/>
      <c r="F2627" s="6"/>
      <c r="G2627" s="6"/>
    </row>
    <row r="2628" spans="1:7" x14ac:dyDescent="0.25">
      <c r="A2628" s="6" t="s">
        <v>957</v>
      </c>
      <c r="B2628" s="6"/>
      <c r="C2628" s="6"/>
      <c r="D2628" s="6"/>
      <c r="E2628" s="6"/>
      <c r="F2628" s="6"/>
      <c r="G2628" s="6"/>
    </row>
    <row r="2629" spans="1:7" x14ac:dyDescent="0.25">
      <c r="A2629" s="6" t="s">
        <v>8120</v>
      </c>
      <c r="B2629" s="6"/>
      <c r="C2629" s="6"/>
      <c r="D2629" s="6"/>
      <c r="E2629" s="6"/>
      <c r="F2629" s="6"/>
      <c r="G2629" s="6"/>
    </row>
    <row r="2630" spans="1:7" x14ac:dyDescent="0.25">
      <c r="A2630" s="6" t="s">
        <v>957</v>
      </c>
      <c r="B2630" s="6"/>
      <c r="C2630" s="6"/>
      <c r="D2630" s="6"/>
      <c r="E2630" s="6"/>
      <c r="F2630" s="6"/>
      <c r="G2630" s="6"/>
    </row>
    <row r="2631" spans="1:7" x14ac:dyDescent="0.25">
      <c r="A2631" s="6" t="s">
        <v>957</v>
      </c>
      <c r="B2631" s="6"/>
      <c r="C2631" s="6"/>
      <c r="D2631" s="6"/>
      <c r="E2631" s="6"/>
      <c r="F2631" s="6"/>
      <c r="G2631" s="6"/>
    </row>
    <row r="2632" spans="1:7" x14ac:dyDescent="0.25">
      <c r="A2632" s="6" t="s">
        <v>8116</v>
      </c>
      <c r="B2632" s="6"/>
      <c r="C2632" s="6"/>
      <c r="D2632" s="6"/>
      <c r="E2632" s="6"/>
      <c r="F2632" s="6"/>
      <c r="G2632" s="6"/>
    </row>
    <row r="2633" spans="1:7" x14ac:dyDescent="0.25">
      <c r="A2633" s="6" t="s">
        <v>8113</v>
      </c>
      <c r="B2633" s="6"/>
      <c r="C2633" s="6"/>
      <c r="D2633" s="6"/>
      <c r="E2633" s="6"/>
      <c r="F2633" s="6"/>
      <c r="G2633" s="6"/>
    </row>
    <row r="2634" spans="1:7" x14ac:dyDescent="0.25">
      <c r="A2634" s="6" t="s">
        <v>8110</v>
      </c>
      <c r="B2634" s="6"/>
      <c r="C2634" s="6"/>
      <c r="D2634" s="6"/>
      <c r="E2634" s="6"/>
      <c r="F2634" s="6"/>
      <c r="G2634" s="6"/>
    </row>
    <row r="2635" spans="1:7" x14ac:dyDescent="0.25">
      <c r="A2635" s="6" t="s">
        <v>957</v>
      </c>
      <c r="B2635" s="6"/>
      <c r="C2635" s="6"/>
      <c r="D2635" s="6"/>
      <c r="E2635" s="6"/>
      <c r="F2635" s="6"/>
      <c r="G2635" s="6"/>
    </row>
    <row r="2636" spans="1:7" x14ac:dyDescent="0.25">
      <c r="A2636" s="6" t="s">
        <v>8106</v>
      </c>
      <c r="B2636" s="6"/>
      <c r="C2636" s="6"/>
      <c r="D2636" s="6"/>
      <c r="E2636" s="6"/>
      <c r="F2636" s="6"/>
      <c r="G2636" s="6"/>
    </row>
    <row r="2637" spans="1:7" x14ac:dyDescent="0.25">
      <c r="A2637" s="6" t="s">
        <v>8103</v>
      </c>
      <c r="B2637" s="6"/>
      <c r="C2637" s="6"/>
      <c r="D2637" s="6"/>
      <c r="E2637" s="6"/>
      <c r="F2637" s="6"/>
      <c r="G2637" s="6"/>
    </row>
    <row r="2638" spans="1:7" x14ac:dyDescent="0.25">
      <c r="A2638" s="6" t="s">
        <v>8100</v>
      </c>
      <c r="B2638" s="6"/>
      <c r="C2638" s="6"/>
      <c r="D2638" s="6"/>
      <c r="E2638" s="6"/>
      <c r="F2638" s="6"/>
      <c r="G2638" s="6"/>
    </row>
    <row r="2639" spans="1:7" x14ac:dyDescent="0.25">
      <c r="A2639" s="6" t="s">
        <v>8097</v>
      </c>
      <c r="B2639" s="6"/>
      <c r="C2639" s="6"/>
      <c r="D2639" s="6"/>
      <c r="E2639" s="6"/>
      <c r="F2639" s="6"/>
      <c r="G2639" s="6"/>
    </row>
    <row r="2640" spans="1:7" x14ac:dyDescent="0.25">
      <c r="A2640" s="6" t="s">
        <v>957</v>
      </c>
      <c r="B2640" s="6"/>
      <c r="C2640" s="6"/>
      <c r="D2640" s="6"/>
      <c r="E2640" s="6"/>
      <c r="F2640" s="6"/>
      <c r="G2640" s="6"/>
    </row>
    <row r="2641" spans="1:7" x14ac:dyDescent="0.25">
      <c r="A2641" s="6" t="s">
        <v>8093</v>
      </c>
      <c r="B2641" s="6"/>
      <c r="C2641" s="6"/>
      <c r="D2641" s="6"/>
      <c r="E2641" s="6"/>
      <c r="F2641" s="6"/>
      <c r="G2641" s="6"/>
    </row>
    <row r="2642" spans="1:7" x14ac:dyDescent="0.25">
      <c r="A2642" s="6" t="s">
        <v>8090</v>
      </c>
      <c r="B2642" s="6"/>
      <c r="C2642" s="6"/>
      <c r="D2642" s="6"/>
      <c r="E2642" s="6"/>
      <c r="F2642" s="6"/>
      <c r="G2642" s="6"/>
    </row>
    <row r="2643" spans="1:7" x14ac:dyDescent="0.25">
      <c r="A2643" s="6" t="s">
        <v>8087</v>
      </c>
      <c r="B2643" s="6"/>
      <c r="C2643" s="6"/>
      <c r="D2643" s="6"/>
      <c r="E2643" s="6"/>
      <c r="F2643" s="6"/>
      <c r="G2643" s="6"/>
    </row>
    <row r="2644" spans="1:7" x14ac:dyDescent="0.25">
      <c r="A2644" s="6" t="s">
        <v>8084</v>
      </c>
      <c r="B2644" s="6"/>
      <c r="C2644" s="6"/>
      <c r="D2644" s="6"/>
      <c r="E2644" s="6"/>
      <c r="F2644" s="6"/>
      <c r="G2644" s="6"/>
    </row>
    <row r="2645" spans="1:7" x14ac:dyDescent="0.25">
      <c r="A2645" s="6" t="s">
        <v>8081</v>
      </c>
      <c r="B2645" s="6"/>
      <c r="C2645" s="6"/>
      <c r="D2645" s="6"/>
      <c r="E2645" s="6"/>
      <c r="F2645" s="6"/>
      <c r="G2645" s="6"/>
    </row>
    <row r="2646" spans="1:7" x14ac:dyDescent="0.25">
      <c r="A2646" s="6" t="s">
        <v>957</v>
      </c>
      <c r="B2646" s="6"/>
      <c r="C2646" s="6"/>
      <c r="D2646" s="6"/>
      <c r="E2646" s="6"/>
      <c r="F2646" s="6"/>
      <c r="G2646" s="6"/>
    </row>
    <row r="2647" spans="1:7" x14ac:dyDescent="0.25">
      <c r="A2647" s="6" t="s">
        <v>8077</v>
      </c>
      <c r="B2647" s="6"/>
      <c r="C2647" s="6"/>
      <c r="D2647" s="6"/>
      <c r="E2647" s="6"/>
      <c r="F2647" s="6"/>
      <c r="G2647" s="6"/>
    </row>
    <row r="2648" spans="1:7" x14ac:dyDescent="0.25">
      <c r="A2648" s="6" t="s">
        <v>957</v>
      </c>
      <c r="B2648" s="6"/>
      <c r="C2648" s="6"/>
      <c r="D2648" s="6"/>
      <c r="E2648" s="6"/>
      <c r="F2648" s="6"/>
      <c r="G2648" s="6"/>
    </row>
    <row r="2649" spans="1:7" x14ac:dyDescent="0.25">
      <c r="A2649" s="6" t="s">
        <v>8073</v>
      </c>
      <c r="B2649" s="6"/>
      <c r="C2649" s="6"/>
      <c r="D2649" s="6"/>
      <c r="E2649" s="6"/>
      <c r="F2649" s="6"/>
      <c r="G2649" s="6"/>
    </row>
    <row r="2650" spans="1:7" x14ac:dyDescent="0.25">
      <c r="A2650" s="6" t="s">
        <v>8070</v>
      </c>
      <c r="B2650" s="6"/>
      <c r="C2650" s="6"/>
      <c r="D2650" s="6"/>
      <c r="E2650" s="6"/>
      <c r="F2650" s="6"/>
      <c r="G2650" s="6"/>
    </row>
    <row r="2651" spans="1:7" x14ac:dyDescent="0.25">
      <c r="A2651" s="6" t="s">
        <v>8067</v>
      </c>
      <c r="B2651" s="6"/>
      <c r="C2651" s="6"/>
      <c r="D2651" s="6"/>
      <c r="E2651" s="6"/>
      <c r="F2651" s="6"/>
      <c r="G2651" s="6"/>
    </row>
    <row r="2652" spans="1:7" x14ac:dyDescent="0.25">
      <c r="A2652" s="6" t="s">
        <v>6958</v>
      </c>
      <c r="B2652" s="6"/>
      <c r="C2652" s="6"/>
      <c r="D2652" s="6"/>
      <c r="E2652" s="6"/>
      <c r="F2652" s="6"/>
      <c r="G2652" s="6"/>
    </row>
    <row r="2653" spans="1:7" x14ac:dyDescent="0.25">
      <c r="A2653" s="6" t="s">
        <v>6955</v>
      </c>
      <c r="B2653" s="6"/>
      <c r="C2653" s="6"/>
      <c r="D2653" s="6"/>
      <c r="E2653" s="6"/>
      <c r="F2653" s="6"/>
      <c r="G2653" s="6"/>
    </row>
    <row r="2654" spans="1:7" x14ac:dyDescent="0.25">
      <c r="A2654" s="6" t="s">
        <v>6952</v>
      </c>
      <c r="B2654" s="6"/>
      <c r="C2654" s="6"/>
      <c r="D2654" s="6"/>
      <c r="E2654" s="6"/>
      <c r="F2654" s="6"/>
      <c r="G2654" s="6"/>
    </row>
    <row r="2655" spans="1:7" x14ac:dyDescent="0.25">
      <c r="A2655" s="6" t="s">
        <v>6949</v>
      </c>
      <c r="B2655" s="6"/>
      <c r="C2655" s="6"/>
      <c r="D2655" s="6"/>
      <c r="E2655" s="6"/>
      <c r="F2655" s="6"/>
      <c r="G2655" s="6"/>
    </row>
    <row r="2656" spans="1:7" x14ac:dyDescent="0.25">
      <c r="A2656" s="6" t="s">
        <v>6946</v>
      </c>
      <c r="B2656" s="6"/>
      <c r="C2656" s="6"/>
      <c r="D2656" s="6"/>
      <c r="E2656" s="6"/>
      <c r="F2656" s="6"/>
      <c r="G2656" s="6"/>
    </row>
    <row r="2657" spans="1:7" x14ac:dyDescent="0.25">
      <c r="A2657" s="6" t="s">
        <v>6943</v>
      </c>
      <c r="B2657" s="6"/>
      <c r="C2657" s="6"/>
      <c r="D2657" s="6"/>
      <c r="E2657" s="6"/>
      <c r="F2657" s="6"/>
      <c r="G2657" s="6"/>
    </row>
    <row r="2658" spans="1:7" x14ac:dyDescent="0.25">
      <c r="A2658" s="6" t="s">
        <v>6940</v>
      </c>
      <c r="B2658" s="6"/>
      <c r="C2658" s="6"/>
      <c r="D2658" s="6"/>
      <c r="E2658" s="6"/>
      <c r="F2658" s="6"/>
      <c r="G2658" s="6"/>
    </row>
    <row r="2659" spans="1:7" x14ac:dyDescent="0.25">
      <c r="A2659" s="6" t="s">
        <v>6937</v>
      </c>
      <c r="B2659" s="6"/>
      <c r="C2659" s="6"/>
      <c r="D2659" s="6"/>
      <c r="E2659" s="6"/>
      <c r="F2659" s="6"/>
      <c r="G2659" s="6"/>
    </row>
    <row r="2660" spans="1:7" x14ac:dyDescent="0.25">
      <c r="A2660" s="6" t="s">
        <v>6934</v>
      </c>
      <c r="B2660" s="6"/>
      <c r="C2660" s="6"/>
      <c r="D2660" s="6"/>
      <c r="E2660" s="6"/>
      <c r="F2660" s="6"/>
      <c r="G2660" s="6"/>
    </row>
    <row r="2661" spans="1:7" x14ac:dyDescent="0.25">
      <c r="A2661" s="6" t="s">
        <v>8029</v>
      </c>
      <c r="B2661" s="6"/>
      <c r="C2661" s="6"/>
      <c r="D2661" s="6"/>
      <c r="E2661" s="6"/>
      <c r="F2661" s="6"/>
      <c r="G2661" s="6"/>
    </row>
    <row r="2662" spans="1:7" x14ac:dyDescent="0.25">
      <c r="A2662" s="6" t="s">
        <v>8026</v>
      </c>
      <c r="B2662" s="6"/>
      <c r="C2662" s="6"/>
      <c r="D2662" s="6"/>
      <c r="E2662" s="6"/>
      <c r="F2662" s="6"/>
      <c r="G2662" s="6"/>
    </row>
    <row r="2663" spans="1:7" x14ac:dyDescent="0.25">
      <c r="A2663" s="6" t="s">
        <v>8023</v>
      </c>
      <c r="B2663" s="6"/>
      <c r="C2663" s="6"/>
      <c r="D2663" s="6"/>
      <c r="E2663" s="6"/>
      <c r="F2663" s="6"/>
      <c r="G2663" s="6"/>
    </row>
    <row r="2664" spans="1:7" x14ac:dyDescent="0.25">
      <c r="A2664" s="6" t="s">
        <v>8020</v>
      </c>
      <c r="B2664" s="6"/>
      <c r="C2664" s="6"/>
      <c r="D2664" s="6"/>
      <c r="E2664" s="6"/>
      <c r="F2664" s="6"/>
      <c r="G2664" s="6"/>
    </row>
    <row r="2665" spans="1:7" x14ac:dyDescent="0.25">
      <c r="A2665" s="6" t="s">
        <v>957</v>
      </c>
      <c r="B2665" s="6"/>
      <c r="C2665" s="6"/>
      <c r="D2665" s="6"/>
      <c r="E2665" s="6"/>
      <c r="F2665" s="6"/>
      <c r="G2665" s="6"/>
    </row>
    <row r="2666" spans="1:7" x14ac:dyDescent="0.25">
      <c r="A2666" s="6" t="s">
        <v>8016</v>
      </c>
      <c r="B2666" s="6"/>
      <c r="C2666" s="6"/>
      <c r="D2666" s="6"/>
      <c r="E2666" s="6"/>
      <c r="F2666" s="6"/>
      <c r="G2666" s="6"/>
    </row>
    <row r="2667" spans="1:7" x14ac:dyDescent="0.25">
      <c r="A2667" s="6" t="s">
        <v>8013</v>
      </c>
      <c r="B2667" s="6"/>
      <c r="C2667" s="6"/>
      <c r="D2667" s="6"/>
      <c r="E2667" s="6"/>
      <c r="F2667" s="6"/>
      <c r="G2667" s="6"/>
    </row>
    <row r="2668" spans="1:7" x14ac:dyDescent="0.25">
      <c r="A2668" s="6" t="s">
        <v>957</v>
      </c>
      <c r="B2668" s="6"/>
      <c r="C2668" s="6"/>
      <c r="D2668" s="6"/>
      <c r="E2668" s="6"/>
      <c r="F2668" s="6"/>
      <c r="G2668" s="6"/>
    </row>
    <row r="2669" spans="1:7" x14ac:dyDescent="0.25">
      <c r="A2669" s="6" t="s">
        <v>8008</v>
      </c>
      <c r="B2669" s="6"/>
      <c r="C2669" s="6"/>
      <c r="D2669" s="6"/>
      <c r="E2669" s="6"/>
      <c r="F2669" s="6"/>
      <c r="G2669" s="6"/>
    </row>
    <row r="2670" spans="1:7" x14ac:dyDescent="0.25">
      <c r="A2670" s="6" t="s">
        <v>8006</v>
      </c>
      <c r="B2670" s="6"/>
      <c r="C2670" s="6"/>
      <c r="D2670" s="6"/>
      <c r="E2670" s="6"/>
      <c r="F2670" s="6"/>
      <c r="G2670" s="6"/>
    </row>
    <row r="2671" spans="1:7" x14ac:dyDescent="0.25">
      <c r="A2671" s="6" t="s">
        <v>8003</v>
      </c>
      <c r="B2671" s="6"/>
      <c r="C2671" s="6"/>
      <c r="D2671" s="6"/>
      <c r="E2671" s="6"/>
      <c r="F2671" s="6"/>
      <c r="G2671" s="6"/>
    </row>
    <row r="2672" spans="1:7" x14ac:dyDescent="0.25">
      <c r="A2672" s="6" t="s">
        <v>957</v>
      </c>
      <c r="B2672" s="6"/>
      <c r="C2672" s="6"/>
      <c r="D2672" s="6"/>
      <c r="E2672" s="6"/>
      <c r="F2672" s="6"/>
      <c r="G2672" s="6"/>
    </row>
    <row r="2673" spans="1:7" x14ac:dyDescent="0.25">
      <c r="A2673" s="6" t="s">
        <v>7999</v>
      </c>
      <c r="B2673" s="6"/>
      <c r="C2673" s="6"/>
      <c r="D2673" s="6"/>
      <c r="E2673" s="6"/>
      <c r="F2673" s="6"/>
      <c r="G2673" s="6"/>
    </row>
    <row r="2674" spans="1:7" x14ac:dyDescent="0.25">
      <c r="A2674" s="6" t="s">
        <v>6900</v>
      </c>
      <c r="B2674" s="6"/>
      <c r="C2674" s="6"/>
      <c r="D2674" s="6"/>
      <c r="E2674" s="6"/>
      <c r="F2674" s="6"/>
      <c r="G2674" s="6"/>
    </row>
    <row r="2675" spans="1:7" x14ac:dyDescent="0.25">
      <c r="A2675" s="6" t="s">
        <v>6897</v>
      </c>
      <c r="B2675" s="6"/>
      <c r="C2675" s="6"/>
      <c r="D2675" s="6"/>
      <c r="E2675" s="6"/>
      <c r="F2675" s="6"/>
      <c r="G2675" s="6"/>
    </row>
    <row r="2676" spans="1:7" x14ac:dyDescent="0.25">
      <c r="A2676" s="6" t="s">
        <v>957</v>
      </c>
      <c r="B2676" s="6"/>
      <c r="C2676" s="6"/>
      <c r="D2676" s="6"/>
      <c r="E2676" s="6"/>
      <c r="F2676" s="6"/>
      <c r="G2676" s="6"/>
    </row>
    <row r="2677" spans="1:7" x14ac:dyDescent="0.25">
      <c r="A2677" s="6" t="s">
        <v>6893</v>
      </c>
      <c r="B2677" s="6"/>
      <c r="C2677" s="6"/>
      <c r="D2677" s="6"/>
      <c r="E2677" s="6"/>
      <c r="F2677" s="6"/>
      <c r="G2677" s="6"/>
    </row>
    <row r="2678" spans="1:7" x14ac:dyDescent="0.25">
      <c r="A2678" s="6" t="s">
        <v>6891</v>
      </c>
      <c r="B2678" s="6"/>
      <c r="C2678" s="6"/>
      <c r="D2678" s="6"/>
      <c r="E2678" s="6"/>
      <c r="F2678" s="6"/>
      <c r="G2678" s="6"/>
    </row>
    <row r="2679" spans="1:7" x14ac:dyDescent="0.25">
      <c r="A2679" s="6" t="s">
        <v>6888</v>
      </c>
      <c r="B2679" s="6"/>
      <c r="C2679" s="6"/>
      <c r="D2679" s="6"/>
      <c r="E2679" s="6"/>
      <c r="F2679" s="6"/>
      <c r="G2679" s="6"/>
    </row>
    <row r="2680" spans="1:7" x14ac:dyDescent="0.25">
      <c r="A2680" s="6" t="s">
        <v>6885</v>
      </c>
      <c r="B2680" s="6"/>
      <c r="C2680" s="6"/>
      <c r="D2680" s="6"/>
      <c r="E2680" s="6"/>
      <c r="F2680" s="6"/>
      <c r="G2680" s="6"/>
    </row>
    <row r="2681" spans="1:7" x14ac:dyDescent="0.25">
      <c r="A2681" s="6" t="s">
        <v>6882</v>
      </c>
      <c r="B2681" s="6"/>
      <c r="C2681" s="6"/>
      <c r="D2681" s="6"/>
      <c r="E2681" s="6"/>
      <c r="F2681" s="6"/>
      <c r="G2681" s="6"/>
    </row>
    <row r="2682" spans="1:7" x14ac:dyDescent="0.25">
      <c r="A2682" s="6" t="s">
        <v>6879</v>
      </c>
      <c r="B2682" s="6"/>
      <c r="C2682" s="6"/>
      <c r="D2682" s="6"/>
      <c r="E2682" s="6"/>
      <c r="F2682" s="6"/>
      <c r="G2682" s="6"/>
    </row>
    <row r="2683" spans="1:7" x14ac:dyDescent="0.25">
      <c r="A2683" s="6" t="s">
        <v>6876</v>
      </c>
      <c r="B2683" s="6"/>
      <c r="C2683" s="6"/>
      <c r="D2683" s="6"/>
      <c r="E2683" s="6"/>
      <c r="F2683" s="6"/>
      <c r="G2683" s="6"/>
    </row>
    <row r="2684" spans="1:7" x14ac:dyDescent="0.25">
      <c r="A2684" s="6" t="s">
        <v>6874</v>
      </c>
      <c r="B2684" s="6"/>
      <c r="C2684" s="6"/>
      <c r="D2684" s="6"/>
      <c r="E2684" s="6"/>
      <c r="F2684" s="6"/>
      <c r="G2684" s="6"/>
    </row>
    <row r="2685" spans="1:7" x14ac:dyDescent="0.25">
      <c r="A2685" s="6" t="s">
        <v>6871</v>
      </c>
      <c r="B2685" s="6"/>
      <c r="C2685" s="6"/>
      <c r="D2685" s="6"/>
      <c r="E2685" s="6"/>
      <c r="F2685" s="6"/>
      <c r="G2685" s="6"/>
    </row>
    <row r="2686" spans="1:7" x14ac:dyDescent="0.25">
      <c r="A2686" s="6" t="s">
        <v>14215</v>
      </c>
      <c r="B2686" s="6" t="s">
        <v>14216</v>
      </c>
      <c r="C2686" s="6"/>
      <c r="D2686" s="6"/>
      <c r="E2686" s="6"/>
      <c r="F2686" s="6"/>
      <c r="G2686" s="6"/>
    </row>
    <row r="2687" spans="1:7" x14ac:dyDescent="0.25">
      <c r="A2687" s="6" t="s">
        <v>6867</v>
      </c>
      <c r="B2687" s="6"/>
      <c r="C2687" s="6"/>
      <c r="D2687" s="6"/>
      <c r="E2687" s="6"/>
      <c r="F2687" s="6"/>
      <c r="G2687" s="6"/>
    </row>
    <row r="2688" spans="1:7" x14ac:dyDescent="0.25">
      <c r="A2688" s="6" t="s">
        <v>6864</v>
      </c>
      <c r="B2688" s="6"/>
      <c r="C2688" s="6"/>
      <c r="D2688" s="6"/>
      <c r="E2688" s="6"/>
      <c r="F2688" s="6"/>
      <c r="G2688" s="6"/>
    </row>
    <row r="2689" spans="1:7" x14ac:dyDescent="0.25">
      <c r="A2689" s="6" t="s">
        <v>957</v>
      </c>
      <c r="B2689" s="6"/>
      <c r="C2689" s="6"/>
      <c r="D2689" s="6"/>
      <c r="E2689" s="6"/>
      <c r="F2689" s="6"/>
      <c r="G2689" s="6"/>
    </row>
    <row r="2690" spans="1:7" x14ac:dyDescent="0.25">
      <c r="A2690" s="6" t="s">
        <v>957</v>
      </c>
      <c r="B2690" s="6"/>
      <c r="C2690" s="6"/>
      <c r="D2690" s="6"/>
      <c r="E2690" s="6"/>
      <c r="F2690" s="6"/>
      <c r="G2690" s="6"/>
    </row>
    <row r="2691" spans="1:7" x14ac:dyDescent="0.25">
      <c r="A2691" s="6" t="s">
        <v>6859</v>
      </c>
      <c r="B2691" s="6"/>
      <c r="C2691" s="6"/>
      <c r="D2691" s="6"/>
      <c r="E2691" s="6"/>
      <c r="F2691" s="6"/>
      <c r="G2691" s="6"/>
    </row>
    <row r="2692" spans="1:7" x14ac:dyDescent="0.25">
      <c r="A2692" s="6" t="s">
        <v>3551</v>
      </c>
      <c r="B2692" s="6"/>
      <c r="C2692" s="6"/>
      <c r="D2692" s="6"/>
      <c r="E2692" s="6"/>
      <c r="F2692" s="6"/>
      <c r="G2692" s="6"/>
    </row>
    <row r="2693" spans="1:7" x14ac:dyDescent="0.25">
      <c r="A2693" s="6" t="s">
        <v>6854</v>
      </c>
      <c r="B2693" s="6"/>
      <c r="C2693" s="6"/>
      <c r="D2693" s="6"/>
      <c r="E2693" s="6"/>
      <c r="F2693" s="6"/>
      <c r="G2693" s="6"/>
    </row>
    <row r="2694" spans="1:7" x14ac:dyDescent="0.25">
      <c r="A2694" s="6" t="s">
        <v>6851</v>
      </c>
      <c r="B2694" s="6"/>
      <c r="C2694" s="6"/>
      <c r="D2694" s="6"/>
      <c r="E2694" s="6"/>
      <c r="F2694" s="6"/>
      <c r="G2694" s="6"/>
    </row>
    <row r="2695" spans="1:7" x14ac:dyDescent="0.25">
      <c r="A2695" s="6" t="s">
        <v>957</v>
      </c>
      <c r="B2695" s="6"/>
      <c r="C2695" s="6"/>
      <c r="D2695" s="6"/>
      <c r="E2695" s="6"/>
      <c r="F2695" s="6"/>
      <c r="G2695" s="6"/>
    </row>
    <row r="2696" spans="1:7" x14ac:dyDescent="0.25">
      <c r="A2696" s="6" t="s">
        <v>957</v>
      </c>
      <c r="B2696" s="6"/>
      <c r="C2696" s="6"/>
      <c r="D2696" s="6"/>
      <c r="E2696" s="6"/>
      <c r="F2696" s="6"/>
      <c r="G2696" s="6"/>
    </row>
    <row r="2697" spans="1:7" x14ac:dyDescent="0.25">
      <c r="A2697" s="6" t="s">
        <v>6846</v>
      </c>
      <c r="B2697" s="6"/>
      <c r="C2697" s="6"/>
      <c r="D2697" s="6"/>
      <c r="E2697" s="6"/>
      <c r="F2697" s="6"/>
      <c r="G2697" s="6"/>
    </row>
    <row r="2698" spans="1:7" x14ac:dyDescent="0.25">
      <c r="A2698" s="6" t="s">
        <v>6843</v>
      </c>
      <c r="B2698" s="6"/>
      <c r="C2698" s="6"/>
      <c r="D2698" s="6"/>
      <c r="E2698" s="6"/>
      <c r="F2698" s="6"/>
      <c r="G2698" s="6"/>
    </row>
    <row r="2699" spans="1:7" x14ac:dyDescent="0.25">
      <c r="A2699" s="6" t="s">
        <v>957</v>
      </c>
      <c r="B2699" s="6"/>
      <c r="C2699" s="6"/>
      <c r="D2699" s="6"/>
      <c r="E2699" s="6"/>
      <c r="F2699" s="6"/>
      <c r="G2699" s="6"/>
    </row>
    <row r="2700" spans="1:7" x14ac:dyDescent="0.25">
      <c r="A2700" s="6" t="s">
        <v>6839</v>
      </c>
      <c r="B2700" s="6"/>
      <c r="C2700" s="6"/>
      <c r="D2700" s="6"/>
      <c r="E2700" s="6"/>
      <c r="F2700" s="6"/>
      <c r="G2700" s="6"/>
    </row>
    <row r="2701" spans="1:7" x14ac:dyDescent="0.25">
      <c r="A2701" s="6" t="s">
        <v>6834</v>
      </c>
      <c r="B2701" s="6"/>
      <c r="C2701" s="6"/>
      <c r="D2701" s="6"/>
      <c r="E2701" s="6"/>
      <c r="F2701" s="6"/>
      <c r="G2701" s="6"/>
    </row>
    <row r="2702" spans="1:7" x14ac:dyDescent="0.25">
      <c r="A2702" s="6" t="s">
        <v>6834</v>
      </c>
      <c r="B2702" s="6"/>
      <c r="C2702" s="6"/>
      <c r="D2702" s="6"/>
      <c r="E2702" s="6"/>
      <c r="F2702" s="6"/>
      <c r="G2702" s="6"/>
    </row>
    <row r="2703" spans="1:7" x14ac:dyDescent="0.25">
      <c r="A2703" s="6" t="s">
        <v>957</v>
      </c>
      <c r="B2703" s="6"/>
      <c r="C2703" s="6"/>
      <c r="D2703" s="6"/>
      <c r="E2703" s="6"/>
      <c r="F2703" s="6"/>
      <c r="G2703" s="6"/>
    </row>
    <row r="2704" spans="1:7" x14ac:dyDescent="0.25">
      <c r="A2704" s="6" t="s">
        <v>957</v>
      </c>
      <c r="B2704" s="6"/>
      <c r="C2704" s="6"/>
      <c r="D2704" s="6"/>
      <c r="E2704" s="6"/>
      <c r="F2704" s="6"/>
      <c r="G2704" s="6"/>
    </row>
    <row r="2705" spans="1:7" x14ac:dyDescent="0.25">
      <c r="A2705" s="6" t="s">
        <v>7927</v>
      </c>
      <c r="B2705" s="6"/>
      <c r="C2705" s="6"/>
      <c r="D2705" s="6"/>
      <c r="E2705" s="6"/>
      <c r="F2705" s="6"/>
      <c r="G2705" s="6"/>
    </row>
    <row r="2706" spans="1:7" x14ac:dyDescent="0.25">
      <c r="A2706" s="6" t="s">
        <v>14217</v>
      </c>
      <c r="B2706" s="6" t="s">
        <v>14218</v>
      </c>
      <c r="C2706" s="6"/>
      <c r="D2706" s="6"/>
      <c r="E2706" s="6"/>
      <c r="F2706" s="6"/>
      <c r="G2706" s="6"/>
    </row>
    <row r="2707" spans="1:7" x14ac:dyDescent="0.25">
      <c r="A2707" s="6" t="s">
        <v>14086</v>
      </c>
      <c r="B2707" s="6" t="s">
        <v>14087</v>
      </c>
      <c r="C2707" s="6" t="s">
        <v>14088</v>
      </c>
      <c r="D2707" s="6" t="s">
        <v>14089</v>
      </c>
      <c r="E2707" s="6" t="s">
        <v>14090</v>
      </c>
      <c r="F2707" s="6"/>
      <c r="G2707" s="6"/>
    </row>
    <row r="2708" spans="1:7" x14ac:dyDescent="0.25">
      <c r="A2708" s="6" t="s">
        <v>7921</v>
      </c>
      <c r="B2708" s="6"/>
      <c r="C2708" s="6"/>
      <c r="D2708" s="6"/>
      <c r="E2708" s="6"/>
      <c r="F2708" s="6"/>
      <c r="G2708" s="6"/>
    </row>
    <row r="2709" spans="1:7" x14ac:dyDescent="0.25">
      <c r="A2709" s="6" t="s">
        <v>7918</v>
      </c>
      <c r="B2709" s="6"/>
      <c r="C2709" s="6"/>
      <c r="D2709" s="6"/>
      <c r="E2709" s="6"/>
      <c r="F2709" s="6"/>
      <c r="G2709" s="6"/>
    </row>
    <row r="2710" spans="1:7" x14ac:dyDescent="0.25">
      <c r="A2710" s="6" t="s">
        <v>957</v>
      </c>
      <c r="B2710" s="6"/>
      <c r="C2710" s="6"/>
      <c r="D2710" s="6"/>
      <c r="E2710" s="6"/>
      <c r="F2710" s="6"/>
      <c r="G2710" s="6"/>
    </row>
    <row r="2711" spans="1:7" x14ac:dyDescent="0.25">
      <c r="A2711" s="6" t="s">
        <v>7914</v>
      </c>
      <c r="B2711" s="6"/>
      <c r="C2711" s="6"/>
      <c r="D2711" s="6"/>
      <c r="E2711" s="6"/>
      <c r="F2711" s="6"/>
      <c r="G2711" s="6"/>
    </row>
    <row r="2712" spans="1:7" x14ac:dyDescent="0.25">
      <c r="A2712" s="6" t="s">
        <v>7911</v>
      </c>
      <c r="B2712" s="6"/>
      <c r="C2712" s="6"/>
      <c r="D2712" s="6"/>
      <c r="E2712" s="6"/>
      <c r="F2712" s="6"/>
      <c r="G2712" s="6"/>
    </row>
    <row r="2713" spans="1:7" x14ac:dyDescent="0.25">
      <c r="A2713" s="6" t="s">
        <v>7908</v>
      </c>
      <c r="B2713" s="6"/>
      <c r="C2713" s="6"/>
      <c r="D2713" s="6"/>
      <c r="E2713" s="6"/>
      <c r="F2713" s="6"/>
      <c r="G2713" s="6"/>
    </row>
    <row r="2714" spans="1:7" x14ac:dyDescent="0.25">
      <c r="A2714" s="6" t="s">
        <v>957</v>
      </c>
      <c r="B2714" s="6"/>
      <c r="C2714" s="6"/>
      <c r="D2714" s="6"/>
      <c r="E2714" s="6"/>
      <c r="F2714" s="6"/>
      <c r="G2714" s="6"/>
    </row>
    <row r="2715" spans="1:7" x14ac:dyDescent="0.25">
      <c r="A2715" s="6" t="s">
        <v>7905</v>
      </c>
      <c r="B2715" s="6"/>
      <c r="C2715" s="6"/>
      <c r="D2715" s="6"/>
      <c r="E2715" s="6"/>
      <c r="F2715" s="6"/>
      <c r="G2715" s="6"/>
    </row>
    <row r="2716" spans="1:7" x14ac:dyDescent="0.25">
      <c r="A2716" s="6" t="s">
        <v>7902</v>
      </c>
      <c r="B2716" s="6"/>
      <c r="C2716" s="6"/>
      <c r="D2716" s="6"/>
      <c r="E2716" s="6"/>
      <c r="F2716" s="6"/>
      <c r="G2716" s="6"/>
    </row>
    <row r="2717" spans="1:7" x14ac:dyDescent="0.25">
      <c r="A2717" s="6" t="s">
        <v>7899</v>
      </c>
      <c r="B2717" s="6"/>
      <c r="C2717" s="6"/>
      <c r="D2717" s="6"/>
      <c r="E2717" s="6"/>
      <c r="F2717" s="6"/>
      <c r="G2717" s="6"/>
    </row>
    <row r="2718" spans="1:7" x14ac:dyDescent="0.25">
      <c r="A2718" s="6" t="s">
        <v>7896</v>
      </c>
      <c r="B2718" s="6"/>
      <c r="C2718" s="6"/>
      <c r="D2718" s="6"/>
      <c r="E2718" s="6"/>
      <c r="F2718" s="6"/>
      <c r="G2718" s="6"/>
    </row>
    <row r="2719" spans="1:7" x14ac:dyDescent="0.25">
      <c r="A2719" s="6" t="s">
        <v>7893</v>
      </c>
      <c r="B2719" s="6"/>
      <c r="C2719" s="6"/>
      <c r="D2719" s="6"/>
      <c r="E2719" s="6"/>
      <c r="F2719" s="6"/>
      <c r="G2719" s="6"/>
    </row>
    <row r="2720" spans="1:7" x14ac:dyDescent="0.25">
      <c r="A2720" s="6" t="s">
        <v>7891</v>
      </c>
      <c r="B2720" s="6"/>
      <c r="C2720" s="6"/>
      <c r="D2720" s="6"/>
      <c r="E2720" s="6"/>
      <c r="F2720" s="6"/>
      <c r="G2720" s="6"/>
    </row>
    <row r="2721" spans="1:7" x14ac:dyDescent="0.25">
      <c r="A2721" s="6" t="s">
        <v>957</v>
      </c>
      <c r="B2721" s="6"/>
      <c r="C2721" s="6"/>
      <c r="D2721" s="6"/>
      <c r="E2721" s="6"/>
      <c r="F2721" s="6"/>
      <c r="G2721" s="6"/>
    </row>
    <row r="2722" spans="1:7" x14ac:dyDescent="0.25">
      <c r="A2722" s="6" t="s">
        <v>7887</v>
      </c>
      <c r="B2722" s="6"/>
      <c r="C2722" s="6"/>
      <c r="D2722" s="6"/>
      <c r="E2722" s="6"/>
      <c r="F2722" s="6"/>
      <c r="G2722" s="6"/>
    </row>
    <row r="2723" spans="1:7" x14ac:dyDescent="0.25">
      <c r="A2723" s="6" t="s">
        <v>957</v>
      </c>
      <c r="B2723" s="6"/>
      <c r="C2723" s="6"/>
      <c r="D2723" s="6"/>
      <c r="E2723" s="6"/>
      <c r="F2723" s="6"/>
      <c r="G2723" s="6"/>
    </row>
    <row r="2724" spans="1:7" x14ac:dyDescent="0.25">
      <c r="A2724" s="6" t="s">
        <v>7883</v>
      </c>
      <c r="B2724" s="6"/>
      <c r="C2724" s="6"/>
      <c r="D2724" s="6"/>
      <c r="E2724" s="6"/>
      <c r="F2724" s="6"/>
      <c r="G2724" s="6"/>
    </row>
    <row r="2725" spans="1:7" x14ac:dyDescent="0.25">
      <c r="A2725" s="6" t="s">
        <v>957</v>
      </c>
      <c r="B2725" s="6"/>
      <c r="C2725" s="6"/>
      <c r="D2725" s="6"/>
      <c r="E2725" s="6"/>
      <c r="F2725" s="6"/>
      <c r="G2725" s="6"/>
    </row>
    <row r="2726" spans="1:7" x14ac:dyDescent="0.25">
      <c r="A2726" s="6" t="s">
        <v>7879</v>
      </c>
      <c r="B2726" s="6"/>
      <c r="C2726" s="6"/>
      <c r="D2726" s="6"/>
      <c r="E2726" s="6"/>
      <c r="F2726" s="6"/>
      <c r="G2726" s="6"/>
    </row>
    <row r="2727" spans="1:7" x14ac:dyDescent="0.25">
      <c r="A2727" s="6" t="s">
        <v>7876</v>
      </c>
      <c r="B2727" s="6"/>
      <c r="C2727" s="6"/>
      <c r="D2727" s="6"/>
      <c r="E2727" s="6"/>
      <c r="F2727" s="6"/>
      <c r="G2727" s="6"/>
    </row>
    <row r="2728" spans="1:7" x14ac:dyDescent="0.25">
      <c r="A2728" s="6" t="s">
        <v>7873</v>
      </c>
      <c r="B2728" s="6"/>
      <c r="C2728" s="6"/>
      <c r="D2728" s="6"/>
      <c r="E2728" s="6"/>
      <c r="F2728" s="6"/>
      <c r="G2728" s="6"/>
    </row>
    <row r="2729" spans="1:7" x14ac:dyDescent="0.25">
      <c r="A2729" s="6" t="s">
        <v>957</v>
      </c>
      <c r="B2729" s="6"/>
      <c r="C2729" s="6"/>
      <c r="D2729" s="6"/>
      <c r="E2729" s="6"/>
      <c r="F2729" s="6"/>
      <c r="G2729" s="6"/>
    </row>
    <row r="2730" spans="1:7" x14ac:dyDescent="0.25">
      <c r="A2730" s="6" t="s">
        <v>7869</v>
      </c>
      <c r="B2730" s="6"/>
      <c r="C2730" s="6"/>
      <c r="D2730" s="6"/>
      <c r="E2730" s="6"/>
      <c r="F2730" s="6"/>
      <c r="G2730" s="6"/>
    </row>
    <row r="2731" spans="1:7" x14ac:dyDescent="0.25">
      <c r="A2731" s="6" t="s">
        <v>7866</v>
      </c>
      <c r="B2731" s="6"/>
      <c r="C2731" s="6"/>
      <c r="D2731" s="6"/>
      <c r="E2731" s="6"/>
      <c r="F2731" s="6"/>
      <c r="G2731" s="6"/>
    </row>
    <row r="2732" spans="1:7" x14ac:dyDescent="0.25">
      <c r="A2732" s="6" t="s">
        <v>957</v>
      </c>
      <c r="B2732" s="6"/>
      <c r="C2732" s="6"/>
      <c r="D2732" s="6"/>
      <c r="E2732" s="6"/>
      <c r="F2732" s="6"/>
      <c r="G2732" s="6"/>
    </row>
    <row r="2733" spans="1:7" x14ac:dyDescent="0.25">
      <c r="A2733" s="6" t="s">
        <v>7861</v>
      </c>
      <c r="B2733" s="6"/>
      <c r="C2733" s="6"/>
      <c r="D2733" s="6"/>
      <c r="E2733" s="6"/>
      <c r="F2733" s="6"/>
      <c r="G2733" s="6"/>
    </row>
    <row r="2734" spans="1:7" x14ac:dyDescent="0.25">
      <c r="A2734" s="6" t="s">
        <v>7858</v>
      </c>
      <c r="B2734" s="6"/>
      <c r="C2734" s="6"/>
      <c r="D2734" s="6"/>
      <c r="E2734" s="6"/>
      <c r="F2734" s="6"/>
      <c r="G2734" s="6"/>
    </row>
    <row r="2735" spans="1:7" x14ac:dyDescent="0.25">
      <c r="A2735" s="6" t="s">
        <v>6754</v>
      </c>
      <c r="B2735" s="6"/>
      <c r="C2735" s="6"/>
      <c r="D2735" s="6"/>
      <c r="E2735" s="6"/>
      <c r="F2735" s="6"/>
      <c r="G2735" s="6"/>
    </row>
    <row r="2736" spans="1:7" x14ac:dyDescent="0.25">
      <c r="A2736" s="6" t="s">
        <v>6751</v>
      </c>
      <c r="B2736" s="6"/>
      <c r="C2736" s="6"/>
      <c r="D2736" s="6"/>
      <c r="E2736" s="6"/>
      <c r="F2736" s="6"/>
      <c r="G2736" s="6"/>
    </row>
    <row r="2737" spans="1:7" x14ac:dyDescent="0.25">
      <c r="A2737" s="6" t="s">
        <v>6748</v>
      </c>
      <c r="B2737" s="6"/>
      <c r="C2737" s="6"/>
      <c r="D2737" s="6"/>
      <c r="E2737" s="6"/>
      <c r="F2737" s="6"/>
      <c r="G2737" s="6"/>
    </row>
    <row r="2738" spans="1:7" x14ac:dyDescent="0.25">
      <c r="A2738" s="6" t="s">
        <v>6745</v>
      </c>
      <c r="B2738" s="6"/>
      <c r="C2738" s="6"/>
      <c r="D2738" s="6"/>
      <c r="E2738" s="6"/>
      <c r="F2738" s="6"/>
      <c r="G2738" s="6"/>
    </row>
    <row r="2739" spans="1:7" x14ac:dyDescent="0.25">
      <c r="A2739" s="6" t="s">
        <v>6742</v>
      </c>
      <c r="B2739" s="6"/>
      <c r="C2739" s="6"/>
      <c r="D2739" s="6"/>
      <c r="E2739" s="6"/>
      <c r="F2739" s="6"/>
      <c r="G2739" s="6"/>
    </row>
    <row r="2740" spans="1:7" x14ac:dyDescent="0.25">
      <c r="A2740" s="6" t="s">
        <v>6739</v>
      </c>
      <c r="B2740" s="6"/>
      <c r="C2740" s="6"/>
      <c r="D2740" s="6"/>
      <c r="E2740" s="6"/>
      <c r="F2740" s="6"/>
      <c r="G2740" s="6"/>
    </row>
    <row r="2741" spans="1:7" x14ac:dyDescent="0.25">
      <c r="A2741" s="6" t="s">
        <v>6736</v>
      </c>
      <c r="B2741" s="6"/>
      <c r="C2741" s="6"/>
      <c r="D2741" s="6"/>
      <c r="E2741" s="6"/>
      <c r="F2741" s="6"/>
      <c r="G2741" s="6"/>
    </row>
    <row r="2742" spans="1:7" x14ac:dyDescent="0.25">
      <c r="A2742" s="6" t="s">
        <v>6733</v>
      </c>
      <c r="B2742" s="6"/>
      <c r="C2742" s="6"/>
      <c r="D2742" s="6"/>
      <c r="E2742" s="6"/>
      <c r="F2742" s="6"/>
      <c r="G2742" s="6"/>
    </row>
    <row r="2743" spans="1:7" x14ac:dyDescent="0.25">
      <c r="A2743" s="6" t="s">
        <v>957</v>
      </c>
      <c r="B2743" s="6"/>
      <c r="C2743" s="6"/>
      <c r="D2743" s="6"/>
      <c r="E2743" s="6"/>
      <c r="F2743" s="6"/>
      <c r="G2743" s="6"/>
    </row>
    <row r="2744" spans="1:7" x14ac:dyDescent="0.25">
      <c r="A2744" s="6" t="s">
        <v>957</v>
      </c>
      <c r="B2744" s="6"/>
      <c r="C2744" s="6"/>
      <c r="D2744" s="6"/>
      <c r="E2744" s="6"/>
      <c r="F2744" s="6"/>
      <c r="G2744" s="6"/>
    </row>
    <row r="2745" spans="1:7" x14ac:dyDescent="0.25">
      <c r="A2745" s="6" t="s">
        <v>6728</v>
      </c>
      <c r="B2745" s="6"/>
      <c r="C2745" s="6"/>
      <c r="D2745" s="6"/>
      <c r="E2745" s="6"/>
      <c r="F2745" s="6"/>
      <c r="G2745" s="6"/>
    </row>
    <row r="2746" spans="1:7" x14ac:dyDescent="0.25">
      <c r="A2746" s="6" t="s">
        <v>7820</v>
      </c>
      <c r="B2746" s="6"/>
      <c r="C2746" s="6"/>
      <c r="D2746" s="6"/>
      <c r="E2746" s="6"/>
      <c r="F2746" s="6"/>
      <c r="G2746" s="6"/>
    </row>
    <row r="2747" spans="1:7" x14ac:dyDescent="0.25">
      <c r="A2747" s="6" t="s">
        <v>7817</v>
      </c>
      <c r="B2747" s="6"/>
      <c r="C2747" s="6"/>
      <c r="D2747" s="6"/>
      <c r="E2747" s="6"/>
      <c r="F2747" s="6"/>
      <c r="G2747" s="6"/>
    </row>
    <row r="2748" spans="1:7" x14ac:dyDescent="0.25">
      <c r="A2748" s="6" t="s">
        <v>957</v>
      </c>
      <c r="B2748" s="6"/>
      <c r="C2748" s="6"/>
      <c r="D2748" s="6"/>
      <c r="E2748" s="6"/>
      <c r="F2748" s="6"/>
      <c r="G2748" s="6"/>
    </row>
    <row r="2749" spans="1:7" x14ac:dyDescent="0.25">
      <c r="A2749" s="6" t="s">
        <v>7813</v>
      </c>
      <c r="B2749" s="6"/>
      <c r="C2749" s="6"/>
      <c r="D2749" s="6"/>
      <c r="E2749" s="6"/>
      <c r="F2749" s="6"/>
      <c r="G2749" s="6"/>
    </row>
    <row r="2750" spans="1:7" x14ac:dyDescent="0.25">
      <c r="A2750" s="6" t="s">
        <v>7810</v>
      </c>
      <c r="B2750" s="6"/>
      <c r="C2750" s="6"/>
      <c r="D2750" s="6"/>
      <c r="E2750" s="6"/>
      <c r="F2750" s="6"/>
      <c r="G2750" s="6"/>
    </row>
    <row r="2751" spans="1:7" x14ac:dyDescent="0.25">
      <c r="A2751" s="6" t="s">
        <v>7807</v>
      </c>
      <c r="B2751" s="6"/>
      <c r="C2751" s="6"/>
      <c r="D2751" s="6"/>
      <c r="E2751" s="6"/>
      <c r="F2751" s="6"/>
      <c r="G2751" s="6"/>
    </row>
    <row r="2752" spans="1:7" x14ac:dyDescent="0.25">
      <c r="A2752" s="6" t="s">
        <v>7804</v>
      </c>
      <c r="B2752" s="6"/>
      <c r="C2752" s="6"/>
      <c r="D2752" s="6"/>
      <c r="E2752" s="6"/>
      <c r="F2752" s="6"/>
      <c r="G2752" s="6"/>
    </row>
    <row r="2753" spans="1:7" x14ac:dyDescent="0.25">
      <c r="A2753" s="6" t="s">
        <v>7801</v>
      </c>
      <c r="B2753" s="6"/>
      <c r="C2753" s="6"/>
      <c r="D2753" s="6"/>
      <c r="E2753" s="6"/>
      <c r="F2753" s="6"/>
      <c r="G2753" s="6"/>
    </row>
    <row r="2754" spans="1:7" x14ac:dyDescent="0.25">
      <c r="A2754" s="6" t="s">
        <v>7798</v>
      </c>
      <c r="B2754" s="6"/>
      <c r="C2754" s="6"/>
      <c r="D2754" s="6"/>
      <c r="E2754" s="6"/>
      <c r="F2754" s="6"/>
      <c r="G2754" s="6"/>
    </row>
    <row r="2755" spans="1:7" x14ac:dyDescent="0.25">
      <c r="A2755" s="6" t="s">
        <v>7796</v>
      </c>
      <c r="B2755" s="6"/>
      <c r="C2755" s="6"/>
      <c r="D2755" s="6"/>
      <c r="E2755" s="6"/>
      <c r="F2755" s="6"/>
      <c r="G2755" s="6"/>
    </row>
    <row r="2756" spans="1:7" x14ac:dyDescent="0.25">
      <c r="A2756" s="6" t="s">
        <v>957</v>
      </c>
      <c r="B2756" s="6"/>
      <c r="C2756" s="6"/>
      <c r="D2756" s="6"/>
      <c r="E2756" s="6"/>
      <c r="F2756" s="6"/>
      <c r="G2756" s="6"/>
    </row>
    <row r="2757" spans="1:7" x14ac:dyDescent="0.25">
      <c r="A2757" s="6" t="s">
        <v>7791</v>
      </c>
      <c r="B2757" s="6"/>
      <c r="C2757" s="6"/>
      <c r="D2757" s="6"/>
      <c r="E2757" s="6"/>
      <c r="F2757" s="6"/>
      <c r="G2757" s="6"/>
    </row>
    <row r="2758" spans="1:7" x14ac:dyDescent="0.25">
      <c r="A2758" s="6" t="s">
        <v>7789</v>
      </c>
      <c r="B2758" s="6"/>
      <c r="C2758" s="6"/>
      <c r="D2758" s="6"/>
      <c r="E2758" s="6"/>
      <c r="F2758" s="6"/>
      <c r="G2758" s="6"/>
    </row>
    <row r="2759" spans="1:7" x14ac:dyDescent="0.25">
      <c r="A2759" s="6" t="s">
        <v>7786</v>
      </c>
      <c r="B2759" s="6"/>
      <c r="C2759" s="6"/>
      <c r="D2759" s="6"/>
      <c r="E2759" s="6"/>
      <c r="F2759" s="6"/>
      <c r="G2759" s="6"/>
    </row>
    <row r="2760" spans="1:7" x14ac:dyDescent="0.25">
      <c r="A2760" s="6" t="s">
        <v>7784</v>
      </c>
      <c r="B2760" s="6"/>
      <c r="C2760" s="6"/>
      <c r="D2760" s="6"/>
      <c r="E2760" s="6"/>
      <c r="F2760" s="6"/>
      <c r="G2760" s="6"/>
    </row>
    <row r="2761" spans="1:7" x14ac:dyDescent="0.25">
      <c r="A2761" s="6" t="s">
        <v>957</v>
      </c>
      <c r="B2761" s="6"/>
      <c r="C2761" s="6"/>
      <c r="D2761" s="6"/>
      <c r="E2761" s="6"/>
      <c r="F2761" s="6"/>
      <c r="G2761" s="6"/>
    </row>
    <row r="2762" spans="1:7" x14ac:dyDescent="0.25">
      <c r="A2762" s="6" t="s">
        <v>6694</v>
      </c>
      <c r="B2762" s="6"/>
      <c r="C2762" s="6"/>
      <c r="D2762" s="6"/>
      <c r="E2762" s="6"/>
      <c r="F2762" s="6"/>
      <c r="G2762" s="6"/>
    </row>
    <row r="2763" spans="1:7" x14ac:dyDescent="0.25">
      <c r="A2763" s="6" t="s">
        <v>6691</v>
      </c>
      <c r="B2763" s="6"/>
      <c r="C2763" s="6"/>
      <c r="D2763" s="6"/>
      <c r="E2763" s="6"/>
      <c r="F2763" s="6"/>
      <c r="G2763" s="6"/>
    </row>
    <row r="2764" spans="1:7" x14ac:dyDescent="0.25">
      <c r="A2764" s="6" t="s">
        <v>6688</v>
      </c>
      <c r="B2764" s="6"/>
      <c r="C2764" s="6"/>
      <c r="D2764" s="6"/>
      <c r="E2764" s="6"/>
      <c r="F2764" s="6"/>
      <c r="G2764" s="6"/>
    </row>
    <row r="2765" spans="1:7" x14ac:dyDescent="0.25">
      <c r="A2765" s="6" t="s">
        <v>6685</v>
      </c>
      <c r="B2765" s="6"/>
      <c r="C2765" s="6"/>
      <c r="D2765" s="6"/>
      <c r="E2765" s="6"/>
      <c r="F2765" s="6"/>
      <c r="G2765" s="6"/>
    </row>
    <row r="2766" spans="1:7" x14ac:dyDescent="0.25">
      <c r="A2766" s="6" t="s">
        <v>6682</v>
      </c>
      <c r="B2766" s="6"/>
      <c r="C2766" s="6"/>
      <c r="D2766" s="6"/>
      <c r="E2766" s="6"/>
      <c r="F2766" s="6"/>
      <c r="G2766" s="6"/>
    </row>
    <row r="2767" spans="1:7" x14ac:dyDescent="0.25">
      <c r="A2767" s="6" t="s">
        <v>6679</v>
      </c>
      <c r="B2767" s="6"/>
      <c r="C2767" s="6"/>
      <c r="D2767" s="6"/>
      <c r="E2767" s="6"/>
      <c r="F2767" s="6"/>
      <c r="G2767" s="6"/>
    </row>
    <row r="2768" spans="1:7" x14ac:dyDescent="0.25">
      <c r="A2768" s="6" t="s">
        <v>957</v>
      </c>
      <c r="B2768" s="6"/>
      <c r="C2768" s="6"/>
      <c r="D2768" s="6"/>
      <c r="E2768" s="6"/>
      <c r="F2768" s="6"/>
      <c r="G2768" s="6"/>
    </row>
    <row r="2769" spans="1:7" x14ac:dyDescent="0.25">
      <c r="A2769" s="6" t="s">
        <v>6675</v>
      </c>
      <c r="B2769" s="6"/>
      <c r="C2769" s="6"/>
      <c r="D2769" s="6"/>
      <c r="E2769" s="6"/>
      <c r="F2769" s="6"/>
      <c r="G2769" s="6"/>
    </row>
    <row r="2770" spans="1:7" x14ac:dyDescent="0.25">
      <c r="A2770" s="6" t="s">
        <v>6672</v>
      </c>
      <c r="B2770" s="6"/>
      <c r="C2770" s="6"/>
      <c r="D2770" s="6"/>
      <c r="E2770" s="6"/>
      <c r="F2770" s="6"/>
      <c r="G2770" s="6"/>
    </row>
    <row r="2771" spans="1:7" x14ac:dyDescent="0.25">
      <c r="A2771" s="6" t="s">
        <v>6669</v>
      </c>
      <c r="B2771" s="6"/>
      <c r="C2771" s="6"/>
      <c r="D2771" s="6"/>
      <c r="E2771" s="6"/>
      <c r="F2771" s="6"/>
      <c r="G2771" s="6"/>
    </row>
    <row r="2772" spans="1:7" x14ac:dyDescent="0.25">
      <c r="A2772" s="6" t="s">
        <v>6666</v>
      </c>
      <c r="B2772" s="6"/>
      <c r="C2772" s="6"/>
      <c r="D2772" s="6"/>
      <c r="E2772" s="6"/>
      <c r="F2772" s="6"/>
      <c r="G2772" s="6"/>
    </row>
    <row r="2773" spans="1:7" x14ac:dyDescent="0.25">
      <c r="A2773" s="6" t="s">
        <v>6663</v>
      </c>
      <c r="B2773" s="6"/>
      <c r="C2773" s="6"/>
      <c r="D2773" s="6"/>
      <c r="E2773" s="6"/>
      <c r="F2773" s="6"/>
      <c r="G2773" s="6"/>
    </row>
    <row r="2774" spans="1:7" x14ac:dyDescent="0.25">
      <c r="A2774" s="6" t="s">
        <v>6661</v>
      </c>
      <c r="B2774" s="6"/>
      <c r="C2774" s="6"/>
      <c r="D2774" s="6"/>
      <c r="E2774" s="6"/>
      <c r="F2774" s="6"/>
      <c r="G2774" s="6"/>
    </row>
    <row r="2775" spans="1:7" x14ac:dyDescent="0.25">
      <c r="A2775" s="6" t="s">
        <v>6658</v>
      </c>
      <c r="B2775" s="6"/>
      <c r="C2775" s="6"/>
      <c r="D2775" s="6"/>
      <c r="E2775" s="6"/>
      <c r="F2775" s="6"/>
      <c r="G2775" s="6"/>
    </row>
    <row r="2776" spans="1:7" x14ac:dyDescent="0.25">
      <c r="A2776" s="6" t="s">
        <v>957</v>
      </c>
      <c r="B2776" s="6"/>
      <c r="C2776" s="6"/>
      <c r="D2776" s="6"/>
      <c r="E2776" s="6"/>
      <c r="F2776" s="6"/>
      <c r="G2776" s="6"/>
    </row>
    <row r="2777" spans="1:7" x14ac:dyDescent="0.25">
      <c r="A2777" s="6" t="s">
        <v>957</v>
      </c>
      <c r="B2777" s="6"/>
      <c r="C2777" s="6"/>
      <c r="D2777" s="6"/>
      <c r="E2777" s="6"/>
      <c r="F2777" s="6"/>
      <c r="G2777" s="6"/>
    </row>
    <row r="2778" spans="1:7" x14ac:dyDescent="0.25">
      <c r="A2778" s="6" t="s">
        <v>6653</v>
      </c>
      <c r="B2778" s="6"/>
      <c r="C2778" s="6"/>
      <c r="D2778" s="6"/>
      <c r="E2778" s="6"/>
      <c r="F2778" s="6"/>
      <c r="G2778" s="6"/>
    </row>
    <row r="2779" spans="1:7" x14ac:dyDescent="0.25">
      <c r="A2779" s="6" t="s">
        <v>6650</v>
      </c>
      <c r="B2779" s="6"/>
      <c r="C2779" s="6"/>
      <c r="D2779" s="6"/>
      <c r="E2779" s="6"/>
      <c r="F2779" s="6"/>
      <c r="G2779" s="6"/>
    </row>
    <row r="2780" spans="1:7" x14ac:dyDescent="0.25">
      <c r="A2780" s="6" t="s">
        <v>6647</v>
      </c>
      <c r="B2780" s="6"/>
      <c r="C2780" s="6"/>
      <c r="D2780" s="6"/>
      <c r="E2780" s="6"/>
      <c r="F2780" s="6"/>
      <c r="G2780" s="6"/>
    </row>
    <row r="2781" spans="1:7" x14ac:dyDescent="0.25">
      <c r="A2781" s="6" t="s">
        <v>957</v>
      </c>
      <c r="B2781" s="6"/>
      <c r="C2781" s="6"/>
      <c r="D2781" s="6"/>
      <c r="E2781" s="6"/>
      <c r="F2781" s="6"/>
      <c r="G2781" s="6"/>
    </row>
    <row r="2782" spans="1:7" x14ac:dyDescent="0.25">
      <c r="A2782" s="6" t="s">
        <v>6643</v>
      </c>
      <c r="B2782" s="6"/>
      <c r="C2782" s="6"/>
      <c r="D2782" s="6"/>
      <c r="E2782" s="6"/>
      <c r="F2782" s="6"/>
      <c r="G2782" s="6"/>
    </row>
    <row r="2783" spans="1:7" x14ac:dyDescent="0.25">
      <c r="A2783" s="6" t="s">
        <v>957</v>
      </c>
      <c r="B2783" s="6"/>
      <c r="C2783" s="6"/>
      <c r="D2783" s="6"/>
      <c r="E2783" s="6"/>
      <c r="F2783" s="6"/>
      <c r="G2783" s="6"/>
    </row>
    <row r="2784" spans="1:7" x14ac:dyDescent="0.25">
      <c r="A2784" s="6" t="s">
        <v>957</v>
      </c>
      <c r="B2784" s="6"/>
      <c r="C2784" s="6"/>
      <c r="D2784" s="6"/>
      <c r="E2784" s="6"/>
      <c r="F2784" s="6"/>
      <c r="G2784" s="6"/>
    </row>
    <row r="2785" spans="1:7" x14ac:dyDescent="0.25">
      <c r="A2785" s="6" t="s">
        <v>6637</v>
      </c>
      <c r="B2785" s="6"/>
      <c r="C2785" s="6"/>
      <c r="D2785" s="6"/>
      <c r="E2785" s="6"/>
      <c r="F2785" s="6"/>
      <c r="G2785" s="6"/>
    </row>
    <row r="2786" spans="1:7" x14ac:dyDescent="0.25">
      <c r="A2786" s="6" t="s">
        <v>957</v>
      </c>
      <c r="B2786" s="6"/>
      <c r="C2786" s="6"/>
      <c r="D2786" s="6"/>
      <c r="E2786" s="6"/>
      <c r="F2786" s="6"/>
      <c r="G2786" s="6"/>
    </row>
    <row r="2787" spans="1:7" x14ac:dyDescent="0.25">
      <c r="A2787" s="6" t="s">
        <v>6633</v>
      </c>
      <c r="B2787" s="6"/>
      <c r="C2787" s="6"/>
      <c r="D2787" s="6"/>
      <c r="E2787" s="6"/>
      <c r="F2787" s="6"/>
      <c r="G2787" s="6"/>
    </row>
    <row r="2788" spans="1:7" x14ac:dyDescent="0.25">
      <c r="A2788" s="6" t="s">
        <v>957</v>
      </c>
      <c r="B2788" s="6"/>
      <c r="C2788" s="6"/>
      <c r="D2788" s="6"/>
      <c r="E2788" s="6"/>
      <c r="F2788" s="6"/>
      <c r="G2788" s="6"/>
    </row>
    <row r="2789" spans="1:7" x14ac:dyDescent="0.25">
      <c r="A2789" s="6" t="s">
        <v>6629</v>
      </c>
      <c r="B2789" s="6"/>
      <c r="C2789" s="6"/>
      <c r="D2789" s="6"/>
      <c r="E2789" s="6"/>
      <c r="F2789" s="6"/>
      <c r="G2789" s="6"/>
    </row>
    <row r="2790" spans="1:7" x14ac:dyDescent="0.25">
      <c r="A2790" s="6" t="s">
        <v>957</v>
      </c>
      <c r="B2790" s="6"/>
      <c r="C2790" s="6"/>
      <c r="D2790" s="6"/>
      <c r="E2790" s="6"/>
      <c r="F2790" s="6"/>
      <c r="G2790" s="6"/>
    </row>
    <row r="2791" spans="1:7" x14ac:dyDescent="0.25">
      <c r="A2791" s="6" t="s">
        <v>957</v>
      </c>
      <c r="B2791" s="6"/>
      <c r="C2791" s="6"/>
      <c r="D2791" s="6"/>
      <c r="E2791" s="6"/>
      <c r="F2791" s="6"/>
      <c r="G2791" s="6"/>
    </row>
    <row r="2792" spans="1:7" x14ac:dyDescent="0.25">
      <c r="A2792" s="6" t="s">
        <v>6623</v>
      </c>
      <c r="B2792" s="6"/>
      <c r="C2792" s="6"/>
      <c r="D2792" s="6"/>
      <c r="E2792" s="6"/>
      <c r="F2792" s="6"/>
      <c r="G2792" s="6"/>
    </row>
    <row r="2793" spans="1:7" x14ac:dyDescent="0.25">
      <c r="A2793" s="6" t="s">
        <v>6620</v>
      </c>
      <c r="B2793" s="6"/>
      <c r="C2793" s="6"/>
      <c r="D2793" s="6"/>
      <c r="E2793" s="6"/>
      <c r="F2793" s="6"/>
      <c r="G2793" s="6"/>
    </row>
    <row r="2794" spans="1:7" x14ac:dyDescent="0.25">
      <c r="A2794" s="6" t="s">
        <v>6617</v>
      </c>
      <c r="B2794" s="6"/>
      <c r="C2794" s="6"/>
      <c r="D2794" s="6"/>
      <c r="E2794" s="6"/>
      <c r="F2794" s="6"/>
      <c r="G2794" s="6"/>
    </row>
    <row r="2795" spans="1:7" x14ac:dyDescent="0.25">
      <c r="A2795" s="6" t="s">
        <v>957</v>
      </c>
      <c r="B2795" s="6"/>
      <c r="C2795" s="6"/>
      <c r="D2795" s="6"/>
      <c r="E2795" s="6"/>
      <c r="F2795" s="6"/>
      <c r="G2795" s="6"/>
    </row>
    <row r="2796" spans="1:7" x14ac:dyDescent="0.25">
      <c r="A2796" s="6" t="s">
        <v>6613</v>
      </c>
      <c r="B2796" s="6"/>
      <c r="C2796" s="6"/>
      <c r="D2796" s="6"/>
      <c r="E2796" s="6"/>
      <c r="F2796" s="6"/>
      <c r="G2796" s="6"/>
    </row>
    <row r="2797" spans="1:7" x14ac:dyDescent="0.25">
      <c r="A2797" s="6" t="s">
        <v>957</v>
      </c>
      <c r="B2797" s="6"/>
      <c r="C2797" s="6"/>
      <c r="D2797" s="6"/>
      <c r="E2797" s="6"/>
      <c r="F2797" s="6"/>
      <c r="G2797" s="6"/>
    </row>
    <row r="2798" spans="1:7" x14ac:dyDescent="0.25">
      <c r="A2798" s="6" t="s">
        <v>6608</v>
      </c>
      <c r="B2798" s="6"/>
      <c r="C2798" s="6"/>
      <c r="D2798" s="6"/>
      <c r="E2798" s="6"/>
      <c r="F2798" s="6"/>
      <c r="G2798" s="6"/>
    </row>
    <row r="2799" spans="1:7" x14ac:dyDescent="0.25">
      <c r="A2799" s="6" t="s">
        <v>6605</v>
      </c>
      <c r="B2799" s="6"/>
      <c r="C2799" s="6"/>
      <c r="D2799" s="6"/>
      <c r="E2799" s="6"/>
      <c r="F2799" s="6"/>
      <c r="G2799" s="6"/>
    </row>
    <row r="2800" spans="1:7" x14ac:dyDescent="0.25">
      <c r="A2800" s="6" t="s">
        <v>6602</v>
      </c>
      <c r="B2800" s="6"/>
      <c r="C2800" s="6"/>
      <c r="D2800" s="6"/>
      <c r="E2800" s="6"/>
      <c r="F2800" s="6"/>
      <c r="G2800" s="6"/>
    </row>
    <row r="2801" spans="1:7" x14ac:dyDescent="0.25">
      <c r="A2801" s="6" t="s">
        <v>7687</v>
      </c>
      <c r="B2801" s="6"/>
      <c r="C2801" s="6"/>
      <c r="D2801" s="6"/>
      <c r="E2801" s="6"/>
      <c r="F2801" s="6"/>
      <c r="G2801" s="6"/>
    </row>
    <row r="2802" spans="1:7" x14ac:dyDescent="0.25">
      <c r="A2802" s="6" t="s">
        <v>7684</v>
      </c>
      <c r="B2802" s="6"/>
      <c r="C2802" s="6"/>
      <c r="D2802" s="6"/>
      <c r="E2802" s="6"/>
      <c r="F2802" s="6"/>
      <c r="G2802" s="6"/>
    </row>
    <row r="2803" spans="1:7" x14ac:dyDescent="0.25">
      <c r="A2803" s="6" t="s">
        <v>957</v>
      </c>
      <c r="B2803" s="6"/>
      <c r="C2803" s="6"/>
      <c r="D2803" s="6"/>
      <c r="E2803" s="6"/>
      <c r="F2803" s="6"/>
      <c r="G2803" s="6"/>
    </row>
    <row r="2804" spans="1:7" x14ac:dyDescent="0.25">
      <c r="A2804" s="6" t="s">
        <v>7681</v>
      </c>
      <c r="B2804" s="6"/>
      <c r="C2804" s="6"/>
      <c r="D2804" s="6"/>
      <c r="E2804" s="6"/>
      <c r="F2804" s="6"/>
      <c r="G2804" s="6"/>
    </row>
    <row r="2805" spans="1:7" x14ac:dyDescent="0.25">
      <c r="A2805" s="6" t="s">
        <v>7678</v>
      </c>
      <c r="B2805" s="6"/>
      <c r="C2805" s="6"/>
      <c r="D2805" s="6"/>
      <c r="E2805" s="6"/>
      <c r="F2805" s="6"/>
      <c r="G2805" s="6"/>
    </row>
    <row r="2806" spans="1:7" x14ac:dyDescent="0.25">
      <c r="A2806" s="6" t="s">
        <v>7675</v>
      </c>
      <c r="B2806" s="6"/>
      <c r="C2806" s="6"/>
      <c r="D2806" s="6"/>
      <c r="E2806" s="6"/>
      <c r="F2806" s="6"/>
      <c r="G2806" s="6"/>
    </row>
    <row r="2807" spans="1:7" x14ac:dyDescent="0.25">
      <c r="A2807" s="6" t="s">
        <v>957</v>
      </c>
      <c r="B2807" s="6"/>
      <c r="C2807" s="6"/>
      <c r="D2807" s="6"/>
      <c r="E2807" s="6"/>
      <c r="F2807" s="6"/>
      <c r="G2807" s="6"/>
    </row>
    <row r="2808" spans="1:7" x14ac:dyDescent="0.25">
      <c r="A2808" s="6" t="s">
        <v>7672</v>
      </c>
      <c r="B2808" s="6"/>
      <c r="C2808" s="6"/>
      <c r="D2808" s="6"/>
      <c r="E2808" s="6"/>
      <c r="F2808" s="6"/>
      <c r="G2808" s="6"/>
    </row>
    <row r="2809" spans="1:7" x14ac:dyDescent="0.25">
      <c r="A2809" s="6" t="s">
        <v>957</v>
      </c>
      <c r="B2809" s="6"/>
      <c r="C2809" s="6"/>
      <c r="D2809" s="6"/>
      <c r="E2809" s="6"/>
      <c r="F2809" s="6"/>
      <c r="G2809" s="6"/>
    </row>
    <row r="2810" spans="1:7" x14ac:dyDescent="0.25">
      <c r="A2810" s="6" t="s">
        <v>7668</v>
      </c>
      <c r="B2810" s="6"/>
      <c r="C2810" s="6"/>
      <c r="D2810" s="6"/>
      <c r="E2810" s="6"/>
      <c r="F2810" s="6"/>
      <c r="G2810" s="6"/>
    </row>
    <row r="2811" spans="1:7" x14ac:dyDescent="0.25">
      <c r="A2811" s="6" t="s">
        <v>7666</v>
      </c>
      <c r="B2811" s="6"/>
      <c r="C2811" s="6"/>
      <c r="D2811" s="6"/>
      <c r="E2811" s="6"/>
      <c r="F2811" s="6"/>
      <c r="G2811" s="6"/>
    </row>
    <row r="2812" spans="1:7" x14ac:dyDescent="0.25">
      <c r="A2812" s="6" t="s">
        <v>7663</v>
      </c>
      <c r="B2812" s="6"/>
      <c r="C2812" s="6"/>
      <c r="D2812" s="6"/>
      <c r="E2812" s="6"/>
      <c r="F2812" s="6"/>
      <c r="G2812" s="6"/>
    </row>
    <row r="2813" spans="1:7" x14ac:dyDescent="0.25">
      <c r="A2813" s="6" t="s">
        <v>7660</v>
      </c>
      <c r="B2813" s="6"/>
      <c r="C2813" s="6"/>
      <c r="D2813" s="6"/>
      <c r="E2813" s="6"/>
      <c r="F2813" s="6"/>
      <c r="G2813" s="6"/>
    </row>
    <row r="2814" spans="1:7" x14ac:dyDescent="0.25">
      <c r="A2814" s="6" t="s">
        <v>7657</v>
      </c>
      <c r="B2814" s="6"/>
      <c r="C2814" s="6"/>
      <c r="D2814" s="6"/>
      <c r="E2814" s="6"/>
      <c r="F2814" s="6"/>
      <c r="G2814" s="6"/>
    </row>
    <row r="2815" spans="1:7" x14ac:dyDescent="0.25">
      <c r="A2815" s="6" t="s">
        <v>7655</v>
      </c>
      <c r="B2815" s="6"/>
      <c r="C2815" s="6"/>
      <c r="D2815" s="6"/>
      <c r="E2815" s="6"/>
      <c r="F2815" s="6"/>
      <c r="G2815" s="6"/>
    </row>
    <row r="2816" spans="1:7" x14ac:dyDescent="0.25">
      <c r="A2816" s="6" t="s">
        <v>957</v>
      </c>
      <c r="B2816" s="6"/>
      <c r="C2816" s="6"/>
      <c r="D2816" s="6"/>
      <c r="E2816" s="6"/>
      <c r="F2816" s="6"/>
      <c r="G2816" s="6"/>
    </row>
    <row r="2817" spans="1:7" x14ac:dyDescent="0.25">
      <c r="A2817" s="6" t="s">
        <v>7651</v>
      </c>
      <c r="B2817" s="6"/>
      <c r="C2817" s="6"/>
      <c r="D2817" s="6"/>
      <c r="E2817" s="6"/>
      <c r="F2817" s="6"/>
      <c r="G2817" s="6"/>
    </row>
    <row r="2818" spans="1:7" x14ac:dyDescent="0.25">
      <c r="A2818" s="6" t="s">
        <v>7648</v>
      </c>
      <c r="B2818" s="6"/>
      <c r="C2818" s="6"/>
      <c r="D2818" s="6"/>
      <c r="E2818" s="6"/>
      <c r="F2818" s="6"/>
      <c r="G2818" s="6"/>
    </row>
    <row r="2819" spans="1:7" x14ac:dyDescent="0.25">
      <c r="A2819" s="6" t="s">
        <v>6572</v>
      </c>
      <c r="B2819" s="6"/>
      <c r="C2819" s="6"/>
      <c r="D2819" s="6"/>
      <c r="E2819" s="6"/>
      <c r="F2819" s="6"/>
      <c r="G2819" s="6"/>
    </row>
    <row r="2820" spans="1:7" x14ac:dyDescent="0.25">
      <c r="A2820" s="6" t="s">
        <v>6570</v>
      </c>
      <c r="B2820" s="6"/>
      <c r="C2820" s="6"/>
      <c r="D2820" s="6"/>
      <c r="E2820" s="6"/>
      <c r="F2820" s="6"/>
      <c r="G2820" s="6"/>
    </row>
    <row r="2821" spans="1:7" x14ac:dyDescent="0.25">
      <c r="A2821" s="6" t="s">
        <v>6567</v>
      </c>
      <c r="B2821" s="6"/>
      <c r="C2821" s="6"/>
      <c r="D2821" s="6"/>
      <c r="E2821" s="6"/>
      <c r="F2821" s="6"/>
      <c r="G2821" s="6"/>
    </row>
    <row r="2822" spans="1:7" x14ac:dyDescent="0.25">
      <c r="A2822" s="6" t="s">
        <v>6564</v>
      </c>
      <c r="B2822" s="6"/>
      <c r="C2822" s="6"/>
      <c r="D2822" s="6"/>
      <c r="E2822" s="6"/>
      <c r="F2822" s="6"/>
      <c r="G2822" s="6"/>
    </row>
    <row r="2823" spans="1:7" x14ac:dyDescent="0.25">
      <c r="A2823" s="6" t="s">
        <v>957</v>
      </c>
      <c r="B2823" s="6"/>
      <c r="C2823" s="6"/>
      <c r="D2823" s="6"/>
      <c r="E2823" s="6"/>
      <c r="F2823" s="6"/>
      <c r="G2823" s="6"/>
    </row>
    <row r="2824" spans="1:7" x14ac:dyDescent="0.25">
      <c r="A2824" s="6" t="s">
        <v>6559</v>
      </c>
      <c r="B2824" s="6"/>
      <c r="C2824" s="6"/>
      <c r="D2824" s="6"/>
      <c r="E2824" s="6"/>
      <c r="F2824" s="6"/>
      <c r="G2824" s="6"/>
    </row>
    <row r="2825" spans="1:7" x14ac:dyDescent="0.25">
      <c r="A2825" s="6" t="s">
        <v>6556</v>
      </c>
      <c r="B2825" s="6"/>
      <c r="C2825" s="6"/>
      <c r="D2825" s="6"/>
      <c r="E2825" s="6"/>
      <c r="F2825" s="6"/>
      <c r="G2825" s="6"/>
    </row>
    <row r="2826" spans="1:7" x14ac:dyDescent="0.25">
      <c r="A2826" s="6" t="s">
        <v>6553</v>
      </c>
      <c r="B2826" s="6"/>
      <c r="C2826" s="6"/>
      <c r="D2826" s="6"/>
      <c r="E2826" s="6"/>
      <c r="F2826" s="6"/>
      <c r="G2826" s="6"/>
    </row>
    <row r="2827" spans="1:7" x14ac:dyDescent="0.25">
      <c r="A2827" s="6" t="s">
        <v>6550</v>
      </c>
      <c r="B2827" s="6"/>
      <c r="C2827" s="6"/>
      <c r="D2827" s="6"/>
      <c r="E2827" s="6"/>
      <c r="F2827" s="6"/>
      <c r="G2827" s="6"/>
    </row>
    <row r="2828" spans="1:7" x14ac:dyDescent="0.25">
      <c r="A2828" s="6" t="s">
        <v>6547</v>
      </c>
      <c r="B2828" s="6"/>
      <c r="C2828" s="6"/>
      <c r="D2828" s="6"/>
      <c r="E2828" s="6"/>
      <c r="F2828" s="6"/>
      <c r="G2828" s="6"/>
    </row>
    <row r="2829" spans="1:7" x14ac:dyDescent="0.25">
      <c r="A2829" s="6" t="s">
        <v>7615</v>
      </c>
      <c r="B2829" s="6"/>
      <c r="C2829" s="6"/>
      <c r="D2829" s="6"/>
      <c r="E2829" s="6"/>
      <c r="F2829" s="6"/>
      <c r="G2829" s="6"/>
    </row>
    <row r="2830" spans="1:7" x14ac:dyDescent="0.25">
      <c r="A2830" s="6" t="s">
        <v>7612</v>
      </c>
      <c r="B2830" s="6"/>
      <c r="C2830" s="6"/>
      <c r="D2830" s="6"/>
      <c r="E2830" s="6"/>
      <c r="F2830" s="6"/>
      <c r="G2830" s="6"/>
    </row>
    <row r="2831" spans="1:7" x14ac:dyDescent="0.25">
      <c r="A2831" s="6" t="s">
        <v>7609</v>
      </c>
      <c r="B2831" s="6"/>
      <c r="C2831" s="6"/>
      <c r="D2831" s="6"/>
      <c r="E2831" s="6"/>
      <c r="F2831" s="6"/>
      <c r="G2831" s="6"/>
    </row>
    <row r="2832" spans="1:7" x14ac:dyDescent="0.25">
      <c r="A2832" s="6" t="s">
        <v>7606</v>
      </c>
      <c r="B2832" s="6"/>
      <c r="C2832" s="6"/>
      <c r="D2832" s="6"/>
      <c r="E2832" s="6"/>
      <c r="F2832" s="6"/>
      <c r="G2832" s="6"/>
    </row>
    <row r="2833" spans="1:7" x14ac:dyDescent="0.25">
      <c r="A2833" s="6" t="s">
        <v>7603</v>
      </c>
      <c r="B2833" s="6"/>
      <c r="C2833" s="6"/>
      <c r="D2833" s="6"/>
      <c r="E2833" s="6"/>
      <c r="F2833" s="6"/>
      <c r="G2833" s="6"/>
    </row>
    <row r="2834" spans="1:7" x14ac:dyDescent="0.25">
      <c r="A2834" s="6" t="s">
        <v>7601</v>
      </c>
      <c r="B2834" s="6"/>
      <c r="C2834" s="6"/>
      <c r="D2834" s="6"/>
      <c r="E2834" s="6"/>
      <c r="F2834" s="6"/>
      <c r="G2834" s="6"/>
    </row>
    <row r="2835" spans="1:7" x14ac:dyDescent="0.25">
      <c r="A2835" s="6" t="s">
        <v>957</v>
      </c>
      <c r="B2835" s="6"/>
      <c r="C2835" s="6"/>
      <c r="D2835" s="6"/>
      <c r="E2835" s="6"/>
      <c r="F2835" s="6"/>
      <c r="G2835" s="6"/>
    </row>
    <row r="2836" spans="1:7" x14ac:dyDescent="0.25">
      <c r="A2836" s="6" t="s">
        <v>7597</v>
      </c>
      <c r="B2836" s="6"/>
      <c r="C2836" s="6"/>
      <c r="D2836" s="6"/>
      <c r="E2836" s="6"/>
      <c r="F2836" s="6"/>
      <c r="G2836" s="6"/>
    </row>
    <row r="2837" spans="1:7" x14ac:dyDescent="0.25">
      <c r="A2837" s="6" t="s">
        <v>7594</v>
      </c>
      <c r="B2837" s="6"/>
      <c r="C2837" s="6"/>
      <c r="D2837" s="6"/>
      <c r="E2837" s="6"/>
      <c r="F2837" s="6"/>
      <c r="G2837" s="6"/>
    </row>
    <row r="2838" spans="1:7" x14ac:dyDescent="0.25">
      <c r="A2838" s="6" t="s">
        <v>7591</v>
      </c>
      <c r="B2838" s="6"/>
      <c r="C2838" s="6"/>
      <c r="D2838" s="6"/>
      <c r="E2838" s="6"/>
      <c r="F2838" s="6"/>
      <c r="G2838" s="6"/>
    </row>
    <row r="2839" spans="1:7" x14ac:dyDescent="0.25">
      <c r="A2839" s="6" t="s">
        <v>7588</v>
      </c>
      <c r="B2839" s="6"/>
      <c r="C2839" s="6"/>
      <c r="D2839" s="6"/>
      <c r="E2839" s="6"/>
      <c r="F2839" s="6"/>
      <c r="G2839" s="6"/>
    </row>
    <row r="2840" spans="1:7" x14ac:dyDescent="0.25">
      <c r="A2840" s="6" t="s">
        <v>7586</v>
      </c>
      <c r="B2840" s="6"/>
      <c r="C2840" s="6"/>
      <c r="D2840" s="6"/>
      <c r="E2840" s="6"/>
      <c r="F2840" s="6"/>
      <c r="G2840" s="6"/>
    </row>
    <row r="2841" spans="1:7" x14ac:dyDescent="0.25">
      <c r="A2841" s="6" t="s">
        <v>957</v>
      </c>
      <c r="B2841" s="6"/>
      <c r="C2841" s="6"/>
      <c r="D2841" s="6"/>
      <c r="E2841" s="6"/>
      <c r="F2841" s="6"/>
      <c r="G2841" s="6"/>
    </row>
    <row r="2842" spans="1:7" x14ac:dyDescent="0.25">
      <c r="A2842" s="6" t="s">
        <v>7582</v>
      </c>
      <c r="B2842" s="6"/>
      <c r="C2842" s="6"/>
      <c r="D2842" s="6"/>
      <c r="E2842" s="6"/>
      <c r="F2842" s="6"/>
      <c r="G2842" s="6"/>
    </row>
    <row r="2843" spans="1:7" x14ac:dyDescent="0.25">
      <c r="A2843" s="6" t="s">
        <v>7579</v>
      </c>
      <c r="B2843" s="6"/>
      <c r="C2843" s="6"/>
      <c r="D2843" s="6"/>
      <c r="E2843" s="6"/>
      <c r="F2843" s="6"/>
      <c r="G2843" s="6"/>
    </row>
    <row r="2844" spans="1:7" x14ac:dyDescent="0.25">
      <c r="A2844" s="6" t="s">
        <v>7576</v>
      </c>
      <c r="B2844" s="6"/>
      <c r="C2844" s="6"/>
      <c r="D2844" s="6"/>
      <c r="E2844" s="6"/>
      <c r="F2844" s="6"/>
      <c r="G2844" s="6"/>
    </row>
    <row r="2845" spans="1:7" x14ac:dyDescent="0.25">
      <c r="A2845" s="6" t="s">
        <v>7572</v>
      </c>
      <c r="B2845" s="6"/>
      <c r="C2845" s="6"/>
      <c r="D2845" s="6"/>
      <c r="E2845" s="6"/>
      <c r="F2845" s="6"/>
      <c r="G2845" s="6"/>
    </row>
    <row r="2846" spans="1:7" x14ac:dyDescent="0.25">
      <c r="A2846" s="6" t="s">
        <v>7572</v>
      </c>
      <c r="B2846" s="6"/>
      <c r="C2846" s="6"/>
      <c r="D2846" s="6"/>
      <c r="E2846" s="6"/>
      <c r="F2846" s="6"/>
      <c r="G2846" s="6"/>
    </row>
    <row r="2847" spans="1:7" x14ac:dyDescent="0.25">
      <c r="A2847" s="6" t="s">
        <v>7570</v>
      </c>
      <c r="B2847" s="6"/>
      <c r="C2847" s="6"/>
      <c r="D2847" s="6"/>
      <c r="E2847" s="6"/>
      <c r="F2847" s="6"/>
      <c r="G2847" s="6"/>
    </row>
    <row r="2848" spans="1:7" x14ac:dyDescent="0.25">
      <c r="A2848" s="6" t="s">
        <v>7567</v>
      </c>
      <c r="B2848" s="6"/>
      <c r="C2848" s="6"/>
      <c r="D2848" s="6"/>
      <c r="E2848" s="6"/>
      <c r="F2848" s="6"/>
      <c r="G2848" s="6"/>
    </row>
    <row r="2849" spans="1:7" x14ac:dyDescent="0.25">
      <c r="A2849" s="6" t="s">
        <v>7565</v>
      </c>
      <c r="B2849" s="6"/>
      <c r="C2849" s="6"/>
      <c r="D2849" s="6"/>
      <c r="E2849" s="6"/>
      <c r="F2849" s="6"/>
      <c r="G2849" s="6"/>
    </row>
    <row r="2850" spans="1:7" x14ac:dyDescent="0.25">
      <c r="A2850" s="6" t="s">
        <v>7562</v>
      </c>
      <c r="B2850" s="6"/>
      <c r="C2850" s="6"/>
      <c r="D2850" s="6"/>
      <c r="E2850" s="6"/>
      <c r="F2850" s="6"/>
      <c r="G2850" s="6"/>
    </row>
    <row r="2851" spans="1:7" x14ac:dyDescent="0.25">
      <c r="A2851" s="6" t="s">
        <v>7559</v>
      </c>
      <c r="B2851" s="6"/>
      <c r="C2851" s="6"/>
      <c r="D2851" s="6"/>
      <c r="E2851" s="6"/>
      <c r="F2851" s="6"/>
      <c r="G2851" s="6"/>
    </row>
    <row r="2852" spans="1:7" x14ac:dyDescent="0.25">
      <c r="A2852" s="6" t="s">
        <v>7556</v>
      </c>
      <c r="B2852" s="6"/>
      <c r="C2852" s="6"/>
      <c r="D2852" s="6"/>
      <c r="E2852" s="6"/>
      <c r="F2852" s="6"/>
      <c r="G2852" s="6"/>
    </row>
    <row r="2853" spans="1:7" x14ac:dyDescent="0.25">
      <c r="A2853" s="6" t="s">
        <v>7553</v>
      </c>
      <c r="B2853" s="6"/>
      <c r="C2853" s="6"/>
      <c r="D2853" s="6"/>
      <c r="E2853" s="6"/>
      <c r="F2853" s="6"/>
      <c r="G2853" s="6"/>
    </row>
    <row r="2854" spans="1:7" x14ac:dyDescent="0.25">
      <c r="A2854" s="6" t="s">
        <v>957</v>
      </c>
      <c r="B2854" s="6"/>
      <c r="C2854" s="6"/>
      <c r="D2854" s="6"/>
      <c r="E2854" s="6"/>
      <c r="F2854" s="6"/>
      <c r="G2854" s="6"/>
    </row>
    <row r="2855" spans="1:7" x14ac:dyDescent="0.25">
      <c r="A2855" s="6" t="s">
        <v>7549</v>
      </c>
      <c r="B2855" s="6"/>
      <c r="C2855" s="6"/>
      <c r="D2855" s="6"/>
      <c r="E2855" s="6"/>
      <c r="F2855" s="6"/>
      <c r="G2855" s="6"/>
    </row>
    <row r="2856" spans="1:7" x14ac:dyDescent="0.25">
      <c r="A2856" s="6" t="s">
        <v>957</v>
      </c>
      <c r="B2856" s="6"/>
      <c r="C2856" s="6"/>
      <c r="D2856" s="6"/>
      <c r="E2856" s="6"/>
      <c r="F2856" s="6"/>
      <c r="G2856" s="6"/>
    </row>
    <row r="2857" spans="1:7" x14ac:dyDescent="0.25">
      <c r="A2857" s="6" t="s">
        <v>957</v>
      </c>
      <c r="B2857" s="6"/>
      <c r="C2857" s="6"/>
      <c r="D2857" s="6"/>
      <c r="E2857" s="6"/>
      <c r="F2857" s="6"/>
      <c r="G2857" s="6"/>
    </row>
    <row r="2858" spans="1:7" x14ac:dyDescent="0.25">
      <c r="A2858" s="6" t="s">
        <v>7544</v>
      </c>
      <c r="B2858" s="6"/>
      <c r="C2858" s="6"/>
      <c r="D2858" s="6"/>
      <c r="E2858" s="6"/>
      <c r="F2858" s="6"/>
      <c r="G2858" s="6"/>
    </row>
    <row r="2859" spans="1:7" x14ac:dyDescent="0.25">
      <c r="A2859" s="6" t="s">
        <v>7541</v>
      </c>
      <c r="B2859" s="6"/>
      <c r="C2859" s="6"/>
      <c r="D2859" s="6"/>
      <c r="E2859" s="6"/>
      <c r="F2859" s="6"/>
      <c r="G2859" s="6"/>
    </row>
    <row r="2860" spans="1:7" x14ac:dyDescent="0.25">
      <c r="A2860" s="6" t="s">
        <v>7539</v>
      </c>
      <c r="B2860" s="6"/>
      <c r="C2860" s="6"/>
      <c r="D2860" s="6"/>
      <c r="E2860" s="6"/>
      <c r="F2860" s="6"/>
      <c r="G2860" s="6"/>
    </row>
    <row r="2861" spans="1:7" x14ac:dyDescent="0.25">
      <c r="A2861" s="6" t="s">
        <v>7536</v>
      </c>
      <c r="B2861" s="6"/>
      <c r="C2861" s="6"/>
      <c r="D2861" s="6"/>
      <c r="E2861" s="6"/>
      <c r="F2861" s="6"/>
      <c r="G2861" s="6"/>
    </row>
    <row r="2862" spans="1:7" x14ac:dyDescent="0.25">
      <c r="A2862" s="6" t="s">
        <v>957</v>
      </c>
      <c r="B2862" s="6"/>
      <c r="C2862" s="6"/>
      <c r="D2862" s="6"/>
      <c r="E2862" s="6"/>
      <c r="F2862" s="6"/>
      <c r="G2862" s="6"/>
    </row>
    <row r="2863" spans="1:7" x14ac:dyDescent="0.25">
      <c r="A2863" s="6" t="s">
        <v>7532</v>
      </c>
      <c r="B2863" s="6"/>
      <c r="C2863" s="6"/>
      <c r="D2863" s="6"/>
      <c r="E2863" s="6"/>
      <c r="F2863" s="6"/>
      <c r="G2863" s="6"/>
    </row>
    <row r="2864" spans="1:7" x14ac:dyDescent="0.25">
      <c r="A2864" s="6" t="s">
        <v>7529</v>
      </c>
      <c r="B2864" s="6"/>
      <c r="C2864" s="6"/>
      <c r="D2864" s="6"/>
      <c r="E2864" s="6"/>
      <c r="F2864" s="6"/>
      <c r="G2864" s="6"/>
    </row>
    <row r="2865" spans="1:7" x14ac:dyDescent="0.25">
      <c r="A2865" s="6" t="s">
        <v>7526</v>
      </c>
      <c r="B2865" s="6"/>
      <c r="C2865" s="6"/>
      <c r="D2865" s="6"/>
      <c r="E2865" s="6"/>
      <c r="F2865" s="6"/>
      <c r="G2865" s="6"/>
    </row>
    <row r="2866" spans="1:7" x14ac:dyDescent="0.25">
      <c r="A2866" s="6" t="s">
        <v>957</v>
      </c>
      <c r="B2866" s="6"/>
      <c r="C2866" s="6"/>
      <c r="D2866" s="6"/>
      <c r="E2866" s="6"/>
      <c r="F2866" s="6"/>
      <c r="G2866" s="6"/>
    </row>
    <row r="2867" spans="1:7" x14ac:dyDescent="0.25">
      <c r="A2867" s="6" t="s">
        <v>957</v>
      </c>
      <c r="B2867" s="6"/>
      <c r="C2867" s="6"/>
      <c r="D2867" s="6"/>
      <c r="E2867" s="6"/>
      <c r="F2867" s="6"/>
      <c r="G2867" s="6"/>
    </row>
    <row r="2868" spans="1:7" x14ac:dyDescent="0.25">
      <c r="A2868" s="6" t="s">
        <v>957</v>
      </c>
      <c r="B2868" s="6"/>
      <c r="C2868" s="6"/>
      <c r="D2868" s="6"/>
      <c r="E2868" s="6"/>
      <c r="F2868" s="6"/>
      <c r="G2868" s="6"/>
    </row>
    <row r="2869" spans="1:7" x14ac:dyDescent="0.25">
      <c r="A2869" s="6" t="s">
        <v>7520</v>
      </c>
      <c r="B2869" s="6"/>
      <c r="C2869" s="6"/>
      <c r="D2869" s="6"/>
      <c r="E2869" s="6"/>
      <c r="F2869" s="6"/>
      <c r="G2869" s="6"/>
    </row>
    <row r="2870" spans="1:7" x14ac:dyDescent="0.25">
      <c r="A2870" s="6" t="s">
        <v>7517</v>
      </c>
      <c r="B2870" s="6"/>
      <c r="C2870" s="6"/>
      <c r="D2870" s="6"/>
      <c r="E2870" s="6"/>
      <c r="F2870" s="6"/>
      <c r="G2870" s="6"/>
    </row>
    <row r="2871" spans="1:7" x14ac:dyDescent="0.25">
      <c r="A2871" s="6" t="s">
        <v>7515</v>
      </c>
      <c r="B2871" s="6"/>
      <c r="C2871" s="6"/>
      <c r="D2871" s="6"/>
      <c r="E2871" s="6"/>
      <c r="F2871" s="6"/>
      <c r="G2871" s="6"/>
    </row>
    <row r="2872" spans="1:7" x14ac:dyDescent="0.25">
      <c r="A2872" s="6" t="s">
        <v>957</v>
      </c>
      <c r="B2872" s="6"/>
      <c r="C2872" s="6"/>
      <c r="D2872" s="6"/>
      <c r="E2872" s="6"/>
      <c r="F2872" s="6"/>
      <c r="G2872" s="6"/>
    </row>
    <row r="2873" spans="1:7" x14ac:dyDescent="0.25">
      <c r="A2873" s="6" t="s">
        <v>7512</v>
      </c>
      <c r="B2873" s="6"/>
      <c r="C2873" s="6"/>
      <c r="D2873" s="6"/>
      <c r="E2873" s="6"/>
      <c r="F2873" s="6"/>
      <c r="G2873" s="6"/>
    </row>
    <row r="2874" spans="1:7" x14ac:dyDescent="0.25">
      <c r="A2874" s="6" t="s">
        <v>14219</v>
      </c>
      <c r="B2874" s="6" t="s">
        <v>14220</v>
      </c>
      <c r="C2874" s="6"/>
      <c r="D2874" s="6"/>
      <c r="E2874" s="6"/>
      <c r="F2874" s="6"/>
      <c r="G2874" s="6"/>
    </row>
    <row r="2875" spans="1:7" x14ac:dyDescent="0.25">
      <c r="A2875" s="6" t="s">
        <v>7507</v>
      </c>
      <c r="B2875" s="6"/>
      <c r="C2875" s="6"/>
      <c r="D2875" s="6"/>
      <c r="E2875" s="6"/>
      <c r="F2875" s="6"/>
      <c r="G2875" s="6"/>
    </row>
    <row r="2876" spans="1:7" x14ac:dyDescent="0.25">
      <c r="A2876" s="6" t="s">
        <v>6436</v>
      </c>
      <c r="B2876" s="6"/>
      <c r="C2876" s="6"/>
      <c r="D2876" s="6"/>
      <c r="E2876" s="6"/>
      <c r="F2876" s="6"/>
      <c r="G2876" s="6"/>
    </row>
    <row r="2877" spans="1:7" x14ac:dyDescent="0.25">
      <c r="A2877" s="6" t="s">
        <v>6433</v>
      </c>
      <c r="B2877" s="6"/>
      <c r="C2877" s="6"/>
      <c r="D2877" s="6"/>
      <c r="E2877" s="6"/>
      <c r="F2877" s="6"/>
      <c r="G2877" s="6"/>
    </row>
    <row r="2878" spans="1:7" x14ac:dyDescent="0.25">
      <c r="A2878" s="6" t="s">
        <v>6430</v>
      </c>
      <c r="B2878" s="6"/>
      <c r="C2878" s="6"/>
      <c r="D2878" s="6"/>
      <c r="E2878" s="6"/>
      <c r="F2878" s="6"/>
      <c r="G2878" s="6"/>
    </row>
    <row r="2879" spans="1:7" x14ac:dyDescent="0.25">
      <c r="A2879" s="6" t="s">
        <v>957</v>
      </c>
      <c r="B2879" s="6"/>
      <c r="C2879" s="6"/>
      <c r="D2879" s="6"/>
      <c r="E2879" s="6"/>
      <c r="F2879" s="6"/>
      <c r="G2879" s="6"/>
    </row>
    <row r="2880" spans="1:7" x14ac:dyDescent="0.25">
      <c r="A2880" s="6" t="s">
        <v>6426</v>
      </c>
      <c r="B2880" s="6"/>
      <c r="C2880" s="6"/>
      <c r="D2880" s="6"/>
      <c r="E2880" s="6"/>
      <c r="F2880" s="6"/>
      <c r="G2880" s="6"/>
    </row>
    <row r="2881" spans="1:7" x14ac:dyDescent="0.25">
      <c r="A2881" s="6" t="s">
        <v>6423</v>
      </c>
      <c r="B2881" s="6"/>
      <c r="C2881" s="6"/>
      <c r="D2881" s="6"/>
      <c r="E2881" s="6"/>
      <c r="F2881" s="6"/>
      <c r="G2881" s="6"/>
    </row>
    <row r="2882" spans="1:7" x14ac:dyDescent="0.25">
      <c r="A2882" s="6" t="s">
        <v>957</v>
      </c>
      <c r="B2882" s="6"/>
      <c r="C2882" s="6"/>
      <c r="D2882" s="6"/>
      <c r="E2882" s="6"/>
      <c r="F2882" s="6"/>
      <c r="G2882" s="6"/>
    </row>
    <row r="2883" spans="1:7" x14ac:dyDescent="0.25">
      <c r="A2883" s="6" t="s">
        <v>6419</v>
      </c>
      <c r="B2883" s="6"/>
      <c r="C2883" s="6"/>
      <c r="D2883" s="6"/>
      <c r="E2883" s="6"/>
      <c r="F2883" s="6"/>
      <c r="G2883" s="6"/>
    </row>
    <row r="2884" spans="1:7" x14ac:dyDescent="0.25">
      <c r="A2884" s="6" t="s">
        <v>957</v>
      </c>
      <c r="B2884" s="6"/>
      <c r="C2884" s="6"/>
      <c r="D2884" s="6"/>
      <c r="E2884" s="6"/>
      <c r="F2884" s="6"/>
      <c r="G2884" s="6"/>
    </row>
    <row r="2885" spans="1:7" x14ac:dyDescent="0.25">
      <c r="A2885" s="6" t="s">
        <v>6414</v>
      </c>
      <c r="B2885" s="6"/>
      <c r="C2885" s="6"/>
      <c r="D2885" s="6"/>
      <c r="E2885" s="6"/>
      <c r="F2885" s="6"/>
      <c r="G2885" s="6"/>
    </row>
    <row r="2886" spans="1:7" x14ac:dyDescent="0.25">
      <c r="A2886" s="6" t="s">
        <v>6411</v>
      </c>
      <c r="B2886" s="6"/>
      <c r="C2886" s="6"/>
      <c r="D2886" s="6"/>
      <c r="E2886" s="6"/>
      <c r="F2886" s="6"/>
      <c r="G2886" s="6"/>
    </row>
    <row r="2887" spans="1:7" x14ac:dyDescent="0.25">
      <c r="A2887" s="6" t="s">
        <v>7473</v>
      </c>
      <c r="B2887" s="6"/>
      <c r="C2887" s="6"/>
      <c r="D2887" s="6"/>
      <c r="E2887" s="6"/>
      <c r="F2887" s="6"/>
      <c r="G2887" s="6"/>
    </row>
    <row r="2888" spans="1:7" x14ac:dyDescent="0.25">
      <c r="A2888" s="6" t="s">
        <v>7470</v>
      </c>
      <c r="B2888" s="6"/>
      <c r="C2888" s="6"/>
      <c r="D2888" s="6"/>
      <c r="E2888" s="6"/>
      <c r="F2888" s="6"/>
      <c r="G2888" s="6"/>
    </row>
    <row r="2889" spans="1:7" x14ac:dyDescent="0.25">
      <c r="A2889" s="6" t="s">
        <v>7467</v>
      </c>
      <c r="B2889" s="6"/>
      <c r="C2889" s="6"/>
      <c r="D2889" s="6"/>
      <c r="E2889" s="6"/>
      <c r="F2889" s="6"/>
      <c r="G2889" s="6"/>
    </row>
    <row r="2890" spans="1:7" x14ac:dyDescent="0.25">
      <c r="A2890" s="6" t="s">
        <v>7464</v>
      </c>
      <c r="B2890" s="6"/>
      <c r="C2890" s="6"/>
      <c r="D2890" s="6"/>
      <c r="E2890" s="6"/>
      <c r="F2890" s="6"/>
      <c r="G2890" s="6"/>
    </row>
    <row r="2891" spans="1:7" x14ac:dyDescent="0.25">
      <c r="A2891" s="6" t="s">
        <v>7461</v>
      </c>
      <c r="B2891" s="6"/>
      <c r="C2891" s="6"/>
      <c r="D2891" s="6"/>
      <c r="E2891" s="6"/>
      <c r="F2891" s="6"/>
      <c r="G2891" s="6"/>
    </row>
    <row r="2892" spans="1:7" x14ac:dyDescent="0.25">
      <c r="A2892" s="6" t="s">
        <v>7458</v>
      </c>
      <c r="B2892" s="6"/>
      <c r="C2892" s="6"/>
      <c r="D2892" s="6"/>
      <c r="E2892" s="6"/>
      <c r="F2892" s="6"/>
      <c r="G2892" s="6"/>
    </row>
    <row r="2893" spans="1:7" x14ac:dyDescent="0.25">
      <c r="A2893" s="6" t="s">
        <v>957</v>
      </c>
      <c r="B2893" s="6"/>
      <c r="C2893" s="6"/>
      <c r="D2893" s="6"/>
      <c r="E2893" s="6"/>
      <c r="F2893" s="6"/>
      <c r="G2893" s="6"/>
    </row>
    <row r="2894" spans="1:7" x14ac:dyDescent="0.25">
      <c r="A2894" s="6" t="s">
        <v>957</v>
      </c>
      <c r="B2894" s="6"/>
      <c r="C2894" s="6"/>
      <c r="D2894" s="6"/>
      <c r="E2894" s="6"/>
      <c r="F2894" s="6"/>
      <c r="G2894" s="6"/>
    </row>
    <row r="2895" spans="1:7" x14ac:dyDescent="0.25">
      <c r="A2895" s="6" t="s">
        <v>7454</v>
      </c>
      <c r="B2895" s="6"/>
      <c r="C2895" s="6"/>
      <c r="D2895" s="6"/>
      <c r="E2895" s="6"/>
      <c r="F2895" s="6"/>
      <c r="G2895" s="6"/>
    </row>
    <row r="2896" spans="1:7" x14ac:dyDescent="0.25">
      <c r="A2896" s="6" t="s">
        <v>957</v>
      </c>
      <c r="B2896" s="6"/>
      <c r="C2896" s="6"/>
      <c r="D2896" s="6"/>
      <c r="E2896" s="6"/>
      <c r="F2896" s="6"/>
      <c r="G2896" s="6"/>
    </row>
    <row r="2897" spans="1:7" x14ac:dyDescent="0.25">
      <c r="A2897" s="6" t="s">
        <v>7451</v>
      </c>
      <c r="B2897" s="6"/>
      <c r="C2897" s="6"/>
      <c r="D2897" s="6"/>
      <c r="E2897" s="6"/>
      <c r="F2897" s="6"/>
      <c r="G2897" s="6"/>
    </row>
    <row r="2898" spans="1:7" x14ac:dyDescent="0.25">
      <c r="A2898" s="6" t="s">
        <v>7448</v>
      </c>
      <c r="B2898" s="6"/>
      <c r="C2898" s="6"/>
      <c r="D2898" s="6"/>
      <c r="E2898" s="6"/>
      <c r="F2898" s="6"/>
      <c r="G2898" s="6"/>
    </row>
    <row r="2899" spans="1:7" x14ac:dyDescent="0.25">
      <c r="A2899" s="6" t="s">
        <v>7445</v>
      </c>
      <c r="B2899" s="6"/>
      <c r="C2899" s="6"/>
      <c r="D2899" s="6"/>
      <c r="E2899" s="6"/>
      <c r="F2899" s="6"/>
      <c r="G2899" s="6"/>
    </row>
    <row r="2900" spans="1:7" x14ac:dyDescent="0.25">
      <c r="A2900" s="6" t="s">
        <v>6371</v>
      </c>
      <c r="B2900" s="6"/>
      <c r="C2900" s="6"/>
      <c r="D2900" s="6"/>
      <c r="E2900" s="6"/>
      <c r="F2900" s="6"/>
      <c r="G2900" s="6"/>
    </row>
    <row r="2901" spans="1:7" x14ac:dyDescent="0.25">
      <c r="A2901" s="6" t="s">
        <v>6368</v>
      </c>
      <c r="B2901" s="6"/>
      <c r="C2901" s="6"/>
      <c r="D2901" s="6"/>
      <c r="E2901" s="6"/>
      <c r="F2901" s="6"/>
      <c r="G2901" s="6"/>
    </row>
    <row r="2902" spans="1:7" x14ac:dyDescent="0.25">
      <c r="A2902" s="6" t="s">
        <v>6365</v>
      </c>
      <c r="B2902" s="6"/>
      <c r="C2902" s="6"/>
      <c r="D2902" s="6"/>
      <c r="E2902" s="6"/>
      <c r="F2902" s="6"/>
      <c r="G2902" s="6"/>
    </row>
    <row r="2903" spans="1:7" x14ac:dyDescent="0.25">
      <c r="A2903" s="6" t="s">
        <v>957</v>
      </c>
      <c r="B2903" s="6"/>
      <c r="C2903" s="6"/>
      <c r="D2903" s="6"/>
      <c r="E2903" s="6"/>
      <c r="F2903" s="6"/>
      <c r="G2903" s="6"/>
    </row>
    <row r="2904" spans="1:7" x14ac:dyDescent="0.25">
      <c r="A2904" s="6" t="s">
        <v>6361</v>
      </c>
      <c r="B2904" s="6"/>
      <c r="C2904" s="6"/>
      <c r="D2904" s="6"/>
      <c r="E2904" s="6"/>
      <c r="F2904" s="6"/>
      <c r="G2904" s="6"/>
    </row>
    <row r="2905" spans="1:7" x14ac:dyDescent="0.25">
      <c r="A2905" s="6" t="s">
        <v>6359</v>
      </c>
      <c r="B2905" s="6"/>
      <c r="C2905" s="6"/>
      <c r="D2905" s="6"/>
      <c r="E2905" s="6"/>
      <c r="F2905" s="6"/>
      <c r="G2905" s="6"/>
    </row>
    <row r="2906" spans="1:7" x14ac:dyDescent="0.25">
      <c r="A2906" s="6" t="s">
        <v>6356</v>
      </c>
      <c r="B2906" s="6"/>
      <c r="C2906" s="6"/>
      <c r="D2906" s="6"/>
      <c r="E2906" s="6"/>
      <c r="F2906" s="6"/>
      <c r="G2906" s="6"/>
    </row>
    <row r="2907" spans="1:7" x14ac:dyDescent="0.25">
      <c r="A2907" s="6" t="s">
        <v>6354</v>
      </c>
      <c r="B2907" s="6"/>
      <c r="C2907" s="6"/>
      <c r="D2907" s="6"/>
      <c r="E2907" s="6"/>
      <c r="F2907" s="6"/>
      <c r="G2907" s="6"/>
    </row>
    <row r="2908" spans="1:7" x14ac:dyDescent="0.25">
      <c r="A2908" s="6" t="s">
        <v>14221</v>
      </c>
      <c r="B2908" s="6" t="s">
        <v>14222</v>
      </c>
      <c r="C2908" s="6"/>
      <c r="D2908" s="6"/>
      <c r="E2908" s="6"/>
      <c r="F2908" s="6"/>
      <c r="G2908" s="6"/>
    </row>
    <row r="2909" spans="1:7" x14ac:dyDescent="0.25">
      <c r="A2909" s="6" t="s">
        <v>6350</v>
      </c>
      <c r="B2909" s="6"/>
      <c r="C2909" s="6"/>
      <c r="D2909" s="6"/>
      <c r="E2909" s="6"/>
      <c r="F2909" s="6"/>
      <c r="G2909" s="6"/>
    </row>
    <row r="2910" spans="1:7" x14ac:dyDescent="0.25">
      <c r="A2910" s="6" t="s">
        <v>6347</v>
      </c>
      <c r="B2910" s="6"/>
      <c r="C2910" s="6"/>
      <c r="D2910" s="6"/>
      <c r="E2910" s="6"/>
      <c r="F2910" s="6"/>
      <c r="G2910" s="6"/>
    </row>
    <row r="2911" spans="1:7" x14ac:dyDescent="0.25">
      <c r="A2911" s="6" t="s">
        <v>6345</v>
      </c>
      <c r="B2911" s="6"/>
      <c r="C2911" s="6"/>
      <c r="D2911" s="6"/>
      <c r="E2911" s="6"/>
      <c r="F2911" s="6"/>
      <c r="G2911" s="6"/>
    </row>
    <row r="2912" spans="1:7" x14ac:dyDescent="0.25">
      <c r="A2912" s="6" t="s">
        <v>957</v>
      </c>
      <c r="B2912" s="6"/>
      <c r="C2912" s="6"/>
      <c r="D2912" s="6"/>
      <c r="E2912" s="6"/>
      <c r="F2912" s="6"/>
      <c r="G2912" s="6"/>
    </row>
    <row r="2913" spans="1:7" x14ac:dyDescent="0.25">
      <c r="A2913" s="6" t="s">
        <v>6341</v>
      </c>
      <c r="B2913" s="6"/>
      <c r="C2913" s="6"/>
      <c r="D2913" s="6"/>
      <c r="E2913" s="6"/>
      <c r="F2913" s="6"/>
      <c r="G2913" s="6"/>
    </row>
    <row r="2914" spans="1:7" x14ac:dyDescent="0.25">
      <c r="A2914" s="6" t="s">
        <v>6338</v>
      </c>
      <c r="B2914" s="6"/>
      <c r="C2914" s="6"/>
      <c r="D2914" s="6"/>
      <c r="E2914" s="6"/>
      <c r="F2914" s="6"/>
      <c r="G2914" s="6"/>
    </row>
    <row r="2915" spans="1:7" x14ac:dyDescent="0.25">
      <c r="A2915" s="6" t="s">
        <v>957</v>
      </c>
      <c r="B2915" s="6"/>
      <c r="C2915" s="6"/>
      <c r="D2915" s="6"/>
      <c r="E2915" s="6"/>
      <c r="F2915" s="6"/>
      <c r="G2915" s="6"/>
    </row>
    <row r="2916" spans="1:7" x14ac:dyDescent="0.25">
      <c r="A2916" s="6" t="s">
        <v>6334</v>
      </c>
      <c r="B2916" s="6"/>
      <c r="C2916" s="6"/>
      <c r="D2916" s="6"/>
      <c r="E2916" s="6"/>
      <c r="F2916" s="6"/>
      <c r="G2916" s="6"/>
    </row>
    <row r="2917" spans="1:7" x14ac:dyDescent="0.25">
      <c r="A2917" s="6" t="s">
        <v>6331</v>
      </c>
      <c r="B2917" s="6"/>
      <c r="C2917" s="6"/>
      <c r="D2917" s="6"/>
      <c r="E2917" s="6"/>
      <c r="F2917" s="6"/>
      <c r="G2917" s="6"/>
    </row>
    <row r="2918" spans="1:7" x14ac:dyDescent="0.25">
      <c r="A2918" s="6" t="s">
        <v>6328</v>
      </c>
      <c r="B2918" s="6"/>
      <c r="C2918" s="6"/>
      <c r="D2918" s="6"/>
      <c r="E2918" s="6"/>
      <c r="F2918" s="6"/>
      <c r="G2918" s="6"/>
    </row>
    <row r="2919" spans="1:7" x14ac:dyDescent="0.25">
      <c r="A2919" s="6" t="s">
        <v>6325</v>
      </c>
      <c r="B2919" s="6"/>
      <c r="C2919" s="6"/>
      <c r="D2919" s="6"/>
      <c r="E2919" s="6"/>
      <c r="F2919" s="6"/>
      <c r="G2919" s="6"/>
    </row>
    <row r="2920" spans="1:7" x14ac:dyDescent="0.25">
      <c r="A2920" s="6" t="s">
        <v>14128</v>
      </c>
      <c r="B2920" s="6" t="s">
        <v>14129</v>
      </c>
      <c r="C2920" s="6"/>
      <c r="D2920" s="6"/>
      <c r="E2920" s="6"/>
      <c r="F2920" s="6"/>
      <c r="G2920" s="6"/>
    </row>
    <row r="2921" spans="1:7" x14ac:dyDescent="0.25">
      <c r="A2921" s="6" t="s">
        <v>6320</v>
      </c>
      <c r="B2921" s="6"/>
      <c r="C2921" s="6"/>
      <c r="D2921" s="6"/>
      <c r="E2921" s="6"/>
      <c r="F2921" s="6"/>
      <c r="G2921" s="6"/>
    </row>
    <row r="2922" spans="1:7" x14ac:dyDescent="0.25">
      <c r="A2922" s="6" t="s">
        <v>957</v>
      </c>
      <c r="B2922" s="6"/>
      <c r="C2922" s="6"/>
      <c r="D2922" s="6"/>
      <c r="E2922" s="6"/>
      <c r="F2922" s="6"/>
      <c r="G2922" s="6"/>
    </row>
    <row r="2923" spans="1:7" x14ac:dyDescent="0.25">
      <c r="A2923" s="6" t="s">
        <v>6316</v>
      </c>
      <c r="B2923" s="6"/>
      <c r="C2923" s="6"/>
      <c r="D2923" s="6"/>
      <c r="E2923" s="6"/>
      <c r="F2923" s="6"/>
      <c r="G2923" s="6"/>
    </row>
    <row r="2924" spans="1:7" x14ac:dyDescent="0.25">
      <c r="A2924" s="6" t="s">
        <v>6313</v>
      </c>
      <c r="B2924" s="6"/>
      <c r="C2924" s="6"/>
      <c r="D2924" s="6"/>
      <c r="E2924" s="6"/>
      <c r="F2924" s="6"/>
      <c r="G2924" s="6"/>
    </row>
    <row r="2925" spans="1:7" x14ac:dyDescent="0.25">
      <c r="A2925" s="6" t="s">
        <v>6310</v>
      </c>
      <c r="B2925" s="6"/>
      <c r="C2925" s="6"/>
      <c r="D2925" s="6"/>
      <c r="E2925" s="6"/>
      <c r="F2925" s="6"/>
      <c r="G2925" s="6"/>
    </row>
    <row r="2926" spans="1:7" x14ac:dyDescent="0.25">
      <c r="A2926" s="6" t="s">
        <v>6308</v>
      </c>
      <c r="B2926" s="6"/>
      <c r="C2926" s="6"/>
      <c r="D2926" s="6"/>
      <c r="E2926" s="6"/>
      <c r="F2926" s="6"/>
      <c r="G2926" s="6"/>
    </row>
    <row r="2927" spans="1:7" x14ac:dyDescent="0.25">
      <c r="A2927" s="6" t="s">
        <v>957</v>
      </c>
      <c r="B2927" s="6"/>
      <c r="C2927" s="6"/>
      <c r="D2927" s="6"/>
      <c r="E2927" s="6"/>
      <c r="F2927" s="6"/>
      <c r="G2927" s="6"/>
    </row>
    <row r="2928" spans="1:7" x14ac:dyDescent="0.25">
      <c r="A2928" s="6" t="s">
        <v>6304</v>
      </c>
      <c r="B2928" s="6"/>
      <c r="C2928" s="6"/>
      <c r="D2928" s="6"/>
      <c r="E2928" s="6"/>
      <c r="F2928" s="6"/>
      <c r="G2928" s="6"/>
    </row>
    <row r="2929" spans="1:7" x14ac:dyDescent="0.25">
      <c r="A2929" s="6" t="s">
        <v>7370</v>
      </c>
      <c r="B2929" s="6"/>
      <c r="C2929" s="6"/>
      <c r="D2929" s="6"/>
      <c r="E2929" s="6"/>
      <c r="F2929" s="6"/>
      <c r="G2929" s="6"/>
    </row>
    <row r="2930" spans="1:7" x14ac:dyDescent="0.25">
      <c r="A2930" s="6" t="s">
        <v>7367</v>
      </c>
      <c r="B2930" s="6"/>
      <c r="C2930" s="6"/>
      <c r="D2930" s="6"/>
      <c r="E2930" s="6"/>
      <c r="F2930" s="6"/>
      <c r="G2930" s="6"/>
    </row>
    <row r="2931" spans="1:7" x14ac:dyDescent="0.25">
      <c r="A2931" s="6" t="s">
        <v>7364</v>
      </c>
      <c r="B2931" s="6"/>
      <c r="C2931" s="6"/>
      <c r="D2931" s="6"/>
      <c r="E2931" s="6"/>
      <c r="F2931" s="6"/>
      <c r="G2931" s="6"/>
    </row>
    <row r="2932" spans="1:7" x14ac:dyDescent="0.25">
      <c r="A2932" s="6" t="s">
        <v>957</v>
      </c>
      <c r="B2932" s="6"/>
      <c r="C2932" s="6"/>
      <c r="D2932" s="6"/>
      <c r="E2932" s="6"/>
      <c r="F2932" s="6"/>
      <c r="G2932" s="6"/>
    </row>
    <row r="2933" spans="1:7" x14ac:dyDescent="0.25">
      <c r="A2933" s="6" t="s">
        <v>957</v>
      </c>
      <c r="B2933" s="6"/>
      <c r="C2933" s="6"/>
      <c r="D2933" s="6"/>
      <c r="E2933" s="6"/>
      <c r="F2933" s="6"/>
      <c r="G2933" s="6"/>
    </row>
    <row r="2934" spans="1:7" x14ac:dyDescent="0.25">
      <c r="A2934" s="6" t="s">
        <v>7359</v>
      </c>
      <c r="B2934" s="6"/>
      <c r="C2934" s="6"/>
      <c r="D2934" s="6"/>
      <c r="E2934" s="6"/>
      <c r="F2934" s="6"/>
      <c r="G2934" s="6"/>
    </row>
    <row r="2935" spans="1:7" x14ac:dyDescent="0.25">
      <c r="A2935" s="6" t="s">
        <v>7356</v>
      </c>
      <c r="B2935" s="6"/>
      <c r="C2935" s="6"/>
      <c r="D2935" s="6"/>
      <c r="E2935" s="6"/>
      <c r="F2935" s="6"/>
      <c r="G2935" s="6"/>
    </row>
    <row r="2936" spans="1:7" x14ac:dyDescent="0.25">
      <c r="A2936" s="6" t="s">
        <v>7353</v>
      </c>
      <c r="B2936" s="6"/>
      <c r="C2936" s="6"/>
      <c r="D2936" s="6"/>
      <c r="E2936" s="6"/>
      <c r="F2936" s="6"/>
      <c r="G2936" s="6"/>
    </row>
    <row r="2937" spans="1:7" x14ac:dyDescent="0.25">
      <c r="A2937" s="6" t="s">
        <v>7350</v>
      </c>
      <c r="B2937" s="6"/>
      <c r="C2937" s="6"/>
      <c r="D2937" s="6"/>
      <c r="E2937" s="6"/>
      <c r="F2937" s="6"/>
      <c r="G2937" s="6"/>
    </row>
    <row r="2938" spans="1:7" x14ac:dyDescent="0.25">
      <c r="A2938" s="6" t="s">
        <v>957</v>
      </c>
      <c r="B2938" s="6"/>
      <c r="C2938" s="6"/>
      <c r="D2938" s="6"/>
      <c r="E2938" s="6"/>
      <c r="F2938" s="6"/>
      <c r="G2938" s="6"/>
    </row>
    <row r="2939" spans="1:7" x14ac:dyDescent="0.25">
      <c r="A2939" s="6" t="s">
        <v>7347</v>
      </c>
      <c r="B2939" s="6"/>
      <c r="C2939" s="6"/>
      <c r="D2939" s="6"/>
      <c r="E2939" s="6"/>
      <c r="F2939" s="6"/>
      <c r="G2939" s="6"/>
    </row>
    <row r="2940" spans="1:7" x14ac:dyDescent="0.25">
      <c r="A2940" s="6" t="s">
        <v>957</v>
      </c>
      <c r="B2940" s="6"/>
      <c r="C2940" s="6"/>
      <c r="D2940" s="6"/>
      <c r="E2940" s="6"/>
      <c r="F2940" s="6"/>
      <c r="G2940" s="6"/>
    </row>
    <row r="2941" spans="1:7" x14ac:dyDescent="0.25">
      <c r="A2941" s="6" t="s">
        <v>957</v>
      </c>
      <c r="B2941" s="6"/>
      <c r="C2941" s="6"/>
      <c r="D2941" s="6"/>
      <c r="E2941" s="6"/>
      <c r="F2941" s="6"/>
      <c r="G2941" s="6"/>
    </row>
    <row r="2942" spans="1:7" x14ac:dyDescent="0.25">
      <c r="A2942" s="6" t="s">
        <v>957</v>
      </c>
      <c r="B2942" s="6"/>
      <c r="C2942" s="6"/>
      <c r="D2942" s="6"/>
      <c r="E2942" s="6"/>
      <c r="F2942" s="6"/>
      <c r="G2942" s="6"/>
    </row>
    <row r="2943" spans="1:7" x14ac:dyDescent="0.25">
      <c r="A2943" s="6" t="s">
        <v>14223</v>
      </c>
      <c r="B2943" s="6" t="s">
        <v>14224</v>
      </c>
      <c r="C2943" s="6" t="s">
        <v>14225</v>
      </c>
      <c r="D2943" s="6"/>
      <c r="E2943" s="6"/>
      <c r="F2943" s="6"/>
      <c r="G2943" s="6"/>
    </row>
    <row r="2944" spans="1:7" x14ac:dyDescent="0.25">
      <c r="A2944" s="6" t="s">
        <v>7340</v>
      </c>
      <c r="B2944" s="6"/>
      <c r="C2944" s="6"/>
      <c r="D2944" s="6"/>
      <c r="E2944" s="6"/>
      <c r="F2944" s="6"/>
      <c r="G2944" s="6"/>
    </row>
    <row r="2945" spans="1:7" x14ac:dyDescent="0.25">
      <c r="A2945" s="6" t="s">
        <v>7337</v>
      </c>
      <c r="B2945" s="6"/>
      <c r="C2945" s="6"/>
      <c r="D2945" s="6"/>
      <c r="E2945" s="6"/>
      <c r="F2945" s="6"/>
      <c r="G2945" s="6"/>
    </row>
    <row r="2946" spans="1:7" x14ac:dyDescent="0.25">
      <c r="A2946" s="6" t="s">
        <v>957</v>
      </c>
      <c r="B2946" s="6"/>
      <c r="C2946" s="6"/>
      <c r="D2946" s="6"/>
      <c r="E2946" s="6"/>
      <c r="F2946" s="6"/>
      <c r="G2946" s="6"/>
    </row>
    <row r="2947" spans="1:7" x14ac:dyDescent="0.25">
      <c r="A2947" s="6" t="s">
        <v>7333</v>
      </c>
      <c r="B2947" s="6"/>
      <c r="C2947" s="6"/>
      <c r="D2947" s="6"/>
      <c r="E2947" s="6"/>
      <c r="F2947" s="6"/>
      <c r="G2947" s="6"/>
    </row>
    <row r="2948" spans="1:7" x14ac:dyDescent="0.25">
      <c r="A2948" s="6" t="s">
        <v>957</v>
      </c>
      <c r="B2948" s="6"/>
      <c r="C2948" s="6"/>
      <c r="D2948" s="6"/>
      <c r="E2948" s="6"/>
      <c r="F2948" s="6"/>
      <c r="G2948" s="6"/>
    </row>
    <row r="2949" spans="1:7" x14ac:dyDescent="0.25">
      <c r="A2949" s="6" t="s">
        <v>7329</v>
      </c>
      <c r="B2949" s="6"/>
      <c r="C2949" s="6"/>
      <c r="D2949" s="6"/>
      <c r="E2949" s="6"/>
      <c r="F2949" s="6"/>
      <c r="G2949" s="6"/>
    </row>
    <row r="2950" spans="1:7" x14ac:dyDescent="0.25">
      <c r="A2950" s="6" t="s">
        <v>7326</v>
      </c>
      <c r="B2950" s="6"/>
      <c r="C2950" s="6"/>
      <c r="D2950" s="6"/>
      <c r="E2950" s="6"/>
      <c r="F2950" s="6"/>
      <c r="G2950" s="6"/>
    </row>
    <row r="2951" spans="1:7" x14ac:dyDescent="0.25">
      <c r="A2951" s="6" t="s">
        <v>7323</v>
      </c>
      <c r="B2951" s="6"/>
      <c r="C2951" s="6"/>
      <c r="D2951" s="6"/>
      <c r="E2951" s="6"/>
      <c r="F2951" s="6"/>
      <c r="G2951" s="6"/>
    </row>
    <row r="2952" spans="1:7" x14ac:dyDescent="0.25">
      <c r="A2952" s="6" t="s">
        <v>957</v>
      </c>
      <c r="B2952" s="6"/>
      <c r="C2952" s="6"/>
      <c r="D2952" s="6"/>
      <c r="E2952" s="6"/>
      <c r="F2952" s="6"/>
      <c r="G2952" s="6"/>
    </row>
    <row r="2953" spans="1:7" x14ac:dyDescent="0.25">
      <c r="A2953" s="6" t="s">
        <v>7319</v>
      </c>
      <c r="B2953" s="6"/>
      <c r="C2953" s="6"/>
      <c r="D2953" s="6"/>
      <c r="E2953" s="6"/>
      <c r="F2953" s="6"/>
      <c r="G2953" s="6"/>
    </row>
    <row r="2954" spans="1:7" x14ac:dyDescent="0.25">
      <c r="A2954" s="6" t="s">
        <v>7316</v>
      </c>
      <c r="B2954" s="6"/>
      <c r="C2954" s="6"/>
      <c r="D2954" s="6"/>
      <c r="E2954" s="6"/>
      <c r="F2954" s="6"/>
      <c r="G2954" s="6"/>
    </row>
    <row r="2955" spans="1:7" x14ac:dyDescent="0.25">
      <c r="A2955" s="6" t="s">
        <v>957</v>
      </c>
      <c r="B2955" s="6"/>
      <c r="C2955" s="6"/>
      <c r="D2955" s="6"/>
      <c r="E2955" s="6"/>
      <c r="F2955" s="6"/>
      <c r="G2955" s="6"/>
    </row>
    <row r="2956" spans="1:7" x14ac:dyDescent="0.25">
      <c r="A2956" s="6" t="s">
        <v>7312</v>
      </c>
      <c r="B2956" s="6"/>
      <c r="C2956" s="6"/>
      <c r="D2956" s="6"/>
      <c r="E2956" s="6"/>
      <c r="F2956" s="6"/>
      <c r="G2956" s="6"/>
    </row>
    <row r="2957" spans="1:7" x14ac:dyDescent="0.25">
      <c r="A2957" s="6" t="s">
        <v>957</v>
      </c>
      <c r="B2957" s="6"/>
      <c r="C2957" s="6"/>
      <c r="D2957" s="6"/>
      <c r="E2957" s="6"/>
      <c r="F2957" s="6"/>
      <c r="G2957" s="6"/>
    </row>
    <row r="2958" spans="1:7" x14ac:dyDescent="0.25">
      <c r="A2958" s="6" t="s">
        <v>957</v>
      </c>
      <c r="B2958" s="6"/>
      <c r="C2958" s="6"/>
      <c r="D2958" s="6"/>
      <c r="E2958" s="6"/>
      <c r="F2958" s="6"/>
      <c r="G2958" s="6"/>
    </row>
    <row r="2959" spans="1:7" x14ac:dyDescent="0.25">
      <c r="A2959" s="6" t="s">
        <v>7307</v>
      </c>
      <c r="B2959" s="6"/>
      <c r="C2959" s="6"/>
      <c r="D2959" s="6"/>
      <c r="E2959" s="6"/>
      <c r="F2959" s="6"/>
      <c r="G2959" s="6"/>
    </row>
    <row r="2960" spans="1:7" x14ac:dyDescent="0.25">
      <c r="A2960" s="6" t="s">
        <v>7304</v>
      </c>
      <c r="B2960" s="6"/>
      <c r="C2960" s="6"/>
      <c r="D2960" s="6"/>
      <c r="E2960" s="6"/>
      <c r="F2960" s="6"/>
      <c r="G2960" s="6"/>
    </row>
    <row r="2961" spans="1:7" x14ac:dyDescent="0.25">
      <c r="A2961" s="6" t="s">
        <v>7301</v>
      </c>
      <c r="B2961" s="6"/>
      <c r="C2961" s="6"/>
      <c r="D2961" s="6"/>
      <c r="E2961" s="6"/>
      <c r="F2961" s="6"/>
      <c r="G2961" s="6"/>
    </row>
    <row r="2962" spans="1:7" x14ac:dyDescent="0.25">
      <c r="A2962" s="6" t="s">
        <v>6245</v>
      </c>
      <c r="B2962" s="6"/>
      <c r="C2962" s="6"/>
      <c r="D2962" s="6"/>
      <c r="E2962" s="6"/>
      <c r="F2962" s="6"/>
      <c r="G2962" s="6"/>
    </row>
    <row r="2963" spans="1:7" x14ac:dyDescent="0.25">
      <c r="A2963" s="6" t="s">
        <v>6242</v>
      </c>
      <c r="B2963" s="6"/>
      <c r="C2963" s="6"/>
      <c r="D2963" s="6"/>
      <c r="E2963" s="6"/>
      <c r="F2963" s="6"/>
      <c r="G2963" s="6"/>
    </row>
    <row r="2964" spans="1:7" x14ac:dyDescent="0.25">
      <c r="A2964" s="6" t="s">
        <v>957</v>
      </c>
      <c r="B2964" s="6"/>
      <c r="C2964" s="6"/>
      <c r="D2964" s="6"/>
      <c r="E2964" s="6"/>
      <c r="F2964" s="6"/>
      <c r="G2964" s="6"/>
    </row>
    <row r="2965" spans="1:7" x14ac:dyDescent="0.25">
      <c r="A2965" s="6" t="s">
        <v>6238</v>
      </c>
      <c r="B2965" s="6"/>
      <c r="C2965" s="6"/>
      <c r="D2965" s="6"/>
      <c r="E2965" s="6"/>
      <c r="F2965" s="6"/>
      <c r="G2965" s="6"/>
    </row>
    <row r="2966" spans="1:7" x14ac:dyDescent="0.25">
      <c r="A2966" s="6" t="s">
        <v>957</v>
      </c>
      <c r="B2966" s="6"/>
      <c r="C2966" s="6"/>
      <c r="D2966" s="6"/>
      <c r="E2966" s="6"/>
      <c r="F2966" s="6"/>
      <c r="G2966" s="6"/>
    </row>
    <row r="2967" spans="1:7" x14ac:dyDescent="0.25">
      <c r="A2967" s="6" t="s">
        <v>6234</v>
      </c>
      <c r="B2967" s="6"/>
      <c r="C2967" s="6"/>
      <c r="D2967" s="6"/>
      <c r="E2967" s="6"/>
      <c r="F2967" s="6"/>
      <c r="G2967" s="6"/>
    </row>
    <row r="2968" spans="1:7" x14ac:dyDescent="0.25">
      <c r="A2968" s="6" t="s">
        <v>6232</v>
      </c>
      <c r="B2968" s="6"/>
      <c r="C2968" s="6"/>
      <c r="D2968" s="6"/>
      <c r="E2968" s="6"/>
      <c r="F2968" s="6"/>
      <c r="G2968" s="6"/>
    </row>
    <row r="2969" spans="1:7" x14ac:dyDescent="0.25">
      <c r="A2969" s="6" t="s">
        <v>6229</v>
      </c>
      <c r="B2969" s="6"/>
      <c r="C2969" s="6"/>
      <c r="D2969" s="6"/>
      <c r="E2969" s="6"/>
      <c r="F2969" s="6"/>
      <c r="G2969" s="6"/>
    </row>
    <row r="2970" spans="1:7" x14ac:dyDescent="0.25">
      <c r="A2970" s="6" t="s">
        <v>6226</v>
      </c>
      <c r="B2970" s="6"/>
      <c r="C2970" s="6"/>
      <c r="D2970" s="6"/>
      <c r="E2970" s="6"/>
      <c r="F2970" s="6"/>
      <c r="G2970" s="6"/>
    </row>
    <row r="2971" spans="1:7" x14ac:dyDescent="0.25">
      <c r="A2971" s="6" t="s">
        <v>6223</v>
      </c>
      <c r="B2971" s="6"/>
      <c r="C2971" s="6"/>
      <c r="D2971" s="6"/>
      <c r="E2971" s="6"/>
      <c r="F2971" s="6"/>
      <c r="G2971" s="6"/>
    </row>
    <row r="2972" spans="1:7" x14ac:dyDescent="0.25">
      <c r="A2972" s="6" t="s">
        <v>6220</v>
      </c>
      <c r="B2972" s="6"/>
      <c r="C2972" s="6"/>
      <c r="D2972" s="6"/>
      <c r="E2972" s="6"/>
      <c r="F2972" s="6"/>
      <c r="G2972" s="6"/>
    </row>
    <row r="2973" spans="1:7" x14ac:dyDescent="0.25">
      <c r="A2973" s="6" t="s">
        <v>957</v>
      </c>
      <c r="B2973" s="6"/>
      <c r="C2973" s="6"/>
      <c r="D2973" s="6"/>
      <c r="E2973" s="6"/>
      <c r="F2973" s="6"/>
      <c r="G2973" s="6"/>
    </row>
    <row r="2974" spans="1:7" x14ac:dyDescent="0.25">
      <c r="A2974" s="6" t="s">
        <v>6216</v>
      </c>
      <c r="B2974" s="6"/>
      <c r="C2974" s="6"/>
      <c r="D2974" s="6"/>
      <c r="E2974" s="6"/>
      <c r="F2974" s="6"/>
      <c r="G2974" s="6"/>
    </row>
    <row r="2975" spans="1:7" x14ac:dyDescent="0.25">
      <c r="A2975" s="6" t="s">
        <v>6213</v>
      </c>
      <c r="B2975" s="6"/>
      <c r="C2975" s="6"/>
      <c r="D2975" s="6"/>
      <c r="E2975" s="6"/>
      <c r="F2975" s="6"/>
      <c r="G2975" s="6"/>
    </row>
    <row r="2976" spans="1:7" x14ac:dyDescent="0.25">
      <c r="A2976" s="6" t="s">
        <v>7265</v>
      </c>
      <c r="B2976" s="6"/>
      <c r="C2976" s="6"/>
      <c r="D2976" s="6"/>
      <c r="E2976" s="6"/>
      <c r="F2976" s="6"/>
      <c r="G2976" s="6"/>
    </row>
    <row r="2977" spans="1:7" x14ac:dyDescent="0.25">
      <c r="A2977" s="6" t="s">
        <v>7262</v>
      </c>
      <c r="B2977" s="6"/>
      <c r="C2977" s="6"/>
      <c r="D2977" s="6"/>
      <c r="E2977" s="6"/>
      <c r="F2977" s="6"/>
      <c r="G2977" s="6"/>
    </row>
    <row r="2978" spans="1:7" x14ac:dyDescent="0.25">
      <c r="A2978" s="6" t="s">
        <v>7259</v>
      </c>
      <c r="B2978" s="6"/>
      <c r="C2978" s="6"/>
      <c r="D2978" s="6"/>
      <c r="E2978" s="6"/>
      <c r="F2978" s="6"/>
      <c r="G2978" s="6"/>
    </row>
    <row r="2979" spans="1:7" x14ac:dyDescent="0.25">
      <c r="A2979" s="6" t="s">
        <v>7256</v>
      </c>
      <c r="B2979" s="6"/>
      <c r="C2979" s="6"/>
      <c r="D2979" s="6"/>
      <c r="E2979" s="6"/>
      <c r="F2979" s="6"/>
      <c r="G2979" s="6"/>
    </row>
    <row r="2980" spans="1:7" x14ac:dyDescent="0.25">
      <c r="A2980" s="6" t="s">
        <v>7253</v>
      </c>
      <c r="B2980" s="6"/>
      <c r="C2980" s="6"/>
      <c r="D2980" s="6"/>
      <c r="E2980" s="6"/>
      <c r="F2980" s="6"/>
      <c r="G2980" s="6"/>
    </row>
    <row r="2981" spans="1:7" x14ac:dyDescent="0.25">
      <c r="A2981" s="6" t="s">
        <v>7250</v>
      </c>
      <c r="B2981" s="6"/>
      <c r="C2981" s="6"/>
      <c r="D2981" s="6"/>
      <c r="E2981" s="6"/>
      <c r="F2981" s="6"/>
      <c r="G2981" s="6"/>
    </row>
    <row r="2982" spans="1:7" x14ac:dyDescent="0.25">
      <c r="A2982" s="6" t="s">
        <v>7247</v>
      </c>
      <c r="B2982" s="6"/>
      <c r="C2982" s="6"/>
      <c r="D2982" s="6"/>
      <c r="E2982" s="6"/>
      <c r="F2982" s="6"/>
      <c r="G2982" s="6"/>
    </row>
    <row r="2983" spans="1:7" x14ac:dyDescent="0.25">
      <c r="A2983" s="6" t="s">
        <v>7244</v>
      </c>
      <c r="B2983" s="6"/>
      <c r="C2983" s="6"/>
      <c r="D2983" s="6"/>
      <c r="E2983" s="6"/>
      <c r="F2983" s="6"/>
      <c r="G2983" s="6"/>
    </row>
    <row r="2984" spans="1:7" x14ac:dyDescent="0.25">
      <c r="A2984" s="6" t="s">
        <v>7241</v>
      </c>
      <c r="B2984" s="6"/>
      <c r="C2984" s="6"/>
      <c r="D2984" s="6"/>
      <c r="E2984" s="6"/>
      <c r="F2984" s="6"/>
      <c r="G2984" s="6"/>
    </row>
    <row r="2985" spans="1:7" x14ac:dyDescent="0.25">
      <c r="A2985" s="6" t="s">
        <v>7238</v>
      </c>
      <c r="B2985" s="6"/>
      <c r="C2985" s="6"/>
      <c r="D2985" s="6"/>
      <c r="E2985" s="6"/>
      <c r="F2985" s="6"/>
      <c r="G2985" s="6"/>
    </row>
    <row r="2986" spans="1:7" x14ac:dyDescent="0.25">
      <c r="A2986" s="6" t="s">
        <v>7235</v>
      </c>
      <c r="B2986" s="6"/>
      <c r="C2986" s="6"/>
      <c r="D2986" s="6"/>
      <c r="E2986" s="6"/>
      <c r="F2986" s="6"/>
      <c r="G2986" s="6"/>
    </row>
    <row r="2987" spans="1:7" x14ac:dyDescent="0.25">
      <c r="A2987" s="6" t="s">
        <v>7232</v>
      </c>
      <c r="B2987" s="6"/>
      <c r="C2987" s="6"/>
      <c r="D2987" s="6"/>
      <c r="E2987" s="6"/>
      <c r="F2987" s="6"/>
      <c r="G2987" s="6"/>
    </row>
    <row r="2988" spans="1:7" x14ac:dyDescent="0.25">
      <c r="A2988" s="6" t="s">
        <v>957</v>
      </c>
      <c r="B2988" s="6"/>
      <c r="C2988" s="6"/>
      <c r="D2988" s="6"/>
      <c r="E2988" s="6"/>
      <c r="F2988" s="6"/>
      <c r="G2988" s="6"/>
    </row>
    <row r="2989" spans="1:7" x14ac:dyDescent="0.25">
      <c r="A2989" s="6" t="s">
        <v>7227</v>
      </c>
      <c r="B2989" s="6"/>
      <c r="C2989" s="6"/>
      <c r="D2989" s="6"/>
      <c r="E2989" s="6"/>
      <c r="F2989" s="6"/>
      <c r="G2989" s="6"/>
    </row>
    <row r="2990" spans="1:7" x14ac:dyDescent="0.25">
      <c r="A2990" s="6" t="s">
        <v>957</v>
      </c>
      <c r="B2990" s="6"/>
      <c r="C2990" s="6"/>
      <c r="D2990" s="6"/>
      <c r="E2990" s="6"/>
      <c r="F2990" s="6"/>
      <c r="G2990" s="6"/>
    </row>
    <row r="2991" spans="1:7" x14ac:dyDescent="0.25">
      <c r="A2991" s="6" t="s">
        <v>6186</v>
      </c>
      <c r="B2991" s="6"/>
      <c r="C2991" s="6"/>
      <c r="D2991" s="6"/>
      <c r="E2991" s="6"/>
      <c r="F2991" s="6"/>
      <c r="G2991" s="6"/>
    </row>
    <row r="2992" spans="1:7" x14ac:dyDescent="0.25">
      <c r="A2992" s="6" t="s">
        <v>6183</v>
      </c>
      <c r="B2992" s="6"/>
      <c r="C2992" s="6"/>
      <c r="D2992" s="6"/>
      <c r="E2992" s="6"/>
      <c r="F2992" s="6"/>
      <c r="G2992" s="6"/>
    </row>
    <row r="2993" spans="1:7" x14ac:dyDescent="0.25">
      <c r="A2993" s="6" t="s">
        <v>6180</v>
      </c>
      <c r="B2993" s="6"/>
      <c r="C2993" s="6"/>
      <c r="D2993" s="6"/>
      <c r="E2993" s="6"/>
      <c r="F2993" s="6"/>
      <c r="G2993" s="6"/>
    </row>
    <row r="2994" spans="1:7" x14ac:dyDescent="0.25">
      <c r="A2994" s="6" t="s">
        <v>6177</v>
      </c>
      <c r="B2994" s="6"/>
      <c r="C2994" s="6"/>
      <c r="D2994" s="6"/>
      <c r="E2994" s="6"/>
      <c r="F2994" s="6"/>
      <c r="G2994" s="6"/>
    </row>
    <row r="2995" spans="1:7" x14ac:dyDescent="0.25">
      <c r="A2995" s="6" t="s">
        <v>957</v>
      </c>
      <c r="B2995" s="6"/>
      <c r="C2995" s="6"/>
      <c r="D2995" s="6"/>
      <c r="E2995" s="6"/>
      <c r="F2995" s="6"/>
      <c r="G2995" s="6"/>
    </row>
    <row r="2996" spans="1:7" x14ac:dyDescent="0.25">
      <c r="A2996" s="6" t="s">
        <v>6173</v>
      </c>
      <c r="B2996" s="6"/>
      <c r="C2996" s="6"/>
      <c r="D2996" s="6"/>
      <c r="E2996" s="6"/>
      <c r="F2996" s="6"/>
      <c r="G2996" s="6"/>
    </row>
    <row r="2997" spans="1:7" x14ac:dyDescent="0.25">
      <c r="A2997" s="6" t="s">
        <v>6170</v>
      </c>
      <c r="B2997" s="6"/>
      <c r="C2997" s="6"/>
      <c r="D2997" s="6"/>
      <c r="E2997" s="6"/>
      <c r="F2997" s="6"/>
      <c r="G2997" s="6"/>
    </row>
    <row r="2998" spans="1:7" x14ac:dyDescent="0.25">
      <c r="A2998" s="6" t="s">
        <v>6167</v>
      </c>
      <c r="B2998" s="6"/>
      <c r="C2998" s="6"/>
      <c r="D2998" s="6"/>
      <c r="E2998" s="6"/>
      <c r="F2998" s="6"/>
      <c r="G2998" s="6"/>
    </row>
    <row r="2999" spans="1:7" x14ac:dyDescent="0.25">
      <c r="A2999" s="6" t="s">
        <v>6164</v>
      </c>
      <c r="B2999" s="6"/>
      <c r="C2999" s="6"/>
      <c r="D2999" s="6"/>
      <c r="E2999" s="6"/>
      <c r="F2999" s="6"/>
      <c r="G2999" s="6"/>
    </row>
    <row r="3000" spans="1:7" x14ac:dyDescent="0.25">
      <c r="A3000" s="6" t="s">
        <v>6161</v>
      </c>
      <c r="B3000" s="6"/>
      <c r="C3000" s="6"/>
      <c r="D3000" s="6"/>
      <c r="E3000" s="6"/>
      <c r="F3000" s="6"/>
      <c r="G3000" s="6"/>
    </row>
    <row r="3001" spans="1:7" x14ac:dyDescent="0.25">
      <c r="A3001" s="6" t="s">
        <v>6158</v>
      </c>
      <c r="B3001" s="6"/>
      <c r="C3001" s="6"/>
      <c r="D3001" s="6"/>
      <c r="E3001" s="6"/>
      <c r="F3001" s="6"/>
      <c r="G3001" s="6"/>
    </row>
    <row r="3002" spans="1:7" x14ac:dyDescent="0.25">
      <c r="A3002" s="6" t="s">
        <v>6156</v>
      </c>
      <c r="B3002" s="6"/>
      <c r="C3002" s="6"/>
      <c r="D3002" s="6"/>
      <c r="E3002" s="6"/>
      <c r="F3002" s="6"/>
      <c r="G3002" s="6"/>
    </row>
    <row r="3003" spans="1:7" x14ac:dyDescent="0.25">
      <c r="A3003" s="6" t="s">
        <v>6153</v>
      </c>
      <c r="B3003" s="6"/>
      <c r="C3003" s="6"/>
      <c r="D3003" s="6"/>
      <c r="E3003" s="6"/>
      <c r="F3003" s="6"/>
      <c r="G3003" s="6"/>
    </row>
    <row r="3004" spans="1:7" x14ac:dyDescent="0.25">
      <c r="A3004" s="6" t="s">
        <v>6150</v>
      </c>
      <c r="B3004" s="6"/>
      <c r="C3004" s="6"/>
      <c r="D3004" s="6"/>
      <c r="E3004" s="6"/>
      <c r="F3004" s="6"/>
      <c r="G3004" s="6"/>
    </row>
    <row r="3005" spans="1:7" x14ac:dyDescent="0.25">
      <c r="A3005" s="6" t="s">
        <v>6147</v>
      </c>
      <c r="B3005" s="6"/>
      <c r="C3005" s="6"/>
      <c r="D3005" s="6"/>
      <c r="E3005" s="6"/>
      <c r="F3005" s="6"/>
      <c r="G3005" s="6"/>
    </row>
    <row r="3006" spans="1:7" x14ac:dyDescent="0.25">
      <c r="A3006" s="6" t="s">
        <v>6144</v>
      </c>
      <c r="B3006" s="6"/>
      <c r="C3006" s="6"/>
      <c r="D3006" s="6"/>
      <c r="E3006" s="6"/>
      <c r="F3006" s="6"/>
      <c r="G3006" s="6"/>
    </row>
    <row r="3007" spans="1:7" x14ac:dyDescent="0.25">
      <c r="A3007" s="6" t="s">
        <v>6141</v>
      </c>
      <c r="B3007" s="6"/>
      <c r="C3007" s="6"/>
      <c r="D3007" s="6"/>
      <c r="E3007" s="6"/>
      <c r="F3007" s="6"/>
      <c r="G3007" s="6"/>
    </row>
    <row r="3008" spans="1:7" x14ac:dyDescent="0.25">
      <c r="A3008" s="6" t="s">
        <v>6138</v>
      </c>
      <c r="B3008" s="6"/>
      <c r="C3008" s="6"/>
      <c r="D3008" s="6"/>
      <c r="E3008" s="6"/>
      <c r="F3008" s="6"/>
      <c r="G3008" s="6"/>
    </row>
    <row r="3009" spans="1:7" x14ac:dyDescent="0.25">
      <c r="A3009" s="6" t="s">
        <v>6136</v>
      </c>
      <c r="B3009" s="6"/>
      <c r="C3009" s="6"/>
      <c r="D3009" s="6"/>
      <c r="E3009" s="6"/>
      <c r="F3009" s="6"/>
      <c r="G3009" s="6"/>
    </row>
    <row r="3010" spans="1:7" x14ac:dyDescent="0.25">
      <c r="A3010" s="6" t="s">
        <v>6133</v>
      </c>
      <c r="B3010" s="6"/>
      <c r="C3010" s="6"/>
      <c r="D3010" s="6"/>
      <c r="E3010" s="6"/>
      <c r="F3010" s="6"/>
      <c r="G3010" s="6"/>
    </row>
    <row r="3011" spans="1:7" x14ac:dyDescent="0.25">
      <c r="A3011" s="6" t="s">
        <v>6129</v>
      </c>
      <c r="B3011" s="6"/>
      <c r="C3011" s="6"/>
      <c r="D3011" s="6"/>
      <c r="E3011" s="6"/>
      <c r="F3011" s="6"/>
      <c r="G3011" s="6"/>
    </row>
    <row r="3012" spans="1:7" x14ac:dyDescent="0.25">
      <c r="A3012" s="6" t="s">
        <v>6129</v>
      </c>
      <c r="B3012" s="6"/>
      <c r="C3012" s="6"/>
      <c r="D3012" s="6"/>
      <c r="E3012" s="6"/>
      <c r="F3012" s="6"/>
      <c r="G3012" s="6"/>
    </row>
    <row r="3013" spans="1:7" x14ac:dyDescent="0.25">
      <c r="A3013" s="6" t="s">
        <v>957</v>
      </c>
      <c r="B3013" s="6"/>
      <c r="C3013" s="6"/>
      <c r="D3013" s="6"/>
      <c r="E3013" s="6"/>
      <c r="F3013" s="6"/>
      <c r="G3013" s="6"/>
    </row>
    <row r="3014" spans="1:7" x14ac:dyDescent="0.25">
      <c r="A3014" s="6" t="s">
        <v>6125</v>
      </c>
      <c r="B3014" s="6"/>
      <c r="C3014" s="6"/>
      <c r="D3014" s="6"/>
      <c r="E3014" s="6"/>
      <c r="F3014" s="6"/>
      <c r="G3014" s="6"/>
    </row>
    <row r="3015" spans="1:7" x14ac:dyDescent="0.25">
      <c r="A3015" s="6" t="s">
        <v>6122</v>
      </c>
      <c r="B3015" s="6"/>
      <c r="C3015" s="6"/>
      <c r="D3015" s="6"/>
      <c r="E3015" s="6"/>
      <c r="F3015" s="6"/>
      <c r="G3015" s="6"/>
    </row>
    <row r="3016" spans="1:7" x14ac:dyDescent="0.25">
      <c r="A3016" s="6" t="s">
        <v>6120</v>
      </c>
      <c r="B3016" s="6"/>
      <c r="C3016" s="6"/>
      <c r="D3016" s="6"/>
      <c r="E3016" s="6"/>
      <c r="F3016" s="6"/>
      <c r="G3016" s="6"/>
    </row>
    <row r="3017" spans="1:7" x14ac:dyDescent="0.25">
      <c r="A3017" s="6" t="s">
        <v>957</v>
      </c>
      <c r="B3017" s="6"/>
      <c r="C3017" s="6"/>
      <c r="D3017" s="6"/>
      <c r="E3017" s="6"/>
      <c r="F3017" s="6"/>
      <c r="G3017" s="6"/>
    </row>
    <row r="3018" spans="1:7" x14ac:dyDescent="0.25">
      <c r="A3018" s="6" t="s">
        <v>6116</v>
      </c>
      <c r="B3018" s="6"/>
      <c r="C3018" s="6"/>
      <c r="D3018" s="6"/>
      <c r="E3018" s="6"/>
      <c r="F3018" s="6"/>
      <c r="G3018" s="6"/>
    </row>
    <row r="3019" spans="1:7" x14ac:dyDescent="0.25">
      <c r="A3019" s="6" t="s">
        <v>957</v>
      </c>
      <c r="B3019" s="6"/>
      <c r="C3019" s="6"/>
      <c r="D3019" s="6"/>
      <c r="E3019" s="6"/>
      <c r="F3019" s="6"/>
      <c r="G3019" s="6"/>
    </row>
    <row r="3020" spans="1:7" x14ac:dyDescent="0.25">
      <c r="A3020" s="6" t="s">
        <v>6112</v>
      </c>
      <c r="B3020" s="6"/>
      <c r="C3020" s="6"/>
      <c r="D3020" s="6"/>
      <c r="E3020" s="6"/>
      <c r="F3020" s="6"/>
      <c r="G3020" s="6"/>
    </row>
    <row r="3021" spans="1:7" x14ac:dyDescent="0.25">
      <c r="A3021" s="6" t="s">
        <v>6109</v>
      </c>
      <c r="B3021" s="6"/>
      <c r="C3021" s="6"/>
      <c r="D3021" s="6"/>
      <c r="E3021" s="6"/>
      <c r="F3021" s="6"/>
      <c r="G3021" s="6"/>
    </row>
    <row r="3022" spans="1:7" x14ac:dyDescent="0.25">
      <c r="A3022" s="6" t="s">
        <v>6106</v>
      </c>
      <c r="B3022" s="6"/>
      <c r="C3022" s="6"/>
      <c r="D3022" s="6"/>
      <c r="E3022" s="6"/>
      <c r="F3022" s="6"/>
      <c r="G3022" s="6"/>
    </row>
    <row r="3023" spans="1:7" x14ac:dyDescent="0.25">
      <c r="A3023" s="6" t="s">
        <v>6103</v>
      </c>
      <c r="B3023" s="6"/>
      <c r="C3023" s="6"/>
      <c r="D3023" s="6"/>
      <c r="E3023" s="6"/>
      <c r="F3023" s="6"/>
      <c r="G3023" s="6"/>
    </row>
    <row r="3024" spans="1:7" x14ac:dyDescent="0.25">
      <c r="A3024" s="6" t="s">
        <v>6100</v>
      </c>
      <c r="B3024" s="6"/>
      <c r="C3024" s="6"/>
      <c r="D3024" s="6"/>
      <c r="E3024" s="6"/>
      <c r="F3024" s="6"/>
      <c r="G3024" s="6"/>
    </row>
    <row r="3025" spans="1:7" x14ac:dyDescent="0.25">
      <c r="A3025" s="6" t="s">
        <v>6097</v>
      </c>
      <c r="B3025" s="6"/>
      <c r="C3025" s="6"/>
      <c r="D3025" s="6"/>
      <c r="E3025" s="6"/>
      <c r="F3025" s="6"/>
      <c r="G3025" s="6"/>
    </row>
    <row r="3026" spans="1:7" x14ac:dyDescent="0.25">
      <c r="A3026" s="6" t="s">
        <v>6094</v>
      </c>
      <c r="B3026" s="6"/>
      <c r="C3026" s="6"/>
      <c r="D3026" s="6"/>
      <c r="E3026" s="6"/>
      <c r="F3026" s="6"/>
      <c r="G3026" s="6"/>
    </row>
    <row r="3027" spans="1:7" x14ac:dyDescent="0.25">
      <c r="A3027" s="6" t="s">
        <v>7141</v>
      </c>
      <c r="B3027" s="6"/>
      <c r="C3027" s="6"/>
      <c r="D3027" s="6"/>
      <c r="E3027" s="6"/>
      <c r="F3027" s="6"/>
      <c r="G3027" s="6"/>
    </row>
    <row r="3028" spans="1:7" x14ac:dyDescent="0.25">
      <c r="A3028" s="6" t="s">
        <v>957</v>
      </c>
      <c r="B3028" s="6"/>
      <c r="C3028" s="6"/>
      <c r="D3028" s="6"/>
      <c r="E3028" s="6"/>
      <c r="F3028" s="6"/>
      <c r="G3028" s="6"/>
    </row>
    <row r="3029" spans="1:7" x14ac:dyDescent="0.25">
      <c r="A3029" s="6" t="s">
        <v>7136</v>
      </c>
      <c r="B3029" s="6"/>
      <c r="C3029" s="6"/>
      <c r="D3029" s="6"/>
      <c r="E3029" s="6"/>
      <c r="F3029" s="6"/>
      <c r="G3029" s="6"/>
    </row>
    <row r="3030" spans="1:7" x14ac:dyDescent="0.25">
      <c r="A3030" s="6" t="s">
        <v>957</v>
      </c>
      <c r="B3030" s="6"/>
      <c r="C3030" s="6"/>
      <c r="D3030" s="6"/>
      <c r="E3030" s="6"/>
      <c r="F3030" s="6"/>
      <c r="G3030" s="6"/>
    </row>
    <row r="3031" spans="1:7" x14ac:dyDescent="0.25">
      <c r="A3031" s="6" t="s">
        <v>7132</v>
      </c>
      <c r="B3031" s="6"/>
      <c r="C3031" s="6"/>
      <c r="D3031" s="6"/>
      <c r="E3031" s="6"/>
      <c r="F3031" s="6"/>
      <c r="G3031" s="6"/>
    </row>
    <row r="3032" spans="1:7" x14ac:dyDescent="0.25">
      <c r="A3032" s="6" t="s">
        <v>957</v>
      </c>
      <c r="B3032" s="6"/>
      <c r="C3032" s="6"/>
      <c r="D3032" s="6"/>
      <c r="E3032" s="6"/>
      <c r="F3032" s="6"/>
      <c r="G3032" s="6"/>
    </row>
    <row r="3033" spans="1:7" x14ac:dyDescent="0.25">
      <c r="A3033" s="6" t="s">
        <v>7129</v>
      </c>
      <c r="B3033" s="6"/>
      <c r="C3033" s="6"/>
      <c r="D3033" s="6"/>
      <c r="E3033" s="6"/>
      <c r="F3033" s="6"/>
      <c r="G3033" s="6"/>
    </row>
    <row r="3034" spans="1:7" x14ac:dyDescent="0.25">
      <c r="A3034" s="6" t="s">
        <v>7127</v>
      </c>
      <c r="B3034" s="6"/>
      <c r="C3034" s="6"/>
      <c r="D3034" s="6"/>
      <c r="E3034" s="6"/>
      <c r="F3034" s="6"/>
      <c r="G3034" s="6"/>
    </row>
    <row r="3035" spans="1:7" x14ac:dyDescent="0.25">
      <c r="A3035" s="6" t="s">
        <v>7124</v>
      </c>
      <c r="B3035" s="6"/>
      <c r="C3035" s="6"/>
      <c r="D3035" s="6"/>
      <c r="E3035" s="6"/>
      <c r="F3035" s="6"/>
      <c r="G3035" s="6"/>
    </row>
    <row r="3036" spans="1:7" x14ac:dyDescent="0.25">
      <c r="A3036" s="6" t="s">
        <v>7121</v>
      </c>
      <c r="B3036" s="6"/>
      <c r="C3036" s="6"/>
      <c r="D3036" s="6"/>
      <c r="E3036" s="6"/>
      <c r="F3036" s="6"/>
      <c r="G3036" s="6"/>
    </row>
    <row r="3037" spans="1:7" x14ac:dyDescent="0.25">
      <c r="A3037" s="6" t="s">
        <v>7118</v>
      </c>
      <c r="B3037" s="6"/>
      <c r="C3037" s="6"/>
      <c r="D3037" s="6"/>
      <c r="E3037" s="6"/>
      <c r="F3037" s="6"/>
      <c r="G3037" s="6"/>
    </row>
    <row r="3038" spans="1:7" x14ac:dyDescent="0.25">
      <c r="A3038" s="6" t="s">
        <v>7116</v>
      </c>
      <c r="B3038" s="6"/>
      <c r="C3038" s="6"/>
      <c r="D3038" s="6"/>
      <c r="E3038" s="6"/>
      <c r="F3038" s="6"/>
      <c r="G3038" s="6"/>
    </row>
    <row r="3039" spans="1:7" x14ac:dyDescent="0.25">
      <c r="A3039" s="6" t="s">
        <v>957</v>
      </c>
      <c r="B3039" s="6"/>
      <c r="C3039" s="6"/>
      <c r="D3039" s="6"/>
      <c r="E3039" s="6"/>
      <c r="F3039" s="6"/>
      <c r="G3039" s="6"/>
    </row>
    <row r="3040" spans="1:7" x14ac:dyDescent="0.25">
      <c r="A3040" s="6" t="s">
        <v>7112</v>
      </c>
      <c r="B3040" s="6"/>
      <c r="C3040" s="6"/>
      <c r="D3040" s="6"/>
      <c r="E3040" s="6"/>
      <c r="F3040" s="6"/>
      <c r="G3040" s="6"/>
    </row>
    <row r="3041" spans="1:7" x14ac:dyDescent="0.25">
      <c r="A3041" s="6" t="s">
        <v>7109</v>
      </c>
      <c r="B3041" s="6"/>
      <c r="C3041" s="6"/>
      <c r="D3041" s="6"/>
      <c r="E3041" s="6"/>
      <c r="F3041" s="6"/>
      <c r="G3041" s="6"/>
    </row>
    <row r="3042" spans="1:7" x14ac:dyDescent="0.25">
      <c r="A3042" s="6" t="s">
        <v>7106</v>
      </c>
      <c r="B3042" s="6"/>
      <c r="C3042" s="6"/>
      <c r="D3042" s="6"/>
      <c r="E3042" s="6"/>
      <c r="F3042" s="6"/>
      <c r="G3042" s="6"/>
    </row>
    <row r="3043" spans="1:7" x14ac:dyDescent="0.25">
      <c r="A3043" s="6" t="s">
        <v>957</v>
      </c>
      <c r="B3043" s="6"/>
      <c r="C3043" s="6"/>
      <c r="D3043" s="6"/>
      <c r="E3043" s="6"/>
      <c r="F3043" s="6"/>
      <c r="G3043" s="6"/>
    </row>
    <row r="3044" spans="1:7" x14ac:dyDescent="0.25">
      <c r="A3044" s="6" t="s">
        <v>7103</v>
      </c>
      <c r="B3044" s="6"/>
      <c r="C3044" s="6"/>
      <c r="D3044" s="6"/>
      <c r="E3044" s="6"/>
      <c r="F3044" s="6"/>
      <c r="G3044" s="6"/>
    </row>
    <row r="3045" spans="1:7" x14ac:dyDescent="0.25">
      <c r="A3045" s="6" t="s">
        <v>957</v>
      </c>
      <c r="B3045" s="6"/>
      <c r="C3045" s="6"/>
      <c r="D3045" s="6"/>
      <c r="E3045" s="6"/>
      <c r="F3045" s="6"/>
      <c r="G3045" s="6"/>
    </row>
    <row r="3046" spans="1:7" x14ac:dyDescent="0.25">
      <c r="A3046" s="6" t="s">
        <v>7099</v>
      </c>
      <c r="B3046" s="6"/>
      <c r="C3046" s="6"/>
      <c r="D3046" s="6"/>
      <c r="E3046" s="6"/>
      <c r="F3046" s="6"/>
      <c r="G3046" s="6"/>
    </row>
    <row r="3047" spans="1:7" x14ac:dyDescent="0.25">
      <c r="A3047" s="6" t="s">
        <v>957</v>
      </c>
      <c r="B3047" s="6"/>
      <c r="C3047" s="6"/>
      <c r="D3047" s="6"/>
      <c r="E3047" s="6"/>
      <c r="F3047" s="6"/>
      <c r="G3047" s="6"/>
    </row>
    <row r="3048" spans="1:7" x14ac:dyDescent="0.25">
      <c r="A3048" s="6" t="s">
        <v>957</v>
      </c>
      <c r="B3048" s="6"/>
      <c r="C3048" s="6"/>
      <c r="D3048" s="6"/>
      <c r="E3048" s="6"/>
      <c r="F3048" s="6"/>
      <c r="G3048" s="6"/>
    </row>
    <row r="3049" spans="1:7" x14ac:dyDescent="0.25">
      <c r="A3049" s="6" t="s">
        <v>957</v>
      </c>
      <c r="B3049" s="6"/>
      <c r="C3049" s="6"/>
      <c r="D3049" s="6"/>
      <c r="E3049" s="6"/>
      <c r="F3049" s="6"/>
      <c r="G3049" s="6"/>
    </row>
    <row r="3050" spans="1:7" x14ac:dyDescent="0.25">
      <c r="A3050" s="6" t="s">
        <v>6052</v>
      </c>
      <c r="B3050" s="6"/>
      <c r="C3050" s="6"/>
      <c r="D3050" s="6"/>
      <c r="E3050" s="6"/>
      <c r="F3050" s="6"/>
      <c r="G3050" s="6"/>
    </row>
    <row r="3051" spans="1:7" x14ac:dyDescent="0.25">
      <c r="A3051" s="6" t="s">
        <v>6049</v>
      </c>
      <c r="B3051" s="6"/>
      <c r="C3051" s="6"/>
      <c r="D3051" s="6"/>
      <c r="E3051" s="6"/>
      <c r="F3051" s="6"/>
      <c r="G3051" s="6"/>
    </row>
    <row r="3052" spans="1:7" x14ac:dyDescent="0.25">
      <c r="A3052" s="6" t="s">
        <v>957</v>
      </c>
      <c r="B3052" s="6"/>
      <c r="C3052" s="6"/>
      <c r="D3052" s="6"/>
      <c r="E3052" s="6"/>
      <c r="F3052" s="6"/>
      <c r="G3052" s="6"/>
    </row>
    <row r="3053" spans="1:7" x14ac:dyDescent="0.25">
      <c r="A3053" s="6" t="s">
        <v>957</v>
      </c>
      <c r="B3053" s="6"/>
      <c r="C3053" s="6"/>
      <c r="D3053" s="6"/>
      <c r="E3053" s="6"/>
      <c r="F3053" s="6"/>
      <c r="G3053" s="6"/>
    </row>
    <row r="3054" spans="1:7" x14ac:dyDescent="0.25">
      <c r="A3054" s="6" t="s">
        <v>6044</v>
      </c>
      <c r="B3054" s="6"/>
      <c r="C3054" s="6"/>
      <c r="D3054" s="6"/>
      <c r="E3054" s="6"/>
      <c r="F3054" s="6"/>
      <c r="G3054" s="6"/>
    </row>
    <row r="3055" spans="1:7" x14ac:dyDescent="0.25">
      <c r="A3055" s="6" t="s">
        <v>6041</v>
      </c>
      <c r="B3055" s="6"/>
      <c r="C3055" s="6"/>
      <c r="D3055" s="6"/>
      <c r="E3055" s="6"/>
      <c r="F3055" s="6"/>
      <c r="G3055" s="6"/>
    </row>
    <row r="3056" spans="1:7" x14ac:dyDescent="0.25">
      <c r="A3056" s="6" t="s">
        <v>6038</v>
      </c>
      <c r="B3056" s="6"/>
      <c r="C3056" s="6"/>
      <c r="D3056" s="6"/>
      <c r="E3056" s="6"/>
      <c r="F3056" s="6"/>
      <c r="G3056" s="6"/>
    </row>
    <row r="3057" spans="1:7" x14ac:dyDescent="0.25">
      <c r="A3057" s="6" t="s">
        <v>957</v>
      </c>
      <c r="B3057" s="6"/>
      <c r="C3057" s="6"/>
      <c r="D3057" s="6"/>
      <c r="E3057" s="6"/>
      <c r="F3057" s="6"/>
      <c r="G3057" s="6"/>
    </row>
    <row r="3058" spans="1:7" x14ac:dyDescent="0.25">
      <c r="A3058" s="6" t="s">
        <v>6034</v>
      </c>
      <c r="B3058" s="6"/>
      <c r="C3058" s="6"/>
      <c r="D3058" s="6"/>
      <c r="E3058" s="6"/>
      <c r="F3058" s="6"/>
      <c r="G3058" s="6"/>
    </row>
    <row r="3059" spans="1:7" x14ac:dyDescent="0.25">
      <c r="A3059" s="6" t="s">
        <v>6031</v>
      </c>
      <c r="B3059" s="6"/>
      <c r="C3059" s="6"/>
      <c r="D3059" s="6"/>
      <c r="E3059" s="6"/>
      <c r="F3059" s="6"/>
      <c r="G3059" s="6"/>
    </row>
    <row r="3060" spans="1:7" x14ac:dyDescent="0.25">
      <c r="A3060" s="6" t="s">
        <v>6028</v>
      </c>
      <c r="B3060" s="6"/>
      <c r="C3060" s="6"/>
      <c r="D3060" s="6"/>
      <c r="E3060" s="6"/>
      <c r="F3060" s="6"/>
      <c r="G3060" s="6"/>
    </row>
    <row r="3061" spans="1:7" x14ac:dyDescent="0.25">
      <c r="A3061" s="6" t="s">
        <v>957</v>
      </c>
      <c r="B3061" s="6"/>
      <c r="C3061" s="6"/>
      <c r="D3061" s="6"/>
      <c r="E3061" s="6"/>
      <c r="F3061" s="6"/>
      <c r="G3061" s="6"/>
    </row>
    <row r="3062" spans="1:7" x14ac:dyDescent="0.25">
      <c r="A3062" s="6" t="s">
        <v>6024</v>
      </c>
      <c r="B3062" s="6"/>
      <c r="C3062" s="6"/>
      <c r="D3062" s="6"/>
      <c r="E3062" s="6"/>
      <c r="F3062" s="6"/>
      <c r="G3062" s="6"/>
    </row>
    <row r="3063" spans="1:7" x14ac:dyDescent="0.25">
      <c r="A3063" s="6" t="s">
        <v>6021</v>
      </c>
      <c r="B3063" s="6"/>
      <c r="C3063" s="6"/>
      <c r="D3063" s="6"/>
      <c r="E3063" s="6"/>
      <c r="F3063" s="6"/>
      <c r="G3063" s="6"/>
    </row>
    <row r="3064" spans="1:7" x14ac:dyDescent="0.25">
      <c r="A3064" s="6" t="s">
        <v>7059</v>
      </c>
      <c r="B3064" s="6"/>
      <c r="C3064" s="6"/>
      <c r="D3064" s="6"/>
      <c r="E3064" s="6"/>
      <c r="F3064" s="6"/>
      <c r="G3064" s="6"/>
    </row>
    <row r="3065" spans="1:7" x14ac:dyDescent="0.25">
      <c r="A3065" s="6" t="s">
        <v>7056</v>
      </c>
      <c r="B3065" s="6"/>
      <c r="C3065" s="6"/>
      <c r="D3065" s="6"/>
      <c r="E3065" s="6"/>
      <c r="F3065" s="6"/>
      <c r="G3065" s="6"/>
    </row>
    <row r="3066" spans="1:7" x14ac:dyDescent="0.25">
      <c r="A3066" s="6" t="s">
        <v>7053</v>
      </c>
      <c r="B3066" s="6"/>
      <c r="C3066" s="6"/>
      <c r="D3066" s="6"/>
      <c r="E3066" s="6"/>
      <c r="F3066" s="6"/>
      <c r="G3066" s="6"/>
    </row>
    <row r="3067" spans="1:7" x14ac:dyDescent="0.25">
      <c r="A3067" s="6" t="s">
        <v>7050</v>
      </c>
      <c r="B3067" s="6"/>
      <c r="C3067" s="6"/>
      <c r="D3067" s="6"/>
      <c r="E3067" s="6"/>
      <c r="F3067" s="6"/>
      <c r="G3067" s="6"/>
    </row>
    <row r="3068" spans="1:7" x14ac:dyDescent="0.25">
      <c r="A3068" s="6" t="s">
        <v>7047</v>
      </c>
      <c r="B3068" s="6"/>
      <c r="C3068" s="6"/>
      <c r="D3068" s="6"/>
      <c r="E3068" s="6"/>
      <c r="F3068" s="6"/>
      <c r="G3068" s="6"/>
    </row>
    <row r="3069" spans="1:7" x14ac:dyDescent="0.25">
      <c r="A3069" s="6" t="s">
        <v>957</v>
      </c>
      <c r="B3069" s="6"/>
      <c r="C3069" s="6"/>
      <c r="D3069" s="6"/>
      <c r="E3069" s="6"/>
      <c r="F3069" s="6"/>
      <c r="G3069" s="6"/>
    </row>
    <row r="3070" spans="1:7" x14ac:dyDescent="0.25">
      <c r="A3070" s="6" t="s">
        <v>7043</v>
      </c>
      <c r="B3070" s="6"/>
      <c r="C3070" s="6"/>
      <c r="D3070" s="6"/>
      <c r="E3070" s="6"/>
      <c r="F3070" s="6"/>
      <c r="G3070" s="6"/>
    </row>
    <row r="3071" spans="1:7" x14ac:dyDescent="0.25">
      <c r="A3071" s="6" t="s">
        <v>7040</v>
      </c>
      <c r="B3071" s="6"/>
      <c r="C3071" s="6"/>
      <c r="D3071" s="6"/>
      <c r="E3071" s="6"/>
      <c r="F3071" s="6"/>
      <c r="G3071" s="6"/>
    </row>
    <row r="3072" spans="1:7" x14ac:dyDescent="0.25">
      <c r="A3072" s="6" t="s">
        <v>7037</v>
      </c>
      <c r="B3072" s="6"/>
      <c r="C3072" s="6"/>
      <c r="D3072" s="6"/>
      <c r="E3072" s="6"/>
      <c r="F3072" s="6"/>
      <c r="G3072" s="6"/>
    </row>
    <row r="3073" spans="1:7" x14ac:dyDescent="0.25">
      <c r="A3073" s="6" t="s">
        <v>7034</v>
      </c>
      <c r="B3073" s="6"/>
      <c r="C3073" s="6"/>
      <c r="D3073" s="6"/>
      <c r="E3073" s="6"/>
      <c r="F3073" s="6"/>
      <c r="G3073" s="6"/>
    </row>
    <row r="3074" spans="1:7" x14ac:dyDescent="0.25">
      <c r="A3074" s="6" t="s">
        <v>957</v>
      </c>
      <c r="B3074" s="6"/>
      <c r="C3074" s="6"/>
      <c r="D3074" s="6"/>
      <c r="E3074" s="6"/>
      <c r="F3074" s="6"/>
      <c r="G3074" s="6"/>
    </row>
    <row r="3075" spans="1:7" x14ac:dyDescent="0.25">
      <c r="A3075" s="6" t="s">
        <v>957</v>
      </c>
      <c r="B3075" s="6"/>
      <c r="C3075" s="6"/>
      <c r="D3075" s="6"/>
      <c r="E3075" s="6"/>
      <c r="F3075" s="6"/>
      <c r="G3075" s="6"/>
    </row>
    <row r="3076" spans="1:7" x14ac:dyDescent="0.25">
      <c r="A3076" s="6" t="s">
        <v>7029</v>
      </c>
      <c r="B3076" s="6"/>
      <c r="C3076" s="6"/>
      <c r="D3076" s="6"/>
      <c r="E3076" s="6"/>
      <c r="F3076" s="6"/>
      <c r="G3076" s="6"/>
    </row>
    <row r="3077" spans="1:7" x14ac:dyDescent="0.25">
      <c r="A3077" s="6" t="s">
        <v>7026</v>
      </c>
      <c r="B3077" s="6"/>
      <c r="C3077" s="6"/>
      <c r="D3077" s="6"/>
      <c r="E3077" s="6"/>
      <c r="F3077" s="6"/>
      <c r="G3077" s="6"/>
    </row>
    <row r="3078" spans="1:7" x14ac:dyDescent="0.25">
      <c r="A3078" s="6" t="s">
        <v>7023</v>
      </c>
      <c r="B3078" s="6"/>
      <c r="C3078" s="6"/>
      <c r="D3078" s="6"/>
      <c r="E3078" s="6"/>
      <c r="F3078" s="6"/>
      <c r="G3078" s="6"/>
    </row>
    <row r="3079" spans="1:7" x14ac:dyDescent="0.25">
      <c r="A3079" s="6" t="s">
        <v>7020</v>
      </c>
      <c r="B3079" s="6"/>
      <c r="C3079" s="6"/>
      <c r="D3079" s="6"/>
      <c r="E3079" s="6"/>
      <c r="F3079" s="6"/>
      <c r="G3079" s="6"/>
    </row>
    <row r="3080" spans="1:7" x14ac:dyDescent="0.25">
      <c r="A3080" s="6" t="s">
        <v>957</v>
      </c>
      <c r="B3080" s="6"/>
      <c r="C3080" s="6"/>
      <c r="D3080" s="6"/>
      <c r="E3080" s="6"/>
      <c r="F3080" s="6"/>
      <c r="G3080" s="6"/>
    </row>
    <row r="3081" spans="1:7" x14ac:dyDescent="0.25">
      <c r="A3081" s="6" t="s">
        <v>7017</v>
      </c>
      <c r="B3081" s="6"/>
      <c r="C3081" s="6"/>
      <c r="D3081" s="6"/>
      <c r="E3081" s="6"/>
      <c r="F3081" s="6"/>
      <c r="G3081" s="6"/>
    </row>
    <row r="3082" spans="1:7" x14ac:dyDescent="0.25">
      <c r="A3082" s="6" t="s">
        <v>7014</v>
      </c>
      <c r="B3082" s="6"/>
      <c r="C3082" s="6"/>
      <c r="D3082" s="6"/>
      <c r="E3082" s="6"/>
      <c r="F3082" s="6"/>
      <c r="G3082" s="6"/>
    </row>
    <row r="3083" spans="1:7" x14ac:dyDescent="0.25">
      <c r="A3083" s="6" t="s">
        <v>957</v>
      </c>
      <c r="B3083" s="6"/>
      <c r="C3083" s="6"/>
      <c r="D3083" s="6"/>
      <c r="E3083" s="6"/>
      <c r="F3083" s="6"/>
      <c r="G3083" s="6"/>
    </row>
    <row r="3084" spans="1:7" x14ac:dyDescent="0.25">
      <c r="A3084" s="6" t="s">
        <v>7010</v>
      </c>
      <c r="B3084" s="6"/>
      <c r="C3084" s="6"/>
      <c r="D3084" s="6"/>
      <c r="E3084" s="6"/>
      <c r="F3084" s="6"/>
      <c r="G3084" s="6"/>
    </row>
    <row r="3085" spans="1:7" x14ac:dyDescent="0.25">
      <c r="A3085" s="6" t="s">
        <v>7007</v>
      </c>
      <c r="B3085" s="6"/>
      <c r="C3085" s="6"/>
      <c r="D3085" s="6"/>
      <c r="E3085" s="6"/>
      <c r="F3085" s="6"/>
      <c r="G3085" s="6"/>
    </row>
    <row r="3086" spans="1:7" x14ac:dyDescent="0.25">
      <c r="A3086" s="6" t="s">
        <v>957</v>
      </c>
      <c r="B3086" s="6"/>
      <c r="C3086" s="6"/>
      <c r="D3086" s="6"/>
      <c r="E3086" s="6"/>
      <c r="F3086" s="6"/>
      <c r="G3086" s="6"/>
    </row>
    <row r="3087" spans="1:7" x14ac:dyDescent="0.25">
      <c r="A3087" s="6" t="s">
        <v>7004</v>
      </c>
      <c r="B3087" s="6"/>
      <c r="C3087" s="6"/>
      <c r="D3087" s="6"/>
      <c r="E3087" s="6"/>
      <c r="F3087" s="6"/>
      <c r="G3087" s="6"/>
    </row>
    <row r="3088" spans="1:7" x14ac:dyDescent="0.25">
      <c r="A3088" s="6" t="s">
        <v>7001</v>
      </c>
      <c r="B3088" s="6"/>
      <c r="C3088" s="6"/>
      <c r="D3088" s="6"/>
      <c r="E3088" s="6"/>
      <c r="F3088" s="6"/>
      <c r="G3088" s="6"/>
    </row>
    <row r="3089" spans="1:7" x14ac:dyDescent="0.25">
      <c r="A3089" s="6" t="s">
        <v>6998</v>
      </c>
      <c r="B3089" s="6"/>
      <c r="C3089" s="6"/>
      <c r="D3089" s="6"/>
      <c r="E3089" s="6"/>
      <c r="F3089" s="6"/>
      <c r="G3089" s="6"/>
    </row>
    <row r="3090" spans="1:7" x14ac:dyDescent="0.25">
      <c r="A3090" s="6" t="s">
        <v>6995</v>
      </c>
      <c r="B3090" s="6"/>
      <c r="C3090" s="6"/>
      <c r="D3090" s="6"/>
      <c r="E3090" s="6"/>
      <c r="F3090" s="6"/>
      <c r="G3090" s="6"/>
    </row>
    <row r="3091" spans="1:7" x14ac:dyDescent="0.25">
      <c r="A3091" s="6" t="s">
        <v>6992</v>
      </c>
      <c r="B3091" s="6"/>
      <c r="C3091" s="6"/>
      <c r="D3091" s="6"/>
      <c r="E3091" s="6"/>
      <c r="F3091" s="6"/>
      <c r="G3091" s="6"/>
    </row>
    <row r="3092" spans="1:7" x14ac:dyDescent="0.25">
      <c r="A3092" s="6" t="s">
        <v>6989</v>
      </c>
      <c r="B3092" s="6"/>
      <c r="C3092" s="6"/>
      <c r="D3092" s="6"/>
      <c r="E3092" s="6"/>
      <c r="F3092" s="6"/>
      <c r="G3092" s="6"/>
    </row>
    <row r="3093" spans="1:7" x14ac:dyDescent="0.25">
      <c r="A3093" s="6" t="s">
        <v>6986</v>
      </c>
      <c r="B3093" s="6"/>
      <c r="C3093" s="6"/>
      <c r="D3093" s="6"/>
      <c r="E3093" s="6"/>
      <c r="F3093" s="6"/>
      <c r="G3093" s="6"/>
    </row>
    <row r="3094" spans="1:7" x14ac:dyDescent="0.25">
      <c r="A3094" s="6" t="s">
        <v>14204</v>
      </c>
      <c r="B3094" s="6" t="s">
        <v>14205</v>
      </c>
      <c r="C3094" s="6"/>
      <c r="D3094" s="6"/>
      <c r="E3094" s="6"/>
      <c r="F3094" s="6"/>
      <c r="G3094" s="6"/>
    </row>
    <row r="3095" spans="1:7" x14ac:dyDescent="0.25">
      <c r="A3095" s="6" t="s">
        <v>6981</v>
      </c>
      <c r="B3095" s="6"/>
      <c r="C3095" s="6"/>
      <c r="D3095" s="6"/>
      <c r="E3095" s="6"/>
      <c r="F3095" s="6"/>
      <c r="G3095" s="6"/>
    </row>
    <row r="3096" spans="1:7" x14ac:dyDescent="0.25">
      <c r="A3096" s="6" t="s">
        <v>6978</v>
      </c>
      <c r="B3096" s="6"/>
      <c r="C3096" s="6"/>
      <c r="D3096" s="6"/>
      <c r="E3096" s="6"/>
      <c r="F3096" s="6"/>
      <c r="G3096" s="6"/>
    </row>
    <row r="3097" spans="1:7" x14ac:dyDescent="0.25">
      <c r="A3097" s="6" t="s">
        <v>6975</v>
      </c>
      <c r="B3097" s="6"/>
      <c r="C3097" s="6"/>
      <c r="D3097" s="6"/>
      <c r="E3097" s="6"/>
      <c r="F3097" s="6"/>
      <c r="G3097" s="6"/>
    </row>
    <row r="3098" spans="1:7" x14ac:dyDescent="0.25">
      <c r="A3098" s="6" t="s">
        <v>6972</v>
      </c>
      <c r="B3098" s="6"/>
      <c r="C3098" s="6"/>
      <c r="D3098" s="6"/>
      <c r="E3098" s="6"/>
      <c r="F3098" s="6"/>
      <c r="G3098" s="6"/>
    </row>
    <row r="3099" spans="1:7" x14ac:dyDescent="0.25">
      <c r="A3099" s="6" t="s">
        <v>6969</v>
      </c>
      <c r="B3099" s="6"/>
      <c r="C3099" s="6"/>
      <c r="D3099" s="6"/>
      <c r="E3099" s="6"/>
      <c r="F3099" s="6"/>
      <c r="G3099" s="6"/>
    </row>
    <row r="3100" spans="1:7" x14ac:dyDescent="0.25">
      <c r="A3100" s="6" t="s">
        <v>6966</v>
      </c>
      <c r="B3100" s="6"/>
      <c r="C3100" s="6"/>
      <c r="D3100" s="6"/>
      <c r="E3100" s="6"/>
      <c r="F3100" s="6"/>
      <c r="G3100" s="6"/>
    </row>
    <row r="3101" spans="1:7" x14ac:dyDescent="0.25">
      <c r="A3101" s="6" t="s">
        <v>6964</v>
      </c>
      <c r="B3101" s="6"/>
      <c r="C3101" s="6"/>
      <c r="D3101" s="6"/>
      <c r="E3101" s="6"/>
      <c r="F3101" s="6"/>
      <c r="G3101" s="6"/>
    </row>
    <row r="3102" spans="1:7" x14ac:dyDescent="0.25">
      <c r="A3102" s="6" t="s">
        <v>6961</v>
      </c>
      <c r="B3102" s="6"/>
      <c r="C3102" s="6"/>
      <c r="D3102" s="6"/>
      <c r="E3102" s="6"/>
      <c r="F3102" s="6"/>
      <c r="G3102" s="6"/>
    </row>
    <row r="3103" spans="1:7" x14ac:dyDescent="0.25">
      <c r="A3103" s="6" t="s">
        <v>5907</v>
      </c>
      <c r="B3103" s="6"/>
      <c r="C3103" s="6"/>
      <c r="D3103" s="6"/>
      <c r="E3103" s="6"/>
      <c r="F3103" s="6"/>
      <c r="G3103" s="6"/>
    </row>
    <row r="3104" spans="1:7" x14ac:dyDescent="0.25">
      <c r="A3104" s="6" t="s">
        <v>5904</v>
      </c>
      <c r="B3104" s="6"/>
      <c r="C3104" s="6"/>
      <c r="D3104" s="6"/>
      <c r="E3104" s="6"/>
      <c r="F3104" s="6"/>
      <c r="G3104" s="6"/>
    </row>
    <row r="3105" spans="1:7" x14ac:dyDescent="0.25">
      <c r="A3105" s="6" t="s">
        <v>5901</v>
      </c>
      <c r="B3105" s="6"/>
      <c r="C3105" s="6"/>
      <c r="D3105" s="6"/>
      <c r="E3105" s="6"/>
      <c r="F3105" s="6"/>
      <c r="G3105" s="6"/>
    </row>
    <row r="3106" spans="1:7" x14ac:dyDescent="0.25">
      <c r="A3106" s="6" t="s">
        <v>957</v>
      </c>
      <c r="B3106" s="6"/>
      <c r="C3106" s="6"/>
      <c r="D3106" s="6"/>
      <c r="E3106" s="6"/>
      <c r="F3106" s="6"/>
      <c r="G3106" s="6"/>
    </row>
    <row r="3107" spans="1:7" x14ac:dyDescent="0.25">
      <c r="A3107" s="6" t="s">
        <v>5897</v>
      </c>
      <c r="B3107" s="6"/>
      <c r="C3107" s="6"/>
      <c r="D3107" s="6"/>
      <c r="E3107" s="6"/>
      <c r="F3107" s="6"/>
      <c r="G3107" s="6"/>
    </row>
    <row r="3108" spans="1:7" x14ac:dyDescent="0.25">
      <c r="A3108" s="6" t="s">
        <v>5894</v>
      </c>
      <c r="B3108" s="6"/>
      <c r="C3108" s="6"/>
      <c r="D3108" s="6"/>
      <c r="E3108" s="6"/>
      <c r="F3108" s="6"/>
      <c r="G3108" s="6"/>
    </row>
    <row r="3109" spans="1:7" x14ac:dyDescent="0.25">
      <c r="A3109" s="6" t="s">
        <v>5891</v>
      </c>
      <c r="B3109" s="6"/>
      <c r="C3109" s="6"/>
      <c r="D3109" s="6"/>
      <c r="E3109" s="6"/>
      <c r="F3109" s="6"/>
      <c r="G3109" s="6"/>
    </row>
    <row r="3110" spans="1:7" x14ac:dyDescent="0.25">
      <c r="A3110" s="6" t="s">
        <v>5888</v>
      </c>
      <c r="B3110" s="6"/>
      <c r="C3110" s="6"/>
      <c r="D3110" s="6"/>
      <c r="E3110" s="6"/>
      <c r="F3110" s="6"/>
      <c r="G3110" s="6"/>
    </row>
    <row r="3111" spans="1:7" x14ac:dyDescent="0.25">
      <c r="A3111" s="6" t="s">
        <v>6931</v>
      </c>
      <c r="B3111" s="6"/>
      <c r="C3111" s="6"/>
      <c r="D3111" s="6"/>
      <c r="E3111" s="6"/>
      <c r="F3111" s="6"/>
      <c r="G3111" s="6"/>
    </row>
    <row r="3112" spans="1:7" x14ac:dyDescent="0.25">
      <c r="A3112" s="6" t="s">
        <v>957</v>
      </c>
      <c r="B3112" s="6"/>
      <c r="C3112" s="6"/>
      <c r="D3112" s="6"/>
      <c r="E3112" s="6"/>
      <c r="F3112" s="6"/>
      <c r="G3112" s="6"/>
    </row>
    <row r="3113" spans="1:7" x14ac:dyDescent="0.25">
      <c r="A3113" s="6" t="s">
        <v>6927</v>
      </c>
      <c r="B3113" s="6"/>
      <c r="C3113" s="6"/>
      <c r="D3113" s="6"/>
      <c r="E3113" s="6"/>
      <c r="F3113" s="6"/>
      <c r="G3113" s="6"/>
    </row>
    <row r="3114" spans="1:7" x14ac:dyDescent="0.25">
      <c r="A3114" s="6" t="s">
        <v>6924</v>
      </c>
      <c r="B3114" s="6"/>
      <c r="C3114" s="6"/>
      <c r="D3114" s="6"/>
      <c r="E3114" s="6"/>
      <c r="F3114" s="6"/>
      <c r="G3114" s="6"/>
    </row>
    <row r="3115" spans="1:7" x14ac:dyDescent="0.25">
      <c r="A3115" s="6" t="s">
        <v>6921</v>
      </c>
      <c r="B3115" s="6"/>
      <c r="C3115" s="6"/>
      <c r="D3115" s="6"/>
      <c r="E3115" s="6"/>
      <c r="F3115" s="6"/>
      <c r="G3115" s="6"/>
    </row>
    <row r="3116" spans="1:7" x14ac:dyDescent="0.25">
      <c r="A3116" s="6" t="s">
        <v>957</v>
      </c>
      <c r="B3116" s="6"/>
      <c r="C3116" s="6"/>
      <c r="D3116" s="6"/>
      <c r="E3116" s="6"/>
      <c r="F3116" s="6"/>
      <c r="G3116" s="6"/>
    </row>
    <row r="3117" spans="1:7" x14ac:dyDescent="0.25">
      <c r="A3117" s="6" t="s">
        <v>6917</v>
      </c>
      <c r="B3117" s="6"/>
      <c r="C3117" s="6"/>
      <c r="D3117" s="6"/>
      <c r="E3117" s="6"/>
      <c r="F3117" s="6"/>
      <c r="G3117" s="6"/>
    </row>
    <row r="3118" spans="1:7" x14ac:dyDescent="0.25">
      <c r="A3118" s="6" t="s">
        <v>6914</v>
      </c>
      <c r="B3118" s="6"/>
      <c r="C3118" s="6"/>
      <c r="D3118" s="6"/>
      <c r="E3118" s="6"/>
      <c r="F3118" s="6"/>
      <c r="G3118" s="6"/>
    </row>
    <row r="3119" spans="1:7" x14ac:dyDescent="0.25">
      <c r="A3119" s="6" t="s">
        <v>6911</v>
      </c>
      <c r="B3119" s="6"/>
      <c r="C3119" s="6"/>
      <c r="D3119" s="6"/>
      <c r="E3119" s="6"/>
      <c r="F3119" s="6"/>
      <c r="G3119" s="6"/>
    </row>
    <row r="3120" spans="1:7" x14ac:dyDescent="0.25">
      <c r="A3120" s="6" t="s">
        <v>957</v>
      </c>
      <c r="B3120" s="6"/>
      <c r="C3120" s="6"/>
      <c r="D3120" s="6"/>
      <c r="E3120" s="6"/>
      <c r="F3120" s="6"/>
      <c r="G3120" s="6"/>
    </row>
    <row r="3121" spans="1:7" x14ac:dyDescent="0.25">
      <c r="A3121" s="6" t="s">
        <v>957</v>
      </c>
      <c r="B3121" s="6"/>
      <c r="C3121" s="6"/>
      <c r="D3121" s="6"/>
      <c r="E3121" s="6"/>
      <c r="F3121" s="6"/>
      <c r="G3121" s="6"/>
    </row>
    <row r="3122" spans="1:7" x14ac:dyDescent="0.25">
      <c r="A3122" s="6" t="s">
        <v>6904</v>
      </c>
      <c r="B3122" s="6"/>
      <c r="C3122" s="6"/>
      <c r="D3122" s="6"/>
      <c r="E3122" s="6"/>
      <c r="F3122" s="6"/>
      <c r="G3122" s="6"/>
    </row>
    <row r="3123" spans="1:7" x14ac:dyDescent="0.25">
      <c r="A3123" s="6" t="s">
        <v>5853</v>
      </c>
      <c r="B3123" s="6"/>
      <c r="C3123" s="6"/>
      <c r="D3123" s="6"/>
      <c r="E3123" s="6"/>
      <c r="F3123" s="6"/>
      <c r="G3123" s="6"/>
    </row>
    <row r="3124" spans="1:7" x14ac:dyDescent="0.25">
      <c r="A3124" s="6" t="s">
        <v>957</v>
      </c>
      <c r="B3124" s="6"/>
      <c r="C3124" s="6"/>
      <c r="D3124" s="6"/>
      <c r="E3124" s="6"/>
      <c r="F3124" s="6"/>
      <c r="G3124" s="6"/>
    </row>
    <row r="3125" spans="1:7" x14ac:dyDescent="0.25">
      <c r="A3125" s="6" t="s">
        <v>5849</v>
      </c>
      <c r="B3125" s="6"/>
      <c r="C3125" s="6"/>
      <c r="D3125" s="6"/>
      <c r="E3125" s="6"/>
      <c r="F3125" s="6"/>
      <c r="G3125" s="6"/>
    </row>
    <row r="3126" spans="1:7" x14ac:dyDescent="0.25">
      <c r="A3126" s="6" t="s">
        <v>5847</v>
      </c>
      <c r="B3126" s="6"/>
      <c r="C3126" s="6"/>
      <c r="D3126" s="6"/>
      <c r="E3126" s="6"/>
      <c r="F3126" s="6"/>
      <c r="G3126" s="6"/>
    </row>
    <row r="3127" spans="1:7" x14ac:dyDescent="0.25">
      <c r="A3127" s="6" t="s">
        <v>5844</v>
      </c>
      <c r="B3127" s="6"/>
      <c r="C3127" s="6"/>
      <c r="D3127" s="6"/>
      <c r="E3127" s="6"/>
      <c r="F3127" s="6"/>
      <c r="G3127" s="6"/>
    </row>
    <row r="3128" spans="1:7" x14ac:dyDescent="0.25">
      <c r="A3128" s="6" t="s">
        <v>5841</v>
      </c>
      <c r="B3128" s="6"/>
      <c r="C3128" s="6"/>
      <c r="D3128" s="6"/>
      <c r="E3128" s="6"/>
      <c r="F3128" s="6"/>
      <c r="G3128" s="6"/>
    </row>
    <row r="3129" spans="1:7" x14ac:dyDescent="0.25">
      <c r="A3129" s="6" t="s">
        <v>5838</v>
      </c>
      <c r="B3129" s="6"/>
      <c r="C3129" s="6"/>
      <c r="D3129" s="6"/>
      <c r="E3129" s="6"/>
      <c r="F3129" s="6"/>
      <c r="G3129" s="6"/>
    </row>
    <row r="3130" spans="1:7" x14ac:dyDescent="0.25">
      <c r="A3130" s="6" t="s">
        <v>5835</v>
      </c>
      <c r="B3130" s="6"/>
      <c r="C3130" s="6"/>
      <c r="D3130" s="6"/>
      <c r="E3130" s="6"/>
      <c r="F3130" s="6"/>
      <c r="G3130" s="6"/>
    </row>
    <row r="3131" spans="1:7" x14ac:dyDescent="0.25">
      <c r="A3131" s="6" t="s">
        <v>5832</v>
      </c>
      <c r="B3131" s="6"/>
      <c r="C3131" s="6"/>
      <c r="D3131" s="6"/>
      <c r="E3131" s="6"/>
      <c r="F3131" s="6"/>
      <c r="G3131" s="6"/>
    </row>
    <row r="3132" spans="1:7" x14ac:dyDescent="0.25">
      <c r="A3132" s="6" t="s">
        <v>5829</v>
      </c>
      <c r="B3132" s="6"/>
      <c r="C3132" s="6"/>
      <c r="D3132" s="6"/>
      <c r="E3132" s="6"/>
      <c r="F3132" s="6"/>
      <c r="G3132" s="6"/>
    </row>
    <row r="3133" spans="1:7" x14ac:dyDescent="0.25">
      <c r="A3133" s="6" t="s">
        <v>957</v>
      </c>
      <c r="B3133" s="6"/>
      <c r="C3133" s="6"/>
      <c r="D3133" s="6"/>
      <c r="E3133" s="6"/>
      <c r="F3133" s="6"/>
      <c r="G3133" s="6"/>
    </row>
    <row r="3134" spans="1:7" x14ac:dyDescent="0.25">
      <c r="A3134" s="6" t="s">
        <v>5825</v>
      </c>
      <c r="B3134" s="6"/>
      <c r="C3134" s="6"/>
      <c r="D3134" s="6"/>
      <c r="E3134" s="6"/>
      <c r="F3134" s="6"/>
      <c r="G3134" s="6"/>
    </row>
    <row r="3135" spans="1:7" x14ac:dyDescent="0.25">
      <c r="A3135" s="6" t="s">
        <v>5822</v>
      </c>
      <c r="B3135" s="6"/>
      <c r="C3135" s="6"/>
      <c r="D3135" s="6"/>
      <c r="E3135" s="6"/>
      <c r="F3135" s="6"/>
      <c r="G3135" s="6"/>
    </row>
    <row r="3136" spans="1:7" x14ac:dyDescent="0.25">
      <c r="A3136" s="6" t="s">
        <v>957</v>
      </c>
      <c r="B3136" s="6"/>
      <c r="C3136" s="6"/>
      <c r="D3136" s="6"/>
      <c r="E3136" s="6"/>
      <c r="F3136" s="6"/>
      <c r="G3136" s="6"/>
    </row>
    <row r="3137" spans="1:7" x14ac:dyDescent="0.25">
      <c r="A3137" s="6" t="s">
        <v>5818</v>
      </c>
      <c r="B3137" s="6"/>
      <c r="C3137" s="6"/>
      <c r="D3137" s="6"/>
      <c r="E3137" s="6"/>
      <c r="F3137" s="6"/>
      <c r="G3137" s="6"/>
    </row>
    <row r="3138" spans="1:7" x14ac:dyDescent="0.25">
      <c r="A3138" s="6" t="s">
        <v>5815</v>
      </c>
      <c r="B3138" s="6"/>
      <c r="C3138" s="6"/>
      <c r="D3138" s="6"/>
      <c r="E3138" s="6"/>
      <c r="F3138" s="6"/>
      <c r="G3138" s="6"/>
    </row>
    <row r="3139" spans="1:7" x14ac:dyDescent="0.25">
      <c r="A3139" s="6" t="s">
        <v>5812</v>
      </c>
      <c r="B3139" s="6"/>
      <c r="C3139" s="6"/>
      <c r="D3139" s="6"/>
      <c r="E3139" s="6"/>
      <c r="F3139" s="6"/>
      <c r="G3139" s="6"/>
    </row>
    <row r="3140" spans="1:7" x14ac:dyDescent="0.25">
      <c r="A3140" s="6" t="s">
        <v>5809</v>
      </c>
      <c r="B3140" s="6"/>
      <c r="C3140" s="6"/>
      <c r="D3140" s="6"/>
      <c r="E3140" s="6"/>
      <c r="F3140" s="6"/>
      <c r="G3140" s="6"/>
    </row>
    <row r="3141" spans="1:7" x14ac:dyDescent="0.25">
      <c r="A3141" s="6" t="s">
        <v>5806</v>
      </c>
      <c r="B3141" s="6"/>
      <c r="C3141" s="6"/>
      <c r="D3141" s="6"/>
      <c r="E3141" s="6"/>
      <c r="F3141" s="6"/>
      <c r="G3141" s="6"/>
    </row>
    <row r="3142" spans="1:7" x14ac:dyDescent="0.25">
      <c r="A3142" s="6" t="s">
        <v>957</v>
      </c>
      <c r="B3142" s="6"/>
      <c r="C3142" s="6"/>
      <c r="D3142" s="6"/>
      <c r="E3142" s="6"/>
      <c r="F3142" s="6"/>
      <c r="G3142" s="6"/>
    </row>
    <row r="3143" spans="1:7" x14ac:dyDescent="0.25">
      <c r="A3143" s="6" t="s">
        <v>5802</v>
      </c>
      <c r="B3143" s="6"/>
      <c r="C3143" s="6"/>
      <c r="D3143" s="6"/>
      <c r="E3143" s="6"/>
      <c r="F3143" s="6"/>
      <c r="G3143" s="6"/>
    </row>
    <row r="3144" spans="1:7" x14ac:dyDescent="0.25">
      <c r="A3144" s="6" t="s">
        <v>5799</v>
      </c>
      <c r="B3144" s="6"/>
      <c r="C3144" s="6"/>
      <c r="D3144" s="6"/>
      <c r="E3144" s="6"/>
      <c r="F3144" s="6"/>
      <c r="G3144" s="6"/>
    </row>
    <row r="3145" spans="1:7" x14ac:dyDescent="0.25">
      <c r="A3145" s="6" t="s">
        <v>5796</v>
      </c>
      <c r="B3145" s="6"/>
      <c r="C3145" s="6"/>
      <c r="D3145" s="6"/>
      <c r="E3145" s="6"/>
      <c r="F3145" s="6"/>
      <c r="G3145" s="6"/>
    </row>
    <row r="3146" spans="1:7" x14ac:dyDescent="0.25">
      <c r="A3146" s="6" t="s">
        <v>5793</v>
      </c>
      <c r="B3146" s="6"/>
      <c r="C3146" s="6"/>
      <c r="D3146" s="6"/>
      <c r="E3146" s="6"/>
      <c r="F3146" s="6"/>
      <c r="G3146" s="6"/>
    </row>
    <row r="3147" spans="1:7" x14ac:dyDescent="0.25">
      <c r="A3147" s="6" t="s">
        <v>957</v>
      </c>
      <c r="B3147" s="6"/>
      <c r="C3147" s="6"/>
      <c r="D3147" s="6"/>
      <c r="E3147" s="6"/>
      <c r="F3147" s="6"/>
      <c r="G3147" s="6"/>
    </row>
    <row r="3148" spans="1:7" x14ac:dyDescent="0.25">
      <c r="A3148" s="6" t="s">
        <v>5789</v>
      </c>
      <c r="B3148" s="6"/>
      <c r="C3148" s="6"/>
      <c r="D3148" s="6"/>
      <c r="E3148" s="6"/>
      <c r="F3148" s="6"/>
      <c r="G3148" s="6"/>
    </row>
    <row r="3149" spans="1:7" x14ac:dyDescent="0.25">
      <c r="A3149" s="6" t="s">
        <v>957</v>
      </c>
      <c r="B3149" s="6"/>
      <c r="C3149" s="6"/>
      <c r="D3149" s="6"/>
      <c r="E3149" s="6"/>
      <c r="F3149" s="6"/>
      <c r="G3149" s="6"/>
    </row>
    <row r="3150" spans="1:7" x14ac:dyDescent="0.25">
      <c r="A3150" s="6" t="s">
        <v>5785</v>
      </c>
      <c r="B3150" s="6"/>
      <c r="C3150" s="6"/>
      <c r="D3150" s="6"/>
      <c r="E3150" s="6"/>
      <c r="F3150" s="6"/>
      <c r="G3150" s="6"/>
    </row>
    <row r="3151" spans="1:7" x14ac:dyDescent="0.25">
      <c r="A3151" s="6" t="s">
        <v>957</v>
      </c>
      <c r="B3151" s="6"/>
      <c r="C3151" s="6"/>
      <c r="D3151" s="6"/>
      <c r="E3151" s="6"/>
      <c r="F3151" s="6"/>
      <c r="G3151" s="6"/>
    </row>
    <row r="3152" spans="1:7" x14ac:dyDescent="0.25">
      <c r="A3152" s="6" t="s">
        <v>5781</v>
      </c>
      <c r="B3152" s="6"/>
      <c r="C3152" s="6"/>
      <c r="D3152" s="6"/>
      <c r="E3152" s="6"/>
      <c r="F3152" s="6"/>
      <c r="G3152" s="6"/>
    </row>
    <row r="3153" spans="1:7" x14ac:dyDescent="0.25">
      <c r="A3153" s="6" t="s">
        <v>6832</v>
      </c>
      <c r="B3153" s="6"/>
      <c r="C3153" s="6"/>
      <c r="D3153" s="6"/>
      <c r="E3153" s="6"/>
      <c r="F3153" s="6"/>
      <c r="G3153" s="6"/>
    </row>
    <row r="3154" spans="1:7" x14ac:dyDescent="0.25">
      <c r="A3154" s="6" t="s">
        <v>957</v>
      </c>
      <c r="B3154" s="6"/>
      <c r="C3154" s="6"/>
      <c r="D3154" s="6"/>
      <c r="E3154" s="6"/>
      <c r="F3154" s="6"/>
      <c r="G3154" s="6"/>
    </row>
    <row r="3155" spans="1:7" x14ac:dyDescent="0.25">
      <c r="A3155" s="6" t="s">
        <v>957</v>
      </c>
      <c r="B3155" s="6"/>
      <c r="C3155" s="6"/>
      <c r="D3155" s="6"/>
      <c r="E3155" s="6"/>
      <c r="F3155" s="6"/>
      <c r="G3155" s="6"/>
    </row>
    <row r="3156" spans="1:7" x14ac:dyDescent="0.25">
      <c r="A3156" s="6" t="s">
        <v>957</v>
      </c>
      <c r="B3156" s="6"/>
      <c r="C3156" s="6"/>
      <c r="D3156" s="6"/>
      <c r="E3156" s="6"/>
      <c r="F3156" s="6"/>
      <c r="G3156" s="6"/>
    </row>
    <row r="3157" spans="1:7" x14ac:dyDescent="0.25">
      <c r="A3157" s="6" t="s">
        <v>957</v>
      </c>
      <c r="B3157" s="6"/>
      <c r="C3157" s="6"/>
      <c r="D3157" s="6"/>
      <c r="E3157" s="6"/>
      <c r="F3157" s="6"/>
      <c r="G3157" s="6"/>
    </row>
    <row r="3158" spans="1:7" x14ac:dyDescent="0.25">
      <c r="A3158" s="6" t="s">
        <v>6825</v>
      </c>
      <c r="B3158" s="6"/>
      <c r="C3158" s="6"/>
      <c r="D3158" s="6"/>
      <c r="E3158" s="6"/>
      <c r="F3158" s="6"/>
      <c r="G3158" s="6"/>
    </row>
    <row r="3159" spans="1:7" x14ac:dyDescent="0.25">
      <c r="A3159" s="6" t="s">
        <v>6822</v>
      </c>
      <c r="B3159" s="6"/>
      <c r="C3159" s="6"/>
      <c r="D3159" s="6"/>
      <c r="E3159" s="6"/>
      <c r="F3159" s="6"/>
      <c r="G3159" s="6"/>
    </row>
    <row r="3160" spans="1:7" x14ac:dyDescent="0.25">
      <c r="A3160" s="6" t="s">
        <v>6819</v>
      </c>
      <c r="B3160" s="6"/>
      <c r="C3160" s="6"/>
      <c r="D3160" s="6"/>
      <c r="E3160" s="6"/>
      <c r="F3160" s="6"/>
      <c r="G3160" s="6"/>
    </row>
    <row r="3161" spans="1:7" x14ac:dyDescent="0.25">
      <c r="A3161" s="6" t="s">
        <v>957</v>
      </c>
      <c r="B3161" s="6"/>
      <c r="C3161" s="6"/>
      <c r="D3161" s="6"/>
      <c r="E3161" s="6"/>
      <c r="F3161" s="6"/>
      <c r="G3161" s="6"/>
    </row>
    <row r="3162" spans="1:7" x14ac:dyDescent="0.25">
      <c r="A3162" s="6" t="s">
        <v>957</v>
      </c>
      <c r="B3162" s="6"/>
      <c r="C3162" s="6"/>
      <c r="D3162" s="6"/>
      <c r="E3162" s="6"/>
      <c r="F3162" s="6"/>
      <c r="G3162" s="6"/>
    </row>
    <row r="3163" spans="1:7" x14ac:dyDescent="0.25">
      <c r="A3163" s="6" t="s">
        <v>6814</v>
      </c>
      <c r="B3163" s="6"/>
      <c r="C3163" s="6"/>
      <c r="D3163" s="6"/>
      <c r="E3163" s="6"/>
      <c r="F3163" s="6"/>
      <c r="G3163" s="6"/>
    </row>
    <row r="3164" spans="1:7" x14ac:dyDescent="0.25">
      <c r="A3164" s="6" t="s">
        <v>6811</v>
      </c>
      <c r="B3164" s="6"/>
      <c r="C3164" s="6"/>
      <c r="D3164" s="6"/>
      <c r="E3164" s="6"/>
      <c r="F3164" s="6"/>
      <c r="G3164" s="6"/>
    </row>
    <row r="3165" spans="1:7" x14ac:dyDescent="0.25">
      <c r="A3165" s="6" t="s">
        <v>6808</v>
      </c>
      <c r="B3165" s="6"/>
      <c r="C3165" s="6"/>
      <c r="D3165" s="6"/>
      <c r="E3165" s="6"/>
      <c r="F3165" s="6"/>
      <c r="G3165" s="6"/>
    </row>
    <row r="3166" spans="1:7" x14ac:dyDescent="0.25">
      <c r="A3166" s="6" t="s">
        <v>6805</v>
      </c>
      <c r="B3166" s="6"/>
      <c r="C3166" s="6"/>
      <c r="D3166" s="6"/>
      <c r="E3166" s="6"/>
      <c r="F3166" s="6"/>
      <c r="G3166" s="6"/>
    </row>
    <row r="3167" spans="1:7" x14ac:dyDescent="0.25">
      <c r="A3167" s="6" t="s">
        <v>6802</v>
      </c>
      <c r="B3167" s="6"/>
      <c r="C3167" s="6"/>
      <c r="D3167" s="6"/>
      <c r="E3167" s="6"/>
      <c r="F3167" s="6"/>
      <c r="G3167" s="6"/>
    </row>
    <row r="3168" spans="1:7" x14ac:dyDescent="0.25">
      <c r="A3168" s="6" t="s">
        <v>6799</v>
      </c>
      <c r="B3168" s="6"/>
      <c r="C3168" s="6"/>
      <c r="D3168" s="6"/>
      <c r="E3168" s="6"/>
      <c r="F3168" s="6"/>
      <c r="G3168" s="6"/>
    </row>
    <row r="3169" spans="1:7" x14ac:dyDescent="0.25">
      <c r="A3169" s="6" t="s">
        <v>6796</v>
      </c>
      <c r="B3169" s="6"/>
      <c r="C3169" s="6"/>
      <c r="D3169" s="6"/>
      <c r="E3169" s="6"/>
      <c r="F3169" s="6"/>
      <c r="G3169" s="6"/>
    </row>
    <row r="3170" spans="1:7" x14ac:dyDescent="0.25">
      <c r="A3170" s="6" t="s">
        <v>6793</v>
      </c>
      <c r="B3170" s="6"/>
      <c r="C3170" s="6"/>
      <c r="D3170" s="6"/>
      <c r="E3170" s="6"/>
      <c r="F3170" s="6"/>
      <c r="G3170" s="6"/>
    </row>
    <row r="3171" spans="1:7" x14ac:dyDescent="0.25">
      <c r="A3171" s="6" t="s">
        <v>6790</v>
      </c>
      <c r="B3171" s="6"/>
      <c r="C3171" s="6"/>
      <c r="D3171" s="6"/>
      <c r="E3171" s="6"/>
      <c r="F3171" s="6"/>
      <c r="G3171" s="6"/>
    </row>
    <row r="3172" spans="1:7" x14ac:dyDescent="0.25">
      <c r="A3172" s="6" t="s">
        <v>957</v>
      </c>
      <c r="B3172" s="6"/>
      <c r="C3172" s="6"/>
      <c r="D3172" s="6"/>
      <c r="E3172" s="6"/>
      <c r="F3172" s="6"/>
      <c r="G3172" s="6"/>
    </row>
    <row r="3173" spans="1:7" x14ac:dyDescent="0.25">
      <c r="A3173" s="6" t="s">
        <v>6786</v>
      </c>
      <c r="B3173" s="6"/>
      <c r="C3173" s="6"/>
      <c r="D3173" s="6"/>
      <c r="E3173" s="6"/>
      <c r="F3173" s="6"/>
      <c r="G3173" s="6"/>
    </row>
    <row r="3174" spans="1:7" x14ac:dyDescent="0.25">
      <c r="A3174" s="6" t="s">
        <v>6783</v>
      </c>
      <c r="B3174" s="6"/>
      <c r="C3174" s="6"/>
      <c r="D3174" s="6"/>
      <c r="E3174" s="6"/>
      <c r="F3174" s="6"/>
      <c r="G3174" s="6"/>
    </row>
    <row r="3175" spans="1:7" x14ac:dyDescent="0.25">
      <c r="A3175" s="6" t="s">
        <v>957</v>
      </c>
      <c r="B3175" s="6"/>
      <c r="C3175" s="6"/>
      <c r="D3175" s="6"/>
      <c r="E3175" s="6"/>
      <c r="F3175" s="6"/>
      <c r="G3175" s="6"/>
    </row>
    <row r="3176" spans="1:7" x14ac:dyDescent="0.25">
      <c r="A3176" s="6" t="s">
        <v>6778</v>
      </c>
      <c r="B3176" s="6"/>
      <c r="C3176" s="6"/>
      <c r="D3176" s="6"/>
      <c r="E3176" s="6"/>
      <c r="F3176" s="6"/>
      <c r="G3176" s="6"/>
    </row>
    <row r="3177" spans="1:7" x14ac:dyDescent="0.25">
      <c r="A3177" s="6" t="s">
        <v>6775</v>
      </c>
      <c r="B3177" s="6"/>
      <c r="C3177" s="6"/>
      <c r="D3177" s="6"/>
      <c r="E3177" s="6"/>
      <c r="F3177" s="6"/>
      <c r="G3177" s="6"/>
    </row>
    <row r="3178" spans="1:7" x14ac:dyDescent="0.25">
      <c r="A3178" s="6" t="s">
        <v>6772</v>
      </c>
      <c r="B3178" s="6"/>
      <c r="C3178" s="6"/>
      <c r="D3178" s="6"/>
      <c r="E3178" s="6"/>
      <c r="F3178" s="6"/>
      <c r="G3178" s="6"/>
    </row>
    <row r="3179" spans="1:7" x14ac:dyDescent="0.25">
      <c r="A3179" s="6" t="s">
        <v>6769</v>
      </c>
      <c r="B3179" s="6"/>
      <c r="C3179" s="6"/>
      <c r="D3179" s="6"/>
      <c r="E3179" s="6"/>
      <c r="F3179" s="6"/>
      <c r="G3179" s="6"/>
    </row>
    <row r="3180" spans="1:7" x14ac:dyDescent="0.25">
      <c r="A3180" s="6" t="s">
        <v>957</v>
      </c>
      <c r="B3180" s="6"/>
      <c r="C3180" s="6"/>
      <c r="D3180" s="6"/>
      <c r="E3180" s="6"/>
      <c r="F3180" s="6"/>
      <c r="G3180" s="6"/>
    </row>
    <row r="3181" spans="1:7" x14ac:dyDescent="0.25">
      <c r="A3181" s="6" t="s">
        <v>6765</v>
      </c>
      <c r="B3181" s="6"/>
      <c r="C3181" s="6"/>
      <c r="D3181" s="6"/>
      <c r="E3181" s="6"/>
      <c r="F3181" s="6"/>
      <c r="G3181" s="6"/>
    </row>
    <row r="3182" spans="1:7" x14ac:dyDescent="0.25">
      <c r="A3182" s="6" t="s">
        <v>6762</v>
      </c>
      <c r="B3182" s="6"/>
      <c r="C3182" s="6"/>
      <c r="D3182" s="6"/>
      <c r="E3182" s="6"/>
      <c r="F3182" s="6"/>
      <c r="G3182" s="6"/>
    </row>
    <row r="3183" spans="1:7" x14ac:dyDescent="0.25">
      <c r="A3183" s="6" t="s">
        <v>957</v>
      </c>
      <c r="B3183" s="6"/>
      <c r="C3183" s="6"/>
      <c r="D3183" s="6"/>
      <c r="E3183" s="6"/>
      <c r="F3183" s="6"/>
      <c r="G3183" s="6"/>
    </row>
    <row r="3184" spans="1:7" x14ac:dyDescent="0.25">
      <c r="A3184" s="6" t="s">
        <v>6759</v>
      </c>
      <c r="B3184" s="6"/>
      <c r="C3184" s="6"/>
      <c r="D3184" s="6"/>
      <c r="E3184" s="6"/>
      <c r="F3184" s="6"/>
      <c r="G3184" s="6"/>
    </row>
    <row r="3185" spans="1:7" x14ac:dyDescent="0.25">
      <c r="A3185" s="6" t="s">
        <v>957</v>
      </c>
      <c r="B3185" s="6"/>
      <c r="C3185" s="6"/>
      <c r="D3185" s="6"/>
      <c r="E3185" s="6"/>
      <c r="F3185" s="6"/>
      <c r="G3185" s="6"/>
    </row>
    <row r="3186" spans="1:7" x14ac:dyDescent="0.25">
      <c r="A3186" s="6" t="s">
        <v>5733</v>
      </c>
      <c r="B3186" s="6"/>
      <c r="C3186" s="6"/>
      <c r="D3186" s="6"/>
      <c r="E3186" s="6"/>
      <c r="F3186" s="6"/>
      <c r="G3186" s="6"/>
    </row>
    <row r="3187" spans="1:7" x14ac:dyDescent="0.25">
      <c r="A3187" s="6" t="s">
        <v>5730</v>
      </c>
      <c r="B3187" s="6"/>
      <c r="C3187" s="6"/>
      <c r="D3187" s="6"/>
      <c r="E3187" s="6"/>
      <c r="F3187" s="6"/>
      <c r="G3187" s="6"/>
    </row>
    <row r="3188" spans="1:7" x14ac:dyDescent="0.25">
      <c r="A3188" s="6" t="s">
        <v>5727</v>
      </c>
      <c r="B3188" s="6"/>
      <c r="C3188" s="6"/>
      <c r="D3188" s="6"/>
      <c r="E3188" s="6"/>
      <c r="F3188" s="6"/>
      <c r="G3188" s="6"/>
    </row>
    <row r="3189" spans="1:7" x14ac:dyDescent="0.25">
      <c r="A3189" s="6" t="s">
        <v>957</v>
      </c>
      <c r="B3189" s="6"/>
      <c r="C3189" s="6"/>
      <c r="D3189" s="6"/>
      <c r="E3189" s="6"/>
      <c r="F3189" s="6"/>
      <c r="G3189" s="6"/>
    </row>
    <row r="3190" spans="1:7" x14ac:dyDescent="0.25">
      <c r="A3190" s="6" t="s">
        <v>957</v>
      </c>
      <c r="B3190" s="6"/>
      <c r="C3190" s="6"/>
      <c r="D3190" s="6"/>
      <c r="E3190" s="6"/>
      <c r="F3190" s="6"/>
      <c r="G3190" s="6"/>
    </row>
    <row r="3191" spans="1:7" x14ac:dyDescent="0.25">
      <c r="A3191" s="6" t="s">
        <v>5722</v>
      </c>
      <c r="B3191" s="6"/>
      <c r="C3191" s="6"/>
      <c r="D3191" s="6"/>
      <c r="E3191" s="6"/>
      <c r="F3191" s="6"/>
      <c r="G3191" s="6"/>
    </row>
    <row r="3192" spans="1:7" x14ac:dyDescent="0.25">
      <c r="A3192" s="6" t="s">
        <v>957</v>
      </c>
      <c r="B3192" s="6"/>
      <c r="C3192" s="6"/>
      <c r="D3192" s="6"/>
      <c r="E3192" s="6"/>
      <c r="F3192" s="6"/>
      <c r="G3192" s="6"/>
    </row>
    <row r="3193" spans="1:7" x14ac:dyDescent="0.25">
      <c r="A3193" s="6" t="s">
        <v>5718</v>
      </c>
      <c r="B3193" s="6"/>
      <c r="C3193" s="6"/>
      <c r="D3193" s="6"/>
      <c r="E3193" s="6"/>
      <c r="F3193" s="6"/>
      <c r="G3193" s="6"/>
    </row>
    <row r="3194" spans="1:7" x14ac:dyDescent="0.25">
      <c r="A3194" s="6" t="s">
        <v>5715</v>
      </c>
      <c r="B3194" s="6"/>
      <c r="C3194" s="6"/>
      <c r="D3194" s="6"/>
      <c r="E3194" s="6"/>
      <c r="F3194" s="6"/>
      <c r="G3194" s="6"/>
    </row>
    <row r="3195" spans="1:7" x14ac:dyDescent="0.25">
      <c r="A3195" s="6" t="s">
        <v>5712</v>
      </c>
      <c r="B3195" s="6"/>
      <c r="C3195" s="6"/>
      <c r="D3195" s="6"/>
      <c r="E3195" s="6"/>
      <c r="F3195" s="6"/>
      <c r="G3195" s="6"/>
    </row>
    <row r="3196" spans="1:7" x14ac:dyDescent="0.25">
      <c r="A3196" s="6" t="s">
        <v>5709</v>
      </c>
      <c r="B3196" s="6"/>
      <c r="C3196" s="6"/>
      <c r="D3196" s="6"/>
      <c r="E3196" s="6"/>
      <c r="F3196" s="6"/>
      <c r="G3196" s="6"/>
    </row>
    <row r="3197" spans="1:7" x14ac:dyDescent="0.25">
      <c r="A3197" s="6" t="s">
        <v>5706</v>
      </c>
      <c r="B3197" s="6"/>
      <c r="C3197" s="6"/>
      <c r="D3197" s="6"/>
      <c r="E3197" s="6"/>
      <c r="F3197" s="6"/>
      <c r="G3197" s="6"/>
    </row>
    <row r="3198" spans="1:7" x14ac:dyDescent="0.25">
      <c r="A3198" s="6" t="s">
        <v>6725</v>
      </c>
      <c r="B3198" s="6"/>
      <c r="C3198" s="6"/>
      <c r="D3198" s="6"/>
      <c r="E3198" s="6"/>
      <c r="F3198" s="6"/>
      <c r="G3198" s="6"/>
    </row>
    <row r="3199" spans="1:7" x14ac:dyDescent="0.25">
      <c r="A3199" s="6" t="s">
        <v>6722</v>
      </c>
      <c r="B3199" s="6"/>
      <c r="C3199" s="6"/>
      <c r="D3199" s="6"/>
      <c r="E3199" s="6"/>
      <c r="F3199" s="6"/>
      <c r="G3199" s="6"/>
    </row>
    <row r="3200" spans="1:7" x14ac:dyDescent="0.25">
      <c r="A3200" s="6" t="s">
        <v>6719</v>
      </c>
      <c r="B3200" s="6"/>
      <c r="C3200" s="6"/>
      <c r="D3200" s="6"/>
      <c r="E3200" s="6"/>
      <c r="F3200" s="6"/>
      <c r="G3200" s="6"/>
    </row>
    <row r="3201" spans="1:7" x14ac:dyDescent="0.25">
      <c r="A3201" s="6" t="s">
        <v>6716</v>
      </c>
      <c r="B3201" s="6"/>
      <c r="C3201" s="6"/>
      <c r="D3201" s="6"/>
      <c r="E3201" s="6"/>
      <c r="F3201" s="6"/>
      <c r="G3201" s="6"/>
    </row>
    <row r="3202" spans="1:7" x14ac:dyDescent="0.25">
      <c r="A3202" s="6" t="s">
        <v>6713</v>
      </c>
      <c r="B3202" s="6"/>
      <c r="C3202" s="6"/>
      <c r="D3202" s="6"/>
      <c r="E3202" s="6"/>
      <c r="F3202" s="6"/>
      <c r="G3202" s="6"/>
    </row>
    <row r="3203" spans="1:7" x14ac:dyDescent="0.25">
      <c r="A3203" s="6" t="s">
        <v>957</v>
      </c>
      <c r="B3203" s="6"/>
      <c r="C3203" s="6"/>
      <c r="D3203" s="6"/>
      <c r="E3203" s="6"/>
      <c r="F3203" s="6"/>
      <c r="G3203" s="6"/>
    </row>
    <row r="3204" spans="1:7" x14ac:dyDescent="0.25">
      <c r="A3204" s="6" t="s">
        <v>6709</v>
      </c>
      <c r="B3204" s="6"/>
      <c r="C3204" s="6"/>
      <c r="D3204" s="6"/>
      <c r="E3204" s="6"/>
      <c r="F3204" s="6"/>
      <c r="G3204" s="6"/>
    </row>
    <row r="3205" spans="1:7" x14ac:dyDescent="0.25">
      <c r="A3205" s="6" t="s">
        <v>6706</v>
      </c>
      <c r="B3205" s="6"/>
      <c r="C3205" s="6"/>
      <c r="D3205" s="6"/>
      <c r="E3205" s="6"/>
      <c r="F3205" s="6"/>
      <c r="G3205" s="6"/>
    </row>
    <row r="3206" spans="1:7" x14ac:dyDescent="0.25">
      <c r="A3206" s="6" t="s">
        <v>6703</v>
      </c>
      <c r="B3206" s="6"/>
      <c r="C3206" s="6"/>
      <c r="D3206" s="6"/>
      <c r="E3206" s="6"/>
      <c r="F3206" s="6"/>
      <c r="G3206" s="6"/>
    </row>
    <row r="3207" spans="1:7" x14ac:dyDescent="0.25">
      <c r="A3207" s="6" t="s">
        <v>6700</v>
      </c>
      <c r="B3207" s="6"/>
      <c r="C3207" s="6"/>
      <c r="D3207" s="6"/>
      <c r="E3207" s="6"/>
      <c r="F3207" s="6"/>
      <c r="G3207" s="6"/>
    </row>
    <row r="3208" spans="1:7" x14ac:dyDescent="0.25">
      <c r="A3208" s="6" t="s">
        <v>6697</v>
      </c>
      <c r="B3208" s="6"/>
      <c r="C3208" s="6"/>
      <c r="D3208" s="6"/>
      <c r="E3208" s="6"/>
      <c r="F3208" s="6"/>
      <c r="G3208" s="6"/>
    </row>
    <row r="3209" spans="1:7" x14ac:dyDescent="0.25">
      <c r="A3209" s="6" t="s">
        <v>5670</v>
      </c>
      <c r="B3209" s="6"/>
      <c r="C3209" s="6"/>
      <c r="D3209" s="6"/>
      <c r="E3209" s="6"/>
      <c r="F3209" s="6"/>
      <c r="G3209" s="6"/>
    </row>
    <row r="3210" spans="1:7" x14ac:dyDescent="0.25">
      <c r="A3210" s="6" t="s">
        <v>5667</v>
      </c>
      <c r="B3210" s="6"/>
      <c r="C3210" s="6"/>
      <c r="D3210" s="6"/>
      <c r="E3210" s="6"/>
      <c r="F3210" s="6"/>
      <c r="G3210" s="6"/>
    </row>
    <row r="3211" spans="1:7" x14ac:dyDescent="0.25">
      <c r="A3211" s="6" t="s">
        <v>5664</v>
      </c>
      <c r="B3211" s="6"/>
      <c r="C3211" s="6"/>
      <c r="D3211" s="6"/>
      <c r="E3211" s="6"/>
      <c r="F3211" s="6"/>
      <c r="G3211" s="6"/>
    </row>
    <row r="3212" spans="1:7" x14ac:dyDescent="0.25">
      <c r="A3212" s="6" t="s">
        <v>5661</v>
      </c>
      <c r="B3212" s="6"/>
      <c r="C3212" s="6"/>
      <c r="D3212" s="6"/>
      <c r="E3212" s="6"/>
      <c r="F3212" s="6"/>
      <c r="G3212" s="6"/>
    </row>
    <row r="3213" spans="1:7" x14ac:dyDescent="0.25">
      <c r="A3213" s="6" t="s">
        <v>957</v>
      </c>
      <c r="B3213" s="6"/>
      <c r="C3213" s="6"/>
      <c r="D3213" s="6"/>
      <c r="E3213" s="6"/>
      <c r="F3213" s="6"/>
      <c r="G3213" s="6"/>
    </row>
    <row r="3214" spans="1:7" x14ac:dyDescent="0.25">
      <c r="A3214" s="7">
        <v>38991</v>
      </c>
      <c r="B3214" s="6"/>
      <c r="C3214" s="6"/>
      <c r="D3214" s="6"/>
      <c r="E3214" s="6"/>
      <c r="F3214" s="6"/>
      <c r="G3214" s="6"/>
    </row>
    <row r="3215" spans="1:7" x14ac:dyDescent="0.25">
      <c r="A3215" s="6" t="s">
        <v>5655</v>
      </c>
      <c r="B3215" s="6"/>
      <c r="C3215" s="6"/>
      <c r="D3215" s="6"/>
      <c r="E3215" s="6"/>
      <c r="F3215" s="6"/>
      <c r="G3215" s="6"/>
    </row>
    <row r="3216" spans="1:7" x14ac:dyDescent="0.25">
      <c r="A3216" s="6" t="s">
        <v>957</v>
      </c>
      <c r="B3216" s="6"/>
      <c r="C3216" s="6"/>
      <c r="D3216" s="6"/>
      <c r="E3216" s="6"/>
      <c r="F3216" s="6"/>
      <c r="G3216" s="6"/>
    </row>
    <row r="3217" spans="1:7" x14ac:dyDescent="0.25">
      <c r="A3217" s="6" t="s">
        <v>5652</v>
      </c>
      <c r="B3217" s="6"/>
      <c r="C3217" s="6"/>
      <c r="D3217" s="6"/>
      <c r="E3217" s="6"/>
      <c r="F3217" s="6"/>
      <c r="G3217" s="6"/>
    </row>
    <row r="3218" spans="1:7" x14ac:dyDescent="0.25">
      <c r="A3218" s="6" t="s">
        <v>5649</v>
      </c>
      <c r="B3218" s="6"/>
      <c r="C3218" s="6"/>
      <c r="D3218" s="6"/>
      <c r="E3218" s="6"/>
      <c r="F3218" s="6"/>
      <c r="G3218" s="6"/>
    </row>
    <row r="3219" spans="1:7" x14ac:dyDescent="0.25">
      <c r="A3219" s="6" t="s">
        <v>5646</v>
      </c>
      <c r="B3219" s="6"/>
      <c r="C3219" s="6"/>
      <c r="D3219" s="6"/>
      <c r="E3219" s="6"/>
      <c r="F3219" s="6"/>
      <c r="G3219" s="6"/>
    </row>
    <row r="3220" spans="1:7" x14ac:dyDescent="0.25">
      <c r="A3220" s="6" t="s">
        <v>5644</v>
      </c>
      <c r="B3220" s="6"/>
      <c r="C3220" s="6"/>
      <c r="D3220" s="6"/>
      <c r="E3220" s="6"/>
      <c r="F3220" s="6"/>
      <c r="G3220" s="6"/>
    </row>
    <row r="3221" spans="1:7" x14ac:dyDescent="0.25">
      <c r="A3221" s="6" t="s">
        <v>5641</v>
      </c>
      <c r="B3221" s="6"/>
      <c r="C3221" s="6"/>
      <c r="D3221" s="6"/>
      <c r="E3221" s="6"/>
      <c r="F3221" s="6"/>
      <c r="G3221" s="6"/>
    </row>
    <row r="3222" spans="1:7" x14ac:dyDescent="0.25">
      <c r="A3222" s="6" t="s">
        <v>5638</v>
      </c>
      <c r="B3222" s="6"/>
      <c r="C3222" s="6"/>
      <c r="D3222" s="6"/>
      <c r="E3222" s="6"/>
      <c r="F3222" s="6"/>
      <c r="G3222" s="6"/>
    </row>
    <row r="3223" spans="1:7" x14ac:dyDescent="0.25">
      <c r="A3223" s="6" t="s">
        <v>5635</v>
      </c>
      <c r="B3223" s="6"/>
      <c r="C3223" s="6"/>
      <c r="D3223" s="6"/>
      <c r="E3223" s="6"/>
      <c r="F3223" s="6"/>
      <c r="G3223" s="6"/>
    </row>
    <row r="3224" spans="1:7" x14ac:dyDescent="0.25">
      <c r="A3224" s="6" t="s">
        <v>5632</v>
      </c>
      <c r="B3224" s="6"/>
      <c r="C3224" s="6"/>
      <c r="D3224" s="6"/>
      <c r="E3224" s="6"/>
      <c r="F3224" s="6"/>
      <c r="G3224" s="6"/>
    </row>
    <row r="3225" spans="1:7" x14ac:dyDescent="0.25">
      <c r="A3225" s="6" t="s">
        <v>5629</v>
      </c>
      <c r="B3225" s="6"/>
      <c r="C3225" s="6"/>
      <c r="D3225" s="6"/>
      <c r="E3225" s="6"/>
      <c r="F3225" s="6"/>
      <c r="G3225" s="6"/>
    </row>
    <row r="3226" spans="1:7" x14ac:dyDescent="0.25">
      <c r="A3226" s="6" t="s">
        <v>5627</v>
      </c>
      <c r="B3226" s="6"/>
      <c r="C3226" s="6"/>
      <c r="D3226" s="6"/>
      <c r="E3226" s="6"/>
      <c r="F3226" s="6"/>
      <c r="G3226" s="6"/>
    </row>
    <row r="3227" spans="1:7" x14ac:dyDescent="0.25">
      <c r="A3227" s="6" t="s">
        <v>5624</v>
      </c>
      <c r="B3227" s="6"/>
      <c r="C3227" s="6"/>
      <c r="D3227" s="6"/>
      <c r="E3227" s="6"/>
      <c r="F3227" s="6"/>
      <c r="G3227" s="6"/>
    </row>
    <row r="3228" spans="1:7" x14ac:dyDescent="0.25">
      <c r="A3228" s="6" t="s">
        <v>5621</v>
      </c>
      <c r="B3228" s="6"/>
      <c r="C3228" s="6"/>
      <c r="D3228" s="6"/>
      <c r="E3228" s="6"/>
      <c r="F3228" s="6"/>
      <c r="G3228" s="6"/>
    </row>
    <row r="3229" spans="1:7" x14ac:dyDescent="0.25">
      <c r="A3229" s="6" t="s">
        <v>5618</v>
      </c>
      <c r="B3229" s="6"/>
      <c r="C3229" s="6"/>
      <c r="D3229" s="6"/>
      <c r="E3229" s="6"/>
      <c r="F3229" s="6"/>
      <c r="G3229" s="6"/>
    </row>
    <row r="3230" spans="1:7" x14ac:dyDescent="0.25">
      <c r="A3230" s="6" t="s">
        <v>957</v>
      </c>
      <c r="B3230" s="6"/>
      <c r="C3230" s="6"/>
      <c r="D3230" s="6"/>
      <c r="E3230" s="6"/>
      <c r="F3230" s="6"/>
      <c r="G3230" s="6"/>
    </row>
    <row r="3231" spans="1:7" x14ac:dyDescent="0.25">
      <c r="A3231" s="6" t="s">
        <v>5614</v>
      </c>
      <c r="B3231" s="6"/>
      <c r="C3231" s="6"/>
      <c r="D3231" s="6"/>
      <c r="E3231" s="6"/>
      <c r="F3231" s="6"/>
      <c r="G3231" s="6"/>
    </row>
    <row r="3232" spans="1:7" x14ac:dyDescent="0.25">
      <c r="A3232" s="6" t="s">
        <v>5611</v>
      </c>
      <c r="B3232" s="6"/>
      <c r="C3232" s="6"/>
      <c r="D3232" s="6"/>
      <c r="E3232" s="6"/>
      <c r="F3232" s="6"/>
      <c r="G3232" s="6"/>
    </row>
    <row r="3233" spans="1:7" x14ac:dyDescent="0.25">
      <c r="A3233" s="6" t="s">
        <v>5609</v>
      </c>
      <c r="B3233" s="6"/>
      <c r="C3233" s="6"/>
      <c r="D3233" s="6"/>
      <c r="E3233" s="6"/>
      <c r="F3233" s="6"/>
      <c r="G3233" s="6"/>
    </row>
    <row r="3234" spans="1:7" x14ac:dyDescent="0.25">
      <c r="A3234" s="6" t="s">
        <v>5606</v>
      </c>
      <c r="B3234" s="6"/>
      <c r="C3234" s="6"/>
      <c r="D3234" s="6"/>
      <c r="E3234" s="6"/>
      <c r="F3234" s="6"/>
      <c r="G3234" s="6"/>
    </row>
    <row r="3235" spans="1:7" x14ac:dyDescent="0.25">
      <c r="A3235" s="6" t="s">
        <v>5603</v>
      </c>
      <c r="B3235" s="6"/>
      <c r="C3235" s="6"/>
      <c r="D3235" s="6"/>
      <c r="E3235" s="6"/>
      <c r="F3235" s="6"/>
      <c r="G3235" s="6"/>
    </row>
    <row r="3236" spans="1:7" x14ac:dyDescent="0.25">
      <c r="A3236" s="6" t="s">
        <v>5600</v>
      </c>
      <c r="B3236" s="6"/>
      <c r="C3236" s="6"/>
      <c r="D3236" s="6"/>
      <c r="E3236" s="6"/>
      <c r="F3236" s="6"/>
      <c r="G3236" s="6"/>
    </row>
    <row r="3237" spans="1:7" x14ac:dyDescent="0.25">
      <c r="A3237" s="6" t="s">
        <v>5597</v>
      </c>
      <c r="B3237" s="6"/>
      <c r="C3237" s="6"/>
      <c r="D3237" s="6"/>
      <c r="E3237" s="6"/>
      <c r="F3237" s="6"/>
      <c r="G3237" s="6"/>
    </row>
    <row r="3238" spans="1:7" x14ac:dyDescent="0.25">
      <c r="A3238" s="6" t="s">
        <v>957</v>
      </c>
      <c r="B3238" s="6"/>
      <c r="C3238" s="6"/>
      <c r="D3238" s="6"/>
      <c r="E3238" s="6"/>
      <c r="F3238" s="6"/>
      <c r="G3238" s="6"/>
    </row>
    <row r="3239" spans="1:7" x14ac:dyDescent="0.25">
      <c r="A3239" s="6" t="s">
        <v>957</v>
      </c>
      <c r="B3239" s="6"/>
      <c r="C3239" s="6"/>
      <c r="D3239" s="6"/>
      <c r="E3239" s="6"/>
      <c r="F3239" s="6"/>
      <c r="G3239" s="6"/>
    </row>
    <row r="3240" spans="1:7" x14ac:dyDescent="0.25">
      <c r="A3240" s="6" t="s">
        <v>5591</v>
      </c>
      <c r="B3240" s="6"/>
      <c r="C3240" s="6"/>
      <c r="D3240" s="6"/>
      <c r="E3240" s="6"/>
      <c r="F3240" s="6"/>
      <c r="G3240" s="6"/>
    </row>
    <row r="3241" spans="1:7" x14ac:dyDescent="0.25">
      <c r="A3241" s="6" t="s">
        <v>5588</v>
      </c>
      <c r="B3241" s="6"/>
      <c r="C3241" s="6"/>
      <c r="D3241" s="6"/>
      <c r="E3241" s="6"/>
      <c r="F3241" s="6"/>
      <c r="G3241" s="6"/>
    </row>
    <row r="3242" spans="1:7" x14ac:dyDescent="0.25">
      <c r="A3242" s="6" t="s">
        <v>5585</v>
      </c>
      <c r="B3242" s="6"/>
      <c r="C3242" s="6"/>
      <c r="D3242" s="6"/>
      <c r="E3242" s="6"/>
      <c r="F3242" s="6"/>
      <c r="G3242" s="6"/>
    </row>
    <row r="3243" spans="1:7" x14ac:dyDescent="0.25">
      <c r="A3243" s="6" t="s">
        <v>5582</v>
      </c>
      <c r="B3243" s="6"/>
      <c r="C3243" s="6"/>
      <c r="D3243" s="6"/>
      <c r="E3243" s="6"/>
      <c r="F3243" s="6"/>
      <c r="G3243" s="6"/>
    </row>
    <row r="3244" spans="1:7" x14ac:dyDescent="0.25">
      <c r="A3244" s="6" t="s">
        <v>5580</v>
      </c>
      <c r="B3244" s="6"/>
      <c r="C3244" s="6"/>
      <c r="D3244" s="6"/>
      <c r="E3244" s="6"/>
      <c r="F3244" s="6"/>
      <c r="G3244" s="6"/>
    </row>
    <row r="3245" spans="1:7" x14ac:dyDescent="0.25">
      <c r="A3245" s="6" t="s">
        <v>5577</v>
      </c>
      <c r="B3245" s="6"/>
      <c r="C3245" s="6"/>
      <c r="D3245" s="6"/>
      <c r="E3245" s="6"/>
      <c r="F3245" s="6"/>
      <c r="G3245" s="6"/>
    </row>
    <row r="3246" spans="1:7" x14ac:dyDescent="0.25">
      <c r="A3246" s="6" t="s">
        <v>5574</v>
      </c>
      <c r="B3246" s="6"/>
      <c r="C3246" s="6"/>
      <c r="D3246" s="6"/>
      <c r="E3246" s="6"/>
      <c r="F3246" s="6"/>
      <c r="G3246" s="6"/>
    </row>
    <row r="3247" spans="1:7" x14ac:dyDescent="0.25">
      <c r="A3247" s="6" t="s">
        <v>957</v>
      </c>
      <c r="B3247" s="6"/>
      <c r="C3247" s="6"/>
      <c r="D3247" s="6"/>
      <c r="E3247" s="6"/>
      <c r="F3247" s="6"/>
      <c r="G3247" s="6"/>
    </row>
    <row r="3248" spans="1:7" x14ac:dyDescent="0.25">
      <c r="A3248" s="6" t="s">
        <v>5570</v>
      </c>
      <c r="B3248" s="6"/>
      <c r="C3248" s="6"/>
      <c r="D3248" s="6"/>
      <c r="E3248" s="6"/>
      <c r="F3248" s="6"/>
      <c r="G3248" s="6"/>
    </row>
    <row r="3249" spans="1:7" x14ac:dyDescent="0.25">
      <c r="A3249" s="6" t="s">
        <v>5567</v>
      </c>
      <c r="B3249" s="6"/>
      <c r="C3249" s="6"/>
      <c r="D3249" s="6"/>
      <c r="E3249" s="6"/>
      <c r="F3249" s="6"/>
      <c r="G3249" s="6"/>
    </row>
    <row r="3250" spans="1:7" x14ac:dyDescent="0.25">
      <c r="A3250" s="6" t="s">
        <v>6599</v>
      </c>
      <c r="B3250" s="6"/>
      <c r="C3250" s="6"/>
      <c r="D3250" s="6"/>
      <c r="E3250" s="6"/>
      <c r="F3250" s="6"/>
      <c r="G3250" s="6"/>
    </row>
    <row r="3251" spans="1:7" x14ac:dyDescent="0.25">
      <c r="A3251" s="6" t="s">
        <v>6596</v>
      </c>
      <c r="B3251" s="6"/>
      <c r="C3251" s="6"/>
      <c r="D3251" s="6"/>
      <c r="E3251" s="6"/>
      <c r="F3251" s="6"/>
      <c r="G3251" s="6"/>
    </row>
    <row r="3252" spans="1:7" x14ac:dyDescent="0.25">
      <c r="A3252" s="6" t="s">
        <v>6593</v>
      </c>
      <c r="B3252" s="6"/>
      <c r="C3252" s="6"/>
      <c r="D3252" s="6"/>
      <c r="E3252" s="6"/>
      <c r="F3252" s="6"/>
      <c r="G3252" s="6"/>
    </row>
    <row r="3253" spans="1:7" x14ac:dyDescent="0.25">
      <c r="A3253" s="6" t="s">
        <v>6590</v>
      </c>
      <c r="B3253" s="6"/>
      <c r="C3253" s="6"/>
      <c r="D3253" s="6"/>
      <c r="E3253" s="6"/>
      <c r="F3253" s="6"/>
      <c r="G3253" s="6"/>
    </row>
    <row r="3254" spans="1:7" x14ac:dyDescent="0.25">
      <c r="A3254" s="6" t="s">
        <v>6587</v>
      </c>
      <c r="B3254" s="6"/>
      <c r="C3254" s="6"/>
      <c r="D3254" s="6"/>
      <c r="E3254" s="6"/>
      <c r="F3254" s="6"/>
      <c r="G3254" s="6"/>
    </row>
    <row r="3255" spans="1:7" x14ac:dyDescent="0.25">
      <c r="A3255" s="6" t="s">
        <v>14221</v>
      </c>
      <c r="B3255" s="6" t="s">
        <v>14222</v>
      </c>
      <c r="C3255" s="6"/>
      <c r="D3255" s="6"/>
      <c r="E3255" s="6"/>
      <c r="F3255" s="6"/>
      <c r="G3255" s="6"/>
    </row>
    <row r="3256" spans="1:7" x14ac:dyDescent="0.25">
      <c r="A3256" s="6" t="s">
        <v>6582</v>
      </c>
      <c r="B3256" s="6"/>
      <c r="C3256" s="6"/>
      <c r="D3256" s="6"/>
      <c r="E3256" s="6"/>
      <c r="F3256" s="6"/>
      <c r="G3256" s="6"/>
    </row>
    <row r="3257" spans="1:7" x14ac:dyDescent="0.25">
      <c r="A3257" s="6" t="s">
        <v>6579</v>
      </c>
      <c r="B3257" s="6"/>
      <c r="C3257" s="6"/>
      <c r="D3257" s="6"/>
      <c r="E3257" s="6"/>
      <c r="F3257" s="6"/>
      <c r="G3257" s="6"/>
    </row>
    <row r="3258" spans="1:7" x14ac:dyDescent="0.25">
      <c r="A3258" s="6" t="s">
        <v>957</v>
      </c>
      <c r="B3258" s="6"/>
      <c r="C3258" s="6"/>
      <c r="D3258" s="6"/>
      <c r="E3258" s="6"/>
      <c r="F3258" s="6"/>
      <c r="G3258" s="6"/>
    </row>
    <row r="3259" spans="1:7" x14ac:dyDescent="0.25">
      <c r="A3259" s="6" t="s">
        <v>6575</v>
      </c>
      <c r="B3259" s="6"/>
      <c r="C3259" s="6"/>
      <c r="D3259" s="6"/>
      <c r="E3259" s="6"/>
      <c r="F3259" s="6"/>
      <c r="G3259" s="6"/>
    </row>
    <row r="3260" spans="1:7" x14ac:dyDescent="0.25">
      <c r="A3260" s="6" t="s">
        <v>5535</v>
      </c>
      <c r="B3260" s="6"/>
      <c r="C3260" s="6"/>
      <c r="D3260" s="6"/>
      <c r="E3260" s="6"/>
      <c r="F3260" s="6"/>
      <c r="G3260" s="6"/>
    </row>
    <row r="3261" spans="1:7" x14ac:dyDescent="0.25">
      <c r="A3261" s="6" t="s">
        <v>5532</v>
      </c>
      <c r="B3261" s="6"/>
      <c r="C3261" s="6"/>
      <c r="D3261" s="6"/>
      <c r="E3261" s="6"/>
      <c r="F3261" s="6"/>
      <c r="G3261" s="6"/>
    </row>
    <row r="3262" spans="1:7" x14ac:dyDescent="0.25">
      <c r="A3262" s="6" t="s">
        <v>5529</v>
      </c>
      <c r="B3262" s="6"/>
      <c r="C3262" s="6"/>
      <c r="D3262" s="6"/>
      <c r="E3262" s="6"/>
      <c r="F3262" s="6"/>
      <c r="G3262" s="6"/>
    </row>
    <row r="3263" spans="1:7" x14ac:dyDescent="0.25">
      <c r="A3263" s="6" t="s">
        <v>957</v>
      </c>
      <c r="B3263" s="6"/>
      <c r="C3263" s="6"/>
      <c r="D3263" s="6"/>
      <c r="E3263" s="6"/>
      <c r="F3263" s="6"/>
      <c r="G3263" s="6"/>
    </row>
    <row r="3264" spans="1:7" x14ac:dyDescent="0.25">
      <c r="A3264" s="6" t="s">
        <v>5526</v>
      </c>
      <c r="B3264" s="6"/>
      <c r="C3264" s="6"/>
      <c r="D3264" s="6"/>
      <c r="E3264" s="6"/>
      <c r="F3264" s="6"/>
      <c r="G3264" s="6"/>
    </row>
    <row r="3265" spans="1:7" x14ac:dyDescent="0.25">
      <c r="A3265" s="6" t="s">
        <v>5523</v>
      </c>
      <c r="B3265" s="6"/>
      <c r="C3265" s="6"/>
      <c r="D3265" s="6"/>
      <c r="E3265" s="6"/>
      <c r="F3265" s="6"/>
      <c r="G3265" s="6"/>
    </row>
    <row r="3266" spans="1:7" x14ac:dyDescent="0.25">
      <c r="A3266" s="6" t="s">
        <v>5520</v>
      </c>
      <c r="B3266" s="6"/>
      <c r="C3266" s="6"/>
      <c r="D3266" s="6"/>
      <c r="E3266" s="6"/>
      <c r="F3266" s="6"/>
      <c r="G3266" s="6"/>
    </row>
    <row r="3267" spans="1:7" x14ac:dyDescent="0.25">
      <c r="A3267" s="6" t="s">
        <v>5517</v>
      </c>
      <c r="B3267" s="6"/>
      <c r="C3267" s="6"/>
      <c r="D3267" s="6"/>
      <c r="E3267" s="6"/>
      <c r="F3267" s="6"/>
      <c r="G3267" s="6"/>
    </row>
    <row r="3268" spans="1:7" x14ac:dyDescent="0.25">
      <c r="A3268" s="6" t="s">
        <v>5514</v>
      </c>
      <c r="B3268" s="6"/>
      <c r="C3268" s="6"/>
      <c r="D3268" s="6"/>
      <c r="E3268" s="6"/>
      <c r="F3268" s="6"/>
      <c r="G3268" s="6"/>
    </row>
    <row r="3269" spans="1:7" x14ac:dyDescent="0.25">
      <c r="A3269" s="6" t="s">
        <v>5511</v>
      </c>
      <c r="B3269" s="6"/>
      <c r="C3269" s="6"/>
      <c r="D3269" s="6"/>
      <c r="E3269" s="6"/>
      <c r="F3269" s="6"/>
      <c r="G3269" s="6"/>
    </row>
    <row r="3270" spans="1:7" x14ac:dyDescent="0.25">
      <c r="A3270" s="6" t="s">
        <v>5508</v>
      </c>
      <c r="B3270" s="6"/>
      <c r="C3270" s="6"/>
      <c r="D3270" s="6"/>
      <c r="E3270" s="6"/>
      <c r="F3270" s="6"/>
      <c r="G3270" s="6"/>
    </row>
    <row r="3271" spans="1:7" x14ac:dyDescent="0.25">
      <c r="A3271" s="6" t="s">
        <v>5505</v>
      </c>
      <c r="B3271" s="6"/>
      <c r="C3271" s="6"/>
      <c r="D3271" s="6"/>
      <c r="E3271" s="6"/>
      <c r="F3271" s="6"/>
      <c r="G3271" s="6"/>
    </row>
    <row r="3272" spans="1:7" x14ac:dyDescent="0.25">
      <c r="A3272" s="6" t="s">
        <v>6544</v>
      </c>
      <c r="B3272" s="6"/>
      <c r="C3272" s="6"/>
      <c r="D3272" s="6"/>
      <c r="E3272" s="6"/>
      <c r="F3272" s="6"/>
      <c r="G3272" s="6"/>
    </row>
    <row r="3273" spans="1:7" x14ac:dyDescent="0.25">
      <c r="A3273" s="6" t="s">
        <v>6541</v>
      </c>
      <c r="B3273" s="6"/>
      <c r="C3273" s="6"/>
      <c r="D3273" s="6"/>
      <c r="E3273" s="6"/>
      <c r="F3273" s="6"/>
      <c r="G3273" s="6"/>
    </row>
    <row r="3274" spans="1:7" x14ac:dyDescent="0.25">
      <c r="A3274" s="6" t="s">
        <v>6538</v>
      </c>
      <c r="B3274" s="6"/>
      <c r="C3274" s="6"/>
      <c r="D3274" s="6"/>
      <c r="E3274" s="6"/>
      <c r="F3274" s="6"/>
      <c r="G3274" s="6"/>
    </row>
    <row r="3275" spans="1:7" x14ac:dyDescent="0.25">
      <c r="A3275" s="6" t="s">
        <v>6535</v>
      </c>
      <c r="B3275" s="6"/>
      <c r="C3275" s="6"/>
      <c r="D3275" s="6"/>
      <c r="E3275" s="6"/>
      <c r="F3275" s="6"/>
      <c r="G3275" s="6"/>
    </row>
    <row r="3276" spans="1:7" x14ac:dyDescent="0.25">
      <c r="A3276" s="6" t="s">
        <v>6532</v>
      </c>
      <c r="B3276" s="6"/>
      <c r="C3276" s="6"/>
      <c r="D3276" s="6"/>
      <c r="E3276" s="6"/>
      <c r="F3276" s="6"/>
      <c r="G3276" s="6"/>
    </row>
    <row r="3277" spans="1:7" x14ac:dyDescent="0.25">
      <c r="A3277" s="6" t="s">
        <v>6529</v>
      </c>
      <c r="B3277" s="6"/>
      <c r="C3277" s="6"/>
      <c r="D3277" s="6"/>
      <c r="E3277" s="6"/>
      <c r="F3277" s="6"/>
      <c r="G3277" s="6"/>
    </row>
    <row r="3278" spans="1:7" x14ac:dyDescent="0.25">
      <c r="A3278" s="6" t="s">
        <v>6526</v>
      </c>
      <c r="B3278" s="6"/>
      <c r="C3278" s="6"/>
      <c r="D3278" s="6"/>
      <c r="E3278" s="6"/>
      <c r="F3278" s="6"/>
      <c r="G3278" s="6"/>
    </row>
    <row r="3279" spans="1:7" x14ac:dyDescent="0.25">
      <c r="A3279" s="6" t="s">
        <v>957</v>
      </c>
      <c r="B3279" s="6"/>
      <c r="C3279" s="6"/>
      <c r="D3279" s="6"/>
      <c r="E3279" s="6"/>
      <c r="F3279" s="6"/>
      <c r="G3279" s="6"/>
    </row>
    <row r="3280" spans="1:7" x14ac:dyDescent="0.25">
      <c r="A3280" s="6" t="s">
        <v>957</v>
      </c>
      <c r="B3280" s="6"/>
      <c r="C3280" s="6"/>
      <c r="D3280" s="6"/>
      <c r="E3280" s="6"/>
      <c r="F3280" s="6"/>
      <c r="G3280" s="6"/>
    </row>
    <row r="3281" spans="1:7" x14ac:dyDescent="0.25">
      <c r="A3281" s="6" t="s">
        <v>6521</v>
      </c>
      <c r="B3281" s="6"/>
      <c r="C3281" s="6"/>
      <c r="D3281" s="6"/>
      <c r="E3281" s="6"/>
      <c r="F3281" s="6"/>
      <c r="G3281" s="6"/>
    </row>
    <row r="3282" spans="1:7" x14ac:dyDescent="0.25">
      <c r="A3282" s="6" t="s">
        <v>6518</v>
      </c>
      <c r="B3282" s="6"/>
      <c r="C3282" s="6"/>
      <c r="D3282" s="6"/>
      <c r="E3282" s="6"/>
      <c r="F3282" s="6"/>
      <c r="G3282" s="6"/>
    </row>
    <row r="3283" spans="1:7" x14ac:dyDescent="0.25">
      <c r="A3283" s="6" t="s">
        <v>6515</v>
      </c>
      <c r="B3283" s="6"/>
      <c r="C3283" s="6"/>
      <c r="D3283" s="6"/>
      <c r="E3283" s="6"/>
      <c r="F3283" s="6"/>
      <c r="G3283" s="6"/>
    </row>
    <row r="3284" spans="1:7" x14ac:dyDescent="0.25">
      <c r="A3284" s="6" t="s">
        <v>6512</v>
      </c>
      <c r="B3284" s="6"/>
      <c r="C3284" s="6"/>
      <c r="D3284" s="6"/>
      <c r="E3284" s="6"/>
      <c r="F3284" s="6"/>
      <c r="G3284" s="6"/>
    </row>
    <row r="3285" spans="1:7" x14ac:dyDescent="0.25">
      <c r="A3285" s="6" t="s">
        <v>6509</v>
      </c>
      <c r="B3285" s="6"/>
      <c r="C3285" s="6"/>
      <c r="D3285" s="6"/>
      <c r="E3285" s="6"/>
      <c r="F3285" s="6"/>
      <c r="G3285" s="6"/>
    </row>
    <row r="3286" spans="1:7" x14ac:dyDescent="0.25">
      <c r="A3286" s="6" t="s">
        <v>6506</v>
      </c>
      <c r="B3286" s="6"/>
      <c r="C3286" s="6"/>
      <c r="D3286" s="6"/>
      <c r="E3286" s="6"/>
      <c r="F3286" s="6"/>
      <c r="G3286" s="6"/>
    </row>
    <row r="3287" spans="1:7" x14ac:dyDescent="0.25">
      <c r="A3287" s="6" t="s">
        <v>6503</v>
      </c>
      <c r="B3287" s="6"/>
      <c r="C3287" s="6"/>
      <c r="D3287" s="6"/>
      <c r="E3287" s="6"/>
      <c r="F3287" s="6"/>
      <c r="G3287" s="6"/>
    </row>
    <row r="3288" spans="1:7" x14ac:dyDescent="0.25">
      <c r="A3288" s="6" t="s">
        <v>957</v>
      </c>
      <c r="B3288" s="6"/>
      <c r="C3288" s="6"/>
      <c r="D3288" s="6"/>
      <c r="E3288" s="6"/>
      <c r="F3288" s="6"/>
      <c r="G3288" s="6"/>
    </row>
    <row r="3289" spans="1:7" x14ac:dyDescent="0.25">
      <c r="A3289" s="6" t="s">
        <v>6499</v>
      </c>
      <c r="B3289" s="6"/>
      <c r="C3289" s="6"/>
      <c r="D3289" s="6"/>
      <c r="E3289" s="6"/>
      <c r="F3289" s="6"/>
      <c r="G3289" s="6"/>
    </row>
    <row r="3290" spans="1:7" x14ac:dyDescent="0.25">
      <c r="A3290" s="6" t="s">
        <v>6496</v>
      </c>
      <c r="B3290" s="6"/>
      <c r="C3290" s="6"/>
      <c r="D3290" s="6"/>
      <c r="E3290" s="6"/>
      <c r="F3290" s="6"/>
      <c r="G3290" s="6"/>
    </row>
    <row r="3291" spans="1:7" x14ac:dyDescent="0.25">
      <c r="A3291" s="6" t="s">
        <v>6493</v>
      </c>
      <c r="B3291" s="6"/>
      <c r="C3291" s="6"/>
      <c r="D3291" s="6"/>
      <c r="E3291" s="6"/>
      <c r="F3291" s="6"/>
      <c r="G3291" s="6"/>
    </row>
    <row r="3292" spans="1:7" x14ac:dyDescent="0.25">
      <c r="A3292" s="6" t="s">
        <v>6491</v>
      </c>
      <c r="B3292" s="6"/>
      <c r="C3292" s="6"/>
      <c r="D3292" s="6"/>
      <c r="E3292" s="6"/>
      <c r="F3292" s="6"/>
      <c r="G3292" s="6"/>
    </row>
    <row r="3293" spans="1:7" x14ac:dyDescent="0.25">
      <c r="A3293" s="6" t="s">
        <v>6488</v>
      </c>
      <c r="B3293" s="6"/>
      <c r="C3293" s="6"/>
      <c r="D3293" s="6"/>
      <c r="E3293" s="6"/>
      <c r="F3293" s="6"/>
      <c r="G3293" s="6"/>
    </row>
    <row r="3294" spans="1:7" x14ac:dyDescent="0.25">
      <c r="A3294" s="6" t="s">
        <v>6486</v>
      </c>
      <c r="B3294" s="6"/>
      <c r="C3294" s="6"/>
      <c r="D3294" s="6"/>
      <c r="E3294" s="6"/>
      <c r="F3294" s="6"/>
      <c r="G3294" s="6"/>
    </row>
    <row r="3295" spans="1:7" x14ac:dyDescent="0.25">
      <c r="A3295" s="6" t="s">
        <v>957</v>
      </c>
      <c r="B3295" s="6"/>
      <c r="C3295" s="6"/>
      <c r="D3295" s="6"/>
      <c r="E3295" s="6"/>
      <c r="F3295" s="6"/>
      <c r="G3295" s="6"/>
    </row>
    <row r="3296" spans="1:7" x14ac:dyDescent="0.25">
      <c r="A3296" s="6" t="s">
        <v>6482</v>
      </c>
      <c r="B3296" s="6"/>
      <c r="C3296" s="6"/>
      <c r="D3296" s="6"/>
      <c r="E3296" s="6"/>
      <c r="F3296" s="6"/>
      <c r="G3296" s="6"/>
    </row>
    <row r="3297" spans="1:7" x14ac:dyDescent="0.25">
      <c r="A3297" s="6" t="s">
        <v>6479</v>
      </c>
      <c r="B3297" s="6"/>
      <c r="C3297" s="6"/>
      <c r="D3297" s="6"/>
      <c r="E3297" s="6"/>
      <c r="F3297" s="6"/>
      <c r="G3297" s="6"/>
    </row>
    <row r="3298" spans="1:7" x14ac:dyDescent="0.25">
      <c r="A3298" s="6" t="s">
        <v>6476</v>
      </c>
      <c r="B3298" s="6"/>
      <c r="C3298" s="6"/>
      <c r="D3298" s="6"/>
      <c r="E3298" s="6"/>
      <c r="F3298" s="6"/>
      <c r="G3298" s="6"/>
    </row>
    <row r="3299" spans="1:7" x14ac:dyDescent="0.25">
      <c r="A3299" s="6" t="s">
        <v>6474</v>
      </c>
      <c r="B3299" s="6"/>
      <c r="C3299" s="6"/>
      <c r="D3299" s="6"/>
      <c r="E3299" s="6"/>
      <c r="F3299" s="6"/>
      <c r="G3299" s="6"/>
    </row>
    <row r="3300" spans="1:7" x14ac:dyDescent="0.25">
      <c r="A3300" s="6" t="s">
        <v>957</v>
      </c>
      <c r="B3300" s="6"/>
      <c r="C3300" s="6"/>
      <c r="D3300" s="6"/>
      <c r="E3300" s="6"/>
      <c r="F3300" s="6"/>
      <c r="G3300" s="6"/>
    </row>
    <row r="3301" spans="1:7" x14ac:dyDescent="0.25">
      <c r="A3301" s="6" t="s">
        <v>6471</v>
      </c>
      <c r="B3301" s="6"/>
      <c r="C3301" s="6"/>
      <c r="D3301" s="6"/>
      <c r="E3301" s="6"/>
      <c r="F3301" s="6"/>
      <c r="G3301" s="6"/>
    </row>
    <row r="3302" spans="1:7" x14ac:dyDescent="0.25">
      <c r="A3302" s="6" t="s">
        <v>6468</v>
      </c>
      <c r="B3302" s="6"/>
      <c r="C3302" s="6"/>
      <c r="D3302" s="6"/>
      <c r="E3302" s="6"/>
      <c r="F3302" s="6"/>
      <c r="G3302" s="6"/>
    </row>
    <row r="3303" spans="1:7" x14ac:dyDescent="0.25">
      <c r="A3303" s="6" t="s">
        <v>6465</v>
      </c>
      <c r="B3303" s="6"/>
      <c r="C3303" s="6"/>
      <c r="D3303" s="6"/>
      <c r="E3303" s="6"/>
      <c r="F3303" s="6"/>
      <c r="G3303" s="6"/>
    </row>
    <row r="3304" spans="1:7" x14ac:dyDescent="0.25">
      <c r="A3304" s="6" t="s">
        <v>6462</v>
      </c>
      <c r="B3304" s="6"/>
      <c r="C3304" s="6"/>
      <c r="D3304" s="6"/>
      <c r="E3304" s="6"/>
      <c r="F3304" s="6"/>
      <c r="G3304" s="6"/>
    </row>
    <row r="3305" spans="1:7" x14ac:dyDescent="0.25">
      <c r="A3305" s="6" t="s">
        <v>6459</v>
      </c>
      <c r="B3305" s="6"/>
      <c r="C3305" s="6"/>
      <c r="D3305" s="6"/>
      <c r="E3305" s="6"/>
      <c r="F3305" s="6"/>
      <c r="G3305" s="6"/>
    </row>
    <row r="3306" spans="1:7" x14ac:dyDescent="0.25">
      <c r="A3306" s="6" t="s">
        <v>957</v>
      </c>
      <c r="B3306" s="6"/>
      <c r="C3306" s="6"/>
      <c r="D3306" s="6"/>
      <c r="E3306" s="6"/>
      <c r="F3306" s="6"/>
      <c r="G3306" s="6"/>
    </row>
    <row r="3307" spans="1:7" x14ac:dyDescent="0.25">
      <c r="A3307" s="6" t="s">
        <v>6455</v>
      </c>
      <c r="B3307" s="6"/>
      <c r="C3307" s="6"/>
      <c r="D3307" s="6"/>
      <c r="E3307" s="6"/>
      <c r="F3307" s="6"/>
      <c r="G3307" s="6"/>
    </row>
    <row r="3308" spans="1:7" x14ac:dyDescent="0.25">
      <c r="A3308" s="6" t="s">
        <v>6452</v>
      </c>
      <c r="B3308" s="6"/>
      <c r="C3308" s="6"/>
      <c r="D3308" s="6"/>
      <c r="E3308" s="6"/>
      <c r="F3308" s="6"/>
      <c r="G3308" s="6"/>
    </row>
    <row r="3309" spans="1:7" x14ac:dyDescent="0.25">
      <c r="A3309" s="6" t="s">
        <v>957</v>
      </c>
      <c r="B3309" s="6"/>
      <c r="C3309" s="6"/>
      <c r="D3309" s="6"/>
      <c r="E3309" s="6"/>
      <c r="F3309" s="6"/>
      <c r="G3309" s="6"/>
    </row>
    <row r="3310" spans="1:7" x14ac:dyDescent="0.25">
      <c r="A3310" s="6" t="s">
        <v>957</v>
      </c>
      <c r="B3310" s="6"/>
      <c r="C3310" s="6"/>
      <c r="D3310" s="6"/>
      <c r="E3310" s="6"/>
      <c r="F3310" s="6"/>
      <c r="G3310" s="6"/>
    </row>
    <row r="3311" spans="1:7" x14ac:dyDescent="0.25">
      <c r="A3311" s="6" t="s">
        <v>957</v>
      </c>
      <c r="B3311" s="6"/>
      <c r="C3311" s="6"/>
      <c r="D3311" s="6"/>
      <c r="E3311" s="6"/>
      <c r="F3311" s="6"/>
      <c r="G3311" s="6"/>
    </row>
    <row r="3312" spans="1:7" x14ac:dyDescent="0.25">
      <c r="A3312" s="6" t="s">
        <v>957</v>
      </c>
      <c r="B3312" s="6"/>
      <c r="C3312" s="6"/>
      <c r="D3312" s="6"/>
      <c r="E3312" s="6"/>
      <c r="F3312" s="6"/>
      <c r="G3312" s="6"/>
    </row>
    <row r="3313" spans="1:7" x14ac:dyDescent="0.25">
      <c r="A3313" s="6" t="s">
        <v>6445</v>
      </c>
      <c r="B3313" s="6"/>
      <c r="C3313" s="6"/>
      <c r="D3313" s="6"/>
      <c r="E3313" s="6"/>
      <c r="F3313" s="6"/>
      <c r="G3313" s="6"/>
    </row>
    <row r="3314" spans="1:7" x14ac:dyDescent="0.25">
      <c r="A3314" s="6" t="s">
        <v>6442</v>
      </c>
      <c r="B3314" s="6"/>
      <c r="C3314" s="6"/>
      <c r="D3314" s="6"/>
      <c r="E3314" s="6"/>
      <c r="F3314" s="6"/>
      <c r="G3314" s="6"/>
    </row>
    <row r="3315" spans="1:7" x14ac:dyDescent="0.25">
      <c r="A3315" s="6" t="s">
        <v>957</v>
      </c>
      <c r="B3315" s="6"/>
      <c r="C3315" s="6"/>
      <c r="D3315" s="6"/>
      <c r="E3315" s="6"/>
      <c r="F3315" s="6"/>
      <c r="G3315" s="6"/>
    </row>
    <row r="3316" spans="1:7" x14ac:dyDescent="0.25">
      <c r="A3316" s="6" t="s">
        <v>957</v>
      </c>
      <c r="B3316" s="6"/>
      <c r="C3316" s="6"/>
      <c r="D3316" s="6"/>
      <c r="E3316" s="6"/>
      <c r="F3316" s="6"/>
      <c r="G3316" s="6"/>
    </row>
    <row r="3317" spans="1:7" x14ac:dyDescent="0.25">
      <c r="A3317" s="6" t="s">
        <v>957</v>
      </c>
      <c r="B3317" s="6"/>
      <c r="C3317" s="6"/>
      <c r="D3317" s="6"/>
      <c r="E3317" s="6"/>
      <c r="F3317" s="6"/>
      <c r="G3317" s="6"/>
    </row>
    <row r="3318" spans="1:7" x14ac:dyDescent="0.25">
      <c r="A3318" s="6" t="s">
        <v>5412</v>
      </c>
      <c r="B3318" s="6"/>
      <c r="C3318" s="6"/>
      <c r="D3318" s="6"/>
      <c r="E3318" s="6"/>
      <c r="F3318" s="6"/>
      <c r="G3318" s="6"/>
    </row>
    <row r="3319" spans="1:7" x14ac:dyDescent="0.25">
      <c r="A3319" s="6" t="s">
        <v>5409</v>
      </c>
      <c r="B3319" s="6"/>
      <c r="C3319" s="6"/>
      <c r="D3319" s="6"/>
      <c r="E3319" s="6"/>
      <c r="F3319" s="6"/>
      <c r="G3319" s="6"/>
    </row>
    <row r="3320" spans="1:7" x14ac:dyDescent="0.25">
      <c r="A3320" s="6" t="s">
        <v>5406</v>
      </c>
      <c r="B3320" s="6"/>
      <c r="C3320" s="6"/>
      <c r="D3320" s="6"/>
      <c r="E3320" s="6"/>
      <c r="F3320" s="6"/>
      <c r="G3320" s="6"/>
    </row>
    <row r="3321" spans="1:7" x14ac:dyDescent="0.25">
      <c r="A3321" s="6" t="s">
        <v>957</v>
      </c>
      <c r="B3321" s="6"/>
      <c r="C3321" s="6"/>
      <c r="D3321" s="6"/>
      <c r="E3321" s="6"/>
      <c r="F3321" s="6"/>
      <c r="G3321" s="6"/>
    </row>
    <row r="3322" spans="1:7" x14ac:dyDescent="0.25">
      <c r="A3322" s="6" t="s">
        <v>5402</v>
      </c>
      <c r="B3322" s="6"/>
      <c r="C3322" s="6"/>
      <c r="D3322" s="6"/>
      <c r="E3322" s="6"/>
      <c r="F3322" s="6"/>
      <c r="G3322" s="6"/>
    </row>
    <row r="3323" spans="1:7" x14ac:dyDescent="0.25">
      <c r="A3323" s="6" t="s">
        <v>5399</v>
      </c>
      <c r="B3323" s="6"/>
      <c r="C3323" s="6"/>
      <c r="D3323" s="6"/>
      <c r="E3323" s="6"/>
      <c r="F3323" s="6"/>
      <c r="G3323" s="6"/>
    </row>
    <row r="3324" spans="1:7" x14ac:dyDescent="0.25">
      <c r="A3324" s="6" t="s">
        <v>5396</v>
      </c>
      <c r="B3324" s="6"/>
      <c r="C3324" s="6"/>
      <c r="D3324" s="6"/>
      <c r="E3324" s="6"/>
      <c r="F3324" s="6"/>
      <c r="G3324" s="6"/>
    </row>
    <row r="3325" spans="1:7" x14ac:dyDescent="0.25">
      <c r="A3325" s="6" t="s">
        <v>5393</v>
      </c>
      <c r="B3325" s="6"/>
      <c r="C3325" s="6"/>
      <c r="D3325" s="6"/>
      <c r="E3325" s="6"/>
      <c r="F3325" s="6"/>
      <c r="G3325" s="6"/>
    </row>
    <row r="3326" spans="1:7" x14ac:dyDescent="0.25">
      <c r="A3326" s="6" t="s">
        <v>5390</v>
      </c>
      <c r="B3326" s="6"/>
      <c r="C3326" s="6"/>
      <c r="D3326" s="6"/>
      <c r="E3326" s="6"/>
      <c r="F3326" s="6"/>
      <c r="G3326" s="6"/>
    </row>
    <row r="3327" spans="1:7" x14ac:dyDescent="0.25">
      <c r="A3327" s="6" t="s">
        <v>5387</v>
      </c>
      <c r="B3327" s="6"/>
      <c r="C3327" s="6"/>
      <c r="D3327" s="6"/>
      <c r="E3327" s="6"/>
      <c r="F3327" s="6"/>
      <c r="G3327" s="6"/>
    </row>
    <row r="3328" spans="1:7" x14ac:dyDescent="0.25">
      <c r="A3328" s="6" t="s">
        <v>5384</v>
      </c>
      <c r="B3328" s="6"/>
      <c r="C3328" s="6"/>
      <c r="D3328" s="6"/>
      <c r="E3328" s="6"/>
      <c r="F3328" s="6"/>
      <c r="G3328" s="6"/>
    </row>
    <row r="3329" spans="1:7" x14ac:dyDescent="0.25">
      <c r="A3329" s="6" t="s">
        <v>6408</v>
      </c>
      <c r="B3329" s="6"/>
      <c r="C3329" s="6"/>
      <c r="D3329" s="6"/>
      <c r="E3329" s="6"/>
      <c r="F3329" s="6"/>
      <c r="G3329" s="6"/>
    </row>
    <row r="3330" spans="1:7" x14ac:dyDescent="0.25">
      <c r="A3330" s="6" t="s">
        <v>6405</v>
      </c>
      <c r="B3330" s="6"/>
      <c r="C3330" s="6"/>
      <c r="D3330" s="6"/>
      <c r="E3330" s="6"/>
      <c r="F3330" s="6"/>
      <c r="G3330" s="6"/>
    </row>
    <row r="3331" spans="1:7" x14ac:dyDescent="0.25">
      <c r="A3331" s="6" t="s">
        <v>6402</v>
      </c>
      <c r="B3331" s="6"/>
      <c r="C3331" s="6"/>
      <c r="D3331" s="6"/>
      <c r="E3331" s="6"/>
      <c r="F3331" s="6"/>
      <c r="G3331" s="6"/>
    </row>
    <row r="3332" spans="1:7" x14ac:dyDescent="0.25">
      <c r="A3332" s="6" t="s">
        <v>957</v>
      </c>
      <c r="B3332" s="6"/>
      <c r="C3332" s="6"/>
      <c r="D3332" s="6"/>
      <c r="E3332" s="6"/>
      <c r="F3332" s="6"/>
      <c r="G3332" s="6"/>
    </row>
    <row r="3333" spans="1:7" x14ac:dyDescent="0.25">
      <c r="A3333" s="6" t="s">
        <v>6398</v>
      </c>
      <c r="B3333" s="6"/>
      <c r="C3333" s="6"/>
      <c r="D3333" s="6"/>
      <c r="E3333" s="6"/>
      <c r="F3333" s="6"/>
      <c r="G3333" s="6"/>
    </row>
    <row r="3334" spans="1:7" x14ac:dyDescent="0.25">
      <c r="A3334" s="6" t="s">
        <v>957</v>
      </c>
      <c r="B3334" s="6"/>
      <c r="C3334" s="6"/>
      <c r="D3334" s="6"/>
      <c r="E3334" s="6"/>
      <c r="F3334" s="6"/>
      <c r="G3334" s="6"/>
    </row>
    <row r="3335" spans="1:7" x14ac:dyDescent="0.25">
      <c r="A3335" s="6" t="s">
        <v>6395</v>
      </c>
      <c r="B3335" s="6"/>
      <c r="C3335" s="6"/>
      <c r="D3335" s="6"/>
      <c r="E3335" s="6"/>
      <c r="F3335" s="6"/>
      <c r="G3335" s="6"/>
    </row>
    <row r="3336" spans="1:7" x14ac:dyDescent="0.25">
      <c r="A3336" s="6" t="s">
        <v>957</v>
      </c>
      <c r="B3336" s="6"/>
      <c r="C3336" s="6"/>
      <c r="D3336" s="6"/>
      <c r="E3336" s="6"/>
      <c r="F3336" s="6"/>
      <c r="G3336" s="6"/>
    </row>
    <row r="3337" spans="1:7" x14ac:dyDescent="0.25">
      <c r="A3337" s="6" t="s">
        <v>6391</v>
      </c>
      <c r="B3337" s="6"/>
      <c r="C3337" s="6"/>
      <c r="D3337" s="6"/>
      <c r="E3337" s="6"/>
      <c r="F3337" s="6"/>
      <c r="G3337" s="6"/>
    </row>
    <row r="3338" spans="1:7" x14ac:dyDescent="0.25">
      <c r="A3338" s="6" t="s">
        <v>6388</v>
      </c>
      <c r="B3338" s="6"/>
      <c r="C3338" s="6"/>
      <c r="D3338" s="6"/>
      <c r="E3338" s="6"/>
      <c r="F3338" s="6"/>
      <c r="G3338" s="6"/>
    </row>
    <row r="3339" spans="1:7" x14ac:dyDescent="0.25">
      <c r="A3339" s="6" t="s">
        <v>957</v>
      </c>
      <c r="B3339" s="6"/>
      <c r="C3339" s="6"/>
      <c r="D3339" s="6"/>
      <c r="E3339" s="6"/>
      <c r="F3339" s="6"/>
      <c r="G3339" s="6"/>
    </row>
    <row r="3340" spans="1:7" x14ac:dyDescent="0.25">
      <c r="A3340" s="6" t="s">
        <v>6384</v>
      </c>
      <c r="B3340" s="6"/>
      <c r="C3340" s="6"/>
      <c r="D3340" s="6"/>
      <c r="E3340" s="6"/>
      <c r="F3340" s="6"/>
      <c r="G3340" s="6"/>
    </row>
    <row r="3341" spans="1:7" x14ac:dyDescent="0.25">
      <c r="A3341" s="6" t="s">
        <v>957</v>
      </c>
      <c r="B3341" s="6"/>
      <c r="C3341" s="6"/>
      <c r="D3341" s="6"/>
      <c r="E3341" s="6"/>
      <c r="F3341" s="6"/>
      <c r="G3341" s="6"/>
    </row>
    <row r="3342" spans="1:7" x14ac:dyDescent="0.25">
      <c r="A3342" s="6" t="s">
        <v>6380</v>
      </c>
      <c r="B3342" s="6"/>
      <c r="C3342" s="6"/>
      <c r="D3342" s="6"/>
      <c r="E3342" s="6"/>
      <c r="F3342" s="6"/>
      <c r="G3342" s="6"/>
    </row>
    <row r="3343" spans="1:7" x14ac:dyDescent="0.25">
      <c r="A3343" s="6" t="s">
        <v>6377</v>
      </c>
      <c r="B3343" s="6"/>
      <c r="C3343" s="6"/>
      <c r="D3343" s="6"/>
      <c r="E3343" s="6"/>
      <c r="F3343" s="6"/>
      <c r="G3343" s="6"/>
    </row>
    <row r="3344" spans="1:7" x14ac:dyDescent="0.25">
      <c r="A3344" s="6" t="s">
        <v>6374</v>
      </c>
      <c r="B3344" s="6"/>
      <c r="C3344" s="6"/>
      <c r="D3344" s="6"/>
      <c r="E3344" s="6"/>
      <c r="F3344" s="6"/>
      <c r="G3344" s="6"/>
    </row>
    <row r="3345" spans="1:7" x14ac:dyDescent="0.25">
      <c r="A3345" s="6" t="s">
        <v>5353</v>
      </c>
      <c r="B3345" s="6"/>
      <c r="C3345" s="6"/>
      <c r="D3345" s="6"/>
      <c r="E3345" s="6"/>
      <c r="F3345" s="6"/>
      <c r="G3345" s="6"/>
    </row>
    <row r="3346" spans="1:7" x14ac:dyDescent="0.25">
      <c r="A3346" s="6" t="s">
        <v>5350</v>
      </c>
      <c r="B3346" s="6"/>
      <c r="C3346" s="6"/>
      <c r="D3346" s="6"/>
      <c r="E3346" s="6"/>
      <c r="F3346" s="6"/>
      <c r="G3346" s="6"/>
    </row>
    <row r="3347" spans="1:7" x14ac:dyDescent="0.25">
      <c r="A3347" s="6" t="s">
        <v>5347</v>
      </c>
      <c r="B3347" s="6"/>
      <c r="C3347" s="6"/>
      <c r="D3347" s="6"/>
      <c r="E3347" s="6"/>
      <c r="F3347" s="6"/>
      <c r="G3347" s="6"/>
    </row>
    <row r="3348" spans="1:7" x14ac:dyDescent="0.25">
      <c r="A3348" s="6" t="s">
        <v>5344</v>
      </c>
      <c r="B3348" s="6"/>
      <c r="C3348" s="6"/>
      <c r="D3348" s="6"/>
      <c r="E3348" s="6"/>
      <c r="F3348" s="6"/>
      <c r="G3348" s="6"/>
    </row>
    <row r="3349" spans="1:7" x14ac:dyDescent="0.25">
      <c r="A3349" s="6" t="s">
        <v>5342</v>
      </c>
      <c r="B3349" s="6"/>
      <c r="C3349" s="6"/>
      <c r="D3349" s="6"/>
      <c r="E3349" s="6"/>
      <c r="F3349" s="6"/>
      <c r="G3349" s="6"/>
    </row>
    <row r="3350" spans="1:7" x14ac:dyDescent="0.25">
      <c r="A3350" s="6" t="s">
        <v>5339</v>
      </c>
      <c r="B3350" s="6"/>
      <c r="C3350" s="6"/>
      <c r="D3350" s="6"/>
      <c r="E3350" s="6"/>
      <c r="F3350" s="6"/>
      <c r="G3350" s="6"/>
    </row>
    <row r="3351" spans="1:7" x14ac:dyDescent="0.25">
      <c r="A3351" s="6" t="s">
        <v>5336</v>
      </c>
      <c r="B3351" s="6"/>
      <c r="C3351" s="6"/>
      <c r="D3351" s="6"/>
      <c r="E3351" s="6"/>
      <c r="F3351" s="6"/>
      <c r="G3351" s="6"/>
    </row>
    <row r="3352" spans="1:7" x14ac:dyDescent="0.25">
      <c r="A3352" s="6" t="s">
        <v>5333</v>
      </c>
      <c r="B3352" s="6"/>
      <c r="C3352" s="6"/>
      <c r="D3352" s="6"/>
      <c r="E3352" s="6"/>
      <c r="F3352" s="6"/>
      <c r="G3352" s="6"/>
    </row>
    <row r="3353" spans="1:7" x14ac:dyDescent="0.25">
      <c r="A3353" s="6" t="s">
        <v>957</v>
      </c>
      <c r="B3353" s="6"/>
      <c r="C3353" s="6"/>
      <c r="D3353" s="6"/>
      <c r="E3353" s="6"/>
      <c r="F3353" s="6"/>
      <c r="G3353" s="6"/>
    </row>
    <row r="3354" spans="1:7" x14ac:dyDescent="0.25">
      <c r="A3354" s="6" t="s">
        <v>957</v>
      </c>
      <c r="B3354" s="6"/>
      <c r="C3354" s="6"/>
      <c r="D3354" s="6"/>
      <c r="E3354" s="6"/>
      <c r="F3354" s="6"/>
      <c r="G3354" s="6"/>
    </row>
    <row r="3355" spans="1:7" x14ac:dyDescent="0.25">
      <c r="A3355" s="6" t="s">
        <v>5328</v>
      </c>
      <c r="B3355" s="6"/>
      <c r="C3355" s="6"/>
      <c r="D3355" s="6"/>
      <c r="E3355" s="6"/>
      <c r="F3355" s="6"/>
      <c r="G3355" s="6"/>
    </row>
    <row r="3356" spans="1:7" x14ac:dyDescent="0.25">
      <c r="A3356" s="6" t="s">
        <v>5325</v>
      </c>
      <c r="B3356" s="6"/>
      <c r="C3356" s="6"/>
      <c r="D3356" s="6"/>
      <c r="E3356" s="6"/>
      <c r="F3356" s="6"/>
      <c r="G3356" s="6"/>
    </row>
    <row r="3357" spans="1:7" x14ac:dyDescent="0.25">
      <c r="A3357" s="6" t="s">
        <v>5322</v>
      </c>
      <c r="B3357" s="6"/>
      <c r="C3357" s="6"/>
      <c r="D3357" s="6"/>
      <c r="E3357" s="6"/>
      <c r="F3357" s="6"/>
      <c r="G3357" s="6"/>
    </row>
    <row r="3358" spans="1:7" x14ac:dyDescent="0.25">
      <c r="A3358" s="6" t="s">
        <v>5319</v>
      </c>
      <c r="B3358" s="6"/>
      <c r="C3358" s="6"/>
      <c r="D3358" s="6"/>
      <c r="E3358" s="6"/>
      <c r="F3358" s="6"/>
      <c r="G3358" s="6"/>
    </row>
    <row r="3359" spans="1:7" x14ac:dyDescent="0.25">
      <c r="A3359" s="6" t="s">
        <v>957</v>
      </c>
      <c r="B3359" s="6"/>
      <c r="C3359" s="6"/>
      <c r="D3359" s="6"/>
      <c r="E3359" s="6"/>
      <c r="F3359" s="6"/>
      <c r="G3359" s="6"/>
    </row>
    <row r="3360" spans="1:7" x14ac:dyDescent="0.25">
      <c r="A3360" s="6" t="s">
        <v>5315</v>
      </c>
      <c r="B3360" s="6"/>
      <c r="C3360" s="6"/>
      <c r="D3360" s="6"/>
      <c r="E3360" s="6"/>
      <c r="F3360" s="6"/>
      <c r="G3360" s="6"/>
    </row>
    <row r="3361" spans="1:7" x14ac:dyDescent="0.25">
      <c r="A3361" s="6" t="s">
        <v>5312</v>
      </c>
      <c r="B3361" s="6"/>
      <c r="C3361" s="6"/>
      <c r="D3361" s="6"/>
      <c r="E3361" s="6"/>
      <c r="F3361" s="6"/>
      <c r="G3361" s="6"/>
    </row>
    <row r="3362" spans="1:7" x14ac:dyDescent="0.25">
      <c r="A3362" s="6" t="s">
        <v>957</v>
      </c>
      <c r="B3362" s="6"/>
      <c r="C3362" s="6"/>
      <c r="D3362" s="6"/>
      <c r="E3362" s="6"/>
      <c r="F3362" s="6"/>
      <c r="G3362" s="6"/>
    </row>
    <row r="3363" spans="1:7" x14ac:dyDescent="0.25">
      <c r="A3363" s="6" t="s">
        <v>957</v>
      </c>
      <c r="B3363" s="6"/>
      <c r="C3363" s="6"/>
      <c r="D3363" s="6"/>
      <c r="E3363" s="6"/>
      <c r="F3363" s="6"/>
      <c r="G3363" s="6"/>
    </row>
    <row r="3364" spans="1:7" x14ac:dyDescent="0.25">
      <c r="A3364" s="6" t="s">
        <v>5306</v>
      </c>
      <c r="B3364" s="6"/>
      <c r="C3364" s="6"/>
      <c r="D3364" s="6"/>
      <c r="E3364" s="6"/>
      <c r="F3364" s="6"/>
      <c r="G3364" s="6"/>
    </row>
    <row r="3365" spans="1:7" x14ac:dyDescent="0.25">
      <c r="A3365" s="6" t="s">
        <v>957</v>
      </c>
      <c r="B3365" s="6"/>
      <c r="C3365" s="6"/>
      <c r="D3365" s="6"/>
      <c r="E3365" s="6"/>
      <c r="F3365" s="6"/>
      <c r="G3365" s="6"/>
    </row>
    <row r="3366" spans="1:7" x14ac:dyDescent="0.25">
      <c r="A3366" s="6" t="s">
        <v>957</v>
      </c>
      <c r="B3366" s="6"/>
      <c r="C3366" s="6"/>
      <c r="D3366" s="6"/>
      <c r="E3366" s="6"/>
      <c r="F3366" s="6"/>
      <c r="G3366" s="6"/>
    </row>
    <row r="3367" spans="1:7" x14ac:dyDescent="0.25">
      <c r="A3367" s="6" t="s">
        <v>5300</v>
      </c>
      <c r="B3367" s="6"/>
      <c r="C3367" s="6"/>
      <c r="D3367" s="6"/>
      <c r="E3367" s="6"/>
      <c r="F3367" s="6"/>
      <c r="G3367" s="6"/>
    </row>
    <row r="3368" spans="1:7" x14ac:dyDescent="0.25">
      <c r="A3368" s="6" t="s">
        <v>5297</v>
      </c>
      <c r="B3368" s="6"/>
      <c r="C3368" s="6"/>
      <c r="D3368" s="6"/>
      <c r="E3368" s="6"/>
      <c r="F3368" s="6"/>
      <c r="G3368" s="6"/>
    </row>
    <row r="3369" spans="1:7" x14ac:dyDescent="0.25">
      <c r="A3369" s="6" t="s">
        <v>5294</v>
      </c>
      <c r="B3369" s="6"/>
      <c r="C3369" s="6"/>
      <c r="D3369" s="6"/>
      <c r="E3369" s="6"/>
      <c r="F3369" s="6"/>
      <c r="G3369" s="6"/>
    </row>
    <row r="3370" spans="1:7" x14ac:dyDescent="0.25">
      <c r="A3370" s="6" t="s">
        <v>5291</v>
      </c>
      <c r="B3370" s="6"/>
      <c r="C3370" s="6"/>
      <c r="D3370" s="6"/>
      <c r="E3370" s="6"/>
      <c r="F3370" s="6"/>
      <c r="G3370" s="6"/>
    </row>
    <row r="3371" spans="1:7" x14ac:dyDescent="0.25">
      <c r="A3371" s="6" t="s">
        <v>5288</v>
      </c>
      <c r="B3371" s="6"/>
      <c r="C3371" s="6"/>
      <c r="D3371" s="6"/>
      <c r="E3371" s="6"/>
      <c r="F3371" s="6"/>
      <c r="G3371" s="6"/>
    </row>
    <row r="3372" spans="1:7" x14ac:dyDescent="0.25">
      <c r="A3372" s="6" t="s">
        <v>5285</v>
      </c>
      <c r="B3372" s="6"/>
      <c r="C3372" s="6"/>
      <c r="D3372" s="6"/>
      <c r="E3372" s="6"/>
      <c r="F3372" s="6"/>
      <c r="G3372" s="6"/>
    </row>
    <row r="3373" spans="1:7" x14ac:dyDescent="0.25">
      <c r="A3373" s="6" t="s">
        <v>5283</v>
      </c>
      <c r="B3373" s="6"/>
      <c r="C3373" s="6"/>
      <c r="D3373" s="6"/>
      <c r="E3373" s="6"/>
      <c r="F3373" s="6"/>
      <c r="G3373" s="6"/>
    </row>
    <row r="3374" spans="1:7" x14ac:dyDescent="0.25">
      <c r="A3374" s="6" t="s">
        <v>6301</v>
      </c>
      <c r="B3374" s="6"/>
      <c r="C3374" s="6"/>
      <c r="D3374" s="6"/>
      <c r="E3374" s="6"/>
      <c r="F3374" s="6"/>
      <c r="G3374" s="6"/>
    </row>
    <row r="3375" spans="1:7" x14ac:dyDescent="0.25">
      <c r="A3375" s="6" t="s">
        <v>6298</v>
      </c>
      <c r="B3375" s="6"/>
      <c r="C3375" s="6"/>
      <c r="D3375" s="6"/>
      <c r="E3375" s="6"/>
      <c r="F3375" s="6"/>
      <c r="G3375" s="6"/>
    </row>
    <row r="3376" spans="1:7" x14ac:dyDescent="0.25">
      <c r="A3376" s="6" t="s">
        <v>957</v>
      </c>
      <c r="B3376" s="6"/>
      <c r="C3376" s="6"/>
      <c r="D3376" s="6"/>
      <c r="E3376" s="6"/>
      <c r="F3376" s="6"/>
      <c r="G3376" s="6"/>
    </row>
    <row r="3377" spans="1:7" x14ac:dyDescent="0.25">
      <c r="A3377" s="6" t="s">
        <v>957</v>
      </c>
      <c r="B3377" s="6"/>
      <c r="C3377" s="6"/>
      <c r="D3377" s="6"/>
      <c r="E3377" s="6"/>
      <c r="F3377" s="6"/>
      <c r="G3377" s="6"/>
    </row>
    <row r="3378" spans="1:7" x14ac:dyDescent="0.25">
      <c r="A3378" s="6" t="s">
        <v>6291</v>
      </c>
      <c r="B3378" s="6"/>
      <c r="C3378" s="6"/>
      <c r="D3378" s="6"/>
      <c r="E3378" s="6"/>
      <c r="F3378" s="6"/>
      <c r="G3378" s="6"/>
    </row>
    <row r="3379" spans="1:7" x14ac:dyDescent="0.25">
      <c r="A3379" s="6" t="s">
        <v>6288</v>
      </c>
      <c r="B3379" s="6"/>
      <c r="C3379" s="6"/>
      <c r="D3379" s="6"/>
      <c r="E3379" s="6"/>
      <c r="F3379" s="6"/>
      <c r="G3379" s="6"/>
    </row>
    <row r="3380" spans="1:7" x14ac:dyDescent="0.25">
      <c r="A3380" s="6" t="s">
        <v>6285</v>
      </c>
      <c r="B3380" s="6"/>
      <c r="C3380" s="6"/>
      <c r="D3380" s="6"/>
      <c r="E3380" s="6"/>
      <c r="F3380" s="6"/>
      <c r="G3380" s="6"/>
    </row>
    <row r="3381" spans="1:7" x14ac:dyDescent="0.25">
      <c r="A3381" s="6" t="s">
        <v>6282</v>
      </c>
      <c r="B3381" s="6"/>
      <c r="C3381" s="6"/>
      <c r="D3381" s="6"/>
      <c r="E3381" s="6"/>
      <c r="F3381" s="6"/>
      <c r="G3381" s="6"/>
    </row>
    <row r="3382" spans="1:7" x14ac:dyDescent="0.25">
      <c r="A3382" s="6" t="s">
        <v>14215</v>
      </c>
      <c r="B3382" s="6" t="s">
        <v>14216</v>
      </c>
      <c r="C3382" s="6"/>
      <c r="D3382" s="6"/>
      <c r="E3382" s="6"/>
      <c r="F3382" s="6"/>
      <c r="G3382" s="6"/>
    </row>
    <row r="3383" spans="1:7" x14ac:dyDescent="0.25">
      <c r="A3383" s="6" t="s">
        <v>6277</v>
      </c>
      <c r="B3383" s="6"/>
      <c r="C3383" s="6"/>
      <c r="D3383" s="6"/>
      <c r="E3383" s="6"/>
      <c r="F3383" s="6"/>
      <c r="G3383" s="6"/>
    </row>
    <row r="3384" spans="1:7" x14ac:dyDescent="0.25">
      <c r="A3384" s="6" t="s">
        <v>957</v>
      </c>
      <c r="B3384" s="6"/>
      <c r="C3384" s="6"/>
      <c r="D3384" s="6"/>
      <c r="E3384" s="6"/>
      <c r="F3384" s="6"/>
      <c r="G3384" s="6"/>
    </row>
    <row r="3385" spans="1:7" x14ac:dyDescent="0.25">
      <c r="A3385" s="6" t="s">
        <v>957</v>
      </c>
      <c r="B3385" s="6"/>
      <c r="C3385" s="6"/>
      <c r="D3385" s="6"/>
      <c r="E3385" s="6"/>
      <c r="F3385" s="6"/>
      <c r="G3385" s="6"/>
    </row>
    <row r="3386" spans="1:7" x14ac:dyDescent="0.25">
      <c r="A3386" s="6" t="s">
        <v>6271</v>
      </c>
      <c r="B3386" s="6"/>
      <c r="C3386" s="6"/>
      <c r="D3386" s="6"/>
      <c r="E3386" s="6"/>
      <c r="F3386" s="6"/>
      <c r="G3386" s="6"/>
    </row>
    <row r="3387" spans="1:7" x14ac:dyDescent="0.25">
      <c r="A3387" s="6" t="s">
        <v>6268</v>
      </c>
      <c r="B3387" s="6"/>
      <c r="C3387" s="6"/>
      <c r="D3387" s="6"/>
      <c r="E3387" s="6"/>
      <c r="F3387" s="6"/>
      <c r="G3387" s="6"/>
    </row>
    <row r="3388" spans="1:7" x14ac:dyDescent="0.25">
      <c r="A3388" s="6" t="s">
        <v>6265</v>
      </c>
      <c r="B3388" s="6"/>
      <c r="C3388" s="6"/>
      <c r="D3388" s="6"/>
      <c r="E3388" s="6"/>
      <c r="F3388" s="6"/>
      <c r="G3388" s="6"/>
    </row>
    <row r="3389" spans="1:7" x14ac:dyDescent="0.25">
      <c r="A3389" s="6" t="s">
        <v>6262</v>
      </c>
      <c r="B3389" s="6"/>
      <c r="C3389" s="6"/>
      <c r="D3389" s="6"/>
      <c r="E3389" s="6"/>
      <c r="F3389" s="6"/>
      <c r="G3389" s="6"/>
    </row>
    <row r="3390" spans="1:7" x14ac:dyDescent="0.25">
      <c r="A3390" s="6" t="s">
        <v>6259</v>
      </c>
      <c r="B3390" s="6"/>
      <c r="C3390" s="6"/>
      <c r="D3390" s="6"/>
      <c r="E3390" s="6"/>
      <c r="F3390" s="6"/>
      <c r="G3390" s="6"/>
    </row>
    <row r="3391" spans="1:7" x14ac:dyDescent="0.25">
      <c r="A3391" s="6" t="s">
        <v>6256</v>
      </c>
      <c r="B3391" s="6"/>
      <c r="C3391" s="6"/>
      <c r="D3391" s="6"/>
      <c r="E3391" s="6"/>
      <c r="F3391" s="6"/>
      <c r="G3391" s="6"/>
    </row>
    <row r="3392" spans="1:7" x14ac:dyDescent="0.25">
      <c r="A3392" s="6" t="s">
        <v>6253</v>
      </c>
      <c r="B3392" s="6"/>
      <c r="C3392" s="6"/>
      <c r="D3392" s="6"/>
      <c r="E3392" s="6"/>
      <c r="F3392" s="6"/>
      <c r="G3392" s="6"/>
    </row>
    <row r="3393" spans="1:7" x14ac:dyDescent="0.25">
      <c r="A3393" s="6" t="s">
        <v>957</v>
      </c>
      <c r="B3393" s="6"/>
      <c r="C3393" s="6"/>
      <c r="D3393" s="6"/>
      <c r="E3393" s="6"/>
      <c r="F3393" s="6"/>
      <c r="G3393" s="6"/>
    </row>
    <row r="3394" spans="1:7" x14ac:dyDescent="0.25">
      <c r="A3394" s="6" t="s">
        <v>6248</v>
      </c>
      <c r="B3394" s="6"/>
      <c r="C3394" s="6"/>
      <c r="D3394" s="6"/>
      <c r="E3394" s="6"/>
      <c r="F3394" s="6"/>
      <c r="G3394" s="6"/>
    </row>
    <row r="3395" spans="1:7" x14ac:dyDescent="0.25">
      <c r="A3395" s="6" t="s">
        <v>5216</v>
      </c>
      <c r="B3395" s="6"/>
      <c r="C3395" s="6"/>
      <c r="D3395" s="6"/>
      <c r="E3395" s="6"/>
      <c r="F3395" s="6"/>
      <c r="G3395" s="6"/>
    </row>
    <row r="3396" spans="1:7" x14ac:dyDescent="0.25">
      <c r="A3396" s="6" t="s">
        <v>5213</v>
      </c>
      <c r="B3396" s="6"/>
      <c r="C3396" s="6"/>
      <c r="D3396" s="6"/>
      <c r="E3396" s="6"/>
      <c r="F3396" s="6"/>
      <c r="G3396" s="6"/>
    </row>
    <row r="3397" spans="1:7" x14ac:dyDescent="0.25">
      <c r="A3397" s="6" t="s">
        <v>5211</v>
      </c>
      <c r="B3397" s="6"/>
      <c r="C3397" s="6"/>
      <c r="D3397" s="6"/>
      <c r="E3397" s="6"/>
      <c r="F3397" s="6"/>
      <c r="G3397" s="6"/>
    </row>
    <row r="3398" spans="1:7" x14ac:dyDescent="0.25">
      <c r="A3398" s="6" t="s">
        <v>5209</v>
      </c>
      <c r="B3398" s="6"/>
      <c r="C3398" s="6"/>
      <c r="D3398" s="6"/>
      <c r="E3398" s="6"/>
      <c r="F3398" s="6"/>
      <c r="G3398" s="6"/>
    </row>
    <row r="3399" spans="1:7" x14ac:dyDescent="0.25">
      <c r="A3399" s="6" t="s">
        <v>5206</v>
      </c>
      <c r="B3399" s="6"/>
      <c r="C3399" s="6"/>
      <c r="D3399" s="6"/>
      <c r="E3399" s="6"/>
      <c r="F3399" s="6"/>
      <c r="G3399" s="6"/>
    </row>
    <row r="3400" spans="1:7" x14ac:dyDescent="0.25">
      <c r="A3400" s="6" t="s">
        <v>957</v>
      </c>
      <c r="B3400" s="6"/>
      <c r="C3400" s="6"/>
      <c r="D3400" s="6"/>
      <c r="E3400" s="6"/>
      <c r="F3400" s="6"/>
      <c r="G3400" s="6"/>
    </row>
    <row r="3401" spans="1:7" x14ac:dyDescent="0.25">
      <c r="A3401" s="6" t="s">
        <v>957</v>
      </c>
      <c r="B3401" s="6"/>
      <c r="C3401" s="6"/>
      <c r="D3401" s="6"/>
      <c r="E3401" s="6"/>
      <c r="F3401" s="6"/>
      <c r="G3401" s="6"/>
    </row>
    <row r="3402" spans="1:7" x14ac:dyDescent="0.25">
      <c r="A3402" s="6" t="s">
        <v>5201</v>
      </c>
      <c r="B3402" s="6"/>
      <c r="C3402" s="6"/>
      <c r="D3402" s="6"/>
      <c r="E3402" s="6"/>
      <c r="F3402" s="6"/>
      <c r="G3402" s="6"/>
    </row>
    <row r="3403" spans="1:7" x14ac:dyDescent="0.25">
      <c r="A3403" s="6" t="s">
        <v>5198</v>
      </c>
      <c r="B3403" s="6"/>
      <c r="C3403" s="6"/>
      <c r="D3403" s="6"/>
      <c r="E3403" s="6"/>
      <c r="F3403" s="6"/>
      <c r="G3403" s="6"/>
    </row>
    <row r="3404" spans="1:7" x14ac:dyDescent="0.25">
      <c r="A3404" s="6" t="s">
        <v>5195</v>
      </c>
      <c r="B3404" s="6"/>
      <c r="C3404" s="6"/>
      <c r="D3404" s="6"/>
      <c r="E3404" s="6"/>
      <c r="F3404" s="6"/>
      <c r="G3404" s="6"/>
    </row>
    <row r="3405" spans="1:7" x14ac:dyDescent="0.25">
      <c r="A3405" s="6" t="s">
        <v>5192</v>
      </c>
      <c r="B3405" s="6"/>
      <c r="C3405" s="6"/>
      <c r="D3405" s="6"/>
      <c r="E3405" s="6"/>
      <c r="F3405" s="6"/>
      <c r="G3405" s="6"/>
    </row>
    <row r="3406" spans="1:7" x14ac:dyDescent="0.25">
      <c r="A3406" s="6" t="s">
        <v>5189</v>
      </c>
      <c r="B3406" s="6"/>
      <c r="C3406" s="6"/>
      <c r="D3406" s="6"/>
      <c r="E3406" s="6"/>
      <c r="F3406" s="6"/>
      <c r="G3406" s="6"/>
    </row>
    <row r="3407" spans="1:7" x14ac:dyDescent="0.25">
      <c r="A3407" s="6" t="s">
        <v>5186</v>
      </c>
      <c r="B3407" s="6"/>
      <c r="C3407" s="6"/>
      <c r="D3407" s="6"/>
      <c r="E3407" s="6"/>
      <c r="F3407" s="6"/>
      <c r="G3407" s="6"/>
    </row>
    <row r="3408" spans="1:7" x14ac:dyDescent="0.25">
      <c r="A3408" s="6" t="s">
        <v>957</v>
      </c>
      <c r="B3408" s="6"/>
      <c r="C3408" s="6"/>
      <c r="D3408" s="6"/>
      <c r="E3408" s="6"/>
      <c r="F3408" s="6"/>
      <c r="G3408" s="6"/>
    </row>
    <row r="3409" spans="1:7" x14ac:dyDescent="0.25">
      <c r="A3409" s="6" t="s">
        <v>6210</v>
      </c>
      <c r="B3409" s="6"/>
      <c r="C3409" s="6"/>
      <c r="D3409" s="6"/>
      <c r="E3409" s="6"/>
      <c r="F3409" s="6"/>
      <c r="G3409" s="6"/>
    </row>
    <row r="3410" spans="1:7" x14ac:dyDescent="0.25">
      <c r="A3410" s="6" t="s">
        <v>6207</v>
      </c>
      <c r="B3410" s="6"/>
      <c r="C3410" s="6"/>
      <c r="D3410" s="6"/>
      <c r="E3410" s="6"/>
      <c r="F3410" s="6"/>
      <c r="G3410" s="6"/>
    </row>
    <row r="3411" spans="1:7" x14ac:dyDescent="0.25">
      <c r="A3411" s="6" t="s">
        <v>6204</v>
      </c>
      <c r="B3411" s="6"/>
      <c r="C3411" s="6"/>
      <c r="D3411" s="6"/>
      <c r="E3411" s="6"/>
      <c r="F3411" s="6"/>
      <c r="G3411" s="6"/>
    </row>
    <row r="3412" spans="1:7" x14ac:dyDescent="0.25">
      <c r="A3412" s="6" t="s">
        <v>6201</v>
      </c>
      <c r="B3412" s="6"/>
      <c r="C3412" s="6"/>
      <c r="D3412" s="6"/>
      <c r="E3412" s="6"/>
      <c r="F3412" s="6"/>
      <c r="G3412" s="6"/>
    </row>
    <row r="3413" spans="1:7" x14ac:dyDescent="0.25">
      <c r="A3413" s="6" t="s">
        <v>6198</v>
      </c>
      <c r="B3413" s="6"/>
      <c r="C3413" s="6"/>
      <c r="D3413" s="6"/>
      <c r="E3413" s="6"/>
      <c r="F3413" s="6"/>
      <c r="G3413" s="6"/>
    </row>
    <row r="3414" spans="1:7" x14ac:dyDescent="0.25">
      <c r="A3414" s="6" t="s">
        <v>6195</v>
      </c>
      <c r="B3414" s="6"/>
      <c r="C3414" s="6"/>
      <c r="D3414" s="6"/>
      <c r="E3414" s="6"/>
      <c r="F3414" s="6"/>
      <c r="G3414" s="6"/>
    </row>
    <row r="3415" spans="1:7" x14ac:dyDescent="0.25">
      <c r="A3415" s="6" t="s">
        <v>957</v>
      </c>
      <c r="B3415" s="6"/>
      <c r="C3415" s="6"/>
      <c r="D3415" s="6"/>
      <c r="E3415" s="6"/>
      <c r="F3415" s="6"/>
      <c r="G3415" s="6"/>
    </row>
    <row r="3416" spans="1:7" x14ac:dyDescent="0.25">
      <c r="A3416" s="6" t="s">
        <v>14081</v>
      </c>
      <c r="B3416" s="6" t="s">
        <v>14082</v>
      </c>
      <c r="C3416" s="6"/>
      <c r="D3416" s="6"/>
      <c r="E3416" s="6"/>
      <c r="F3416" s="6"/>
      <c r="G3416" s="6"/>
    </row>
    <row r="3417" spans="1:7" x14ac:dyDescent="0.25">
      <c r="A3417" s="6" t="s">
        <v>6009</v>
      </c>
      <c r="B3417" s="6"/>
      <c r="C3417" s="6"/>
      <c r="D3417" s="6"/>
      <c r="E3417" s="6"/>
      <c r="F3417" s="6"/>
      <c r="G3417" s="6"/>
    </row>
    <row r="3418" spans="1:7" x14ac:dyDescent="0.25">
      <c r="A3418" s="6" t="s">
        <v>5149</v>
      </c>
      <c r="B3418" s="6"/>
      <c r="C3418" s="6"/>
      <c r="D3418" s="6"/>
      <c r="E3418" s="6"/>
      <c r="F3418" s="6"/>
      <c r="G3418" s="6"/>
    </row>
    <row r="3419" spans="1:7" x14ac:dyDescent="0.25">
      <c r="A3419" s="6" t="s">
        <v>5146</v>
      </c>
      <c r="B3419" s="6"/>
      <c r="C3419" s="6"/>
      <c r="D3419" s="6"/>
      <c r="E3419" s="6"/>
      <c r="F3419" s="6"/>
      <c r="G3419" s="6"/>
    </row>
    <row r="3420" spans="1:7" x14ac:dyDescent="0.25">
      <c r="A3420" s="6" t="s">
        <v>5143</v>
      </c>
      <c r="B3420" s="6"/>
      <c r="C3420" s="6"/>
      <c r="D3420" s="6"/>
      <c r="E3420" s="6"/>
      <c r="F3420" s="6"/>
      <c r="G3420" s="6"/>
    </row>
    <row r="3421" spans="1:7" x14ac:dyDescent="0.25">
      <c r="A3421" s="6" t="s">
        <v>957</v>
      </c>
      <c r="B3421" s="6"/>
      <c r="C3421" s="6"/>
      <c r="D3421" s="6"/>
      <c r="E3421" s="6"/>
      <c r="F3421" s="6"/>
      <c r="G3421" s="6"/>
    </row>
    <row r="3422" spans="1:7" x14ac:dyDescent="0.25">
      <c r="A3422" s="6" t="s">
        <v>5139</v>
      </c>
      <c r="B3422" s="6"/>
      <c r="C3422" s="6"/>
      <c r="D3422" s="6"/>
      <c r="E3422" s="6"/>
      <c r="F3422" s="6"/>
      <c r="G3422" s="6"/>
    </row>
    <row r="3423" spans="1:7" x14ac:dyDescent="0.25">
      <c r="A3423" s="6" t="s">
        <v>957</v>
      </c>
      <c r="B3423" s="6"/>
      <c r="C3423" s="6"/>
      <c r="D3423" s="6"/>
      <c r="E3423" s="6"/>
      <c r="F3423" s="6"/>
      <c r="G3423" s="6"/>
    </row>
    <row r="3424" spans="1:7" x14ac:dyDescent="0.25">
      <c r="A3424" s="6" t="s">
        <v>957</v>
      </c>
      <c r="B3424" s="6"/>
      <c r="C3424" s="6"/>
      <c r="D3424" s="6"/>
      <c r="E3424" s="6"/>
      <c r="F3424" s="6"/>
      <c r="G3424" s="6"/>
    </row>
    <row r="3425" spans="1:7" x14ac:dyDescent="0.25">
      <c r="A3425" s="6" t="s">
        <v>5134</v>
      </c>
      <c r="B3425" s="6"/>
      <c r="C3425" s="6"/>
      <c r="D3425" s="6"/>
      <c r="E3425" s="6"/>
      <c r="F3425" s="6"/>
      <c r="G3425" s="6"/>
    </row>
    <row r="3426" spans="1:7" x14ac:dyDescent="0.25">
      <c r="A3426" s="6" t="s">
        <v>5131</v>
      </c>
      <c r="B3426" s="6"/>
      <c r="C3426" s="6"/>
      <c r="D3426" s="6"/>
      <c r="E3426" s="6"/>
      <c r="F3426" s="6"/>
      <c r="G3426" s="6"/>
    </row>
    <row r="3427" spans="1:7" x14ac:dyDescent="0.25">
      <c r="A3427" s="6" t="s">
        <v>5128</v>
      </c>
      <c r="B3427" s="6"/>
      <c r="C3427" s="6"/>
      <c r="D3427" s="6"/>
      <c r="E3427" s="6"/>
      <c r="F3427" s="6"/>
      <c r="G3427" s="6"/>
    </row>
    <row r="3428" spans="1:7" x14ac:dyDescent="0.25">
      <c r="A3428" s="6" t="s">
        <v>5125</v>
      </c>
      <c r="B3428" s="6"/>
      <c r="C3428" s="6"/>
      <c r="D3428" s="6"/>
      <c r="E3428" s="6"/>
      <c r="F3428" s="6"/>
      <c r="G3428" s="6"/>
    </row>
    <row r="3429" spans="1:7" x14ac:dyDescent="0.25">
      <c r="A3429" s="6" t="s">
        <v>5122</v>
      </c>
      <c r="B3429" s="6"/>
      <c r="C3429" s="6"/>
      <c r="D3429" s="6"/>
      <c r="E3429" s="6"/>
      <c r="F3429" s="6"/>
      <c r="G3429" s="6"/>
    </row>
    <row r="3430" spans="1:7" x14ac:dyDescent="0.25">
      <c r="A3430" s="6" t="s">
        <v>5119</v>
      </c>
      <c r="B3430" s="6"/>
      <c r="C3430" s="6"/>
      <c r="D3430" s="6"/>
      <c r="E3430" s="6"/>
      <c r="F3430" s="6"/>
      <c r="G3430" s="6"/>
    </row>
    <row r="3431" spans="1:7" x14ac:dyDescent="0.25">
      <c r="A3431" s="6" t="s">
        <v>5116</v>
      </c>
      <c r="B3431" s="6"/>
      <c r="C3431" s="6"/>
      <c r="D3431" s="6"/>
      <c r="E3431" s="6"/>
      <c r="F3431" s="6"/>
      <c r="G3431" s="6"/>
    </row>
    <row r="3432" spans="1:7" x14ac:dyDescent="0.25">
      <c r="A3432" s="6" t="s">
        <v>5113</v>
      </c>
      <c r="B3432" s="6"/>
      <c r="C3432" s="6"/>
      <c r="D3432" s="6"/>
      <c r="E3432" s="6"/>
      <c r="F3432" s="6"/>
      <c r="G3432" s="6"/>
    </row>
    <row r="3433" spans="1:7" x14ac:dyDescent="0.25">
      <c r="A3433" s="6" t="s">
        <v>5110</v>
      </c>
      <c r="B3433" s="6"/>
      <c r="C3433" s="6"/>
      <c r="D3433" s="6"/>
      <c r="E3433" s="6"/>
      <c r="F3433" s="6"/>
      <c r="G3433" s="6"/>
    </row>
    <row r="3434" spans="1:7" x14ac:dyDescent="0.25">
      <c r="A3434" s="6" t="s">
        <v>14206</v>
      </c>
      <c r="B3434" s="6" t="s">
        <v>14207</v>
      </c>
      <c r="C3434" s="6"/>
      <c r="D3434" s="6"/>
      <c r="E3434" s="6"/>
      <c r="F3434" s="6"/>
      <c r="G3434" s="6"/>
    </row>
    <row r="3435" spans="1:7" x14ac:dyDescent="0.25">
      <c r="A3435" s="6" t="s">
        <v>5105</v>
      </c>
      <c r="B3435" s="6"/>
      <c r="C3435" s="6"/>
      <c r="D3435" s="6"/>
      <c r="E3435" s="6"/>
      <c r="F3435" s="6"/>
      <c r="G3435" s="6"/>
    </row>
    <row r="3436" spans="1:7" x14ac:dyDescent="0.25">
      <c r="A3436" s="6" t="s">
        <v>5102</v>
      </c>
      <c r="B3436" s="6"/>
      <c r="C3436" s="6"/>
      <c r="D3436" s="6"/>
      <c r="E3436" s="6"/>
      <c r="F3436" s="6"/>
      <c r="G3436" s="6"/>
    </row>
    <row r="3437" spans="1:7" x14ac:dyDescent="0.25">
      <c r="A3437" s="6" t="s">
        <v>957</v>
      </c>
      <c r="B3437" s="6"/>
      <c r="C3437" s="6"/>
      <c r="D3437" s="6"/>
      <c r="E3437" s="6"/>
      <c r="F3437" s="6"/>
      <c r="G3437" s="6"/>
    </row>
    <row r="3438" spans="1:7" x14ac:dyDescent="0.25">
      <c r="A3438" s="6" t="s">
        <v>5098</v>
      </c>
      <c r="B3438" s="6"/>
      <c r="C3438" s="6"/>
      <c r="D3438" s="6"/>
      <c r="E3438" s="6"/>
      <c r="F3438" s="6"/>
      <c r="G3438" s="6"/>
    </row>
    <row r="3439" spans="1:7" x14ac:dyDescent="0.25">
      <c r="A3439" s="6" t="s">
        <v>5096</v>
      </c>
      <c r="B3439" s="6"/>
      <c r="C3439" s="6"/>
      <c r="D3439" s="6"/>
      <c r="E3439" s="6"/>
      <c r="F3439" s="6"/>
      <c r="G3439" s="6"/>
    </row>
    <row r="3440" spans="1:7" x14ac:dyDescent="0.25">
      <c r="A3440" s="6" t="s">
        <v>5092</v>
      </c>
      <c r="B3440" s="6"/>
      <c r="C3440" s="6"/>
      <c r="D3440" s="6"/>
      <c r="E3440" s="6"/>
      <c r="F3440" s="6"/>
      <c r="G3440" s="6"/>
    </row>
    <row r="3441" spans="1:7" x14ac:dyDescent="0.25">
      <c r="A3441" s="6" t="s">
        <v>5092</v>
      </c>
      <c r="B3441" s="6"/>
      <c r="C3441" s="6"/>
      <c r="D3441" s="6"/>
      <c r="E3441" s="6"/>
      <c r="F3441" s="6"/>
      <c r="G3441" s="6"/>
    </row>
    <row r="3442" spans="1:7" x14ac:dyDescent="0.25">
      <c r="A3442" s="6" t="s">
        <v>957</v>
      </c>
      <c r="B3442" s="6"/>
      <c r="C3442" s="6"/>
      <c r="D3442" s="6"/>
      <c r="E3442" s="6"/>
      <c r="F3442" s="6"/>
      <c r="G3442" s="6"/>
    </row>
    <row r="3443" spans="1:7" x14ac:dyDescent="0.25">
      <c r="A3443" s="6" t="s">
        <v>957</v>
      </c>
      <c r="B3443" s="6"/>
      <c r="C3443" s="6"/>
      <c r="D3443" s="6"/>
      <c r="E3443" s="6"/>
      <c r="F3443" s="6"/>
      <c r="G3443" s="6"/>
    </row>
    <row r="3444" spans="1:7" x14ac:dyDescent="0.25">
      <c r="A3444" s="6" t="s">
        <v>957</v>
      </c>
      <c r="B3444" s="6"/>
      <c r="C3444" s="6"/>
      <c r="D3444" s="6"/>
      <c r="E3444" s="6"/>
      <c r="F3444" s="6"/>
      <c r="G3444" s="6"/>
    </row>
    <row r="3445" spans="1:7" x14ac:dyDescent="0.25">
      <c r="A3445" s="6" t="s">
        <v>5086</v>
      </c>
      <c r="B3445" s="6"/>
      <c r="C3445" s="6"/>
      <c r="D3445" s="6"/>
      <c r="E3445" s="6"/>
      <c r="F3445" s="6"/>
      <c r="G3445" s="6"/>
    </row>
    <row r="3446" spans="1:7" x14ac:dyDescent="0.25">
      <c r="A3446" s="6" t="s">
        <v>957</v>
      </c>
      <c r="B3446" s="6"/>
      <c r="C3446" s="6"/>
      <c r="D3446" s="6"/>
      <c r="E3446" s="6"/>
      <c r="F3446" s="6"/>
      <c r="G3446" s="6"/>
    </row>
    <row r="3447" spans="1:7" x14ac:dyDescent="0.25">
      <c r="A3447" s="6" t="s">
        <v>5082</v>
      </c>
      <c r="B3447" s="6"/>
      <c r="C3447" s="6"/>
      <c r="D3447" s="6"/>
      <c r="E3447" s="6"/>
      <c r="F3447" s="6"/>
      <c r="G3447" s="6"/>
    </row>
    <row r="3448" spans="1:7" x14ac:dyDescent="0.25">
      <c r="A3448" s="6" t="s">
        <v>5079</v>
      </c>
      <c r="B3448" s="6"/>
      <c r="C3448" s="6"/>
      <c r="D3448" s="6"/>
      <c r="E3448" s="6"/>
      <c r="F3448" s="6"/>
      <c r="G3448" s="6"/>
    </row>
    <row r="3449" spans="1:7" x14ac:dyDescent="0.25">
      <c r="A3449" s="6" t="s">
        <v>5076</v>
      </c>
      <c r="B3449" s="6"/>
      <c r="C3449" s="6"/>
      <c r="D3449" s="6"/>
      <c r="E3449" s="6"/>
      <c r="F3449" s="6"/>
      <c r="G3449" s="6"/>
    </row>
    <row r="3450" spans="1:7" x14ac:dyDescent="0.25">
      <c r="A3450" s="6" t="s">
        <v>5073</v>
      </c>
      <c r="B3450" s="6"/>
      <c r="C3450" s="6"/>
      <c r="D3450" s="6"/>
      <c r="E3450" s="6"/>
      <c r="F3450" s="6"/>
      <c r="G3450" s="6"/>
    </row>
    <row r="3451" spans="1:7" x14ac:dyDescent="0.25">
      <c r="A3451" s="6" t="s">
        <v>14086</v>
      </c>
      <c r="B3451" s="6" t="s">
        <v>14087</v>
      </c>
      <c r="C3451" s="6" t="s">
        <v>14088</v>
      </c>
      <c r="D3451" s="6" t="s">
        <v>14089</v>
      </c>
      <c r="E3451" s="6" t="s">
        <v>14090</v>
      </c>
      <c r="F3451" s="6"/>
      <c r="G3451" s="6"/>
    </row>
    <row r="3452" spans="1:7" x14ac:dyDescent="0.25">
      <c r="A3452" s="6" t="s">
        <v>957</v>
      </c>
      <c r="B3452" s="6"/>
      <c r="C3452" s="6"/>
      <c r="D3452" s="6"/>
      <c r="E3452" s="6"/>
      <c r="F3452" s="6"/>
      <c r="G3452" s="6"/>
    </row>
    <row r="3453" spans="1:7" x14ac:dyDescent="0.25">
      <c r="A3453" s="6" t="s">
        <v>957</v>
      </c>
      <c r="B3453" s="6"/>
      <c r="C3453" s="6"/>
      <c r="D3453" s="6"/>
      <c r="E3453" s="6"/>
      <c r="F3453" s="6"/>
      <c r="G3453" s="6"/>
    </row>
    <row r="3454" spans="1:7" x14ac:dyDescent="0.25">
      <c r="A3454" s="6" t="s">
        <v>5067</v>
      </c>
      <c r="B3454" s="6"/>
      <c r="C3454" s="6"/>
      <c r="D3454" s="6"/>
      <c r="E3454" s="6"/>
      <c r="F3454" s="6"/>
      <c r="G3454" s="6"/>
    </row>
    <row r="3455" spans="1:7" x14ac:dyDescent="0.25">
      <c r="A3455" s="6" t="s">
        <v>957</v>
      </c>
      <c r="B3455" s="6"/>
      <c r="C3455" s="6"/>
      <c r="D3455" s="6"/>
      <c r="E3455" s="6"/>
      <c r="F3455" s="6"/>
      <c r="G3455" s="6"/>
    </row>
    <row r="3456" spans="1:7" x14ac:dyDescent="0.25">
      <c r="A3456" s="6" t="s">
        <v>957</v>
      </c>
      <c r="B3456" s="6"/>
      <c r="C3456" s="6"/>
      <c r="D3456" s="6"/>
      <c r="E3456" s="6"/>
      <c r="F3456" s="6"/>
      <c r="G3456" s="6"/>
    </row>
    <row r="3457" spans="1:7" x14ac:dyDescent="0.25">
      <c r="A3457" s="6" t="s">
        <v>5062</v>
      </c>
      <c r="B3457" s="6"/>
      <c r="C3457" s="6"/>
      <c r="D3457" s="6"/>
      <c r="E3457" s="6"/>
      <c r="F3457" s="6"/>
      <c r="G3457" s="6"/>
    </row>
    <row r="3458" spans="1:7" x14ac:dyDescent="0.25">
      <c r="A3458" s="6" t="s">
        <v>6091</v>
      </c>
      <c r="B3458" s="6"/>
      <c r="C3458" s="6"/>
      <c r="D3458" s="6"/>
      <c r="E3458" s="6"/>
      <c r="F3458" s="6"/>
      <c r="G3458" s="6"/>
    </row>
    <row r="3459" spans="1:7" x14ac:dyDescent="0.25">
      <c r="A3459" s="6" t="s">
        <v>6088</v>
      </c>
      <c r="B3459" s="6"/>
      <c r="C3459" s="6"/>
      <c r="D3459" s="6"/>
      <c r="E3459" s="6"/>
      <c r="F3459" s="6"/>
      <c r="G3459" s="6"/>
    </row>
    <row r="3460" spans="1:7" x14ac:dyDescent="0.25">
      <c r="A3460" s="6" t="s">
        <v>6085</v>
      </c>
      <c r="B3460" s="6"/>
      <c r="C3460" s="6"/>
      <c r="D3460" s="6"/>
      <c r="E3460" s="6"/>
      <c r="F3460" s="6"/>
      <c r="G3460" s="6"/>
    </row>
    <row r="3461" spans="1:7" x14ac:dyDescent="0.25">
      <c r="A3461" s="6" t="s">
        <v>6082</v>
      </c>
      <c r="B3461" s="6"/>
      <c r="C3461" s="6"/>
      <c r="D3461" s="6"/>
      <c r="E3461" s="6"/>
      <c r="F3461" s="6"/>
      <c r="G3461" s="6"/>
    </row>
    <row r="3462" spans="1:7" x14ac:dyDescent="0.25">
      <c r="A3462" s="6" t="s">
        <v>6079</v>
      </c>
      <c r="B3462" s="6"/>
      <c r="C3462" s="6"/>
      <c r="D3462" s="6"/>
      <c r="E3462" s="6"/>
      <c r="F3462" s="6"/>
      <c r="G3462" s="6"/>
    </row>
    <row r="3463" spans="1:7" x14ac:dyDescent="0.25">
      <c r="A3463" s="6" t="s">
        <v>6076</v>
      </c>
      <c r="B3463" s="6"/>
      <c r="C3463" s="6"/>
      <c r="D3463" s="6"/>
      <c r="E3463" s="6"/>
      <c r="F3463" s="6"/>
      <c r="G3463" s="6"/>
    </row>
    <row r="3464" spans="1:7" x14ac:dyDescent="0.25">
      <c r="A3464" s="6" t="s">
        <v>957</v>
      </c>
      <c r="B3464" s="6"/>
      <c r="C3464" s="6"/>
      <c r="D3464" s="6"/>
      <c r="E3464" s="6"/>
      <c r="F3464" s="6"/>
      <c r="G3464" s="6"/>
    </row>
    <row r="3465" spans="1:7" x14ac:dyDescent="0.25">
      <c r="A3465" s="6" t="s">
        <v>6072</v>
      </c>
      <c r="B3465" s="6"/>
      <c r="C3465" s="6"/>
      <c r="D3465" s="6"/>
      <c r="E3465" s="6"/>
      <c r="F3465" s="6"/>
      <c r="G3465" s="6"/>
    </row>
    <row r="3466" spans="1:7" x14ac:dyDescent="0.25">
      <c r="A3466" s="6" t="s">
        <v>6069</v>
      </c>
      <c r="B3466" s="6"/>
      <c r="C3466" s="6"/>
      <c r="D3466" s="6"/>
      <c r="E3466" s="6"/>
      <c r="F3466" s="6"/>
      <c r="G3466" s="6"/>
    </row>
    <row r="3467" spans="1:7" x14ac:dyDescent="0.25">
      <c r="A3467" s="6" t="s">
        <v>6066</v>
      </c>
      <c r="B3467" s="6"/>
      <c r="C3467" s="6"/>
      <c r="D3467" s="6"/>
      <c r="E3467" s="6"/>
      <c r="F3467" s="6"/>
      <c r="G3467" s="6"/>
    </row>
    <row r="3468" spans="1:7" x14ac:dyDescent="0.25">
      <c r="A3468" s="6" t="s">
        <v>957</v>
      </c>
      <c r="B3468" s="6"/>
      <c r="C3468" s="6"/>
      <c r="D3468" s="6"/>
      <c r="E3468" s="6"/>
      <c r="F3468" s="6"/>
      <c r="G3468" s="6"/>
    </row>
    <row r="3469" spans="1:7" x14ac:dyDescent="0.25">
      <c r="A3469" s="6" t="s">
        <v>6062</v>
      </c>
      <c r="B3469" s="6"/>
      <c r="C3469" s="6"/>
      <c r="D3469" s="6"/>
      <c r="E3469" s="6"/>
      <c r="F3469" s="6"/>
      <c r="G3469" s="6"/>
    </row>
    <row r="3470" spans="1:7" x14ac:dyDescent="0.25">
      <c r="A3470" s="6" t="s">
        <v>6059</v>
      </c>
      <c r="B3470" s="6"/>
      <c r="C3470" s="6"/>
      <c r="D3470" s="6"/>
      <c r="E3470" s="6"/>
      <c r="F3470" s="6"/>
      <c r="G3470" s="6"/>
    </row>
    <row r="3471" spans="1:7" x14ac:dyDescent="0.25">
      <c r="A3471" s="6" t="s">
        <v>5043</v>
      </c>
      <c r="B3471" s="6"/>
      <c r="C3471" s="6"/>
      <c r="D3471" s="6"/>
      <c r="E3471" s="6"/>
      <c r="F3471" s="6"/>
      <c r="G3471" s="6"/>
    </row>
    <row r="3472" spans="1:7" x14ac:dyDescent="0.25">
      <c r="A3472" s="6" t="s">
        <v>5040</v>
      </c>
      <c r="B3472" s="6"/>
      <c r="C3472" s="6"/>
      <c r="D3472" s="6"/>
      <c r="E3472" s="6"/>
      <c r="F3472" s="6"/>
      <c r="G3472" s="6"/>
    </row>
    <row r="3473" spans="1:7" x14ac:dyDescent="0.25">
      <c r="A3473" s="6" t="s">
        <v>957</v>
      </c>
      <c r="B3473" s="6"/>
      <c r="C3473" s="6"/>
      <c r="D3473" s="6"/>
      <c r="E3473" s="6"/>
      <c r="F3473" s="6"/>
      <c r="G3473" s="6"/>
    </row>
    <row r="3474" spans="1:7" x14ac:dyDescent="0.25">
      <c r="A3474" s="6" t="s">
        <v>957</v>
      </c>
      <c r="B3474" s="6"/>
      <c r="C3474" s="6"/>
      <c r="D3474" s="6"/>
      <c r="E3474" s="6"/>
      <c r="F3474" s="6"/>
      <c r="G3474" s="6"/>
    </row>
    <row r="3475" spans="1:7" x14ac:dyDescent="0.25">
      <c r="A3475" s="6" t="s">
        <v>5034</v>
      </c>
      <c r="B3475" s="6"/>
      <c r="C3475" s="6"/>
      <c r="D3475" s="6"/>
      <c r="E3475" s="6"/>
      <c r="F3475" s="6"/>
      <c r="G3475" s="6"/>
    </row>
    <row r="3476" spans="1:7" x14ac:dyDescent="0.25">
      <c r="A3476" s="6" t="s">
        <v>5031</v>
      </c>
      <c r="B3476" s="6"/>
      <c r="C3476" s="6"/>
      <c r="D3476" s="6"/>
      <c r="E3476" s="6"/>
      <c r="F3476" s="6"/>
      <c r="G3476" s="6"/>
    </row>
    <row r="3477" spans="1:7" x14ac:dyDescent="0.25">
      <c r="A3477" s="6" t="s">
        <v>5028</v>
      </c>
      <c r="B3477" s="6"/>
      <c r="C3477" s="6"/>
      <c r="D3477" s="6"/>
      <c r="E3477" s="6"/>
      <c r="F3477" s="6"/>
      <c r="G3477" s="6"/>
    </row>
    <row r="3478" spans="1:7" x14ac:dyDescent="0.25">
      <c r="A3478" s="6" t="s">
        <v>5025</v>
      </c>
      <c r="B3478" s="6"/>
      <c r="C3478" s="6"/>
      <c r="D3478" s="6"/>
      <c r="E3478" s="6"/>
      <c r="F3478" s="6"/>
      <c r="G3478" s="6"/>
    </row>
    <row r="3479" spans="1:7" x14ac:dyDescent="0.25">
      <c r="A3479" s="6" t="s">
        <v>5022</v>
      </c>
      <c r="B3479" s="6"/>
      <c r="C3479" s="6"/>
      <c r="D3479" s="6"/>
      <c r="E3479" s="6"/>
      <c r="F3479" s="6"/>
      <c r="G3479" s="6"/>
    </row>
    <row r="3480" spans="1:7" x14ac:dyDescent="0.25">
      <c r="A3480" s="6" t="s">
        <v>5019</v>
      </c>
      <c r="B3480" s="6"/>
      <c r="C3480" s="6"/>
      <c r="D3480" s="6"/>
      <c r="E3480" s="6"/>
      <c r="F3480" s="6"/>
      <c r="G3480" s="6"/>
    </row>
    <row r="3481" spans="1:7" x14ac:dyDescent="0.25">
      <c r="A3481" s="6" t="s">
        <v>5016</v>
      </c>
      <c r="B3481" s="6"/>
      <c r="C3481" s="6"/>
      <c r="D3481" s="6"/>
      <c r="E3481" s="6"/>
      <c r="F3481" s="6"/>
      <c r="G3481" s="6"/>
    </row>
    <row r="3482" spans="1:7" x14ac:dyDescent="0.25">
      <c r="A3482" s="6" t="s">
        <v>957</v>
      </c>
      <c r="B3482" s="6"/>
      <c r="C3482" s="6"/>
      <c r="D3482" s="6"/>
      <c r="E3482" s="6"/>
      <c r="F3482" s="6"/>
      <c r="G3482" s="6"/>
    </row>
    <row r="3483" spans="1:7" x14ac:dyDescent="0.25">
      <c r="A3483" s="6" t="s">
        <v>957</v>
      </c>
      <c r="B3483" s="6"/>
      <c r="C3483" s="6"/>
      <c r="D3483" s="6"/>
      <c r="E3483" s="6"/>
      <c r="F3483" s="6"/>
      <c r="G3483" s="6"/>
    </row>
    <row r="3484" spans="1:7" x14ac:dyDescent="0.25">
      <c r="A3484" s="6" t="s">
        <v>5011</v>
      </c>
      <c r="B3484" s="6"/>
      <c r="C3484" s="6"/>
      <c r="D3484" s="6"/>
      <c r="E3484" s="6"/>
      <c r="F3484" s="6"/>
      <c r="G3484" s="6"/>
    </row>
    <row r="3485" spans="1:7" x14ac:dyDescent="0.25">
      <c r="A3485" s="6" t="s">
        <v>5008</v>
      </c>
      <c r="B3485" s="6"/>
      <c r="C3485" s="6"/>
      <c r="D3485" s="6"/>
      <c r="E3485" s="6"/>
      <c r="F3485" s="6"/>
      <c r="G3485" s="6"/>
    </row>
    <row r="3486" spans="1:7" x14ac:dyDescent="0.25">
      <c r="A3486" s="6" t="s">
        <v>6016</v>
      </c>
      <c r="B3486" s="6"/>
      <c r="C3486" s="6"/>
      <c r="D3486" s="6"/>
      <c r="E3486" s="6"/>
      <c r="F3486" s="6"/>
      <c r="G3486" s="6"/>
    </row>
    <row r="3487" spans="1:7" x14ac:dyDescent="0.25">
      <c r="A3487" s="6" t="s">
        <v>6013</v>
      </c>
      <c r="B3487" s="6"/>
      <c r="C3487" s="6"/>
      <c r="D3487" s="6"/>
      <c r="E3487" s="6"/>
      <c r="F3487" s="6"/>
      <c r="G3487" s="6"/>
    </row>
    <row r="3488" spans="1:7" x14ac:dyDescent="0.25">
      <c r="A3488" s="6" t="s">
        <v>957</v>
      </c>
      <c r="B3488" s="6"/>
      <c r="C3488" s="6"/>
      <c r="D3488" s="6"/>
      <c r="E3488" s="6"/>
      <c r="F3488" s="6"/>
      <c r="G3488" s="6"/>
    </row>
    <row r="3489" spans="1:7" x14ac:dyDescent="0.25">
      <c r="A3489" s="6" t="s">
        <v>6009</v>
      </c>
      <c r="B3489" s="6"/>
      <c r="C3489" s="6"/>
      <c r="D3489" s="6"/>
      <c r="E3489" s="6"/>
      <c r="F3489" s="6"/>
      <c r="G3489" s="6"/>
    </row>
    <row r="3490" spans="1:7" x14ac:dyDescent="0.25">
      <c r="A3490" s="6" t="s">
        <v>6006</v>
      </c>
      <c r="B3490" s="6"/>
      <c r="C3490" s="6"/>
      <c r="D3490" s="6"/>
      <c r="E3490" s="6"/>
      <c r="F3490" s="6"/>
      <c r="G3490" s="6"/>
    </row>
    <row r="3491" spans="1:7" x14ac:dyDescent="0.25">
      <c r="A3491" s="6" t="s">
        <v>6003</v>
      </c>
      <c r="B3491" s="6"/>
      <c r="C3491" s="6"/>
      <c r="D3491" s="6"/>
      <c r="E3491" s="6"/>
      <c r="F3491" s="6"/>
      <c r="G3491" s="6"/>
    </row>
    <row r="3492" spans="1:7" x14ac:dyDescent="0.25">
      <c r="A3492" s="6" t="s">
        <v>957</v>
      </c>
      <c r="B3492" s="6"/>
      <c r="C3492" s="6"/>
      <c r="D3492" s="6"/>
      <c r="E3492" s="6"/>
      <c r="F3492" s="6"/>
      <c r="G3492" s="6"/>
    </row>
    <row r="3493" spans="1:7" x14ac:dyDescent="0.25">
      <c r="A3493" s="6" t="s">
        <v>957</v>
      </c>
      <c r="B3493" s="6"/>
      <c r="C3493" s="6"/>
      <c r="D3493" s="6"/>
      <c r="E3493" s="6"/>
      <c r="F3493" s="6"/>
      <c r="G3493" s="6"/>
    </row>
    <row r="3494" spans="1:7" x14ac:dyDescent="0.25">
      <c r="A3494" s="6" t="s">
        <v>5998</v>
      </c>
      <c r="B3494" s="6"/>
      <c r="C3494" s="6"/>
      <c r="D3494" s="6"/>
      <c r="E3494" s="6"/>
      <c r="F3494" s="6"/>
      <c r="G3494" s="6"/>
    </row>
    <row r="3495" spans="1:7" x14ac:dyDescent="0.25">
      <c r="A3495" s="6" t="s">
        <v>5995</v>
      </c>
      <c r="B3495" s="6"/>
      <c r="C3495" s="6"/>
      <c r="D3495" s="6"/>
      <c r="E3495" s="6"/>
      <c r="F3495" s="6"/>
      <c r="G3495" s="6"/>
    </row>
    <row r="3496" spans="1:7" x14ac:dyDescent="0.25">
      <c r="A3496" s="6" t="s">
        <v>5992</v>
      </c>
      <c r="B3496" s="6"/>
      <c r="C3496" s="6"/>
      <c r="D3496" s="6"/>
      <c r="E3496" s="6"/>
      <c r="F3496" s="6"/>
      <c r="G3496" s="6"/>
    </row>
    <row r="3497" spans="1:7" x14ac:dyDescent="0.25">
      <c r="A3497" s="6" t="s">
        <v>957</v>
      </c>
      <c r="B3497" s="6"/>
      <c r="C3497" s="6"/>
      <c r="D3497" s="6"/>
      <c r="E3497" s="6"/>
      <c r="F3497" s="6"/>
      <c r="G3497" s="6"/>
    </row>
    <row r="3498" spans="1:7" x14ac:dyDescent="0.25">
      <c r="A3498" s="6" t="s">
        <v>957</v>
      </c>
      <c r="B3498" s="6"/>
      <c r="C3498" s="6"/>
      <c r="D3498" s="6"/>
      <c r="E3498" s="6"/>
      <c r="F3498" s="6"/>
      <c r="G3498" s="6"/>
    </row>
    <row r="3499" spans="1:7" x14ac:dyDescent="0.25">
      <c r="A3499" s="6" t="s">
        <v>5986</v>
      </c>
      <c r="B3499" s="6"/>
      <c r="C3499" s="6"/>
      <c r="D3499" s="6"/>
      <c r="E3499" s="6"/>
      <c r="F3499" s="6"/>
      <c r="G3499" s="6"/>
    </row>
    <row r="3500" spans="1:7" x14ac:dyDescent="0.25">
      <c r="A3500" s="6" t="s">
        <v>957</v>
      </c>
      <c r="B3500" s="6"/>
      <c r="C3500" s="6"/>
      <c r="D3500" s="6"/>
      <c r="E3500" s="6"/>
      <c r="F3500" s="6"/>
      <c r="G3500" s="6"/>
    </row>
    <row r="3501" spans="1:7" x14ac:dyDescent="0.25">
      <c r="A3501" s="6" t="s">
        <v>957</v>
      </c>
      <c r="B3501" s="6"/>
      <c r="C3501" s="6"/>
      <c r="D3501" s="6"/>
      <c r="E3501" s="6"/>
      <c r="F3501" s="6"/>
      <c r="G3501" s="6"/>
    </row>
    <row r="3502" spans="1:7" x14ac:dyDescent="0.25">
      <c r="A3502" s="6" t="s">
        <v>957</v>
      </c>
      <c r="B3502" s="6"/>
      <c r="C3502" s="6"/>
      <c r="D3502" s="6"/>
      <c r="E3502" s="6"/>
      <c r="F3502" s="6"/>
      <c r="G3502" s="6"/>
    </row>
    <row r="3503" spans="1:7" x14ac:dyDescent="0.25">
      <c r="A3503" s="6" t="s">
        <v>5980</v>
      </c>
      <c r="B3503" s="6"/>
      <c r="C3503" s="6"/>
      <c r="D3503" s="6"/>
      <c r="E3503" s="6"/>
      <c r="F3503" s="6"/>
      <c r="G3503" s="6"/>
    </row>
    <row r="3504" spans="1:7" x14ac:dyDescent="0.25">
      <c r="A3504" s="6" t="s">
        <v>957</v>
      </c>
      <c r="B3504" s="6"/>
      <c r="C3504" s="6"/>
      <c r="D3504" s="6"/>
      <c r="E3504" s="6"/>
      <c r="F3504" s="6"/>
      <c r="G3504" s="6"/>
    </row>
    <row r="3505" spans="1:7" x14ac:dyDescent="0.25">
      <c r="A3505" s="6" t="s">
        <v>5976</v>
      </c>
      <c r="B3505" s="6"/>
      <c r="C3505" s="6"/>
      <c r="D3505" s="6"/>
      <c r="E3505" s="6"/>
      <c r="F3505" s="6"/>
      <c r="G3505" s="6"/>
    </row>
    <row r="3506" spans="1:7" x14ac:dyDescent="0.25">
      <c r="A3506" s="6" t="s">
        <v>5973</v>
      </c>
      <c r="B3506" s="6"/>
      <c r="C3506" s="6"/>
      <c r="D3506" s="6"/>
      <c r="E3506" s="6"/>
      <c r="F3506" s="6"/>
      <c r="G3506" s="6"/>
    </row>
    <row r="3507" spans="1:7" x14ac:dyDescent="0.25">
      <c r="A3507" s="6" t="s">
        <v>5970</v>
      </c>
      <c r="B3507" s="6"/>
      <c r="C3507" s="6"/>
      <c r="D3507" s="6"/>
      <c r="E3507" s="6"/>
      <c r="F3507" s="6"/>
      <c r="G3507" s="6"/>
    </row>
    <row r="3508" spans="1:7" x14ac:dyDescent="0.25">
      <c r="A3508" s="6" t="s">
        <v>957</v>
      </c>
      <c r="B3508" s="6"/>
      <c r="C3508" s="6"/>
      <c r="D3508" s="6"/>
      <c r="E3508" s="6"/>
      <c r="F3508" s="6"/>
      <c r="G3508" s="6"/>
    </row>
    <row r="3509" spans="1:7" x14ac:dyDescent="0.25">
      <c r="A3509" s="6" t="s">
        <v>5966</v>
      </c>
      <c r="B3509" s="6"/>
      <c r="C3509" s="6"/>
      <c r="D3509" s="6"/>
      <c r="E3509" s="6"/>
      <c r="F3509" s="6"/>
      <c r="G3509" s="6"/>
    </row>
    <row r="3510" spans="1:7" x14ac:dyDescent="0.25">
      <c r="A3510" s="6" t="s">
        <v>5963</v>
      </c>
      <c r="B3510" s="6"/>
      <c r="C3510" s="6"/>
      <c r="D3510" s="6"/>
      <c r="E3510" s="6"/>
      <c r="F3510" s="6"/>
      <c r="G3510" s="6"/>
    </row>
    <row r="3511" spans="1:7" x14ac:dyDescent="0.25">
      <c r="A3511" s="6" t="s">
        <v>5960</v>
      </c>
      <c r="B3511" s="6"/>
      <c r="C3511" s="6"/>
      <c r="D3511" s="6"/>
      <c r="E3511" s="6"/>
      <c r="F3511" s="6"/>
      <c r="G3511" s="6"/>
    </row>
    <row r="3512" spans="1:7" x14ac:dyDescent="0.25">
      <c r="A3512" s="6" t="s">
        <v>5957</v>
      </c>
      <c r="B3512" s="6"/>
      <c r="C3512" s="6"/>
      <c r="D3512" s="6"/>
      <c r="E3512" s="6"/>
      <c r="F3512" s="6"/>
      <c r="G3512" s="6"/>
    </row>
    <row r="3513" spans="1:7" x14ac:dyDescent="0.25">
      <c r="A3513" s="6" t="s">
        <v>957</v>
      </c>
      <c r="B3513" s="6"/>
      <c r="C3513" s="6"/>
      <c r="D3513" s="6"/>
      <c r="E3513" s="6"/>
      <c r="F3513" s="6"/>
      <c r="G3513" s="6"/>
    </row>
    <row r="3514" spans="1:7" x14ac:dyDescent="0.25">
      <c r="A3514" s="6" t="s">
        <v>957</v>
      </c>
      <c r="B3514" s="6"/>
      <c r="C3514" s="6"/>
      <c r="D3514" s="6"/>
      <c r="E3514" s="6"/>
      <c r="F3514" s="6"/>
      <c r="G3514" s="6"/>
    </row>
    <row r="3515" spans="1:7" x14ac:dyDescent="0.25">
      <c r="A3515" s="6" t="s">
        <v>957</v>
      </c>
      <c r="B3515" s="6"/>
      <c r="C3515" s="6"/>
      <c r="D3515" s="6"/>
      <c r="E3515" s="6"/>
      <c r="F3515" s="6"/>
      <c r="G3515" s="6"/>
    </row>
    <row r="3516" spans="1:7" x14ac:dyDescent="0.25">
      <c r="A3516" s="6" t="s">
        <v>5951</v>
      </c>
      <c r="B3516" s="6"/>
      <c r="C3516" s="6"/>
      <c r="D3516" s="6"/>
      <c r="E3516" s="6"/>
      <c r="F3516" s="6"/>
      <c r="G3516" s="6"/>
    </row>
    <row r="3517" spans="1:7" x14ac:dyDescent="0.25">
      <c r="A3517" s="6" t="s">
        <v>5948</v>
      </c>
      <c r="B3517" s="6"/>
      <c r="C3517" s="6"/>
      <c r="D3517" s="6"/>
      <c r="E3517" s="6"/>
      <c r="F3517" s="6"/>
      <c r="G3517" s="6"/>
    </row>
    <row r="3518" spans="1:7" x14ac:dyDescent="0.25">
      <c r="A3518" s="6" t="s">
        <v>5945</v>
      </c>
      <c r="B3518" s="6"/>
      <c r="C3518" s="6"/>
      <c r="D3518" s="6"/>
      <c r="E3518" s="6"/>
      <c r="F3518" s="6"/>
      <c r="G3518" s="6"/>
    </row>
    <row r="3519" spans="1:7" x14ac:dyDescent="0.25">
      <c r="A3519" s="6" t="s">
        <v>5942</v>
      </c>
      <c r="B3519" s="6"/>
      <c r="C3519" s="6"/>
      <c r="D3519" s="6"/>
      <c r="E3519" s="6"/>
      <c r="F3519" s="6"/>
      <c r="G3519" s="6"/>
    </row>
    <row r="3520" spans="1:7" x14ac:dyDescent="0.25">
      <c r="A3520" s="6" t="s">
        <v>5939</v>
      </c>
      <c r="B3520" s="6"/>
      <c r="C3520" s="6"/>
      <c r="D3520" s="6"/>
      <c r="E3520" s="6"/>
      <c r="F3520" s="6"/>
      <c r="G3520" s="6"/>
    </row>
    <row r="3521" spans="1:7" x14ac:dyDescent="0.25">
      <c r="A3521" s="6" t="s">
        <v>5936</v>
      </c>
      <c r="B3521" s="6"/>
      <c r="C3521" s="6"/>
      <c r="D3521" s="6"/>
      <c r="E3521" s="6"/>
      <c r="F3521" s="6"/>
      <c r="G3521" s="6"/>
    </row>
    <row r="3522" spans="1:7" x14ac:dyDescent="0.25">
      <c r="A3522" s="6" t="s">
        <v>957</v>
      </c>
      <c r="B3522" s="6"/>
      <c r="C3522" s="6"/>
      <c r="D3522" s="6"/>
      <c r="E3522" s="6"/>
      <c r="F3522" s="6"/>
      <c r="G3522" s="6"/>
    </row>
    <row r="3523" spans="1:7" x14ac:dyDescent="0.25">
      <c r="A3523" s="6" t="s">
        <v>957</v>
      </c>
      <c r="B3523" s="6"/>
      <c r="C3523" s="6"/>
      <c r="D3523" s="6"/>
      <c r="E3523" s="6"/>
      <c r="F3523" s="6"/>
      <c r="G3523" s="6"/>
    </row>
    <row r="3524" spans="1:7" x14ac:dyDescent="0.25">
      <c r="A3524" s="6" t="s">
        <v>5932</v>
      </c>
      <c r="B3524" s="6"/>
      <c r="C3524" s="6"/>
      <c r="D3524" s="6"/>
      <c r="E3524" s="6"/>
      <c r="F3524" s="6"/>
      <c r="G3524" s="6"/>
    </row>
    <row r="3525" spans="1:7" x14ac:dyDescent="0.25">
      <c r="A3525" s="6" t="s">
        <v>5929</v>
      </c>
      <c r="B3525" s="6"/>
      <c r="C3525" s="6"/>
      <c r="D3525" s="6"/>
      <c r="E3525" s="6"/>
      <c r="F3525" s="6"/>
      <c r="G3525" s="6"/>
    </row>
    <row r="3526" spans="1:7" x14ac:dyDescent="0.25">
      <c r="A3526" s="6" t="s">
        <v>957</v>
      </c>
      <c r="B3526" s="6"/>
      <c r="C3526" s="6"/>
      <c r="D3526" s="6"/>
      <c r="E3526" s="6"/>
      <c r="F3526" s="6"/>
      <c r="G3526" s="6"/>
    </row>
    <row r="3527" spans="1:7" x14ac:dyDescent="0.25">
      <c r="A3527" s="6" t="s">
        <v>5925</v>
      </c>
      <c r="B3527" s="6"/>
      <c r="C3527" s="6"/>
      <c r="D3527" s="6"/>
      <c r="E3527" s="6"/>
      <c r="F3527" s="6"/>
      <c r="G3527" s="6"/>
    </row>
    <row r="3528" spans="1:7" x14ac:dyDescent="0.25">
      <c r="A3528" s="6" t="s">
        <v>5922</v>
      </c>
      <c r="B3528" s="6"/>
      <c r="C3528" s="6"/>
      <c r="D3528" s="6"/>
      <c r="E3528" s="6"/>
      <c r="F3528" s="6"/>
      <c r="G3528" s="6"/>
    </row>
    <row r="3529" spans="1:7" x14ac:dyDescent="0.25">
      <c r="A3529" s="6" t="s">
        <v>5919</v>
      </c>
      <c r="B3529" s="6"/>
      <c r="C3529" s="6"/>
      <c r="D3529" s="6"/>
      <c r="E3529" s="6"/>
      <c r="F3529" s="6"/>
      <c r="G3529" s="6"/>
    </row>
    <row r="3530" spans="1:7" x14ac:dyDescent="0.25">
      <c r="A3530" s="6" t="s">
        <v>5916</v>
      </c>
      <c r="B3530" s="6"/>
      <c r="C3530" s="6"/>
      <c r="D3530" s="6"/>
      <c r="E3530" s="6"/>
      <c r="F3530" s="6"/>
      <c r="G3530" s="6"/>
    </row>
    <row r="3531" spans="1:7" x14ac:dyDescent="0.25">
      <c r="A3531" s="6" t="s">
        <v>5913</v>
      </c>
      <c r="B3531" s="6"/>
      <c r="C3531" s="6"/>
      <c r="D3531" s="6"/>
      <c r="E3531" s="6"/>
      <c r="F3531" s="6"/>
      <c r="G3531" s="6"/>
    </row>
    <row r="3532" spans="1:7" x14ac:dyDescent="0.25">
      <c r="A3532" s="6" t="s">
        <v>5910</v>
      </c>
      <c r="B3532" s="6"/>
      <c r="C3532" s="6"/>
      <c r="D3532" s="6"/>
      <c r="E3532" s="6"/>
      <c r="F3532" s="6"/>
      <c r="G3532" s="6"/>
    </row>
    <row r="3533" spans="1:7" x14ac:dyDescent="0.25">
      <c r="A3533" s="6" t="s">
        <v>4913</v>
      </c>
      <c r="B3533" s="6"/>
      <c r="C3533" s="6"/>
      <c r="D3533" s="6"/>
      <c r="E3533" s="6"/>
      <c r="F3533" s="6"/>
      <c r="G3533" s="6"/>
    </row>
    <row r="3534" spans="1:7" x14ac:dyDescent="0.25">
      <c r="A3534" s="6" t="s">
        <v>4911</v>
      </c>
      <c r="B3534" s="6"/>
      <c r="C3534" s="6"/>
      <c r="D3534" s="6"/>
      <c r="E3534" s="6"/>
      <c r="F3534" s="6"/>
      <c r="G3534" s="6"/>
    </row>
    <row r="3535" spans="1:7" x14ac:dyDescent="0.25">
      <c r="A3535" s="6" t="s">
        <v>4908</v>
      </c>
      <c r="B3535" s="6"/>
      <c r="C3535" s="6"/>
      <c r="D3535" s="6"/>
      <c r="E3535" s="6"/>
      <c r="F3535" s="6"/>
      <c r="G3535" s="6"/>
    </row>
    <row r="3536" spans="1:7" x14ac:dyDescent="0.25">
      <c r="A3536" s="6" t="s">
        <v>4905</v>
      </c>
      <c r="B3536" s="6"/>
      <c r="C3536" s="6"/>
      <c r="D3536" s="6"/>
      <c r="E3536" s="6"/>
      <c r="F3536" s="6"/>
      <c r="G3536" s="6"/>
    </row>
    <row r="3537" spans="1:7" x14ac:dyDescent="0.25">
      <c r="A3537" s="6" t="s">
        <v>4902</v>
      </c>
      <c r="B3537" s="6"/>
      <c r="C3537" s="6"/>
      <c r="D3537" s="6"/>
      <c r="E3537" s="6"/>
      <c r="F3537" s="6"/>
      <c r="G3537" s="6"/>
    </row>
    <row r="3538" spans="1:7" x14ac:dyDescent="0.25">
      <c r="A3538" s="6" t="s">
        <v>957</v>
      </c>
      <c r="B3538" s="6"/>
      <c r="C3538" s="6"/>
      <c r="D3538" s="6"/>
      <c r="E3538" s="6"/>
      <c r="F3538" s="6"/>
      <c r="G3538" s="6"/>
    </row>
    <row r="3539" spans="1:7" x14ac:dyDescent="0.25">
      <c r="A3539" s="6" t="s">
        <v>4897</v>
      </c>
      <c r="B3539" s="6"/>
      <c r="C3539" s="6"/>
      <c r="D3539" s="6"/>
      <c r="E3539" s="6"/>
      <c r="F3539" s="6"/>
      <c r="G3539" s="6"/>
    </row>
    <row r="3540" spans="1:7" x14ac:dyDescent="0.25">
      <c r="A3540" s="6" t="s">
        <v>957</v>
      </c>
      <c r="B3540" s="6"/>
      <c r="C3540" s="6"/>
      <c r="D3540" s="6"/>
      <c r="E3540" s="6"/>
      <c r="F3540" s="6"/>
      <c r="G3540" s="6"/>
    </row>
    <row r="3541" spans="1:7" x14ac:dyDescent="0.25">
      <c r="A3541" s="6" t="s">
        <v>4893</v>
      </c>
      <c r="B3541" s="6"/>
      <c r="C3541" s="6"/>
      <c r="D3541" s="6"/>
      <c r="E3541" s="6"/>
      <c r="F3541" s="6"/>
      <c r="G3541" s="6"/>
    </row>
    <row r="3542" spans="1:7" x14ac:dyDescent="0.25">
      <c r="A3542" s="6" t="s">
        <v>4890</v>
      </c>
      <c r="B3542" s="6"/>
      <c r="C3542" s="6"/>
      <c r="D3542" s="6"/>
      <c r="E3542" s="6"/>
      <c r="F3542" s="6"/>
      <c r="G3542" s="6"/>
    </row>
    <row r="3543" spans="1:7" x14ac:dyDescent="0.25">
      <c r="A3543" s="6" t="s">
        <v>4887</v>
      </c>
      <c r="B3543" s="6"/>
      <c r="C3543" s="6"/>
      <c r="D3543" s="6"/>
      <c r="E3543" s="6"/>
      <c r="F3543" s="6"/>
      <c r="G3543" s="6"/>
    </row>
    <row r="3544" spans="1:7" x14ac:dyDescent="0.25">
      <c r="A3544" s="6" t="s">
        <v>4884</v>
      </c>
      <c r="B3544" s="6"/>
      <c r="C3544" s="6"/>
      <c r="D3544" s="6"/>
      <c r="E3544" s="6"/>
      <c r="F3544" s="6"/>
      <c r="G3544" s="6"/>
    </row>
    <row r="3545" spans="1:7" x14ac:dyDescent="0.25">
      <c r="A3545" s="6" t="s">
        <v>4881</v>
      </c>
      <c r="B3545" s="6"/>
      <c r="C3545" s="6"/>
      <c r="D3545" s="6"/>
      <c r="E3545" s="6"/>
      <c r="F3545" s="6"/>
      <c r="G3545" s="6"/>
    </row>
    <row r="3546" spans="1:7" x14ac:dyDescent="0.25">
      <c r="A3546" s="6" t="s">
        <v>4878</v>
      </c>
      <c r="B3546" s="6"/>
      <c r="C3546" s="6"/>
      <c r="D3546" s="6"/>
      <c r="E3546" s="6"/>
      <c r="F3546" s="6"/>
      <c r="G3546" s="6"/>
    </row>
    <row r="3547" spans="1:7" x14ac:dyDescent="0.25">
      <c r="A3547" s="6" t="s">
        <v>5885</v>
      </c>
      <c r="B3547" s="6"/>
      <c r="C3547" s="6"/>
      <c r="D3547" s="6"/>
      <c r="E3547" s="6"/>
      <c r="F3547" s="6"/>
      <c r="G3547" s="6"/>
    </row>
    <row r="3548" spans="1:7" x14ac:dyDescent="0.25">
      <c r="A3548" s="6" t="s">
        <v>5882</v>
      </c>
      <c r="B3548" s="6"/>
      <c r="C3548" s="6"/>
      <c r="D3548" s="6"/>
      <c r="E3548" s="6"/>
      <c r="F3548" s="6"/>
      <c r="G3548" s="6"/>
    </row>
    <row r="3549" spans="1:7" x14ac:dyDescent="0.25">
      <c r="A3549" s="6" t="s">
        <v>957</v>
      </c>
      <c r="B3549" s="6"/>
      <c r="C3549" s="6"/>
      <c r="D3549" s="6"/>
      <c r="E3549" s="6"/>
      <c r="F3549" s="6"/>
      <c r="G3549" s="6"/>
    </row>
    <row r="3550" spans="1:7" x14ac:dyDescent="0.25">
      <c r="A3550" s="6" t="s">
        <v>5878</v>
      </c>
      <c r="B3550" s="6"/>
      <c r="C3550" s="6"/>
      <c r="D3550" s="6"/>
      <c r="E3550" s="6"/>
      <c r="F3550" s="6"/>
      <c r="G3550" s="6"/>
    </row>
    <row r="3551" spans="1:7" x14ac:dyDescent="0.25">
      <c r="A3551" s="6" t="s">
        <v>5876</v>
      </c>
      <c r="B3551" s="6"/>
      <c r="C3551" s="6"/>
      <c r="D3551" s="6"/>
      <c r="E3551" s="6"/>
      <c r="F3551" s="6"/>
      <c r="G3551" s="6"/>
    </row>
    <row r="3552" spans="1:7" x14ac:dyDescent="0.25">
      <c r="A3552" s="6" t="s">
        <v>5873</v>
      </c>
      <c r="B3552" s="6"/>
      <c r="C3552" s="6"/>
      <c r="D3552" s="6"/>
      <c r="E3552" s="6"/>
      <c r="F3552" s="6"/>
      <c r="G3552" s="6"/>
    </row>
    <row r="3553" spans="1:7" x14ac:dyDescent="0.25">
      <c r="A3553" s="6" t="s">
        <v>957</v>
      </c>
      <c r="B3553" s="6"/>
      <c r="C3553" s="6"/>
      <c r="D3553" s="6"/>
      <c r="E3553" s="6"/>
      <c r="F3553" s="6"/>
      <c r="G3553" s="6"/>
    </row>
    <row r="3554" spans="1:7" x14ac:dyDescent="0.25">
      <c r="A3554" s="6" t="s">
        <v>5869</v>
      </c>
      <c r="B3554" s="6"/>
      <c r="C3554" s="6"/>
      <c r="D3554" s="6"/>
      <c r="E3554" s="6"/>
      <c r="F3554" s="6"/>
      <c r="G3554" s="6"/>
    </row>
    <row r="3555" spans="1:7" x14ac:dyDescent="0.25">
      <c r="A3555" s="6" t="s">
        <v>5866</v>
      </c>
      <c r="B3555" s="6"/>
      <c r="C3555" s="6"/>
      <c r="D3555" s="6"/>
      <c r="E3555" s="6"/>
      <c r="F3555" s="6"/>
      <c r="G3555" s="6"/>
    </row>
    <row r="3556" spans="1:7" x14ac:dyDescent="0.25">
      <c r="A3556" s="6" t="s">
        <v>5863</v>
      </c>
      <c r="B3556" s="6"/>
      <c r="C3556" s="6"/>
      <c r="D3556" s="6"/>
      <c r="E3556" s="6"/>
      <c r="F3556" s="6"/>
      <c r="G3556" s="6"/>
    </row>
    <row r="3557" spans="1:7" x14ac:dyDescent="0.25">
      <c r="A3557" s="6" t="s">
        <v>957</v>
      </c>
      <c r="B3557" s="6"/>
      <c r="C3557" s="6"/>
      <c r="D3557" s="6"/>
      <c r="E3557" s="6"/>
      <c r="F3557" s="6"/>
      <c r="G3557" s="6"/>
    </row>
    <row r="3558" spans="1:7" x14ac:dyDescent="0.25">
      <c r="A3558" s="6" t="s">
        <v>5859</v>
      </c>
      <c r="B3558" s="6"/>
      <c r="C3558" s="6"/>
      <c r="D3558" s="6"/>
      <c r="E3558" s="6"/>
      <c r="F3558" s="6"/>
      <c r="G3558" s="6"/>
    </row>
    <row r="3559" spans="1:7" x14ac:dyDescent="0.25">
      <c r="A3559" s="6" t="s">
        <v>5856</v>
      </c>
      <c r="B3559" s="6"/>
      <c r="C3559" s="6"/>
      <c r="D3559" s="6"/>
      <c r="E3559" s="6"/>
      <c r="F3559" s="6"/>
      <c r="G3559" s="6"/>
    </row>
    <row r="3560" spans="1:7" x14ac:dyDescent="0.25">
      <c r="A3560" s="6" t="s">
        <v>4859</v>
      </c>
      <c r="B3560" s="6"/>
      <c r="C3560" s="6"/>
      <c r="D3560" s="6"/>
      <c r="E3560" s="6"/>
      <c r="F3560" s="6"/>
      <c r="G3560" s="6"/>
    </row>
    <row r="3561" spans="1:7" x14ac:dyDescent="0.25">
      <c r="A3561" s="6" t="s">
        <v>957</v>
      </c>
      <c r="B3561" s="6"/>
      <c r="C3561" s="6"/>
      <c r="D3561" s="6"/>
      <c r="E3561" s="6"/>
      <c r="F3561" s="6"/>
      <c r="G3561" s="6"/>
    </row>
    <row r="3562" spans="1:7" x14ac:dyDescent="0.25">
      <c r="A3562" s="6" t="s">
        <v>4854</v>
      </c>
      <c r="B3562" s="6"/>
      <c r="C3562" s="6"/>
      <c r="D3562" s="6"/>
      <c r="E3562" s="6"/>
      <c r="F3562" s="6"/>
      <c r="G3562" s="6"/>
    </row>
    <row r="3563" spans="1:7" x14ac:dyDescent="0.25">
      <c r="A3563" s="6" t="s">
        <v>4851</v>
      </c>
      <c r="B3563" s="6"/>
      <c r="C3563" s="6"/>
      <c r="D3563" s="6"/>
      <c r="E3563" s="6"/>
      <c r="F3563" s="6"/>
      <c r="G3563" s="6"/>
    </row>
    <row r="3564" spans="1:7" x14ac:dyDescent="0.25">
      <c r="A3564" s="6" t="s">
        <v>4848</v>
      </c>
      <c r="B3564" s="6"/>
      <c r="C3564" s="6"/>
      <c r="D3564" s="6"/>
      <c r="E3564" s="6"/>
      <c r="F3564" s="6"/>
      <c r="G3564" s="6"/>
    </row>
    <row r="3565" spans="1:7" x14ac:dyDescent="0.25">
      <c r="A3565" s="6" t="s">
        <v>957</v>
      </c>
      <c r="B3565" s="6"/>
      <c r="C3565" s="6"/>
      <c r="D3565" s="6"/>
      <c r="E3565" s="6"/>
      <c r="F3565" s="6"/>
      <c r="G3565" s="6"/>
    </row>
    <row r="3566" spans="1:7" x14ac:dyDescent="0.25">
      <c r="A3566" s="6" t="s">
        <v>4844</v>
      </c>
      <c r="B3566" s="6"/>
      <c r="C3566" s="6"/>
      <c r="D3566" s="6"/>
      <c r="E3566" s="6"/>
      <c r="F3566" s="6"/>
      <c r="G3566" s="6"/>
    </row>
    <row r="3567" spans="1:7" x14ac:dyDescent="0.25">
      <c r="A3567" s="6" t="s">
        <v>4842</v>
      </c>
      <c r="B3567" s="6"/>
      <c r="C3567" s="6"/>
      <c r="D3567" s="6"/>
      <c r="E3567" s="6"/>
      <c r="F3567" s="6"/>
      <c r="G3567" s="6"/>
    </row>
    <row r="3568" spans="1:7" x14ac:dyDescent="0.25">
      <c r="A3568" s="6" t="s">
        <v>4839</v>
      </c>
      <c r="B3568" s="6"/>
      <c r="C3568" s="6"/>
      <c r="D3568" s="6"/>
      <c r="E3568" s="6"/>
      <c r="F3568" s="6"/>
      <c r="G3568" s="6"/>
    </row>
    <row r="3569" spans="1:7" x14ac:dyDescent="0.25">
      <c r="A3569" s="6" t="s">
        <v>957</v>
      </c>
      <c r="B3569" s="6"/>
      <c r="C3569" s="6"/>
      <c r="D3569" s="6"/>
      <c r="E3569" s="6"/>
      <c r="F3569" s="6"/>
      <c r="G3569" s="6"/>
    </row>
    <row r="3570" spans="1:7" x14ac:dyDescent="0.25">
      <c r="A3570" s="6" t="s">
        <v>957</v>
      </c>
      <c r="B3570" s="6"/>
      <c r="C3570" s="6"/>
      <c r="D3570" s="6"/>
      <c r="E3570" s="6"/>
      <c r="F3570" s="6"/>
      <c r="G3570" s="6"/>
    </row>
    <row r="3571" spans="1:7" x14ac:dyDescent="0.25">
      <c r="A3571" s="6" t="s">
        <v>4834</v>
      </c>
      <c r="B3571" s="6"/>
      <c r="C3571" s="6"/>
      <c r="D3571" s="6"/>
      <c r="E3571" s="6"/>
      <c r="F3571" s="6"/>
      <c r="G3571" s="6"/>
    </row>
    <row r="3572" spans="1:7" x14ac:dyDescent="0.25">
      <c r="A3572" s="6" t="s">
        <v>4831</v>
      </c>
      <c r="B3572" s="6"/>
      <c r="C3572" s="6"/>
      <c r="D3572" s="6"/>
      <c r="E3572" s="6"/>
      <c r="F3572" s="6"/>
      <c r="G3572" s="6"/>
    </row>
    <row r="3573" spans="1:7" x14ac:dyDescent="0.25">
      <c r="A3573" s="6" t="s">
        <v>4828</v>
      </c>
      <c r="B3573" s="6"/>
      <c r="C3573" s="6"/>
      <c r="D3573" s="6"/>
      <c r="E3573" s="6"/>
      <c r="F3573" s="6"/>
      <c r="G3573" s="6"/>
    </row>
    <row r="3574" spans="1:7" x14ac:dyDescent="0.25">
      <c r="A3574" s="6" t="s">
        <v>4825</v>
      </c>
      <c r="B3574" s="6"/>
      <c r="C3574" s="6"/>
      <c r="D3574" s="6"/>
      <c r="E3574" s="6"/>
      <c r="F3574" s="6"/>
      <c r="G3574" s="6"/>
    </row>
    <row r="3575" spans="1:7" x14ac:dyDescent="0.25">
      <c r="A3575" s="6" t="s">
        <v>4822</v>
      </c>
      <c r="B3575" s="6"/>
      <c r="C3575" s="6"/>
      <c r="D3575" s="6"/>
      <c r="E3575" s="6"/>
      <c r="F3575" s="6"/>
      <c r="G3575" s="6"/>
    </row>
    <row r="3576" spans="1:7" x14ac:dyDescent="0.25">
      <c r="A3576" s="6" t="s">
        <v>957</v>
      </c>
      <c r="B3576" s="6"/>
      <c r="C3576" s="6"/>
      <c r="D3576" s="6"/>
      <c r="E3576" s="6"/>
      <c r="F3576" s="6"/>
      <c r="G3576" s="6"/>
    </row>
    <row r="3577" spans="1:7" x14ac:dyDescent="0.25">
      <c r="A3577" s="6" t="s">
        <v>4818</v>
      </c>
      <c r="B3577" s="6"/>
      <c r="C3577" s="6"/>
      <c r="D3577" s="6"/>
      <c r="E3577" s="6"/>
      <c r="F3577" s="6"/>
      <c r="G3577" s="6"/>
    </row>
    <row r="3578" spans="1:7" x14ac:dyDescent="0.25">
      <c r="A3578" s="6" t="s">
        <v>4815</v>
      </c>
      <c r="B3578" s="6"/>
      <c r="C3578" s="6"/>
      <c r="D3578" s="6"/>
      <c r="E3578" s="6"/>
      <c r="F3578" s="6"/>
      <c r="G3578" s="6"/>
    </row>
    <row r="3579" spans="1:7" x14ac:dyDescent="0.25">
      <c r="A3579" s="6" t="s">
        <v>4812</v>
      </c>
      <c r="B3579" s="6"/>
      <c r="C3579" s="6"/>
      <c r="D3579" s="6"/>
      <c r="E3579" s="6"/>
      <c r="F3579" s="6"/>
      <c r="G3579" s="6"/>
    </row>
    <row r="3580" spans="1:7" x14ac:dyDescent="0.25">
      <c r="A3580" s="6" t="s">
        <v>4809</v>
      </c>
      <c r="B3580" s="6"/>
      <c r="C3580" s="6"/>
      <c r="D3580" s="6"/>
      <c r="E3580" s="6"/>
      <c r="F3580" s="6"/>
      <c r="G3580" s="6"/>
    </row>
    <row r="3581" spans="1:7" x14ac:dyDescent="0.25">
      <c r="A3581" s="6" t="s">
        <v>957</v>
      </c>
      <c r="B3581" s="6"/>
      <c r="C3581" s="6"/>
      <c r="D3581" s="6"/>
      <c r="E3581" s="6"/>
      <c r="F3581" s="6"/>
      <c r="G3581" s="6"/>
    </row>
    <row r="3582" spans="1:7" x14ac:dyDescent="0.25">
      <c r="A3582" s="6" t="s">
        <v>4805</v>
      </c>
      <c r="B3582" s="6"/>
      <c r="C3582" s="6"/>
      <c r="D3582" s="6"/>
      <c r="E3582" s="6"/>
      <c r="F3582" s="6"/>
      <c r="G3582" s="6"/>
    </row>
    <row r="3583" spans="1:7" x14ac:dyDescent="0.25">
      <c r="A3583" s="6" t="s">
        <v>4802</v>
      </c>
      <c r="B3583" s="6"/>
      <c r="C3583" s="6"/>
      <c r="D3583" s="6"/>
      <c r="E3583" s="6"/>
      <c r="F3583" s="6"/>
      <c r="G3583" s="6"/>
    </row>
    <row r="3584" spans="1:7" x14ac:dyDescent="0.25">
      <c r="A3584" s="6" t="s">
        <v>5778</v>
      </c>
      <c r="B3584" s="6"/>
      <c r="C3584" s="6"/>
      <c r="D3584" s="6"/>
      <c r="E3584" s="6"/>
      <c r="F3584" s="6"/>
      <c r="G3584" s="6"/>
    </row>
    <row r="3585" spans="1:7" x14ac:dyDescent="0.25">
      <c r="A3585" s="6" t="s">
        <v>5775</v>
      </c>
      <c r="B3585" s="6"/>
      <c r="C3585" s="6"/>
      <c r="D3585" s="6"/>
      <c r="E3585" s="6"/>
      <c r="F3585" s="6"/>
      <c r="G3585" s="6"/>
    </row>
    <row r="3586" spans="1:7" x14ac:dyDescent="0.25">
      <c r="A3586" s="6" t="s">
        <v>957</v>
      </c>
      <c r="B3586" s="6"/>
      <c r="C3586" s="6"/>
      <c r="D3586" s="6"/>
      <c r="E3586" s="6"/>
      <c r="F3586" s="6"/>
      <c r="G3586" s="6"/>
    </row>
    <row r="3587" spans="1:7" x14ac:dyDescent="0.25">
      <c r="A3587" s="6" t="s">
        <v>5771</v>
      </c>
      <c r="B3587" s="6"/>
      <c r="C3587" s="6"/>
      <c r="D3587" s="6"/>
      <c r="E3587" s="6"/>
      <c r="F3587" s="6"/>
      <c r="G3587" s="6"/>
    </row>
    <row r="3588" spans="1:7" x14ac:dyDescent="0.25">
      <c r="A3588" s="6" t="s">
        <v>5768</v>
      </c>
      <c r="B3588" s="6"/>
      <c r="C3588" s="6"/>
      <c r="D3588" s="6"/>
      <c r="E3588" s="6"/>
      <c r="F3588" s="6"/>
      <c r="G3588" s="6"/>
    </row>
    <row r="3589" spans="1:7" x14ac:dyDescent="0.25">
      <c r="A3589" s="6" t="s">
        <v>5765</v>
      </c>
      <c r="B3589" s="6"/>
      <c r="C3589" s="6"/>
      <c r="D3589" s="6"/>
      <c r="E3589" s="6"/>
      <c r="F3589" s="6"/>
      <c r="G3589" s="6"/>
    </row>
    <row r="3590" spans="1:7" x14ac:dyDescent="0.25">
      <c r="A3590" s="6" t="s">
        <v>5762</v>
      </c>
      <c r="B3590" s="6"/>
      <c r="C3590" s="6"/>
      <c r="D3590" s="6"/>
      <c r="E3590" s="6"/>
      <c r="F3590" s="6"/>
      <c r="G3590" s="6"/>
    </row>
    <row r="3591" spans="1:7" x14ac:dyDescent="0.25">
      <c r="A3591" s="6" t="s">
        <v>5759</v>
      </c>
      <c r="B3591" s="6"/>
      <c r="C3591" s="6"/>
      <c r="D3591" s="6"/>
      <c r="E3591" s="6"/>
      <c r="F3591" s="6"/>
      <c r="G3591" s="6"/>
    </row>
    <row r="3592" spans="1:7" x14ac:dyDescent="0.25">
      <c r="A3592" s="6" t="s">
        <v>957</v>
      </c>
      <c r="B3592" s="6"/>
      <c r="C3592" s="6"/>
      <c r="D3592" s="6"/>
      <c r="E3592" s="6"/>
      <c r="F3592" s="6"/>
      <c r="G3592" s="6"/>
    </row>
    <row r="3593" spans="1:7" x14ac:dyDescent="0.25">
      <c r="A3593" s="6" t="s">
        <v>5755</v>
      </c>
      <c r="B3593" s="6"/>
      <c r="C3593" s="6"/>
      <c r="D3593" s="6"/>
      <c r="E3593" s="6"/>
      <c r="F3593" s="6"/>
      <c r="G3593" s="6"/>
    </row>
    <row r="3594" spans="1:7" x14ac:dyDescent="0.25">
      <c r="A3594" s="6" t="s">
        <v>5752</v>
      </c>
      <c r="B3594" s="6"/>
      <c r="C3594" s="6"/>
      <c r="D3594" s="6"/>
      <c r="E3594" s="6"/>
      <c r="F3594" s="6"/>
      <c r="G3594" s="6"/>
    </row>
    <row r="3595" spans="1:7" x14ac:dyDescent="0.25">
      <c r="A3595" s="6" t="s">
        <v>957</v>
      </c>
      <c r="B3595" s="6"/>
      <c r="C3595" s="6"/>
      <c r="D3595" s="6"/>
      <c r="E3595" s="6"/>
      <c r="F3595" s="6"/>
      <c r="G3595" s="6"/>
    </row>
    <row r="3596" spans="1:7" x14ac:dyDescent="0.25">
      <c r="A3596" s="6" t="s">
        <v>5748</v>
      </c>
      <c r="B3596" s="6"/>
      <c r="C3596" s="6"/>
      <c r="D3596" s="6"/>
      <c r="E3596" s="6"/>
      <c r="F3596" s="6"/>
      <c r="G3596" s="6"/>
    </row>
    <row r="3597" spans="1:7" x14ac:dyDescent="0.25">
      <c r="A3597" s="6" t="s">
        <v>5745</v>
      </c>
      <c r="B3597" s="6"/>
      <c r="C3597" s="6"/>
      <c r="D3597" s="6"/>
      <c r="E3597" s="6"/>
      <c r="F3597" s="6"/>
      <c r="G3597" s="6"/>
    </row>
    <row r="3598" spans="1:7" x14ac:dyDescent="0.25">
      <c r="A3598" s="6" t="s">
        <v>957</v>
      </c>
      <c r="B3598" s="6"/>
      <c r="C3598" s="6"/>
      <c r="D3598" s="6"/>
      <c r="E3598" s="6"/>
      <c r="F3598" s="6"/>
      <c r="G3598" s="6"/>
    </row>
    <row r="3599" spans="1:7" x14ac:dyDescent="0.25">
      <c r="A3599" s="6" t="s">
        <v>957</v>
      </c>
      <c r="B3599" s="6"/>
      <c r="C3599" s="6"/>
      <c r="D3599" s="6"/>
      <c r="E3599" s="6"/>
      <c r="F3599" s="6"/>
      <c r="G3599" s="6"/>
    </row>
    <row r="3600" spans="1:7" x14ac:dyDescent="0.25">
      <c r="A3600" s="6" t="s">
        <v>957</v>
      </c>
      <c r="B3600" s="6"/>
      <c r="C3600" s="6"/>
      <c r="D3600" s="6"/>
      <c r="E3600" s="6"/>
      <c r="F3600" s="6"/>
      <c r="G3600" s="6"/>
    </row>
    <row r="3601" spans="1:7" x14ac:dyDescent="0.25">
      <c r="A3601" s="6" t="s">
        <v>14226</v>
      </c>
      <c r="B3601" s="6" t="s">
        <v>14227</v>
      </c>
      <c r="C3601" s="6" t="s">
        <v>14228</v>
      </c>
      <c r="D3601" s="6" t="s">
        <v>14229</v>
      </c>
      <c r="E3601" s="6"/>
      <c r="F3601" s="6"/>
      <c r="G3601" s="6"/>
    </row>
    <row r="3602" spans="1:7" x14ac:dyDescent="0.25">
      <c r="A3602" s="6" t="s">
        <v>957</v>
      </c>
      <c r="B3602" s="6"/>
      <c r="C3602" s="6"/>
      <c r="D3602" s="6"/>
      <c r="E3602" s="6"/>
      <c r="F3602" s="6"/>
      <c r="G3602" s="6"/>
    </row>
    <row r="3603" spans="1:7" x14ac:dyDescent="0.25">
      <c r="A3603" s="6" t="s">
        <v>957</v>
      </c>
      <c r="B3603" s="6"/>
      <c r="C3603" s="6"/>
      <c r="D3603" s="6"/>
      <c r="E3603" s="6"/>
      <c r="F3603" s="6"/>
      <c r="G3603" s="6"/>
    </row>
    <row r="3604" spans="1:7" x14ac:dyDescent="0.25">
      <c r="A3604" s="6" t="s">
        <v>957</v>
      </c>
      <c r="B3604" s="6"/>
      <c r="C3604" s="6"/>
      <c r="D3604" s="6"/>
      <c r="E3604" s="6"/>
      <c r="F3604" s="6"/>
      <c r="G3604" s="6"/>
    </row>
    <row r="3605" spans="1:7" x14ac:dyDescent="0.25">
      <c r="A3605" s="6" t="s">
        <v>957</v>
      </c>
      <c r="B3605" s="6"/>
      <c r="C3605" s="6"/>
      <c r="D3605" s="6"/>
      <c r="E3605" s="6"/>
      <c r="F3605" s="6"/>
      <c r="G3605" s="6"/>
    </row>
    <row r="3606" spans="1:7" x14ac:dyDescent="0.25">
      <c r="A3606" s="6" t="s">
        <v>4727</v>
      </c>
      <c r="B3606" s="6"/>
      <c r="C3606" s="6"/>
      <c r="D3606" s="6"/>
      <c r="E3606" s="6"/>
      <c r="F3606" s="6"/>
      <c r="G3606" s="6"/>
    </row>
    <row r="3607" spans="1:7" x14ac:dyDescent="0.25">
      <c r="A3607" s="6" t="s">
        <v>957</v>
      </c>
      <c r="B3607" s="6"/>
      <c r="C3607" s="6"/>
      <c r="D3607" s="6"/>
      <c r="E3607" s="6"/>
      <c r="F3607" s="6"/>
      <c r="G3607" s="6"/>
    </row>
    <row r="3608" spans="1:7" x14ac:dyDescent="0.25">
      <c r="A3608" s="6" t="s">
        <v>4722</v>
      </c>
      <c r="B3608" s="6"/>
      <c r="C3608" s="6"/>
      <c r="D3608" s="6"/>
      <c r="E3608" s="6"/>
      <c r="F3608" s="6"/>
      <c r="G3608" s="6"/>
    </row>
    <row r="3609" spans="1:7" x14ac:dyDescent="0.25">
      <c r="A3609" s="6" t="s">
        <v>4719</v>
      </c>
      <c r="B3609" s="6"/>
      <c r="C3609" s="6"/>
      <c r="D3609" s="6"/>
      <c r="E3609" s="6"/>
      <c r="F3609" s="6"/>
      <c r="G3609" s="6"/>
    </row>
    <row r="3610" spans="1:7" x14ac:dyDescent="0.25">
      <c r="A3610" s="6" t="s">
        <v>4716</v>
      </c>
      <c r="B3610" s="6"/>
      <c r="C3610" s="6"/>
      <c r="D3610" s="6"/>
      <c r="E3610" s="6"/>
      <c r="F3610" s="6"/>
      <c r="G3610" s="6"/>
    </row>
    <row r="3611" spans="1:7" x14ac:dyDescent="0.25">
      <c r="A3611" s="6" t="s">
        <v>957</v>
      </c>
      <c r="B3611" s="6"/>
      <c r="C3611" s="6"/>
      <c r="D3611" s="6"/>
      <c r="E3611" s="6"/>
      <c r="F3611" s="6"/>
      <c r="G3611" s="6"/>
    </row>
    <row r="3612" spans="1:7" x14ac:dyDescent="0.25">
      <c r="A3612" s="6" t="s">
        <v>4711</v>
      </c>
      <c r="B3612" s="6"/>
      <c r="C3612" s="6"/>
      <c r="D3612" s="6"/>
      <c r="E3612" s="6"/>
      <c r="F3612" s="6"/>
      <c r="G3612" s="6"/>
    </row>
    <row r="3613" spans="1:7" x14ac:dyDescent="0.25">
      <c r="A3613" s="6" t="s">
        <v>4708</v>
      </c>
      <c r="B3613" s="6"/>
      <c r="C3613" s="6"/>
      <c r="D3613" s="6"/>
      <c r="E3613" s="6"/>
      <c r="F3613" s="6"/>
      <c r="G3613" s="6"/>
    </row>
    <row r="3614" spans="1:7" x14ac:dyDescent="0.25">
      <c r="A3614" s="6" t="s">
        <v>957</v>
      </c>
      <c r="B3614" s="6"/>
      <c r="C3614" s="6"/>
      <c r="D3614" s="6"/>
      <c r="E3614" s="6"/>
      <c r="F3614" s="6"/>
      <c r="G3614" s="6"/>
    </row>
    <row r="3615" spans="1:7" x14ac:dyDescent="0.25">
      <c r="A3615" s="6" t="s">
        <v>5702</v>
      </c>
      <c r="B3615" s="6"/>
      <c r="C3615" s="6"/>
      <c r="D3615" s="6"/>
      <c r="E3615" s="6"/>
      <c r="F3615" s="6"/>
      <c r="G3615" s="6"/>
    </row>
    <row r="3616" spans="1:7" x14ac:dyDescent="0.25">
      <c r="A3616" s="6" t="s">
        <v>5699</v>
      </c>
      <c r="B3616" s="6"/>
      <c r="C3616" s="6"/>
      <c r="D3616" s="6"/>
      <c r="E3616" s="6"/>
      <c r="F3616" s="6"/>
      <c r="G3616" s="6"/>
    </row>
    <row r="3617" spans="1:7" x14ac:dyDescent="0.25">
      <c r="A3617" s="6" t="s">
        <v>5696</v>
      </c>
      <c r="B3617" s="6"/>
      <c r="C3617" s="6"/>
      <c r="D3617" s="6"/>
      <c r="E3617" s="6"/>
      <c r="F3617" s="6"/>
      <c r="G3617" s="6"/>
    </row>
    <row r="3618" spans="1:7" x14ac:dyDescent="0.25">
      <c r="A3618" s="6" t="s">
        <v>957</v>
      </c>
      <c r="B3618" s="6"/>
      <c r="C3618" s="6"/>
      <c r="D3618" s="6"/>
      <c r="E3618" s="6"/>
      <c r="F3618" s="6"/>
      <c r="G3618" s="6"/>
    </row>
    <row r="3619" spans="1:7" x14ac:dyDescent="0.25">
      <c r="A3619" s="6" t="s">
        <v>5692</v>
      </c>
      <c r="B3619" s="6"/>
      <c r="C3619" s="6"/>
      <c r="D3619" s="6"/>
      <c r="E3619" s="6"/>
      <c r="F3619" s="6"/>
      <c r="G3619" s="6"/>
    </row>
    <row r="3620" spans="1:7" x14ac:dyDescent="0.25">
      <c r="A3620" s="6" t="s">
        <v>957</v>
      </c>
      <c r="B3620" s="6"/>
      <c r="C3620" s="6"/>
      <c r="D3620" s="6"/>
      <c r="E3620" s="6"/>
      <c r="F3620" s="6"/>
      <c r="G3620" s="6"/>
    </row>
    <row r="3621" spans="1:7" x14ac:dyDescent="0.25">
      <c r="A3621" s="6" t="s">
        <v>5688</v>
      </c>
      <c r="B3621" s="6"/>
      <c r="C3621" s="6"/>
      <c r="D3621" s="6"/>
      <c r="E3621" s="6"/>
      <c r="F3621" s="6"/>
      <c r="G3621" s="6"/>
    </row>
    <row r="3622" spans="1:7" x14ac:dyDescent="0.25">
      <c r="A3622" s="6" t="s">
        <v>5685</v>
      </c>
      <c r="B3622" s="6"/>
      <c r="C3622" s="6"/>
      <c r="D3622" s="6"/>
      <c r="E3622" s="6"/>
      <c r="F3622" s="6"/>
      <c r="G3622" s="6"/>
    </row>
    <row r="3623" spans="1:7" x14ac:dyDescent="0.25">
      <c r="A3623" s="6" t="s">
        <v>5682</v>
      </c>
      <c r="B3623" s="6"/>
      <c r="C3623" s="6"/>
      <c r="D3623" s="6"/>
      <c r="E3623" s="6"/>
      <c r="F3623" s="6"/>
      <c r="G3623" s="6"/>
    </row>
    <row r="3624" spans="1:7" x14ac:dyDescent="0.25">
      <c r="A3624" s="6" t="s">
        <v>5679</v>
      </c>
      <c r="B3624" s="6"/>
      <c r="C3624" s="6"/>
      <c r="D3624" s="6"/>
      <c r="E3624" s="6"/>
      <c r="F3624" s="6"/>
      <c r="G3624" s="6"/>
    </row>
    <row r="3625" spans="1:7" x14ac:dyDescent="0.25">
      <c r="A3625" s="6" t="s">
        <v>5676</v>
      </c>
      <c r="B3625" s="6"/>
      <c r="C3625" s="6"/>
      <c r="D3625" s="6"/>
      <c r="E3625" s="6"/>
      <c r="F3625" s="6"/>
      <c r="G3625" s="6"/>
    </row>
    <row r="3626" spans="1:7" x14ac:dyDescent="0.25">
      <c r="A3626" s="6" t="s">
        <v>5673</v>
      </c>
      <c r="B3626" s="6"/>
      <c r="C3626" s="6"/>
      <c r="D3626" s="6"/>
      <c r="E3626" s="6"/>
      <c r="F3626" s="6"/>
      <c r="G3626" s="6"/>
    </row>
    <row r="3627" spans="1:7" x14ac:dyDescent="0.25">
      <c r="A3627" s="6" t="s">
        <v>4664</v>
      </c>
      <c r="B3627" s="6"/>
      <c r="C3627" s="6"/>
      <c r="D3627" s="6"/>
      <c r="E3627" s="6"/>
      <c r="F3627" s="6"/>
      <c r="G3627" s="6"/>
    </row>
    <row r="3628" spans="1:7" x14ac:dyDescent="0.25">
      <c r="A3628" s="6" t="s">
        <v>4661</v>
      </c>
      <c r="B3628" s="6"/>
      <c r="C3628" s="6"/>
      <c r="D3628" s="6"/>
      <c r="E3628" s="6"/>
      <c r="F3628" s="6"/>
      <c r="G3628" s="6"/>
    </row>
    <row r="3629" spans="1:7" x14ac:dyDescent="0.25">
      <c r="A3629" s="6" t="s">
        <v>4658</v>
      </c>
      <c r="B3629" s="6"/>
      <c r="C3629" s="6"/>
      <c r="D3629" s="6"/>
      <c r="E3629" s="6"/>
      <c r="F3629" s="6"/>
      <c r="G3629" s="6"/>
    </row>
    <row r="3630" spans="1:7" x14ac:dyDescent="0.25">
      <c r="A3630" s="6" t="s">
        <v>4655</v>
      </c>
      <c r="B3630" s="6"/>
      <c r="C3630" s="6"/>
      <c r="D3630" s="6"/>
      <c r="E3630" s="6"/>
      <c r="F3630" s="6"/>
      <c r="G3630" s="6"/>
    </row>
    <row r="3631" spans="1:7" x14ac:dyDescent="0.25">
      <c r="A3631" s="6" t="s">
        <v>4652</v>
      </c>
      <c r="B3631" s="6"/>
      <c r="C3631" s="6"/>
      <c r="D3631" s="6"/>
      <c r="E3631" s="6"/>
      <c r="F3631" s="6"/>
      <c r="G3631" s="6"/>
    </row>
    <row r="3632" spans="1:7" x14ac:dyDescent="0.25">
      <c r="A3632" s="6" t="s">
        <v>4649</v>
      </c>
      <c r="B3632" s="6"/>
      <c r="C3632" s="6"/>
      <c r="D3632" s="6"/>
      <c r="E3632" s="6"/>
      <c r="F3632" s="6"/>
      <c r="G3632" s="6"/>
    </row>
    <row r="3633" spans="1:7" x14ac:dyDescent="0.25">
      <c r="A3633" s="6" t="s">
        <v>957</v>
      </c>
      <c r="B3633" s="6"/>
      <c r="C3633" s="6"/>
      <c r="D3633" s="6"/>
      <c r="E3633" s="6"/>
      <c r="F3633" s="6"/>
      <c r="G3633" s="6"/>
    </row>
    <row r="3634" spans="1:7" x14ac:dyDescent="0.25">
      <c r="A3634" s="6" t="s">
        <v>957</v>
      </c>
      <c r="B3634" s="6"/>
      <c r="C3634" s="6"/>
      <c r="D3634" s="6"/>
      <c r="E3634" s="6"/>
      <c r="F3634" s="6"/>
      <c r="G3634" s="6"/>
    </row>
    <row r="3635" spans="1:7" x14ac:dyDescent="0.25">
      <c r="A3635" s="6" t="s">
        <v>4644</v>
      </c>
      <c r="B3635" s="6"/>
      <c r="C3635" s="6"/>
      <c r="D3635" s="6"/>
      <c r="E3635" s="6"/>
      <c r="F3635" s="6"/>
      <c r="G3635" s="6"/>
    </row>
    <row r="3636" spans="1:7" x14ac:dyDescent="0.25">
      <c r="A3636" s="6" t="s">
        <v>4641</v>
      </c>
      <c r="B3636" s="6"/>
      <c r="C3636" s="6"/>
      <c r="D3636" s="6"/>
      <c r="E3636" s="6"/>
      <c r="F3636" s="6"/>
      <c r="G3636" s="6"/>
    </row>
    <row r="3637" spans="1:7" x14ac:dyDescent="0.25">
      <c r="A3637" s="6" t="s">
        <v>4638</v>
      </c>
      <c r="B3637" s="6"/>
      <c r="C3637" s="6"/>
      <c r="D3637" s="6"/>
      <c r="E3637" s="6"/>
      <c r="F3637" s="6"/>
      <c r="G3637" s="6"/>
    </row>
    <row r="3638" spans="1:7" x14ac:dyDescent="0.25">
      <c r="A3638" s="6" t="s">
        <v>957</v>
      </c>
      <c r="B3638" s="6"/>
      <c r="C3638" s="6"/>
      <c r="D3638" s="6"/>
      <c r="E3638" s="6"/>
      <c r="F3638" s="6"/>
      <c r="G3638" s="6"/>
    </row>
    <row r="3639" spans="1:7" x14ac:dyDescent="0.25">
      <c r="A3639" s="6" t="s">
        <v>4634</v>
      </c>
      <c r="B3639" s="6"/>
      <c r="C3639" s="6"/>
      <c r="D3639" s="6"/>
      <c r="E3639" s="6"/>
      <c r="F3639" s="6"/>
      <c r="G3639" s="6"/>
    </row>
    <row r="3640" spans="1:7" x14ac:dyDescent="0.25">
      <c r="A3640" s="6" t="s">
        <v>957</v>
      </c>
      <c r="B3640" s="6"/>
      <c r="C3640" s="6"/>
      <c r="D3640" s="6"/>
      <c r="E3640" s="6"/>
      <c r="F3640" s="6"/>
      <c r="G3640" s="6"/>
    </row>
    <row r="3641" spans="1:7" x14ac:dyDescent="0.25">
      <c r="A3641" s="6" t="s">
        <v>4630</v>
      </c>
      <c r="B3641" s="6"/>
      <c r="C3641" s="6"/>
      <c r="D3641" s="6"/>
      <c r="E3641" s="6"/>
      <c r="F3641" s="6"/>
      <c r="G3641" s="6"/>
    </row>
    <row r="3642" spans="1:7" x14ac:dyDescent="0.25">
      <c r="A3642" s="6" t="s">
        <v>4628</v>
      </c>
      <c r="B3642" s="6"/>
      <c r="C3642" s="6"/>
      <c r="D3642" s="6"/>
      <c r="E3642" s="6"/>
      <c r="F3642" s="6"/>
      <c r="G3642" s="6"/>
    </row>
    <row r="3643" spans="1:7" x14ac:dyDescent="0.25">
      <c r="A3643" s="6" t="s">
        <v>4625</v>
      </c>
      <c r="B3643" s="6"/>
      <c r="C3643" s="6"/>
      <c r="D3643" s="6"/>
      <c r="E3643" s="6"/>
      <c r="F3643" s="6"/>
      <c r="G3643" s="6"/>
    </row>
    <row r="3644" spans="1:7" x14ac:dyDescent="0.25">
      <c r="A3644" s="6" t="s">
        <v>4622</v>
      </c>
      <c r="B3644" s="6"/>
      <c r="C3644" s="6"/>
      <c r="D3644" s="6"/>
      <c r="E3644" s="6"/>
      <c r="F3644" s="6"/>
      <c r="G3644" s="6"/>
    </row>
    <row r="3645" spans="1:7" x14ac:dyDescent="0.25">
      <c r="A3645" s="6" t="s">
        <v>4619</v>
      </c>
      <c r="B3645" s="6"/>
      <c r="C3645" s="6"/>
      <c r="D3645" s="6"/>
      <c r="E3645" s="6"/>
      <c r="F3645" s="6"/>
      <c r="G3645" s="6"/>
    </row>
    <row r="3646" spans="1:7" x14ac:dyDescent="0.25">
      <c r="A3646" s="6" t="s">
        <v>4616</v>
      </c>
      <c r="B3646" s="6"/>
      <c r="C3646" s="6"/>
      <c r="D3646" s="6"/>
      <c r="E3646" s="6"/>
      <c r="F3646" s="6"/>
      <c r="G3646" s="6"/>
    </row>
    <row r="3647" spans="1:7" x14ac:dyDescent="0.25">
      <c r="A3647" s="6" t="s">
        <v>4613</v>
      </c>
      <c r="B3647" s="6"/>
      <c r="C3647" s="6"/>
      <c r="D3647" s="6"/>
      <c r="E3647" s="6"/>
      <c r="F3647" s="6"/>
      <c r="G3647" s="6"/>
    </row>
    <row r="3648" spans="1:7" x14ac:dyDescent="0.25">
      <c r="A3648" s="6" t="s">
        <v>4610</v>
      </c>
      <c r="B3648" s="6"/>
      <c r="C3648" s="6"/>
      <c r="D3648" s="6"/>
      <c r="E3648" s="6"/>
      <c r="F3648" s="6"/>
      <c r="G3648" s="6"/>
    </row>
    <row r="3649" spans="1:7" x14ac:dyDescent="0.25">
      <c r="A3649" s="6" t="s">
        <v>957</v>
      </c>
      <c r="B3649" s="6"/>
      <c r="C3649" s="6"/>
      <c r="D3649" s="6"/>
      <c r="E3649" s="6"/>
      <c r="F3649" s="6"/>
      <c r="G3649" s="6"/>
    </row>
    <row r="3650" spans="1:7" x14ac:dyDescent="0.25">
      <c r="A3650" s="6" t="s">
        <v>4606</v>
      </c>
      <c r="B3650" s="6"/>
      <c r="C3650" s="6"/>
      <c r="D3650" s="6"/>
      <c r="E3650" s="6"/>
      <c r="F3650" s="6"/>
      <c r="G3650" s="6"/>
    </row>
    <row r="3651" spans="1:7" x14ac:dyDescent="0.25">
      <c r="A3651" s="6" t="s">
        <v>4603</v>
      </c>
      <c r="B3651" s="6"/>
      <c r="C3651" s="6"/>
      <c r="D3651" s="6"/>
      <c r="E3651" s="6"/>
      <c r="F3651" s="6"/>
      <c r="G3651" s="6"/>
    </row>
    <row r="3652" spans="1:7" x14ac:dyDescent="0.25">
      <c r="A3652" s="6" t="s">
        <v>4600</v>
      </c>
      <c r="B3652" s="6"/>
      <c r="C3652" s="6"/>
      <c r="D3652" s="6"/>
      <c r="E3652" s="6"/>
      <c r="F3652" s="6"/>
      <c r="G3652" s="6"/>
    </row>
    <row r="3653" spans="1:7" x14ac:dyDescent="0.25">
      <c r="A3653" s="6" t="s">
        <v>4597</v>
      </c>
      <c r="B3653" s="6"/>
      <c r="C3653" s="6"/>
      <c r="D3653" s="6"/>
      <c r="E3653" s="6"/>
      <c r="F3653" s="6"/>
      <c r="G3653" s="6"/>
    </row>
    <row r="3654" spans="1:7" x14ac:dyDescent="0.25">
      <c r="A3654" s="6" t="s">
        <v>4594</v>
      </c>
      <c r="B3654" s="6"/>
      <c r="C3654" s="6"/>
      <c r="D3654" s="6"/>
      <c r="E3654" s="6"/>
      <c r="F3654" s="6"/>
      <c r="G3654" s="6"/>
    </row>
    <row r="3655" spans="1:7" x14ac:dyDescent="0.25">
      <c r="A3655" s="6" t="s">
        <v>957</v>
      </c>
      <c r="B3655" s="6"/>
      <c r="C3655" s="6"/>
      <c r="D3655" s="6"/>
      <c r="E3655" s="6"/>
      <c r="F3655" s="6"/>
      <c r="G3655" s="6"/>
    </row>
    <row r="3656" spans="1:7" x14ac:dyDescent="0.25">
      <c r="A3656" s="6" t="s">
        <v>4590</v>
      </c>
      <c r="B3656" s="6"/>
      <c r="C3656" s="6"/>
      <c r="D3656" s="6"/>
      <c r="E3656" s="6"/>
      <c r="F3656" s="6"/>
      <c r="G3656" s="6"/>
    </row>
    <row r="3657" spans="1:7" x14ac:dyDescent="0.25">
      <c r="A3657" s="6" t="s">
        <v>4587</v>
      </c>
      <c r="B3657" s="6"/>
      <c r="C3657" s="6"/>
      <c r="D3657" s="6"/>
      <c r="E3657" s="6"/>
      <c r="F3657" s="6"/>
      <c r="G3657" s="6"/>
    </row>
    <row r="3658" spans="1:7" x14ac:dyDescent="0.25">
      <c r="A3658" s="6" t="s">
        <v>4584</v>
      </c>
      <c r="B3658" s="6"/>
      <c r="C3658" s="6"/>
      <c r="D3658" s="6"/>
      <c r="E3658" s="6"/>
      <c r="F3658" s="6"/>
      <c r="G3658" s="6"/>
    </row>
    <row r="3659" spans="1:7" x14ac:dyDescent="0.25">
      <c r="A3659" s="6" t="s">
        <v>4582</v>
      </c>
      <c r="B3659" s="6"/>
      <c r="C3659" s="6"/>
      <c r="D3659" s="6"/>
      <c r="E3659" s="6"/>
      <c r="F3659" s="6"/>
      <c r="G3659" s="6"/>
    </row>
    <row r="3660" spans="1:7" x14ac:dyDescent="0.25">
      <c r="A3660" s="6" t="s">
        <v>4579</v>
      </c>
      <c r="B3660" s="6"/>
      <c r="C3660" s="6"/>
      <c r="D3660" s="6"/>
      <c r="E3660" s="6"/>
      <c r="F3660" s="6"/>
      <c r="G3660" s="6"/>
    </row>
    <row r="3661" spans="1:7" x14ac:dyDescent="0.25">
      <c r="A3661" s="6" t="s">
        <v>957</v>
      </c>
      <c r="B3661" s="6"/>
      <c r="C3661" s="6"/>
      <c r="D3661" s="6"/>
      <c r="E3661" s="6"/>
      <c r="F3661" s="6"/>
      <c r="G3661" s="6"/>
    </row>
    <row r="3662" spans="1:7" x14ac:dyDescent="0.25">
      <c r="A3662" s="6" t="s">
        <v>957</v>
      </c>
      <c r="B3662" s="6"/>
      <c r="C3662" s="6"/>
      <c r="D3662" s="6"/>
      <c r="E3662" s="6"/>
      <c r="F3662" s="6"/>
      <c r="G3662" s="6"/>
    </row>
    <row r="3663" spans="1:7" x14ac:dyDescent="0.25">
      <c r="A3663" s="6" t="s">
        <v>4574</v>
      </c>
      <c r="B3663" s="6"/>
      <c r="C3663" s="6"/>
      <c r="D3663" s="6"/>
      <c r="E3663" s="6"/>
      <c r="F3663" s="6"/>
      <c r="G3663" s="6"/>
    </row>
    <row r="3664" spans="1:7" x14ac:dyDescent="0.25">
      <c r="A3664" s="6" t="s">
        <v>5564</v>
      </c>
      <c r="B3664" s="6"/>
      <c r="C3664" s="6"/>
      <c r="D3664" s="6"/>
      <c r="E3664" s="6"/>
      <c r="F3664" s="6"/>
      <c r="G3664" s="6"/>
    </row>
    <row r="3665" spans="1:7" x14ac:dyDescent="0.25">
      <c r="A3665" s="6" t="s">
        <v>5561</v>
      </c>
      <c r="B3665" s="6"/>
      <c r="C3665" s="6"/>
      <c r="D3665" s="6"/>
      <c r="E3665" s="6"/>
      <c r="F3665" s="6"/>
      <c r="G3665" s="6"/>
    </row>
    <row r="3666" spans="1:7" x14ac:dyDescent="0.25">
      <c r="A3666" s="6" t="s">
        <v>5558</v>
      </c>
      <c r="B3666" s="6"/>
      <c r="C3666" s="6"/>
      <c r="D3666" s="6"/>
      <c r="E3666" s="6"/>
      <c r="F3666" s="6"/>
      <c r="G3666" s="6"/>
    </row>
    <row r="3667" spans="1:7" x14ac:dyDescent="0.25">
      <c r="A3667" s="6" t="s">
        <v>5555</v>
      </c>
      <c r="B3667" s="6"/>
      <c r="C3667" s="6"/>
      <c r="D3667" s="6"/>
      <c r="E3667" s="6"/>
      <c r="F3667" s="6"/>
      <c r="G3667" s="6"/>
    </row>
    <row r="3668" spans="1:7" x14ac:dyDescent="0.25">
      <c r="A3668" s="6" t="s">
        <v>5552</v>
      </c>
      <c r="B3668" s="6"/>
      <c r="C3668" s="6"/>
      <c r="D3668" s="6"/>
      <c r="E3668" s="6"/>
      <c r="F3668" s="6"/>
      <c r="G3668" s="6"/>
    </row>
    <row r="3669" spans="1:7" x14ac:dyDescent="0.25">
      <c r="A3669" s="6" t="s">
        <v>5549</v>
      </c>
      <c r="B3669" s="6"/>
      <c r="C3669" s="6"/>
      <c r="D3669" s="6"/>
      <c r="E3669" s="6"/>
      <c r="F3669" s="6"/>
      <c r="G3669" s="6"/>
    </row>
    <row r="3670" spans="1:7" x14ac:dyDescent="0.25">
      <c r="A3670" s="6" t="s">
        <v>5546</v>
      </c>
      <c r="B3670" s="6"/>
      <c r="C3670" s="6"/>
      <c r="D3670" s="6"/>
      <c r="E3670" s="6"/>
      <c r="F3670" s="6"/>
      <c r="G3670" s="6"/>
    </row>
    <row r="3671" spans="1:7" x14ac:dyDescent="0.25">
      <c r="A3671" s="6" t="s">
        <v>5543</v>
      </c>
      <c r="B3671" s="6"/>
      <c r="C3671" s="6"/>
      <c r="D3671" s="6"/>
      <c r="E3671" s="6"/>
      <c r="F3671" s="6"/>
      <c r="G3671" s="6"/>
    </row>
    <row r="3672" spans="1:7" x14ac:dyDescent="0.25">
      <c r="A3672" s="6" t="s">
        <v>5540</v>
      </c>
      <c r="B3672" s="6"/>
      <c r="C3672" s="6"/>
      <c r="D3672" s="6"/>
      <c r="E3672" s="6"/>
      <c r="F3672" s="6"/>
      <c r="G3672" s="6"/>
    </row>
    <row r="3673" spans="1:7" x14ac:dyDescent="0.25">
      <c r="A3673" s="6" t="s">
        <v>5537</v>
      </c>
      <c r="B3673" s="6"/>
      <c r="C3673" s="6"/>
      <c r="D3673" s="6"/>
      <c r="E3673" s="6"/>
      <c r="F3673" s="6"/>
      <c r="G3673" s="6"/>
    </row>
    <row r="3674" spans="1:7" x14ac:dyDescent="0.25">
      <c r="A3674" s="6" t="s">
        <v>957</v>
      </c>
      <c r="B3674" s="6"/>
      <c r="C3674" s="6"/>
      <c r="D3674" s="6"/>
      <c r="E3674" s="6"/>
      <c r="F3674" s="6"/>
      <c r="G3674" s="6"/>
    </row>
    <row r="3675" spans="1:7" x14ac:dyDescent="0.25">
      <c r="A3675" s="6" t="s">
        <v>4543</v>
      </c>
      <c r="B3675" s="6"/>
      <c r="C3675" s="6"/>
      <c r="D3675" s="6"/>
      <c r="E3675" s="6"/>
      <c r="F3675" s="6"/>
      <c r="G3675" s="6"/>
    </row>
    <row r="3676" spans="1:7" x14ac:dyDescent="0.25">
      <c r="A3676" s="6" t="s">
        <v>957</v>
      </c>
      <c r="B3676" s="6"/>
      <c r="C3676" s="6"/>
      <c r="D3676" s="6"/>
      <c r="E3676" s="6"/>
      <c r="F3676" s="6"/>
      <c r="G3676" s="6"/>
    </row>
    <row r="3677" spans="1:7" x14ac:dyDescent="0.25">
      <c r="A3677" s="6" t="s">
        <v>4539</v>
      </c>
      <c r="B3677" s="6"/>
      <c r="C3677" s="6"/>
      <c r="D3677" s="6"/>
      <c r="E3677" s="6"/>
      <c r="F3677" s="6"/>
      <c r="G3677" s="6"/>
    </row>
    <row r="3678" spans="1:7" x14ac:dyDescent="0.25">
      <c r="A3678" s="6" t="s">
        <v>4536</v>
      </c>
      <c r="B3678" s="6"/>
      <c r="C3678" s="6"/>
      <c r="D3678" s="6"/>
      <c r="E3678" s="6"/>
      <c r="F3678" s="6"/>
      <c r="G3678" s="6"/>
    </row>
    <row r="3679" spans="1:7" x14ac:dyDescent="0.25">
      <c r="A3679" s="6" t="s">
        <v>4533</v>
      </c>
      <c r="B3679" s="6"/>
      <c r="C3679" s="6"/>
      <c r="D3679" s="6"/>
      <c r="E3679" s="6"/>
      <c r="F3679" s="6"/>
      <c r="G3679" s="6"/>
    </row>
    <row r="3680" spans="1:7" x14ac:dyDescent="0.25">
      <c r="A3680" s="6" t="s">
        <v>957</v>
      </c>
      <c r="B3680" s="6"/>
      <c r="C3680" s="6"/>
      <c r="D3680" s="6"/>
      <c r="E3680" s="6"/>
      <c r="F3680" s="6"/>
      <c r="G3680" s="6"/>
    </row>
    <row r="3681" spans="1:7" x14ac:dyDescent="0.25">
      <c r="A3681" s="6" t="s">
        <v>4529</v>
      </c>
      <c r="B3681" s="6"/>
      <c r="C3681" s="6"/>
      <c r="D3681" s="6"/>
      <c r="E3681" s="6"/>
      <c r="F3681" s="6"/>
      <c r="G3681" s="6"/>
    </row>
    <row r="3682" spans="1:7" x14ac:dyDescent="0.25">
      <c r="A3682" s="6" t="s">
        <v>4526</v>
      </c>
      <c r="B3682" s="6"/>
      <c r="C3682" s="6"/>
      <c r="D3682" s="6"/>
      <c r="E3682" s="6"/>
      <c r="F3682" s="6"/>
      <c r="G3682" s="6"/>
    </row>
    <row r="3683" spans="1:7" x14ac:dyDescent="0.25">
      <c r="A3683" s="6" t="s">
        <v>4524</v>
      </c>
      <c r="B3683" s="6"/>
      <c r="C3683" s="6"/>
      <c r="D3683" s="6"/>
      <c r="E3683" s="6"/>
      <c r="F3683" s="6"/>
      <c r="G3683" s="6"/>
    </row>
    <row r="3684" spans="1:7" x14ac:dyDescent="0.25">
      <c r="A3684" s="6" t="s">
        <v>4521</v>
      </c>
      <c r="B3684" s="6"/>
      <c r="C3684" s="6"/>
      <c r="D3684" s="6"/>
      <c r="E3684" s="6"/>
      <c r="F3684" s="6"/>
      <c r="G3684" s="6"/>
    </row>
    <row r="3685" spans="1:7" x14ac:dyDescent="0.25">
      <c r="A3685" s="6" t="s">
        <v>957</v>
      </c>
      <c r="B3685" s="6"/>
      <c r="C3685" s="6"/>
      <c r="D3685" s="6"/>
      <c r="E3685" s="6"/>
      <c r="F3685" s="6"/>
      <c r="G3685" s="6"/>
    </row>
    <row r="3686" spans="1:7" x14ac:dyDescent="0.25">
      <c r="A3686" s="6" t="s">
        <v>4517</v>
      </c>
      <c r="B3686" s="6"/>
      <c r="C3686" s="6"/>
      <c r="D3686" s="6"/>
      <c r="E3686" s="6"/>
      <c r="F3686" s="6"/>
      <c r="G3686" s="6"/>
    </row>
    <row r="3687" spans="1:7" x14ac:dyDescent="0.25">
      <c r="A3687" s="6" t="s">
        <v>4514</v>
      </c>
      <c r="B3687" s="6"/>
      <c r="C3687" s="6"/>
      <c r="D3687" s="6"/>
      <c r="E3687" s="6"/>
      <c r="F3687" s="6"/>
      <c r="G3687" s="6"/>
    </row>
    <row r="3688" spans="1:7" x14ac:dyDescent="0.25">
      <c r="A3688" s="6" t="s">
        <v>957</v>
      </c>
      <c r="B3688" s="6"/>
      <c r="C3688" s="6"/>
      <c r="D3688" s="6"/>
      <c r="E3688" s="6"/>
      <c r="F3688" s="6"/>
      <c r="G3688" s="6"/>
    </row>
    <row r="3689" spans="1:7" x14ac:dyDescent="0.25">
      <c r="A3689" s="6" t="s">
        <v>5502</v>
      </c>
      <c r="B3689" s="6"/>
      <c r="C3689" s="6"/>
      <c r="D3689" s="6"/>
      <c r="E3689" s="6"/>
      <c r="F3689" s="6"/>
      <c r="G3689" s="6"/>
    </row>
    <row r="3690" spans="1:7" x14ac:dyDescent="0.25">
      <c r="A3690" s="6" t="s">
        <v>5499</v>
      </c>
      <c r="B3690" s="6"/>
      <c r="C3690" s="6"/>
      <c r="D3690" s="6"/>
      <c r="E3690" s="6"/>
      <c r="F3690" s="6"/>
      <c r="G3690" s="6"/>
    </row>
    <row r="3691" spans="1:7" x14ac:dyDescent="0.25">
      <c r="A3691" s="6" t="s">
        <v>5496</v>
      </c>
      <c r="B3691" s="6"/>
      <c r="C3691" s="6"/>
      <c r="D3691" s="6"/>
      <c r="E3691" s="6"/>
      <c r="F3691" s="6"/>
      <c r="G3691" s="6"/>
    </row>
    <row r="3692" spans="1:7" x14ac:dyDescent="0.25">
      <c r="A3692" s="6" t="s">
        <v>5493</v>
      </c>
      <c r="B3692" s="6"/>
      <c r="C3692" s="6"/>
      <c r="D3692" s="6"/>
      <c r="E3692" s="6"/>
      <c r="F3692" s="6"/>
      <c r="G3692" s="6"/>
    </row>
    <row r="3693" spans="1:7" x14ac:dyDescent="0.25">
      <c r="A3693" s="6" t="s">
        <v>957</v>
      </c>
      <c r="B3693" s="6"/>
      <c r="C3693" s="6"/>
      <c r="D3693" s="6"/>
      <c r="E3693" s="6"/>
      <c r="F3693" s="6"/>
      <c r="G3693" s="6"/>
    </row>
    <row r="3694" spans="1:7" x14ac:dyDescent="0.25">
      <c r="A3694" s="6" t="s">
        <v>5488</v>
      </c>
      <c r="B3694" s="6"/>
      <c r="C3694" s="6"/>
      <c r="D3694" s="6"/>
      <c r="E3694" s="6"/>
      <c r="F3694" s="6"/>
      <c r="G3694" s="6"/>
    </row>
    <row r="3695" spans="1:7" x14ac:dyDescent="0.25">
      <c r="A3695" s="6" t="s">
        <v>957</v>
      </c>
      <c r="B3695" s="6"/>
      <c r="C3695" s="6"/>
      <c r="D3695" s="6"/>
      <c r="E3695" s="6"/>
      <c r="F3695" s="6"/>
      <c r="G3695" s="6"/>
    </row>
    <row r="3696" spans="1:7" x14ac:dyDescent="0.25">
      <c r="A3696" s="6" t="s">
        <v>5484</v>
      </c>
      <c r="B3696" s="6"/>
      <c r="C3696" s="6"/>
      <c r="D3696" s="6"/>
      <c r="E3696" s="6"/>
      <c r="F3696" s="6"/>
      <c r="G3696" s="6"/>
    </row>
    <row r="3697" spans="1:7" x14ac:dyDescent="0.25">
      <c r="A3697" s="6" t="s">
        <v>5481</v>
      </c>
      <c r="B3697" s="6"/>
      <c r="C3697" s="6"/>
      <c r="D3697" s="6"/>
      <c r="E3697" s="6"/>
      <c r="F3697" s="6"/>
      <c r="G3697" s="6"/>
    </row>
    <row r="3698" spans="1:7" x14ac:dyDescent="0.25">
      <c r="A3698" s="6" t="s">
        <v>5478</v>
      </c>
      <c r="B3698" s="6"/>
      <c r="C3698" s="6"/>
      <c r="D3698" s="6"/>
      <c r="E3698" s="6"/>
      <c r="F3698" s="6"/>
      <c r="G3698" s="6"/>
    </row>
    <row r="3699" spans="1:7" x14ac:dyDescent="0.25">
      <c r="A3699" s="6" t="s">
        <v>957</v>
      </c>
      <c r="B3699" s="6"/>
      <c r="C3699" s="6"/>
      <c r="D3699" s="6"/>
      <c r="E3699" s="6"/>
      <c r="F3699" s="6"/>
      <c r="G3699" s="6"/>
    </row>
    <row r="3700" spans="1:7" x14ac:dyDescent="0.25">
      <c r="A3700" s="6" t="s">
        <v>5474</v>
      </c>
      <c r="B3700" s="6"/>
      <c r="C3700" s="6"/>
      <c r="D3700" s="6"/>
      <c r="E3700" s="6"/>
      <c r="F3700" s="6"/>
      <c r="G3700" s="6"/>
    </row>
    <row r="3701" spans="1:7" x14ac:dyDescent="0.25">
      <c r="A3701" s="6" t="s">
        <v>5471</v>
      </c>
      <c r="B3701" s="6"/>
      <c r="C3701" s="6"/>
      <c r="D3701" s="6"/>
      <c r="E3701" s="6"/>
      <c r="F3701" s="6"/>
      <c r="G3701" s="6"/>
    </row>
    <row r="3702" spans="1:7" x14ac:dyDescent="0.25">
      <c r="A3702" s="6" t="s">
        <v>957</v>
      </c>
      <c r="B3702" s="6"/>
      <c r="C3702" s="6"/>
      <c r="D3702" s="6"/>
      <c r="E3702" s="6"/>
      <c r="F3702" s="6"/>
      <c r="G3702" s="6"/>
    </row>
    <row r="3703" spans="1:7" x14ac:dyDescent="0.25">
      <c r="A3703" s="6" t="s">
        <v>5467</v>
      </c>
      <c r="B3703" s="6"/>
      <c r="C3703" s="6"/>
      <c r="D3703" s="6"/>
      <c r="E3703" s="6"/>
      <c r="F3703" s="6"/>
      <c r="G3703" s="6"/>
    </row>
    <row r="3704" spans="1:7" x14ac:dyDescent="0.25">
      <c r="A3704" s="6" t="s">
        <v>5464</v>
      </c>
      <c r="B3704" s="6"/>
      <c r="C3704" s="6"/>
      <c r="D3704" s="6"/>
      <c r="E3704" s="6"/>
      <c r="F3704" s="6"/>
      <c r="G3704" s="6"/>
    </row>
    <row r="3705" spans="1:7" x14ac:dyDescent="0.25">
      <c r="A3705" s="6" t="s">
        <v>5461</v>
      </c>
      <c r="B3705" s="6"/>
      <c r="C3705" s="6"/>
      <c r="D3705" s="6"/>
      <c r="E3705" s="6"/>
      <c r="F3705" s="6"/>
      <c r="G3705" s="6"/>
    </row>
    <row r="3706" spans="1:7" x14ac:dyDescent="0.25">
      <c r="A3706" s="6" t="s">
        <v>5458</v>
      </c>
      <c r="B3706" s="6"/>
      <c r="C3706" s="6"/>
      <c r="D3706" s="6"/>
      <c r="E3706" s="6"/>
      <c r="F3706" s="6"/>
      <c r="G3706" s="6"/>
    </row>
    <row r="3707" spans="1:7" x14ac:dyDescent="0.25">
      <c r="A3707" s="6" t="s">
        <v>5455</v>
      </c>
      <c r="B3707" s="6"/>
      <c r="C3707" s="6"/>
      <c r="D3707" s="6"/>
      <c r="E3707" s="6"/>
      <c r="F3707" s="6"/>
      <c r="G3707" s="6"/>
    </row>
    <row r="3708" spans="1:7" x14ac:dyDescent="0.25">
      <c r="A3708" s="6" t="s">
        <v>5452</v>
      </c>
      <c r="B3708" s="6"/>
      <c r="C3708" s="6"/>
      <c r="D3708" s="6"/>
      <c r="E3708" s="6"/>
      <c r="F3708" s="6"/>
      <c r="G3708" s="6"/>
    </row>
    <row r="3709" spans="1:7" x14ac:dyDescent="0.25">
      <c r="A3709" s="6" t="s">
        <v>957</v>
      </c>
      <c r="B3709" s="6"/>
      <c r="C3709" s="6"/>
      <c r="D3709" s="6"/>
      <c r="E3709" s="6"/>
      <c r="F3709" s="6"/>
      <c r="G3709" s="6"/>
    </row>
    <row r="3710" spans="1:7" x14ac:dyDescent="0.25">
      <c r="A3710" s="6" t="s">
        <v>957</v>
      </c>
      <c r="B3710" s="6"/>
      <c r="C3710" s="6"/>
      <c r="D3710" s="6"/>
      <c r="E3710" s="6"/>
      <c r="F3710" s="6"/>
      <c r="G3710" s="6"/>
    </row>
    <row r="3711" spans="1:7" x14ac:dyDescent="0.25">
      <c r="A3711" s="6" t="s">
        <v>957</v>
      </c>
      <c r="B3711" s="6"/>
      <c r="C3711" s="6"/>
      <c r="D3711" s="6"/>
      <c r="E3711" s="6"/>
      <c r="F3711" s="6"/>
      <c r="G3711" s="6"/>
    </row>
    <row r="3712" spans="1:7" x14ac:dyDescent="0.25">
      <c r="A3712" s="6" t="s">
        <v>5445</v>
      </c>
      <c r="B3712" s="6"/>
      <c r="C3712" s="6"/>
      <c r="D3712" s="6"/>
      <c r="E3712" s="6"/>
      <c r="F3712" s="6"/>
      <c r="G3712" s="6"/>
    </row>
    <row r="3713" spans="1:7" x14ac:dyDescent="0.25">
      <c r="A3713" s="6" t="s">
        <v>957</v>
      </c>
      <c r="B3713" s="6"/>
      <c r="C3713" s="6"/>
      <c r="D3713" s="6"/>
      <c r="E3713" s="6"/>
      <c r="F3713" s="6"/>
      <c r="G3713" s="6"/>
    </row>
    <row r="3714" spans="1:7" x14ac:dyDescent="0.25">
      <c r="A3714" s="6" t="s">
        <v>5441</v>
      </c>
      <c r="B3714" s="6"/>
      <c r="C3714" s="6"/>
      <c r="D3714" s="6"/>
      <c r="E3714" s="6"/>
      <c r="F3714" s="6"/>
      <c r="G3714" s="6"/>
    </row>
    <row r="3715" spans="1:7" x14ac:dyDescent="0.25">
      <c r="A3715" s="6" t="s">
        <v>5438</v>
      </c>
      <c r="B3715" s="6"/>
      <c r="C3715" s="6"/>
      <c r="D3715" s="6"/>
      <c r="E3715" s="6"/>
      <c r="F3715" s="6"/>
      <c r="G3715" s="6"/>
    </row>
    <row r="3716" spans="1:7" x14ac:dyDescent="0.25">
      <c r="A3716" s="6" t="s">
        <v>957</v>
      </c>
      <c r="B3716" s="6"/>
      <c r="C3716" s="6"/>
      <c r="D3716" s="6"/>
      <c r="E3716" s="6"/>
      <c r="F3716" s="6"/>
      <c r="G3716" s="6"/>
    </row>
    <row r="3717" spans="1:7" x14ac:dyDescent="0.25">
      <c r="A3717" s="6" t="s">
        <v>14230</v>
      </c>
      <c r="B3717" s="6" t="s">
        <v>14231</v>
      </c>
      <c r="C3717" s="6"/>
      <c r="D3717" s="6"/>
      <c r="E3717" s="6"/>
      <c r="F3717" s="6"/>
      <c r="G3717" s="6"/>
    </row>
    <row r="3718" spans="1:7" x14ac:dyDescent="0.25">
      <c r="A3718" s="6" t="s">
        <v>5432</v>
      </c>
      <c r="B3718" s="6"/>
      <c r="C3718" s="6"/>
      <c r="D3718" s="6"/>
      <c r="E3718" s="6"/>
      <c r="F3718" s="6"/>
      <c r="G3718" s="6"/>
    </row>
    <row r="3719" spans="1:7" x14ac:dyDescent="0.25">
      <c r="A3719" s="6" t="s">
        <v>5429</v>
      </c>
      <c r="B3719" s="6"/>
      <c r="C3719" s="6"/>
      <c r="D3719" s="6"/>
      <c r="E3719" s="6"/>
      <c r="F3719" s="6"/>
      <c r="G3719" s="6"/>
    </row>
    <row r="3720" spans="1:7" x14ac:dyDescent="0.25">
      <c r="A3720" s="6" t="s">
        <v>957</v>
      </c>
      <c r="B3720" s="6"/>
      <c r="C3720" s="6"/>
      <c r="D3720" s="6"/>
      <c r="E3720" s="6"/>
      <c r="F3720" s="6"/>
      <c r="G3720" s="6"/>
    </row>
    <row r="3721" spans="1:7" x14ac:dyDescent="0.25">
      <c r="A3721" s="6" t="s">
        <v>5425</v>
      </c>
      <c r="B3721" s="6"/>
      <c r="C3721" s="6"/>
      <c r="D3721" s="6"/>
      <c r="E3721" s="6"/>
      <c r="F3721" s="6"/>
      <c r="G3721" s="6"/>
    </row>
    <row r="3722" spans="1:7" x14ac:dyDescent="0.25">
      <c r="A3722" s="6" t="s">
        <v>5422</v>
      </c>
      <c r="B3722" s="6"/>
      <c r="C3722" s="6"/>
      <c r="D3722" s="6"/>
      <c r="E3722" s="6"/>
      <c r="F3722" s="6"/>
      <c r="G3722" s="6"/>
    </row>
    <row r="3723" spans="1:7" x14ac:dyDescent="0.25">
      <c r="A3723" s="6" t="s">
        <v>5419</v>
      </c>
      <c r="B3723" s="6"/>
      <c r="C3723" s="6"/>
      <c r="D3723" s="6"/>
      <c r="E3723" s="6"/>
      <c r="F3723" s="6"/>
      <c r="G3723" s="6"/>
    </row>
    <row r="3724" spans="1:7" x14ac:dyDescent="0.25">
      <c r="A3724" s="6" t="s">
        <v>5416</v>
      </c>
      <c r="B3724" s="6"/>
      <c r="C3724" s="6"/>
      <c r="D3724" s="6"/>
      <c r="E3724" s="6"/>
      <c r="F3724" s="6"/>
      <c r="G3724" s="6"/>
    </row>
    <row r="3725" spans="1:7" x14ac:dyDescent="0.25">
      <c r="A3725" s="6" t="s">
        <v>957</v>
      </c>
      <c r="B3725" s="6"/>
      <c r="C3725" s="6"/>
      <c r="D3725" s="6"/>
      <c r="E3725" s="6"/>
      <c r="F3725" s="6"/>
      <c r="G3725" s="6"/>
    </row>
    <row r="3726" spans="1:7" x14ac:dyDescent="0.25">
      <c r="A3726" s="6" t="s">
        <v>4374</v>
      </c>
      <c r="B3726" s="6"/>
      <c r="C3726" s="6"/>
      <c r="D3726" s="6"/>
      <c r="E3726" s="6"/>
      <c r="F3726" s="6"/>
      <c r="G3726" s="6"/>
    </row>
    <row r="3727" spans="1:7" x14ac:dyDescent="0.25">
      <c r="A3727" s="6" t="s">
        <v>4371</v>
      </c>
      <c r="B3727" s="6"/>
      <c r="C3727" s="6"/>
      <c r="D3727" s="6"/>
      <c r="E3727" s="6"/>
      <c r="F3727" s="6"/>
      <c r="G3727" s="6"/>
    </row>
    <row r="3728" spans="1:7" x14ac:dyDescent="0.25">
      <c r="A3728" s="6" t="s">
        <v>4368</v>
      </c>
      <c r="B3728" s="6"/>
      <c r="C3728" s="6"/>
      <c r="D3728" s="6"/>
      <c r="E3728" s="6"/>
      <c r="F3728" s="6"/>
      <c r="G3728" s="6"/>
    </row>
    <row r="3729" spans="1:7" x14ac:dyDescent="0.25">
      <c r="A3729" s="6" t="s">
        <v>957</v>
      </c>
      <c r="B3729" s="6"/>
      <c r="C3729" s="6"/>
      <c r="D3729" s="6"/>
      <c r="E3729" s="6"/>
      <c r="F3729" s="6"/>
      <c r="G3729" s="6"/>
    </row>
    <row r="3730" spans="1:7" x14ac:dyDescent="0.25">
      <c r="A3730" s="6" t="s">
        <v>4364</v>
      </c>
      <c r="B3730" s="6"/>
      <c r="C3730" s="6"/>
      <c r="D3730" s="6"/>
      <c r="E3730" s="6"/>
      <c r="F3730" s="6"/>
      <c r="G3730" s="6"/>
    </row>
    <row r="3731" spans="1:7" x14ac:dyDescent="0.25">
      <c r="A3731" s="6" t="s">
        <v>4361</v>
      </c>
      <c r="B3731" s="6"/>
      <c r="C3731" s="6"/>
      <c r="D3731" s="6"/>
      <c r="E3731" s="6"/>
      <c r="F3731" s="6"/>
      <c r="G3731" s="6"/>
    </row>
    <row r="3732" spans="1:7" x14ac:dyDescent="0.25">
      <c r="A3732" s="6" t="s">
        <v>4358</v>
      </c>
      <c r="B3732" s="6"/>
      <c r="C3732" s="6"/>
      <c r="D3732" s="6"/>
      <c r="E3732" s="6"/>
      <c r="F3732" s="6"/>
      <c r="G3732" s="6"/>
    </row>
    <row r="3733" spans="1:7" x14ac:dyDescent="0.25">
      <c r="A3733" s="6" t="s">
        <v>4355</v>
      </c>
      <c r="B3733" s="6"/>
      <c r="C3733" s="6"/>
      <c r="D3733" s="6"/>
      <c r="E3733" s="6"/>
      <c r="F3733" s="6"/>
      <c r="G3733" s="6"/>
    </row>
    <row r="3734" spans="1:7" x14ac:dyDescent="0.25">
      <c r="A3734" s="6" t="s">
        <v>957</v>
      </c>
      <c r="B3734" s="6"/>
      <c r="C3734" s="6"/>
      <c r="D3734" s="6"/>
      <c r="E3734" s="6"/>
      <c r="F3734" s="6"/>
      <c r="G3734" s="6"/>
    </row>
    <row r="3735" spans="1:7" x14ac:dyDescent="0.25">
      <c r="A3735" s="6" t="s">
        <v>4351</v>
      </c>
      <c r="B3735" s="6"/>
      <c r="C3735" s="6"/>
      <c r="D3735" s="6"/>
      <c r="E3735" s="6"/>
      <c r="F3735" s="6"/>
      <c r="G3735" s="6"/>
    </row>
    <row r="3736" spans="1:7" x14ac:dyDescent="0.25">
      <c r="A3736" s="6" t="s">
        <v>4348</v>
      </c>
      <c r="B3736" s="6"/>
      <c r="C3736" s="6"/>
      <c r="D3736" s="6"/>
      <c r="E3736" s="6"/>
      <c r="F3736" s="6"/>
      <c r="G3736" s="6"/>
    </row>
    <row r="3737" spans="1:7" x14ac:dyDescent="0.25">
      <c r="A3737" s="6" t="s">
        <v>4345</v>
      </c>
      <c r="B3737" s="6"/>
      <c r="C3737" s="6"/>
      <c r="D3737" s="6"/>
      <c r="E3737" s="6"/>
      <c r="F3737" s="6"/>
      <c r="G3737" s="6"/>
    </row>
    <row r="3738" spans="1:7" x14ac:dyDescent="0.25">
      <c r="A3738" s="6" t="s">
        <v>5381</v>
      </c>
      <c r="B3738" s="6"/>
      <c r="C3738" s="6"/>
      <c r="D3738" s="6"/>
      <c r="E3738" s="6"/>
      <c r="F3738" s="6"/>
      <c r="G3738" s="6"/>
    </row>
    <row r="3739" spans="1:7" x14ac:dyDescent="0.25">
      <c r="A3739" s="6" t="s">
        <v>957</v>
      </c>
      <c r="B3739" s="6"/>
      <c r="C3739" s="6"/>
      <c r="D3739" s="6"/>
      <c r="E3739" s="6"/>
      <c r="F3739" s="6"/>
      <c r="G3739" s="6"/>
    </row>
    <row r="3740" spans="1:7" x14ac:dyDescent="0.25">
      <c r="A3740" s="6" t="s">
        <v>5374</v>
      </c>
      <c r="B3740" s="6"/>
      <c r="C3740" s="6"/>
      <c r="D3740" s="6"/>
      <c r="E3740" s="6"/>
      <c r="F3740" s="6"/>
      <c r="G3740" s="6"/>
    </row>
    <row r="3741" spans="1:7" x14ac:dyDescent="0.25">
      <c r="A3741" s="6" t="s">
        <v>5377</v>
      </c>
      <c r="B3741" s="6"/>
      <c r="C3741" s="6"/>
      <c r="D3741" s="6"/>
      <c r="E3741" s="6"/>
      <c r="F3741" s="6"/>
      <c r="G3741" s="6"/>
    </row>
    <row r="3742" spans="1:7" x14ac:dyDescent="0.25">
      <c r="A3742" s="6" t="s">
        <v>5374</v>
      </c>
      <c r="B3742" s="6"/>
      <c r="C3742" s="6"/>
      <c r="D3742" s="6"/>
      <c r="E3742" s="6"/>
      <c r="F3742" s="6"/>
      <c r="G3742" s="6"/>
    </row>
    <row r="3743" spans="1:7" x14ac:dyDescent="0.25">
      <c r="A3743" s="6" t="s">
        <v>5371</v>
      </c>
      <c r="B3743" s="6"/>
      <c r="C3743" s="6"/>
      <c r="D3743" s="6"/>
      <c r="E3743" s="6"/>
      <c r="F3743" s="6"/>
      <c r="G3743" s="6"/>
    </row>
    <row r="3744" spans="1:7" x14ac:dyDescent="0.25">
      <c r="A3744" s="6" t="s">
        <v>5368</v>
      </c>
      <c r="B3744" s="6"/>
      <c r="C3744" s="6"/>
      <c r="D3744" s="6"/>
      <c r="E3744" s="6"/>
      <c r="F3744" s="6"/>
      <c r="G3744" s="6"/>
    </row>
    <row r="3745" spans="1:7" x14ac:dyDescent="0.25">
      <c r="A3745" s="6" t="s">
        <v>5365</v>
      </c>
      <c r="B3745" s="6"/>
      <c r="C3745" s="6"/>
      <c r="D3745" s="6"/>
      <c r="E3745" s="6"/>
      <c r="F3745" s="6"/>
      <c r="G3745" s="6"/>
    </row>
    <row r="3746" spans="1:7" x14ac:dyDescent="0.25">
      <c r="A3746" s="6" t="s">
        <v>5362</v>
      </c>
      <c r="B3746" s="6"/>
      <c r="C3746" s="6"/>
      <c r="D3746" s="6"/>
      <c r="E3746" s="6"/>
      <c r="F3746" s="6"/>
      <c r="G3746" s="6"/>
    </row>
    <row r="3747" spans="1:7" x14ac:dyDescent="0.25">
      <c r="A3747" s="6" t="s">
        <v>5359</v>
      </c>
      <c r="B3747" s="6"/>
      <c r="C3747" s="6"/>
      <c r="D3747" s="6"/>
      <c r="E3747" s="6"/>
      <c r="F3747" s="6"/>
      <c r="G3747" s="6"/>
    </row>
    <row r="3748" spans="1:7" x14ac:dyDescent="0.25">
      <c r="A3748" s="6" t="s">
        <v>5356</v>
      </c>
      <c r="B3748" s="6"/>
      <c r="C3748" s="6"/>
      <c r="D3748" s="6"/>
      <c r="E3748" s="6"/>
      <c r="F3748" s="6"/>
      <c r="G3748" s="6"/>
    </row>
    <row r="3749" spans="1:7" x14ac:dyDescent="0.25">
      <c r="A3749" s="6" t="s">
        <v>4338</v>
      </c>
      <c r="B3749" s="6"/>
      <c r="C3749" s="6"/>
      <c r="D3749" s="6"/>
      <c r="E3749" s="6"/>
      <c r="F3749" s="6"/>
      <c r="G3749" s="6"/>
    </row>
    <row r="3750" spans="1:7" x14ac:dyDescent="0.25">
      <c r="A3750" s="6" t="s">
        <v>4335</v>
      </c>
      <c r="B3750" s="6"/>
      <c r="C3750" s="6"/>
      <c r="D3750" s="6"/>
      <c r="E3750" s="6"/>
      <c r="F3750" s="6"/>
      <c r="G3750" s="6"/>
    </row>
    <row r="3751" spans="1:7" x14ac:dyDescent="0.25">
      <c r="A3751" s="6" t="s">
        <v>4332</v>
      </c>
      <c r="B3751" s="6"/>
      <c r="C3751" s="6"/>
      <c r="D3751" s="6"/>
      <c r="E3751" s="6"/>
      <c r="F3751" s="6"/>
      <c r="G3751" s="6"/>
    </row>
    <row r="3752" spans="1:7" x14ac:dyDescent="0.25">
      <c r="A3752" s="6" t="s">
        <v>4329</v>
      </c>
      <c r="B3752" s="6"/>
      <c r="C3752" s="6"/>
      <c r="D3752" s="6"/>
      <c r="E3752" s="6"/>
      <c r="F3752" s="6"/>
      <c r="G3752" s="6"/>
    </row>
    <row r="3753" spans="1:7" x14ac:dyDescent="0.25">
      <c r="A3753" s="6" t="s">
        <v>957</v>
      </c>
      <c r="B3753" s="6"/>
      <c r="C3753" s="6"/>
      <c r="D3753" s="6"/>
      <c r="E3753" s="6"/>
      <c r="F3753" s="6"/>
      <c r="G3753" s="6"/>
    </row>
    <row r="3754" spans="1:7" x14ac:dyDescent="0.25">
      <c r="A3754" s="6" t="s">
        <v>957</v>
      </c>
      <c r="B3754" s="6"/>
      <c r="C3754" s="6"/>
      <c r="D3754" s="6"/>
      <c r="E3754" s="6"/>
      <c r="F3754" s="6"/>
      <c r="G3754" s="6"/>
    </row>
    <row r="3755" spans="1:7" x14ac:dyDescent="0.25">
      <c r="A3755" s="6" t="s">
        <v>4324</v>
      </c>
      <c r="B3755" s="6"/>
      <c r="C3755" s="6"/>
      <c r="D3755" s="6"/>
      <c r="E3755" s="6"/>
      <c r="F3755" s="6"/>
      <c r="G3755" s="6"/>
    </row>
    <row r="3756" spans="1:7" x14ac:dyDescent="0.25">
      <c r="A3756" s="6" t="s">
        <v>4321</v>
      </c>
      <c r="B3756" s="6"/>
      <c r="C3756" s="6"/>
      <c r="D3756" s="6"/>
      <c r="E3756" s="6"/>
      <c r="F3756" s="6"/>
      <c r="G3756" s="6"/>
    </row>
    <row r="3757" spans="1:7" x14ac:dyDescent="0.25">
      <c r="A3757" s="6" t="s">
        <v>4318</v>
      </c>
      <c r="B3757" s="6"/>
      <c r="C3757" s="6"/>
      <c r="D3757" s="6"/>
      <c r="E3757" s="6"/>
      <c r="F3757" s="6"/>
      <c r="G3757" s="6"/>
    </row>
    <row r="3758" spans="1:7" x14ac:dyDescent="0.25">
      <c r="A3758" s="6" t="s">
        <v>4315</v>
      </c>
      <c r="B3758" s="6"/>
      <c r="C3758" s="6"/>
      <c r="D3758" s="6"/>
      <c r="E3758" s="6"/>
      <c r="F3758" s="6"/>
      <c r="G3758" s="6"/>
    </row>
    <row r="3759" spans="1:7" x14ac:dyDescent="0.25">
      <c r="A3759" s="6" t="s">
        <v>4312</v>
      </c>
      <c r="B3759" s="6"/>
      <c r="C3759" s="6"/>
      <c r="D3759" s="6"/>
      <c r="E3759" s="6"/>
      <c r="F3759" s="6"/>
      <c r="G3759" s="6"/>
    </row>
    <row r="3760" spans="1:7" x14ac:dyDescent="0.25">
      <c r="A3760" s="6" t="s">
        <v>4309</v>
      </c>
      <c r="B3760" s="6"/>
      <c r="C3760" s="6"/>
      <c r="D3760" s="6"/>
      <c r="E3760" s="6"/>
      <c r="F3760" s="6"/>
      <c r="G3760" s="6"/>
    </row>
    <row r="3761" spans="1:7" x14ac:dyDescent="0.25">
      <c r="A3761" s="6" t="s">
        <v>4306</v>
      </c>
      <c r="B3761" s="6"/>
      <c r="C3761" s="6"/>
      <c r="D3761" s="6"/>
      <c r="E3761" s="6"/>
      <c r="F3761" s="6"/>
      <c r="G3761" s="6"/>
    </row>
    <row r="3762" spans="1:7" x14ac:dyDescent="0.25">
      <c r="A3762" s="6" t="s">
        <v>4303</v>
      </c>
      <c r="B3762" s="6"/>
      <c r="C3762" s="6"/>
      <c r="D3762" s="6"/>
      <c r="E3762" s="6"/>
      <c r="F3762" s="6"/>
      <c r="G3762" s="6"/>
    </row>
    <row r="3763" spans="1:7" x14ac:dyDescent="0.25">
      <c r="A3763" s="6" t="s">
        <v>4300</v>
      </c>
      <c r="B3763" s="6"/>
      <c r="C3763" s="6"/>
      <c r="D3763" s="6"/>
      <c r="E3763" s="6"/>
      <c r="F3763" s="6"/>
      <c r="G3763" s="6"/>
    </row>
    <row r="3764" spans="1:7" x14ac:dyDescent="0.25">
      <c r="A3764" s="6" t="s">
        <v>4297</v>
      </c>
      <c r="B3764" s="6"/>
      <c r="C3764" s="6"/>
      <c r="D3764" s="6"/>
      <c r="E3764" s="6"/>
      <c r="F3764" s="6"/>
      <c r="G3764" s="6"/>
    </row>
    <row r="3765" spans="1:7" x14ac:dyDescent="0.25">
      <c r="A3765" s="6" t="s">
        <v>4294</v>
      </c>
      <c r="B3765" s="6"/>
      <c r="C3765" s="6"/>
      <c r="D3765" s="6"/>
      <c r="E3765" s="6"/>
      <c r="F3765" s="6"/>
      <c r="G3765" s="6"/>
    </row>
    <row r="3766" spans="1:7" x14ac:dyDescent="0.25">
      <c r="A3766" s="6" t="s">
        <v>957</v>
      </c>
      <c r="B3766" s="6"/>
      <c r="C3766" s="6"/>
      <c r="D3766" s="6"/>
      <c r="E3766" s="6"/>
      <c r="F3766" s="6"/>
      <c r="G3766" s="6"/>
    </row>
    <row r="3767" spans="1:7" x14ac:dyDescent="0.25">
      <c r="A3767" s="6" t="s">
        <v>4290</v>
      </c>
      <c r="B3767" s="6"/>
      <c r="C3767" s="6"/>
      <c r="D3767" s="6"/>
      <c r="E3767" s="6"/>
      <c r="F3767" s="6"/>
      <c r="G3767" s="6"/>
    </row>
    <row r="3768" spans="1:7" x14ac:dyDescent="0.25">
      <c r="A3768" s="6" t="s">
        <v>4287</v>
      </c>
      <c r="B3768" s="6"/>
      <c r="C3768" s="6"/>
      <c r="D3768" s="6"/>
      <c r="E3768" s="6"/>
      <c r="F3768" s="6"/>
      <c r="G3768" s="6"/>
    </row>
    <row r="3769" spans="1:7" x14ac:dyDescent="0.25">
      <c r="A3769" s="6" t="s">
        <v>957</v>
      </c>
      <c r="B3769" s="6"/>
      <c r="C3769" s="6"/>
      <c r="D3769" s="6"/>
      <c r="E3769" s="6"/>
      <c r="F3769" s="6"/>
      <c r="G3769" s="6"/>
    </row>
    <row r="3770" spans="1:7" x14ac:dyDescent="0.25">
      <c r="A3770" s="6" t="s">
        <v>957</v>
      </c>
      <c r="B3770" s="6"/>
      <c r="C3770" s="6"/>
      <c r="D3770" s="6"/>
      <c r="E3770" s="6"/>
      <c r="F3770" s="6"/>
      <c r="G3770" s="6"/>
    </row>
    <row r="3771" spans="1:7" x14ac:dyDescent="0.25">
      <c r="A3771" s="6" t="s">
        <v>4281</v>
      </c>
      <c r="B3771" s="6"/>
      <c r="C3771" s="6"/>
      <c r="D3771" s="6"/>
      <c r="E3771" s="6"/>
      <c r="F3771" s="6"/>
      <c r="G3771" s="6"/>
    </row>
    <row r="3772" spans="1:7" x14ac:dyDescent="0.25">
      <c r="A3772" s="6" t="s">
        <v>4278</v>
      </c>
      <c r="B3772" s="6"/>
      <c r="C3772" s="6"/>
      <c r="D3772" s="6"/>
      <c r="E3772" s="6"/>
      <c r="F3772" s="6"/>
      <c r="G3772" s="6"/>
    </row>
    <row r="3773" spans="1:7" x14ac:dyDescent="0.25">
      <c r="A3773" s="6" t="s">
        <v>4275</v>
      </c>
      <c r="B3773" s="6"/>
      <c r="C3773" s="6"/>
      <c r="D3773" s="6"/>
      <c r="E3773" s="6"/>
      <c r="F3773" s="6"/>
      <c r="G3773" s="6"/>
    </row>
    <row r="3774" spans="1:7" x14ac:dyDescent="0.25">
      <c r="A3774" s="6" t="s">
        <v>5280</v>
      </c>
      <c r="B3774" s="6"/>
      <c r="C3774" s="6"/>
      <c r="D3774" s="6"/>
      <c r="E3774" s="6"/>
      <c r="F3774" s="6"/>
      <c r="G3774" s="6"/>
    </row>
    <row r="3775" spans="1:7" x14ac:dyDescent="0.25">
      <c r="A3775" s="6" t="s">
        <v>957</v>
      </c>
      <c r="B3775" s="6"/>
      <c r="C3775" s="6"/>
      <c r="D3775" s="6"/>
      <c r="E3775" s="6"/>
      <c r="F3775" s="6"/>
      <c r="G3775" s="6"/>
    </row>
    <row r="3776" spans="1:7" x14ac:dyDescent="0.25">
      <c r="A3776" s="6" t="s">
        <v>5276</v>
      </c>
      <c r="B3776" s="6"/>
      <c r="C3776" s="6"/>
      <c r="D3776" s="6"/>
      <c r="E3776" s="6"/>
      <c r="F3776" s="6"/>
      <c r="G3776" s="6"/>
    </row>
    <row r="3777" spans="1:7" x14ac:dyDescent="0.25">
      <c r="A3777" s="6" t="s">
        <v>5273</v>
      </c>
      <c r="B3777" s="6"/>
      <c r="C3777" s="6"/>
      <c r="D3777" s="6"/>
      <c r="E3777" s="6"/>
      <c r="F3777" s="6"/>
      <c r="G3777" s="6"/>
    </row>
    <row r="3778" spans="1:7" x14ac:dyDescent="0.25">
      <c r="A3778" s="6" t="s">
        <v>5270</v>
      </c>
      <c r="B3778" s="6"/>
      <c r="C3778" s="6"/>
      <c r="D3778" s="6"/>
      <c r="E3778" s="6"/>
      <c r="F3778" s="6"/>
      <c r="G3778" s="6"/>
    </row>
    <row r="3779" spans="1:7" x14ac:dyDescent="0.25">
      <c r="A3779" s="6" t="s">
        <v>957</v>
      </c>
      <c r="B3779" s="6"/>
      <c r="C3779" s="6"/>
      <c r="D3779" s="6"/>
      <c r="E3779" s="6"/>
      <c r="F3779" s="6"/>
      <c r="G3779" s="6"/>
    </row>
    <row r="3780" spans="1:7" x14ac:dyDescent="0.25">
      <c r="A3780" s="6" t="s">
        <v>5266</v>
      </c>
      <c r="B3780" s="6"/>
      <c r="C3780" s="6"/>
      <c r="D3780" s="6"/>
      <c r="E3780" s="6"/>
      <c r="F3780" s="6"/>
      <c r="G3780" s="6"/>
    </row>
    <row r="3781" spans="1:7" x14ac:dyDescent="0.25">
      <c r="A3781" s="6" t="s">
        <v>5263</v>
      </c>
      <c r="B3781" s="6"/>
      <c r="C3781" s="6"/>
      <c r="D3781" s="6"/>
      <c r="E3781" s="6"/>
      <c r="F3781" s="6"/>
      <c r="G3781" s="6"/>
    </row>
    <row r="3782" spans="1:7" x14ac:dyDescent="0.25">
      <c r="A3782" s="6" t="s">
        <v>5260</v>
      </c>
      <c r="B3782" s="6"/>
      <c r="C3782" s="6"/>
      <c r="D3782" s="6"/>
      <c r="E3782" s="6"/>
      <c r="F3782" s="6"/>
      <c r="G3782" s="6"/>
    </row>
    <row r="3783" spans="1:7" x14ac:dyDescent="0.25">
      <c r="A3783" s="6" t="s">
        <v>957</v>
      </c>
      <c r="B3783" s="6"/>
      <c r="C3783" s="6"/>
      <c r="D3783" s="6"/>
      <c r="E3783" s="6"/>
      <c r="F3783" s="6"/>
      <c r="G3783" s="6"/>
    </row>
    <row r="3784" spans="1:7" x14ac:dyDescent="0.25">
      <c r="A3784" s="6" t="s">
        <v>957</v>
      </c>
      <c r="B3784" s="6"/>
      <c r="C3784" s="6"/>
      <c r="D3784" s="6"/>
      <c r="E3784" s="6"/>
      <c r="F3784" s="6"/>
      <c r="G3784" s="6"/>
    </row>
    <row r="3785" spans="1:7" x14ac:dyDescent="0.25">
      <c r="A3785" s="6" t="s">
        <v>5254</v>
      </c>
      <c r="B3785" s="6"/>
      <c r="C3785" s="6"/>
      <c r="D3785" s="6"/>
      <c r="E3785" s="6"/>
      <c r="F3785" s="6"/>
      <c r="G3785" s="6"/>
    </row>
    <row r="3786" spans="1:7" x14ac:dyDescent="0.25">
      <c r="A3786" s="6" t="s">
        <v>5251</v>
      </c>
      <c r="B3786" s="6"/>
      <c r="C3786" s="6"/>
      <c r="D3786" s="6"/>
      <c r="E3786" s="6"/>
      <c r="F3786" s="6"/>
      <c r="G3786" s="6"/>
    </row>
    <row r="3787" spans="1:7" x14ac:dyDescent="0.25">
      <c r="A3787" s="6" t="s">
        <v>957</v>
      </c>
      <c r="B3787" s="6"/>
      <c r="C3787" s="6"/>
      <c r="D3787" s="6"/>
      <c r="E3787" s="6"/>
      <c r="F3787" s="6"/>
      <c r="G3787" s="6"/>
    </row>
    <row r="3788" spans="1:7" x14ac:dyDescent="0.25">
      <c r="A3788" s="6" t="s">
        <v>957</v>
      </c>
      <c r="B3788" s="6"/>
      <c r="C3788" s="6"/>
      <c r="D3788" s="6"/>
      <c r="E3788" s="6"/>
      <c r="F3788" s="6"/>
      <c r="G3788" s="6"/>
    </row>
    <row r="3789" spans="1:7" x14ac:dyDescent="0.25">
      <c r="A3789" s="6" t="s">
        <v>5246</v>
      </c>
      <c r="B3789" s="6"/>
      <c r="C3789" s="6"/>
      <c r="D3789" s="6"/>
      <c r="E3789" s="6"/>
      <c r="F3789" s="6"/>
      <c r="G3789" s="6"/>
    </row>
    <row r="3790" spans="1:7" x14ac:dyDescent="0.25">
      <c r="A3790" s="6" t="s">
        <v>5243</v>
      </c>
      <c r="B3790" s="6"/>
      <c r="C3790" s="6"/>
      <c r="D3790" s="6"/>
      <c r="E3790" s="6"/>
      <c r="F3790" s="6"/>
      <c r="G3790" s="6"/>
    </row>
    <row r="3791" spans="1:7" x14ac:dyDescent="0.25">
      <c r="A3791" s="6" t="s">
        <v>5240</v>
      </c>
      <c r="B3791" s="6"/>
      <c r="C3791" s="6"/>
      <c r="D3791" s="6"/>
      <c r="E3791" s="6"/>
      <c r="F3791" s="6"/>
      <c r="G3791" s="6"/>
    </row>
    <row r="3792" spans="1:7" x14ac:dyDescent="0.25">
      <c r="A3792" s="6" t="s">
        <v>5237</v>
      </c>
      <c r="B3792" s="6"/>
      <c r="C3792" s="6"/>
      <c r="D3792" s="6"/>
      <c r="E3792" s="6"/>
      <c r="F3792" s="6"/>
      <c r="G3792" s="6"/>
    </row>
    <row r="3793" spans="1:7" x14ac:dyDescent="0.25">
      <c r="A3793" s="6" t="s">
        <v>5234</v>
      </c>
      <c r="B3793" s="6"/>
      <c r="C3793" s="6"/>
      <c r="D3793" s="6"/>
      <c r="E3793" s="6"/>
      <c r="F3793" s="6"/>
      <c r="G3793" s="6"/>
    </row>
    <row r="3794" spans="1:7" x14ac:dyDescent="0.25">
      <c r="A3794" s="6" t="s">
        <v>5231</v>
      </c>
      <c r="B3794" s="6"/>
      <c r="C3794" s="6"/>
      <c r="D3794" s="6"/>
      <c r="E3794" s="6"/>
      <c r="F3794" s="6"/>
      <c r="G3794" s="6"/>
    </row>
    <row r="3795" spans="1:7" x14ac:dyDescent="0.25">
      <c r="A3795" s="6" t="s">
        <v>5228</v>
      </c>
      <c r="B3795" s="6"/>
      <c r="C3795" s="6"/>
      <c r="D3795" s="6"/>
      <c r="E3795" s="6"/>
      <c r="F3795" s="6"/>
      <c r="G3795" s="6"/>
    </row>
    <row r="3796" spans="1:7" x14ac:dyDescent="0.25">
      <c r="A3796" s="6" t="s">
        <v>5225</v>
      </c>
      <c r="B3796" s="6"/>
      <c r="C3796" s="6"/>
      <c r="D3796" s="6"/>
      <c r="E3796" s="6"/>
      <c r="F3796" s="6"/>
      <c r="G3796" s="6"/>
    </row>
    <row r="3797" spans="1:7" x14ac:dyDescent="0.25">
      <c r="A3797" s="6" t="s">
        <v>5222</v>
      </c>
      <c r="B3797" s="6"/>
      <c r="C3797" s="6"/>
      <c r="D3797" s="6"/>
      <c r="E3797" s="6"/>
      <c r="F3797" s="6"/>
      <c r="G3797" s="6"/>
    </row>
    <row r="3798" spans="1:7" x14ac:dyDescent="0.25">
      <c r="A3798" s="6" t="s">
        <v>5219</v>
      </c>
      <c r="B3798" s="6"/>
      <c r="C3798" s="6"/>
      <c r="D3798" s="6"/>
      <c r="E3798" s="6"/>
      <c r="F3798" s="6"/>
      <c r="G3798" s="6"/>
    </row>
    <row r="3799" spans="1:7" x14ac:dyDescent="0.25">
      <c r="A3799" s="6" t="s">
        <v>4197</v>
      </c>
      <c r="B3799" s="6"/>
      <c r="C3799" s="6"/>
      <c r="D3799" s="6"/>
      <c r="E3799" s="6"/>
      <c r="F3799" s="6"/>
      <c r="G3799" s="6"/>
    </row>
    <row r="3800" spans="1:7" x14ac:dyDescent="0.25">
      <c r="A3800" s="6" t="s">
        <v>4194</v>
      </c>
      <c r="B3800" s="6"/>
      <c r="C3800" s="6"/>
      <c r="D3800" s="6"/>
      <c r="E3800" s="6"/>
      <c r="F3800" s="6"/>
      <c r="G3800" s="6"/>
    </row>
    <row r="3801" spans="1:7" x14ac:dyDescent="0.25">
      <c r="A3801" s="6" t="s">
        <v>4191</v>
      </c>
      <c r="B3801" s="6"/>
      <c r="C3801" s="6"/>
      <c r="D3801" s="6"/>
      <c r="E3801" s="6"/>
      <c r="F3801" s="6"/>
      <c r="G3801" s="6"/>
    </row>
    <row r="3802" spans="1:7" x14ac:dyDescent="0.25">
      <c r="A3802" s="6" t="s">
        <v>4188</v>
      </c>
      <c r="B3802" s="6"/>
      <c r="C3802" s="6"/>
      <c r="D3802" s="6"/>
      <c r="E3802" s="6"/>
      <c r="F3802" s="6"/>
      <c r="G3802" s="6"/>
    </row>
    <row r="3803" spans="1:7" x14ac:dyDescent="0.25">
      <c r="A3803" s="6" t="s">
        <v>4185</v>
      </c>
      <c r="B3803" s="6"/>
      <c r="C3803" s="6"/>
      <c r="D3803" s="6"/>
      <c r="E3803" s="6"/>
      <c r="F3803" s="6"/>
      <c r="G3803" s="6"/>
    </row>
    <row r="3804" spans="1:7" x14ac:dyDescent="0.25">
      <c r="A3804" s="6" t="s">
        <v>4182</v>
      </c>
      <c r="B3804" s="6"/>
      <c r="C3804" s="6"/>
      <c r="D3804" s="6"/>
      <c r="E3804" s="6"/>
      <c r="F3804" s="6"/>
      <c r="G3804" s="6"/>
    </row>
    <row r="3805" spans="1:7" x14ac:dyDescent="0.25">
      <c r="A3805" s="6" t="s">
        <v>4179</v>
      </c>
      <c r="B3805" s="6"/>
      <c r="C3805" s="6"/>
      <c r="D3805" s="6"/>
      <c r="E3805" s="6"/>
      <c r="F3805" s="6"/>
      <c r="G3805" s="6"/>
    </row>
    <row r="3806" spans="1:7" x14ac:dyDescent="0.25">
      <c r="A3806" s="6" t="s">
        <v>4176</v>
      </c>
      <c r="B3806" s="6"/>
      <c r="C3806" s="6"/>
      <c r="D3806" s="6"/>
      <c r="E3806" s="6"/>
      <c r="F3806" s="6"/>
      <c r="G3806" s="6"/>
    </row>
    <row r="3807" spans="1:7" x14ac:dyDescent="0.25">
      <c r="A3807" s="6" t="s">
        <v>4173</v>
      </c>
      <c r="B3807" s="6"/>
      <c r="C3807" s="6"/>
      <c r="D3807" s="6"/>
      <c r="E3807" s="6"/>
      <c r="F3807" s="6"/>
      <c r="G3807" s="6"/>
    </row>
    <row r="3808" spans="1:7" x14ac:dyDescent="0.25">
      <c r="A3808" s="6" t="s">
        <v>14135</v>
      </c>
      <c r="B3808" s="6" t="s">
        <v>14136</v>
      </c>
      <c r="C3808" s="6"/>
      <c r="D3808" s="6"/>
      <c r="E3808" s="6"/>
      <c r="F3808" s="6"/>
      <c r="G3808" s="6"/>
    </row>
    <row r="3809" spans="1:7" x14ac:dyDescent="0.25">
      <c r="A3809" s="6" t="s">
        <v>5182</v>
      </c>
      <c r="B3809" s="6"/>
      <c r="C3809" s="6"/>
      <c r="D3809" s="6"/>
      <c r="E3809" s="6"/>
      <c r="F3809" s="6"/>
      <c r="G3809" s="6"/>
    </row>
    <row r="3810" spans="1:7" x14ac:dyDescent="0.25">
      <c r="A3810" s="6" t="s">
        <v>5180</v>
      </c>
      <c r="B3810" s="6"/>
      <c r="C3810" s="6"/>
      <c r="D3810" s="6"/>
      <c r="E3810" s="6"/>
      <c r="F3810" s="6"/>
      <c r="G3810" s="6"/>
    </row>
    <row r="3811" spans="1:7" x14ac:dyDescent="0.25">
      <c r="A3811" s="6" t="s">
        <v>5177</v>
      </c>
      <c r="B3811" s="6"/>
      <c r="C3811" s="6"/>
      <c r="D3811" s="6"/>
      <c r="E3811" s="6"/>
      <c r="F3811" s="6"/>
      <c r="G3811" s="6"/>
    </row>
    <row r="3812" spans="1:7" x14ac:dyDescent="0.25">
      <c r="A3812" s="6" t="s">
        <v>957</v>
      </c>
      <c r="B3812" s="6"/>
      <c r="C3812" s="6"/>
      <c r="D3812" s="6"/>
      <c r="E3812" s="6"/>
      <c r="F3812" s="6"/>
      <c r="G3812" s="6"/>
    </row>
    <row r="3813" spans="1:7" x14ac:dyDescent="0.25">
      <c r="A3813" s="6" t="s">
        <v>5173</v>
      </c>
      <c r="B3813" s="6"/>
      <c r="C3813" s="6"/>
      <c r="D3813" s="6"/>
      <c r="E3813" s="6"/>
      <c r="F3813" s="6"/>
      <c r="G3813" s="6"/>
    </row>
    <row r="3814" spans="1:7" x14ac:dyDescent="0.25">
      <c r="A3814" s="6" t="s">
        <v>5170</v>
      </c>
      <c r="B3814" s="6"/>
      <c r="C3814" s="6"/>
      <c r="D3814" s="6"/>
      <c r="E3814" s="6"/>
      <c r="F3814" s="6"/>
      <c r="G3814" s="6"/>
    </row>
    <row r="3815" spans="1:7" x14ac:dyDescent="0.25">
      <c r="A3815" s="6" t="s">
        <v>5167</v>
      </c>
      <c r="B3815" s="6"/>
      <c r="C3815" s="6"/>
      <c r="D3815" s="6"/>
      <c r="E3815" s="6"/>
      <c r="F3815" s="6"/>
      <c r="G3815" s="6"/>
    </row>
    <row r="3816" spans="1:7" x14ac:dyDescent="0.25">
      <c r="A3816" s="6" t="s">
        <v>5164</v>
      </c>
      <c r="B3816" s="6"/>
      <c r="C3816" s="6"/>
      <c r="D3816" s="6"/>
      <c r="E3816" s="6"/>
      <c r="F3816" s="6"/>
      <c r="G3816" s="6"/>
    </row>
    <row r="3817" spans="1:7" x14ac:dyDescent="0.25">
      <c r="A3817" s="6" t="s">
        <v>5161</v>
      </c>
      <c r="B3817" s="6"/>
      <c r="C3817" s="6"/>
      <c r="D3817" s="6"/>
      <c r="E3817" s="6"/>
      <c r="F3817" s="6"/>
      <c r="G3817" s="6"/>
    </row>
    <row r="3818" spans="1:7" x14ac:dyDescent="0.25">
      <c r="A3818" s="6" t="s">
        <v>5158</v>
      </c>
      <c r="B3818" s="6"/>
      <c r="C3818" s="6"/>
      <c r="D3818" s="6"/>
      <c r="E3818" s="6"/>
      <c r="F3818" s="6"/>
      <c r="G3818" s="6"/>
    </row>
    <row r="3819" spans="1:7" x14ac:dyDescent="0.25">
      <c r="A3819" s="6" t="s">
        <v>5155</v>
      </c>
      <c r="B3819" s="6"/>
      <c r="C3819" s="6"/>
      <c r="D3819" s="6"/>
      <c r="E3819" s="6"/>
      <c r="F3819" s="6"/>
      <c r="G3819" s="6"/>
    </row>
    <row r="3820" spans="1:7" x14ac:dyDescent="0.25">
      <c r="A3820" s="6" t="s">
        <v>5152</v>
      </c>
      <c r="B3820" s="6"/>
      <c r="C3820" s="6"/>
      <c r="D3820" s="6"/>
      <c r="E3820" s="6"/>
      <c r="F3820" s="6"/>
      <c r="G3820" s="6"/>
    </row>
    <row r="3821" spans="1:7" x14ac:dyDescent="0.25">
      <c r="A3821" s="6" t="s">
        <v>4123</v>
      </c>
      <c r="B3821" s="6"/>
      <c r="C3821" s="6"/>
      <c r="D3821" s="6"/>
      <c r="E3821" s="6"/>
      <c r="F3821" s="6"/>
      <c r="G3821" s="6"/>
    </row>
    <row r="3822" spans="1:7" x14ac:dyDescent="0.25">
      <c r="A3822" s="6" t="s">
        <v>957</v>
      </c>
      <c r="B3822" s="6"/>
      <c r="C3822" s="6"/>
      <c r="D3822" s="6"/>
      <c r="E3822" s="6"/>
      <c r="F3822" s="6"/>
      <c r="G3822" s="6"/>
    </row>
    <row r="3823" spans="1:7" x14ac:dyDescent="0.25">
      <c r="A3823" s="6" t="s">
        <v>4119</v>
      </c>
      <c r="B3823" s="6"/>
      <c r="C3823" s="6"/>
      <c r="D3823" s="6"/>
      <c r="E3823" s="6"/>
      <c r="F3823" s="6"/>
      <c r="G3823" s="6"/>
    </row>
    <row r="3824" spans="1:7" x14ac:dyDescent="0.25">
      <c r="A3824" s="6" t="s">
        <v>14137</v>
      </c>
      <c r="B3824" s="6" t="s">
        <v>14138</v>
      </c>
      <c r="C3824" s="6"/>
      <c r="D3824" s="6"/>
      <c r="E3824" s="6"/>
      <c r="F3824" s="6"/>
      <c r="G3824" s="6"/>
    </row>
    <row r="3825" spans="1:7" x14ac:dyDescent="0.25">
      <c r="A3825" s="6" t="s">
        <v>957</v>
      </c>
      <c r="B3825" s="6"/>
      <c r="C3825" s="6"/>
      <c r="D3825" s="6"/>
      <c r="E3825" s="6"/>
      <c r="F3825" s="6"/>
      <c r="G3825" s="6"/>
    </row>
    <row r="3826" spans="1:7" x14ac:dyDescent="0.25">
      <c r="A3826" s="6" t="s">
        <v>957</v>
      </c>
      <c r="B3826" s="6"/>
      <c r="C3826" s="6"/>
      <c r="D3826" s="6"/>
      <c r="E3826" s="6"/>
      <c r="F3826" s="6"/>
      <c r="G3826" s="6"/>
    </row>
    <row r="3827" spans="1:7" x14ac:dyDescent="0.25">
      <c r="A3827" s="6" t="s">
        <v>957</v>
      </c>
      <c r="B3827" s="6"/>
      <c r="C3827" s="6"/>
      <c r="D3827" s="6"/>
      <c r="E3827" s="6"/>
      <c r="F3827" s="6"/>
      <c r="G3827" s="6"/>
    </row>
    <row r="3828" spans="1:7" x14ac:dyDescent="0.25">
      <c r="A3828" s="6" t="s">
        <v>4111</v>
      </c>
      <c r="B3828" s="6"/>
      <c r="C3828" s="6"/>
      <c r="D3828" s="6"/>
      <c r="E3828" s="6"/>
      <c r="F3828" s="6"/>
      <c r="G3828" s="6"/>
    </row>
    <row r="3829" spans="1:7" x14ac:dyDescent="0.25">
      <c r="A3829" s="6" t="s">
        <v>4108</v>
      </c>
      <c r="B3829" s="6"/>
      <c r="C3829" s="6"/>
      <c r="D3829" s="6"/>
      <c r="E3829" s="6"/>
      <c r="F3829" s="6"/>
      <c r="G3829" s="6"/>
    </row>
    <row r="3830" spans="1:7" x14ac:dyDescent="0.25">
      <c r="A3830" s="6" t="s">
        <v>4105</v>
      </c>
      <c r="B3830" s="6"/>
      <c r="C3830" s="6"/>
      <c r="D3830" s="6"/>
      <c r="E3830" s="6"/>
      <c r="F3830" s="6"/>
      <c r="G3830" s="6"/>
    </row>
    <row r="3831" spans="1:7" x14ac:dyDescent="0.25">
      <c r="A3831" s="6" t="s">
        <v>957</v>
      </c>
      <c r="B3831" s="6"/>
      <c r="C3831" s="6"/>
      <c r="D3831" s="6"/>
      <c r="E3831" s="6"/>
      <c r="F3831" s="6"/>
      <c r="G3831" s="6"/>
    </row>
    <row r="3832" spans="1:7" x14ac:dyDescent="0.25">
      <c r="A3832" s="6" t="s">
        <v>957</v>
      </c>
      <c r="B3832" s="6"/>
      <c r="C3832" s="6"/>
      <c r="D3832" s="6"/>
      <c r="E3832" s="6"/>
      <c r="F3832" s="6"/>
      <c r="G3832" s="6"/>
    </row>
    <row r="3833" spans="1:7" x14ac:dyDescent="0.25">
      <c r="A3833" s="6" t="s">
        <v>957</v>
      </c>
      <c r="B3833" s="6"/>
      <c r="C3833" s="6"/>
      <c r="D3833" s="6"/>
      <c r="E3833" s="6"/>
      <c r="F3833" s="6"/>
      <c r="G3833" s="6"/>
    </row>
    <row r="3834" spans="1:7" x14ac:dyDescent="0.25">
      <c r="A3834" s="6" t="s">
        <v>957</v>
      </c>
      <c r="B3834" s="6"/>
      <c r="C3834" s="6"/>
      <c r="D3834" s="6"/>
      <c r="E3834" s="6"/>
      <c r="F3834" s="6"/>
      <c r="G3834" s="6"/>
    </row>
    <row r="3835" spans="1:7" x14ac:dyDescent="0.25">
      <c r="A3835" s="6" t="s">
        <v>957</v>
      </c>
      <c r="B3835" s="6"/>
      <c r="C3835" s="6"/>
      <c r="D3835" s="6"/>
      <c r="E3835" s="6"/>
      <c r="F3835" s="6"/>
      <c r="G3835" s="6"/>
    </row>
    <row r="3836" spans="1:7" x14ac:dyDescent="0.25">
      <c r="A3836" s="6" t="s">
        <v>4096</v>
      </c>
      <c r="B3836" s="6"/>
      <c r="C3836" s="6"/>
      <c r="D3836" s="6"/>
      <c r="E3836" s="6"/>
      <c r="F3836" s="6"/>
      <c r="G3836" s="6"/>
    </row>
    <row r="3837" spans="1:7" x14ac:dyDescent="0.25">
      <c r="A3837" s="6" t="s">
        <v>4093</v>
      </c>
      <c r="B3837" s="6"/>
      <c r="C3837" s="6"/>
      <c r="D3837" s="6"/>
      <c r="E3837" s="6"/>
      <c r="F3837" s="6"/>
      <c r="G3837" s="6"/>
    </row>
    <row r="3838" spans="1:7" x14ac:dyDescent="0.25">
      <c r="A3838" s="6" t="s">
        <v>957</v>
      </c>
      <c r="B3838" s="6"/>
      <c r="C3838" s="6"/>
      <c r="D3838" s="6"/>
      <c r="E3838" s="6"/>
      <c r="F3838" s="6"/>
      <c r="G3838" s="6"/>
    </row>
    <row r="3839" spans="1:7" x14ac:dyDescent="0.25">
      <c r="A3839" s="6" t="s">
        <v>4089</v>
      </c>
      <c r="B3839" s="6"/>
      <c r="C3839" s="6"/>
      <c r="D3839" s="6"/>
      <c r="E3839" s="6"/>
      <c r="F3839" s="6"/>
      <c r="G3839" s="6"/>
    </row>
    <row r="3840" spans="1:7" x14ac:dyDescent="0.25">
      <c r="A3840" s="6" t="s">
        <v>4086</v>
      </c>
      <c r="B3840" s="6"/>
      <c r="C3840" s="6"/>
      <c r="D3840" s="6"/>
      <c r="E3840" s="6"/>
      <c r="F3840" s="6"/>
      <c r="G3840" s="6"/>
    </row>
    <row r="3841" spans="1:7" x14ac:dyDescent="0.25">
      <c r="A3841" s="6" t="s">
        <v>957</v>
      </c>
      <c r="B3841" s="6"/>
      <c r="C3841" s="6"/>
      <c r="D3841" s="6"/>
      <c r="E3841" s="6"/>
      <c r="F3841" s="6"/>
      <c r="G3841" s="6"/>
    </row>
    <row r="3842" spans="1:7" x14ac:dyDescent="0.25">
      <c r="A3842" s="6" t="s">
        <v>4082</v>
      </c>
      <c r="B3842" s="6"/>
      <c r="C3842" s="6"/>
      <c r="D3842" s="6"/>
      <c r="E3842" s="6"/>
      <c r="F3842" s="6"/>
      <c r="G3842" s="6"/>
    </row>
    <row r="3843" spans="1:7" x14ac:dyDescent="0.25">
      <c r="A3843" s="6" t="s">
        <v>957</v>
      </c>
      <c r="B3843" s="6"/>
      <c r="C3843" s="6"/>
      <c r="D3843" s="6"/>
      <c r="E3843" s="6"/>
      <c r="F3843" s="6"/>
      <c r="G3843" s="6"/>
    </row>
    <row r="3844" spans="1:7" x14ac:dyDescent="0.25">
      <c r="A3844" s="6" t="s">
        <v>4077</v>
      </c>
      <c r="B3844" s="6"/>
      <c r="C3844" s="6"/>
      <c r="D3844" s="6"/>
      <c r="E3844" s="6"/>
      <c r="F3844" s="6"/>
      <c r="G3844" s="6"/>
    </row>
    <row r="3845" spans="1:7" x14ac:dyDescent="0.25">
      <c r="A3845" s="6" t="s">
        <v>957</v>
      </c>
      <c r="B3845" s="6"/>
      <c r="C3845" s="6"/>
      <c r="D3845" s="6"/>
      <c r="E3845" s="6"/>
      <c r="F3845" s="6"/>
      <c r="G3845" s="6"/>
    </row>
    <row r="3846" spans="1:7" x14ac:dyDescent="0.25">
      <c r="A3846" s="6" t="s">
        <v>4073</v>
      </c>
      <c r="B3846" s="6"/>
      <c r="C3846" s="6"/>
      <c r="D3846" s="6"/>
      <c r="E3846" s="6"/>
      <c r="F3846" s="6"/>
      <c r="G3846" s="6"/>
    </row>
    <row r="3847" spans="1:7" x14ac:dyDescent="0.25">
      <c r="A3847" s="6" t="s">
        <v>4070</v>
      </c>
      <c r="B3847" s="6"/>
      <c r="C3847" s="6"/>
      <c r="D3847" s="6"/>
      <c r="E3847" s="6"/>
      <c r="F3847" s="6"/>
      <c r="G3847" s="6"/>
    </row>
    <row r="3848" spans="1:7" x14ac:dyDescent="0.25">
      <c r="A3848" s="6" t="s">
        <v>4067</v>
      </c>
      <c r="B3848" s="6"/>
      <c r="C3848" s="6"/>
      <c r="D3848" s="6"/>
      <c r="E3848" s="6"/>
      <c r="F3848" s="6"/>
      <c r="G3848" s="6"/>
    </row>
    <row r="3849" spans="1:7" x14ac:dyDescent="0.25">
      <c r="A3849" s="6" t="s">
        <v>4064</v>
      </c>
      <c r="B3849" s="6"/>
      <c r="C3849" s="6"/>
      <c r="D3849" s="6"/>
      <c r="E3849" s="6"/>
      <c r="F3849" s="6"/>
      <c r="G3849" s="6"/>
    </row>
    <row r="3850" spans="1:7" x14ac:dyDescent="0.25">
      <c r="A3850" s="6" t="s">
        <v>4061</v>
      </c>
      <c r="B3850" s="6"/>
      <c r="C3850" s="6"/>
      <c r="D3850" s="6"/>
      <c r="E3850" s="6"/>
      <c r="F3850" s="6"/>
      <c r="G3850" s="6"/>
    </row>
    <row r="3851" spans="1:7" x14ac:dyDescent="0.25">
      <c r="A3851" s="6" t="s">
        <v>4058</v>
      </c>
      <c r="B3851" s="6"/>
      <c r="C3851" s="6"/>
      <c r="D3851" s="6"/>
      <c r="E3851" s="6"/>
      <c r="F3851" s="6"/>
      <c r="G3851" s="6"/>
    </row>
    <row r="3852" spans="1:7" x14ac:dyDescent="0.25">
      <c r="A3852" s="6" t="s">
        <v>4055</v>
      </c>
      <c r="B3852" s="6"/>
      <c r="C3852" s="6"/>
      <c r="D3852" s="6"/>
      <c r="E3852" s="6"/>
      <c r="F3852" s="6"/>
      <c r="G3852" s="6"/>
    </row>
    <row r="3853" spans="1:7" x14ac:dyDescent="0.25">
      <c r="A3853" s="6" t="s">
        <v>4053</v>
      </c>
      <c r="B3853" s="6"/>
      <c r="C3853" s="6"/>
      <c r="D3853" s="6"/>
      <c r="E3853" s="6"/>
      <c r="F3853" s="6"/>
      <c r="G3853" s="6"/>
    </row>
    <row r="3854" spans="1:7" x14ac:dyDescent="0.25">
      <c r="A3854" s="6" t="s">
        <v>957</v>
      </c>
      <c r="B3854" s="6"/>
      <c r="C3854" s="6"/>
      <c r="D3854" s="6"/>
      <c r="E3854" s="6"/>
      <c r="F3854" s="6"/>
      <c r="G3854" s="6"/>
    </row>
    <row r="3855" spans="1:7" x14ac:dyDescent="0.25">
      <c r="A3855" s="6" t="s">
        <v>4050</v>
      </c>
      <c r="B3855" s="6"/>
      <c r="C3855" s="6"/>
      <c r="D3855" s="6"/>
      <c r="E3855" s="6"/>
      <c r="F3855" s="6"/>
      <c r="G3855" s="6"/>
    </row>
    <row r="3856" spans="1:7" x14ac:dyDescent="0.25">
      <c r="A3856" s="6" t="s">
        <v>4047</v>
      </c>
      <c r="B3856" s="6"/>
      <c r="C3856" s="6"/>
      <c r="D3856" s="6"/>
      <c r="E3856" s="6"/>
      <c r="F3856" s="6"/>
      <c r="G3856" s="6"/>
    </row>
    <row r="3857" spans="1:7" x14ac:dyDescent="0.25">
      <c r="A3857" s="6" t="s">
        <v>4045</v>
      </c>
      <c r="B3857" s="6"/>
      <c r="C3857" s="6"/>
      <c r="D3857" s="6"/>
      <c r="E3857" s="6"/>
      <c r="F3857" s="6"/>
      <c r="G3857" s="6"/>
    </row>
    <row r="3858" spans="1:7" x14ac:dyDescent="0.25">
      <c r="A3858" s="6" t="s">
        <v>4042</v>
      </c>
      <c r="B3858" s="6"/>
      <c r="C3858" s="6"/>
      <c r="D3858" s="6"/>
      <c r="E3858" s="6"/>
      <c r="F3858" s="6"/>
      <c r="G3858" s="6"/>
    </row>
    <row r="3859" spans="1:7" x14ac:dyDescent="0.25">
      <c r="A3859" s="6" t="s">
        <v>14232</v>
      </c>
      <c r="B3859" s="6" t="s">
        <v>14233</v>
      </c>
      <c r="C3859" s="6"/>
      <c r="D3859" s="6"/>
      <c r="E3859" s="6"/>
      <c r="F3859" s="6"/>
      <c r="G3859" s="6"/>
    </row>
    <row r="3860" spans="1:7" x14ac:dyDescent="0.25">
      <c r="A3860" s="6" t="s">
        <v>4038</v>
      </c>
      <c r="B3860" s="6"/>
      <c r="C3860" s="6"/>
      <c r="D3860" s="6"/>
      <c r="E3860" s="6"/>
      <c r="F3860" s="6"/>
      <c r="G3860" s="6"/>
    </row>
    <row r="3861" spans="1:7" x14ac:dyDescent="0.25">
      <c r="A3861" s="6" t="s">
        <v>4036</v>
      </c>
      <c r="B3861" s="6"/>
      <c r="C3861" s="6"/>
      <c r="D3861" s="6"/>
      <c r="E3861" s="6"/>
      <c r="F3861" s="6"/>
      <c r="G3861" s="6"/>
    </row>
    <row r="3862" spans="1:7" x14ac:dyDescent="0.25">
      <c r="A3862" s="6" t="s">
        <v>957</v>
      </c>
      <c r="B3862" s="6"/>
      <c r="C3862" s="6"/>
      <c r="D3862" s="6"/>
      <c r="E3862" s="6"/>
      <c r="F3862" s="6"/>
      <c r="G3862" s="6"/>
    </row>
    <row r="3863" spans="1:7" x14ac:dyDescent="0.25">
      <c r="A3863" s="6" t="s">
        <v>957</v>
      </c>
      <c r="B3863" s="6"/>
      <c r="C3863" s="6"/>
      <c r="D3863" s="6"/>
      <c r="E3863" s="6"/>
      <c r="F3863" s="6"/>
      <c r="G3863" s="6"/>
    </row>
    <row r="3864" spans="1:7" x14ac:dyDescent="0.25">
      <c r="A3864" s="6" t="s">
        <v>4031</v>
      </c>
      <c r="B3864" s="6"/>
      <c r="C3864" s="6"/>
      <c r="D3864" s="6"/>
      <c r="E3864" s="6"/>
      <c r="F3864" s="6"/>
      <c r="G3864" s="6"/>
    </row>
    <row r="3865" spans="1:7" x14ac:dyDescent="0.25">
      <c r="A3865" s="6" t="s">
        <v>4028</v>
      </c>
      <c r="B3865" s="6"/>
      <c r="C3865" s="6"/>
      <c r="D3865" s="6"/>
      <c r="E3865" s="6"/>
      <c r="F3865" s="6"/>
      <c r="G3865" s="6"/>
    </row>
    <row r="3866" spans="1:7" x14ac:dyDescent="0.25">
      <c r="A3866" s="6" t="s">
        <v>4025</v>
      </c>
      <c r="B3866" s="6"/>
      <c r="C3866" s="6"/>
      <c r="D3866" s="6"/>
      <c r="E3866" s="6"/>
      <c r="F3866" s="6"/>
      <c r="G3866" s="6"/>
    </row>
    <row r="3867" spans="1:7" x14ac:dyDescent="0.25">
      <c r="A3867" s="6" t="s">
        <v>4022</v>
      </c>
      <c r="B3867" s="6"/>
      <c r="C3867" s="6"/>
      <c r="D3867" s="6"/>
      <c r="E3867" s="6"/>
      <c r="F3867" s="6"/>
      <c r="G3867" s="6"/>
    </row>
    <row r="3868" spans="1:7" x14ac:dyDescent="0.25">
      <c r="A3868" s="6" t="s">
        <v>4019</v>
      </c>
      <c r="B3868" s="6"/>
      <c r="C3868" s="6"/>
      <c r="D3868" s="6"/>
      <c r="E3868" s="6"/>
      <c r="F3868" s="6"/>
      <c r="G3868" s="6"/>
    </row>
    <row r="3869" spans="1:7" x14ac:dyDescent="0.25">
      <c r="A3869" s="6" t="s">
        <v>5059</v>
      </c>
      <c r="B3869" s="6"/>
      <c r="C3869" s="6"/>
      <c r="D3869" s="6"/>
      <c r="E3869" s="6"/>
      <c r="F3869" s="6"/>
      <c r="G3869" s="6"/>
    </row>
    <row r="3870" spans="1:7" x14ac:dyDescent="0.25">
      <c r="A3870" s="6" t="s">
        <v>5056</v>
      </c>
      <c r="B3870" s="6"/>
      <c r="C3870" s="6"/>
      <c r="D3870" s="6"/>
      <c r="E3870" s="6"/>
      <c r="F3870" s="6"/>
      <c r="G3870" s="6"/>
    </row>
    <row r="3871" spans="1:7" x14ac:dyDescent="0.25">
      <c r="A3871" s="6" t="s">
        <v>957</v>
      </c>
      <c r="B3871" s="6"/>
      <c r="C3871" s="6"/>
      <c r="D3871" s="6"/>
      <c r="E3871" s="6"/>
      <c r="F3871" s="6"/>
      <c r="G3871" s="6"/>
    </row>
    <row r="3872" spans="1:7" x14ac:dyDescent="0.25">
      <c r="A3872" s="6" t="s">
        <v>957</v>
      </c>
      <c r="B3872" s="6"/>
      <c r="C3872" s="6"/>
      <c r="D3872" s="6"/>
      <c r="E3872" s="6"/>
      <c r="F3872" s="6"/>
      <c r="G3872" s="6"/>
    </row>
    <row r="3873" spans="1:7" x14ac:dyDescent="0.25">
      <c r="A3873" s="6" t="s">
        <v>957</v>
      </c>
      <c r="B3873" s="6"/>
      <c r="C3873" s="6"/>
      <c r="D3873" s="6"/>
      <c r="E3873" s="6"/>
      <c r="F3873" s="6"/>
      <c r="G3873" s="6"/>
    </row>
    <row r="3874" spans="1:7" x14ac:dyDescent="0.25">
      <c r="A3874" s="6" t="s">
        <v>5050</v>
      </c>
      <c r="B3874" s="6"/>
      <c r="C3874" s="6"/>
      <c r="D3874" s="6"/>
      <c r="E3874" s="6"/>
      <c r="F3874" s="6"/>
      <c r="G3874" s="6"/>
    </row>
    <row r="3875" spans="1:7" x14ac:dyDescent="0.25">
      <c r="A3875" s="6" t="s">
        <v>5047</v>
      </c>
      <c r="B3875" s="6"/>
      <c r="C3875" s="6"/>
      <c r="D3875" s="6"/>
      <c r="E3875" s="6"/>
      <c r="F3875" s="6"/>
      <c r="G3875" s="6"/>
    </row>
    <row r="3876" spans="1:7" x14ac:dyDescent="0.25">
      <c r="A3876" s="6" t="s">
        <v>957</v>
      </c>
      <c r="B3876" s="6"/>
      <c r="C3876" s="6"/>
      <c r="D3876" s="6"/>
      <c r="E3876" s="6"/>
      <c r="F3876" s="6"/>
      <c r="G3876" s="6"/>
    </row>
    <row r="3877" spans="1:7" x14ac:dyDescent="0.25">
      <c r="A3877" s="6" t="s">
        <v>14086</v>
      </c>
      <c r="B3877" s="6" t="s">
        <v>14087</v>
      </c>
      <c r="C3877" s="6" t="s">
        <v>14088</v>
      </c>
      <c r="D3877" s="6" t="s">
        <v>14089</v>
      </c>
      <c r="E3877" s="6" t="s">
        <v>14090</v>
      </c>
      <c r="F3877" s="6"/>
      <c r="G3877" s="6"/>
    </row>
    <row r="3878" spans="1:7" x14ac:dyDescent="0.25">
      <c r="A3878" s="6" t="s">
        <v>14102</v>
      </c>
      <c r="B3878" s="6" t="s">
        <v>14104</v>
      </c>
      <c r="C3878" s="6" t="s">
        <v>14105</v>
      </c>
      <c r="D3878" s="6" t="s">
        <v>14106</v>
      </c>
      <c r="E3878" s="6" t="s">
        <v>14107</v>
      </c>
      <c r="F3878" s="6" t="s">
        <v>14108</v>
      </c>
      <c r="G3878" s="6"/>
    </row>
    <row r="3879" spans="1:7" x14ac:dyDescent="0.25">
      <c r="A3879" s="6" t="s">
        <v>957</v>
      </c>
      <c r="B3879" s="6"/>
      <c r="C3879" s="6"/>
      <c r="D3879" s="6"/>
      <c r="E3879" s="6"/>
      <c r="F3879" s="6"/>
      <c r="G3879" s="6"/>
    </row>
    <row r="3880" spans="1:7" x14ac:dyDescent="0.25">
      <c r="A3880" s="6" t="s">
        <v>5004</v>
      </c>
      <c r="B3880" s="6"/>
      <c r="C3880" s="6"/>
      <c r="D3880" s="6"/>
      <c r="E3880" s="6"/>
      <c r="F3880" s="6"/>
      <c r="G3880" s="6"/>
    </row>
    <row r="3881" spans="1:7" x14ac:dyDescent="0.25">
      <c r="A3881" s="6" t="s">
        <v>957</v>
      </c>
      <c r="B3881" s="6"/>
      <c r="C3881" s="6"/>
      <c r="D3881" s="6"/>
      <c r="E3881" s="6"/>
      <c r="F3881" s="6"/>
      <c r="G3881" s="6"/>
    </row>
    <row r="3882" spans="1:7" x14ac:dyDescent="0.25">
      <c r="A3882" s="6" t="s">
        <v>957</v>
      </c>
      <c r="B3882" s="6"/>
      <c r="C3882" s="6"/>
      <c r="D3882" s="6"/>
      <c r="E3882" s="6"/>
      <c r="F3882" s="6"/>
      <c r="G3882" s="6"/>
    </row>
    <row r="3883" spans="1:7" x14ac:dyDescent="0.25">
      <c r="A3883" s="6" t="s">
        <v>4999</v>
      </c>
      <c r="B3883" s="6"/>
      <c r="C3883" s="6"/>
      <c r="D3883" s="6"/>
      <c r="E3883" s="6"/>
      <c r="F3883" s="6"/>
      <c r="G3883" s="6"/>
    </row>
    <row r="3884" spans="1:7" x14ac:dyDescent="0.25">
      <c r="A3884" s="6" t="s">
        <v>4996</v>
      </c>
      <c r="B3884" s="6"/>
      <c r="C3884" s="6"/>
      <c r="D3884" s="6"/>
      <c r="E3884" s="6"/>
      <c r="F3884" s="6"/>
      <c r="G3884" s="6"/>
    </row>
    <row r="3885" spans="1:7" x14ac:dyDescent="0.25">
      <c r="A3885" s="6" t="s">
        <v>4993</v>
      </c>
      <c r="B3885" s="6"/>
      <c r="C3885" s="6"/>
      <c r="D3885" s="6"/>
      <c r="E3885" s="6"/>
      <c r="F3885" s="6"/>
      <c r="G3885" s="6"/>
    </row>
    <row r="3886" spans="1:7" x14ac:dyDescent="0.25">
      <c r="A3886" s="6" t="s">
        <v>957</v>
      </c>
      <c r="B3886" s="6"/>
      <c r="C3886" s="6"/>
      <c r="D3886" s="6"/>
      <c r="E3886" s="6"/>
      <c r="F3886" s="6"/>
      <c r="G3886" s="6"/>
    </row>
    <row r="3887" spans="1:7" x14ac:dyDescent="0.25">
      <c r="A3887" s="6" t="s">
        <v>4989</v>
      </c>
      <c r="B3887" s="6"/>
      <c r="C3887" s="6"/>
      <c r="D3887" s="6"/>
      <c r="E3887" s="6"/>
      <c r="F3887" s="6"/>
      <c r="G3887" s="6"/>
    </row>
    <row r="3888" spans="1:7" x14ac:dyDescent="0.25">
      <c r="A3888" s="6" t="s">
        <v>4986</v>
      </c>
      <c r="B3888" s="6"/>
      <c r="C3888" s="6"/>
      <c r="D3888" s="6"/>
      <c r="E3888" s="6"/>
      <c r="F3888" s="6"/>
      <c r="G3888" s="6"/>
    </row>
    <row r="3889" spans="1:7" x14ac:dyDescent="0.25">
      <c r="A3889" s="6" t="s">
        <v>4984</v>
      </c>
      <c r="B3889" s="6"/>
      <c r="C3889" s="6"/>
      <c r="D3889" s="6"/>
      <c r="E3889" s="6"/>
      <c r="F3889" s="6"/>
      <c r="G3889" s="6"/>
    </row>
    <row r="3890" spans="1:7" x14ac:dyDescent="0.25">
      <c r="A3890" s="6" t="s">
        <v>4981</v>
      </c>
      <c r="B3890" s="6"/>
      <c r="C3890" s="6"/>
      <c r="D3890" s="6"/>
      <c r="E3890" s="6"/>
      <c r="F3890" s="6"/>
      <c r="G3890" s="6"/>
    </row>
    <row r="3891" spans="1:7" x14ac:dyDescent="0.25">
      <c r="A3891" s="6" t="s">
        <v>957</v>
      </c>
      <c r="B3891" s="6"/>
      <c r="C3891" s="6"/>
      <c r="D3891" s="6"/>
      <c r="E3891" s="6"/>
      <c r="F3891" s="6"/>
      <c r="G3891" s="6"/>
    </row>
    <row r="3892" spans="1:7" x14ac:dyDescent="0.25">
      <c r="A3892" s="6" t="s">
        <v>4977</v>
      </c>
      <c r="B3892" s="6"/>
      <c r="C3892" s="6"/>
      <c r="D3892" s="6"/>
      <c r="E3892" s="6"/>
      <c r="F3892" s="6"/>
      <c r="G3892" s="6"/>
    </row>
    <row r="3893" spans="1:7" x14ac:dyDescent="0.25">
      <c r="A3893" s="6" t="s">
        <v>4974</v>
      </c>
      <c r="B3893" s="6"/>
      <c r="C3893" s="6"/>
      <c r="D3893" s="6"/>
      <c r="E3893" s="6"/>
      <c r="F3893" s="6"/>
      <c r="G3893" s="6"/>
    </row>
    <row r="3894" spans="1:7" x14ac:dyDescent="0.25">
      <c r="A3894" s="6" t="s">
        <v>4971</v>
      </c>
      <c r="B3894" s="6"/>
      <c r="C3894" s="6"/>
      <c r="D3894" s="6"/>
      <c r="E3894" s="6"/>
      <c r="F3894" s="6"/>
      <c r="G3894" s="6"/>
    </row>
    <row r="3895" spans="1:7" x14ac:dyDescent="0.25">
      <c r="A3895" s="6" t="s">
        <v>4968</v>
      </c>
      <c r="B3895" s="6"/>
      <c r="C3895" s="6"/>
      <c r="D3895" s="6"/>
      <c r="E3895" s="6"/>
      <c r="F3895" s="6"/>
      <c r="G3895" s="6"/>
    </row>
    <row r="3896" spans="1:7" x14ac:dyDescent="0.25">
      <c r="A3896" s="6" t="s">
        <v>4965</v>
      </c>
      <c r="B3896" s="6"/>
      <c r="C3896" s="6"/>
      <c r="D3896" s="6"/>
      <c r="E3896" s="6"/>
      <c r="F3896" s="6"/>
      <c r="G3896" s="6"/>
    </row>
    <row r="3897" spans="1:7" x14ac:dyDescent="0.25">
      <c r="A3897" s="6" t="s">
        <v>4962</v>
      </c>
      <c r="B3897" s="6"/>
      <c r="C3897" s="6"/>
      <c r="D3897" s="6"/>
      <c r="E3897" s="6"/>
      <c r="F3897" s="6"/>
      <c r="G3897" s="6"/>
    </row>
    <row r="3898" spans="1:7" x14ac:dyDescent="0.25">
      <c r="A3898" s="6" t="s">
        <v>957</v>
      </c>
      <c r="B3898" s="6"/>
      <c r="C3898" s="6"/>
      <c r="D3898" s="6"/>
      <c r="E3898" s="6"/>
      <c r="F3898" s="6"/>
      <c r="G3898" s="6"/>
    </row>
    <row r="3899" spans="1:7" x14ac:dyDescent="0.25">
      <c r="A3899" s="6" t="s">
        <v>4958</v>
      </c>
      <c r="B3899" s="6"/>
      <c r="C3899" s="6"/>
      <c r="D3899" s="6"/>
      <c r="E3899" s="6"/>
      <c r="F3899" s="6"/>
      <c r="G3899" s="6"/>
    </row>
    <row r="3900" spans="1:7" x14ac:dyDescent="0.25">
      <c r="A3900" s="6" t="s">
        <v>957</v>
      </c>
      <c r="B3900" s="6"/>
      <c r="C3900" s="6"/>
      <c r="D3900" s="6"/>
      <c r="E3900" s="6"/>
      <c r="F3900" s="6"/>
      <c r="G3900" s="6"/>
    </row>
    <row r="3901" spans="1:7" x14ac:dyDescent="0.25">
      <c r="A3901" s="6" t="s">
        <v>4954</v>
      </c>
      <c r="B3901" s="6"/>
      <c r="C3901" s="6"/>
      <c r="D3901" s="6"/>
      <c r="E3901" s="6"/>
      <c r="F3901" s="6"/>
      <c r="G3901" s="6"/>
    </row>
    <row r="3902" spans="1:7" x14ac:dyDescent="0.25">
      <c r="A3902" s="6" t="s">
        <v>4951</v>
      </c>
      <c r="B3902" s="6"/>
      <c r="C3902" s="6"/>
      <c r="D3902" s="6"/>
      <c r="E3902" s="6"/>
      <c r="F3902" s="6"/>
      <c r="G3902" s="6"/>
    </row>
    <row r="3903" spans="1:7" x14ac:dyDescent="0.25">
      <c r="A3903" s="6" t="s">
        <v>957</v>
      </c>
      <c r="B3903" s="6"/>
      <c r="C3903" s="6"/>
      <c r="D3903" s="6"/>
      <c r="E3903" s="6"/>
      <c r="F3903" s="6"/>
      <c r="G3903" s="6"/>
    </row>
    <row r="3904" spans="1:7" x14ac:dyDescent="0.25">
      <c r="A3904" s="6" t="s">
        <v>14171</v>
      </c>
      <c r="B3904" s="6" t="s">
        <v>14172</v>
      </c>
      <c r="C3904" s="6"/>
      <c r="D3904" s="6"/>
      <c r="E3904" s="6"/>
      <c r="F3904" s="6"/>
      <c r="G3904" s="6"/>
    </row>
    <row r="3905" spans="1:7" x14ac:dyDescent="0.25">
      <c r="A3905" s="6" t="s">
        <v>4945</v>
      </c>
      <c r="B3905" s="6"/>
      <c r="C3905" s="6"/>
      <c r="D3905" s="6"/>
      <c r="E3905" s="6"/>
      <c r="F3905" s="6"/>
      <c r="G3905" s="6"/>
    </row>
    <row r="3906" spans="1:7" x14ac:dyDescent="0.25">
      <c r="A3906" s="6" t="s">
        <v>14173</v>
      </c>
      <c r="B3906" s="6" t="s">
        <v>14174</v>
      </c>
      <c r="C3906" s="6"/>
      <c r="D3906" s="6"/>
      <c r="E3906" s="6"/>
      <c r="F3906" s="6"/>
      <c r="G3906" s="6"/>
    </row>
    <row r="3907" spans="1:7" x14ac:dyDescent="0.25">
      <c r="A3907" s="6" t="s">
        <v>4940</v>
      </c>
      <c r="B3907" s="6"/>
      <c r="C3907" s="6"/>
      <c r="D3907" s="6"/>
      <c r="E3907" s="6"/>
      <c r="F3907" s="6"/>
      <c r="G3907" s="6"/>
    </row>
    <row r="3908" spans="1:7" x14ac:dyDescent="0.25">
      <c r="A3908" s="6" t="s">
        <v>4937</v>
      </c>
      <c r="B3908" s="6"/>
      <c r="C3908" s="6"/>
      <c r="D3908" s="6"/>
      <c r="E3908" s="6"/>
      <c r="F3908" s="6"/>
      <c r="G3908" s="6"/>
    </row>
    <row r="3909" spans="1:7" x14ac:dyDescent="0.25">
      <c r="A3909" s="6" t="s">
        <v>4934</v>
      </c>
      <c r="B3909" s="6"/>
      <c r="C3909" s="6"/>
      <c r="D3909" s="6"/>
      <c r="E3909" s="6"/>
      <c r="F3909" s="6"/>
      <c r="G3909" s="6"/>
    </row>
    <row r="3910" spans="1:7" x14ac:dyDescent="0.25">
      <c r="A3910" s="6" t="s">
        <v>957</v>
      </c>
      <c r="B3910" s="6"/>
      <c r="C3910" s="6"/>
      <c r="D3910" s="6"/>
      <c r="E3910" s="6"/>
      <c r="F3910" s="6"/>
      <c r="G3910" s="6"/>
    </row>
    <row r="3911" spans="1:7" x14ac:dyDescent="0.25">
      <c r="A3911" s="6" t="s">
        <v>4930</v>
      </c>
      <c r="B3911" s="6"/>
      <c r="C3911" s="6"/>
      <c r="D3911" s="6"/>
      <c r="E3911" s="6"/>
      <c r="F3911" s="6"/>
      <c r="G3911" s="6"/>
    </row>
    <row r="3912" spans="1:7" x14ac:dyDescent="0.25">
      <c r="A3912" s="6" t="s">
        <v>4927</v>
      </c>
      <c r="B3912" s="6"/>
      <c r="C3912" s="6"/>
      <c r="D3912" s="6"/>
      <c r="E3912" s="6"/>
      <c r="F3912" s="6"/>
      <c r="G3912" s="6"/>
    </row>
    <row r="3913" spans="1:7" x14ac:dyDescent="0.25">
      <c r="A3913" s="6" t="s">
        <v>4924</v>
      </c>
      <c r="B3913" s="6"/>
      <c r="C3913" s="6"/>
      <c r="D3913" s="6"/>
      <c r="E3913" s="6"/>
      <c r="F3913" s="6"/>
      <c r="G3913" s="6"/>
    </row>
    <row r="3914" spans="1:7" x14ac:dyDescent="0.25">
      <c r="A3914" s="6" t="s">
        <v>4921</v>
      </c>
      <c r="B3914" s="6"/>
      <c r="C3914" s="6"/>
      <c r="D3914" s="6"/>
      <c r="E3914" s="6"/>
      <c r="F3914" s="6"/>
      <c r="G3914" s="6"/>
    </row>
    <row r="3915" spans="1:7" x14ac:dyDescent="0.25">
      <c r="A3915" s="6" t="s">
        <v>957</v>
      </c>
      <c r="B3915" s="6"/>
      <c r="C3915" s="6"/>
      <c r="D3915" s="6"/>
      <c r="E3915" s="6"/>
      <c r="F3915" s="6"/>
      <c r="G3915" s="6"/>
    </row>
    <row r="3916" spans="1:7" x14ac:dyDescent="0.25">
      <c r="A3916" s="6" t="s">
        <v>957</v>
      </c>
      <c r="B3916" s="6"/>
      <c r="C3916" s="6"/>
      <c r="D3916" s="6"/>
      <c r="E3916" s="6"/>
      <c r="F3916" s="6"/>
      <c r="G3916" s="6"/>
    </row>
    <row r="3917" spans="1:7" x14ac:dyDescent="0.25">
      <c r="A3917" s="6" t="s">
        <v>4916</v>
      </c>
      <c r="B3917" s="6"/>
      <c r="C3917" s="6"/>
      <c r="D3917" s="6"/>
      <c r="E3917" s="6"/>
      <c r="F3917" s="6"/>
      <c r="G3917" s="6"/>
    </row>
    <row r="3918" spans="1:7" x14ac:dyDescent="0.25">
      <c r="A3918" s="6" t="s">
        <v>3856</v>
      </c>
      <c r="B3918" s="6"/>
      <c r="C3918" s="6"/>
      <c r="D3918" s="6"/>
      <c r="E3918" s="6"/>
      <c r="F3918" s="6"/>
      <c r="G3918" s="6"/>
    </row>
    <row r="3919" spans="1:7" x14ac:dyDescent="0.25">
      <c r="A3919" s="6" t="s">
        <v>3853</v>
      </c>
      <c r="B3919" s="6"/>
      <c r="C3919" s="6"/>
      <c r="D3919" s="6"/>
      <c r="E3919" s="6"/>
      <c r="F3919" s="6"/>
      <c r="G3919" s="6"/>
    </row>
    <row r="3920" spans="1:7" x14ac:dyDescent="0.25">
      <c r="A3920" s="6" t="s">
        <v>3850</v>
      </c>
      <c r="B3920" s="6"/>
      <c r="C3920" s="6"/>
      <c r="D3920" s="6"/>
      <c r="E3920" s="6"/>
      <c r="F3920" s="6"/>
      <c r="G3920" s="6"/>
    </row>
    <row r="3921" spans="1:7" x14ac:dyDescent="0.25">
      <c r="A3921" s="6" t="s">
        <v>3847</v>
      </c>
      <c r="B3921" s="6"/>
      <c r="C3921" s="6"/>
      <c r="D3921" s="6"/>
      <c r="E3921" s="6"/>
      <c r="F3921" s="6"/>
      <c r="G3921" s="6"/>
    </row>
    <row r="3922" spans="1:7" x14ac:dyDescent="0.25">
      <c r="A3922" s="6" t="s">
        <v>3844</v>
      </c>
      <c r="B3922" s="6"/>
      <c r="C3922" s="6"/>
      <c r="D3922" s="6"/>
      <c r="E3922" s="6"/>
      <c r="F3922" s="6"/>
      <c r="G3922" s="6"/>
    </row>
    <row r="3923" spans="1:7" x14ac:dyDescent="0.25">
      <c r="A3923" s="6" t="s">
        <v>3841</v>
      </c>
      <c r="B3923" s="6"/>
      <c r="C3923" s="6"/>
      <c r="D3923" s="6"/>
      <c r="E3923" s="6"/>
      <c r="F3923" s="6"/>
      <c r="G3923" s="6"/>
    </row>
    <row r="3924" spans="1:7" x14ac:dyDescent="0.25">
      <c r="A3924" s="6" t="s">
        <v>3838</v>
      </c>
      <c r="B3924" s="6"/>
      <c r="C3924" s="6"/>
      <c r="D3924" s="6"/>
      <c r="E3924" s="6"/>
      <c r="F3924" s="6"/>
      <c r="G3924" s="6"/>
    </row>
    <row r="3925" spans="1:7" x14ac:dyDescent="0.25">
      <c r="A3925" s="6" t="s">
        <v>957</v>
      </c>
      <c r="B3925" s="6"/>
      <c r="C3925" s="6"/>
      <c r="D3925" s="6"/>
      <c r="E3925" s="6"/>
      <c r="F3925" s="6"/>
      <c r="G3925" s="6"/>
    </row>
    <row r="3926" spans="1:7" x14ac:dyDescent="0.25">
      <c r="A3926" s="6" t="s">
        <v>3834</v>
      </c>
      <c r="B3926" s="6"/>
      <c r="C3926" s="6"/>
      <c r="D3926" s="6"/>
      <c r="E3926" s="6"/>
      <c r="F3926" s="6"/>
      <c r="G3926" s="6"/>
    </row>
    <row r="3927" spans="1:7" x14ac:dyDescent="0.25">
      <c r="A3927" s="6" t="s">
        <v>2783</v>
      </c>
      <c r="B3927" s="6"/>
      <c r="C3927" s="6"/>
      <c r="D3927" s="6"/>
      <c r="E3927" s="6"/>
      <c r="F3927" s="6"/>
      <c r="G3927" s="6"/>
    </row>
    <row r="3928" spans="1:7" x14ac:dyDescent="0.25">
      <c r="A3928" s="6" t="s">
        <v>957</v>
      </c>
      <c r="B3928" s="6"/>
      <c r="C3928" s="6"/>
      <c r="D3928" s="6"/>
      <c r="E3928" s="6"/>
      <c r="F3928" s="6"/>
      <c r="G3928" s="6"/>
    </row>
    <row r="3929" spans="1:7" x14ac:dyDescent="0.25">
      <c r="A3929" s="6" t="s">
        <v>4875</v>
      </c>
      <c r="B3929" s="6"/>
      <c r="C3929" s="6"/>
      <c r="D3929" s="6"/>
      <c r="E3929" s="6"/>
      <c r="F3929" s="6"/>
      <c r="G3929" s="6"/>
    </row>
    <row r="3930" spans="1:7" x14ac:dyDescent="0.25">
      <c r="A3930" s="6" t="s">
        <v>957</v>
      </c>
      <c r="B3930" s="6"/>
      <c r="C3930" s="6"/>
      <c r="D3930" s="6"/>
      <c r="E3930" s="6"/>
      <c r="F3930" s="6"/>
      <c r="G3930" s="6"/>
    </row>
    <row r="3931" spans="1:7" x14ac:dyDescent="0.25">
      <c r="A3931" s="6" t="s">
        <v>4871</v>
      </c>
      <c r="B3931" s="6"/>
      <c r="C3931" s="6"/>
      <c r="D3931" s="6"/>
      <c r="E3931" s="6"/>
      <c r="F3931" s="6"/>
      <c r="G3931" s="6"/>
    </row>
    <row r="3932" spans="1:7" x14ac:dyDescent="0.25">
      <c r="A3932" s="6" t="s">
        <v>4868</v>
      </c>
      <c r="B3932" s="6"/>
      <c r="C3932" s="6"/>
      <c r="D3932" s="6"/>
      <c r="E3932" s="6"/>
      <c r="F3932" s="6"/>
      <c r="G3932" s="6"/>
    </row>
    <row r="3933" spans="1:7" x14ac:dyDescent="0.25">
      <c r="A3933" s="6" t="s">
        <v>4865</v>
      </c>
      <c r="B3933" s="6"/>
      <c r="C3933" s="6"/>
      <c r="D3933" s="6"/>
      <c r="E3933" s="6"/>
      <c r="F3933" s="6"/>
      <c r="G3933" s="6"/>
    </row>
    <row r="3934" spans="1:7" x14ac:dyDescent="0.25">
      <c r="A3934" s="6" t="s">
        <v>4862</v>
      </c>
      <c r="B3934" s="6"/>
      <c r="C3934" s="6"/>
      <c r="D3934" s="6"/>
      <c r="E3934" s="6"/>
      <c r="F3934" s="6"/>
      <c r="G3934" s="6"/>
    </row>
    <row r="3935" spans="1:7" x14ac:dyDescent="0.25">
      <c r="A3935" s="6" t="s">
        <v>3831</v>
      </c>
      <c r="B3935" s="6"/>
      <c r="C3935" s="6"/>
      <c r="D3935" s="6"/>
      <c r="E3935" s="6"/>
      <c r="F3935" s="6"/>
      <c r="G3935" s="6"/>
    </row>
    <row r="3936" spans="1:7" x14ac:dyDescent="0.25">
      <c r="A3936" s="6" t="s">
        <v>3828</v>
      </c>
      <c r="B3936" s="6"/>
      <c r="C3936" s="6"/>
      <c r="D3936" s="6"/>
      <c r="E3936" s="6"/>
      <c r="F3936" s="6"/>
      <c r="G3936" s="6"/>
    </row>
    <row r="3937" spans="1:7" x14ac:dyDescent="0.25">
      <c r="A3937" s="6" t="s">
        <v>3825</v>
      </c>
      <c r="B3937" s="6"/>
      <c r="C3937" s="6"/>
      <c r="D3937" s="6"/>
      <c r="E3937" s="6"/>
      <c r="F3937" s="6"/>
      <c r="G3937" s="6"/>
    </row>
    <row r="3938" spans="1:7" x14ac:dyDescent="0.25">
      <c r="A3938" s="6" t="s">
        <v>3822</v>
      </c>
      <c r="B3938" s="6"/>
      <c r="C3938" s="6"/>
      <c r="D3938" s="6"/>
      <c r="E3938" s="6"/>
      <c r="F3938" s="6"/>
      <c r="G3938" s="6"/>
    </row>
    <row r="3939" spans="1:7" x14ac:dyDescent="0.25">
      <c r="A3939" s="6" t="s">
        <v>3819</v>
      </c>
      <c r="B3939" s="6"/>
      <c r="C3939" s="6"/>
      <c r="D3939" s="6"/>
      <c r="E3939" s="6"/>
      <c r="F3939" s="6"/>
      <c r="G3939" s="6"/>
    </row>
    <row r="3940" spans="1:7" x14ac:dyDescent="0.25">
      <c r="A3940" s="6" t="s">
        <v>14232</v>
      </c>
      <c r="B3940" s="6" t="s">
        <v>14233</v>
      </c>
      <c r="C3940" s="6"/>
      <c r="D3940" s="6"/>
      <c r="E3940" s="6"/>
      <c r="F3940" s="6"/>
      <c r="G3940" s="6"/>
    </row>
    <row r="3941" spans="1:7" x14ac:dyDescent="0.25">
      <c r="A3941" s="6" t="s">
        <v>3814</v>
      </c>
      <c r="B3941" s="6"/>
      <c r="C3941" s="6"/>
      <c r="D3941" s="6"/>
      <c r="E3941" s="6"/>
      <c r="F3941" s="6"/>
      <c r="G3941" s="6"/>
    </row>
    <row r="3942" spans="1:7" x14ac:dyDescent="0.25">
      <c r="A3942" s="6" t="s">
        <v>3811</v>
      </c>
      <c r="B3942" s="6"/>
      <c r="C3942" s="6"/>
      <c r="D3942" s="6"/>
      <c r="E3942" s="6"/>
      <c r="F3942" s="6"/>
      <c r="G3942" s="6"/>
    </row>
    <row r="3943" spans="1:7" x14ac:dyDescent="0.25">
      <c r="A3943" s="6" t="s">
        <v>3809</v>
      </c>
      <c r="B3943" s="6"/>
      <c r="C3943" s="6"/>
      <c r="D3943" s="6"/>
      <c r="E3943" s="6"/>
      <c r="F3943" s="6"/>
      <c r="G3943" s="6"/>
    </row>
    <row r="3944" spans="1:7" x14ac:dyDescent="0.25">
      <c r="A3944" s="6" t="s">
        <v>3806</v>
      </c>
      <c r="B3944" s="6"/>
      <c r="C3944" s="6"/>
      <c r="D3944" s="6"/>
      <c r="E3944" s="6"/>
      <c r="F3944" s="6"/>
      <c r="G3944" s="6"/>
    </row>
    <row r="3945" spans="1:7" x14ac:dyDescent="0.25">
      <c r="A3945" s="6" t="s">
        <v>3803</v>
      </c>
      <c r="B3945" s="6"/>
      <c r="C3945" s="6"/>
      <c r="D3945" s="6"/>
      <c r="E3945" s="6"/>
      <c r="F3945" s="6"/>
      <c r="G3945" s="6"/>
    </row>
    <row r="3946" spans="1:7" x14ac:dyDescent="0.25">
      <c r="A3946" s="6" t="s">
        <v>3800</v>
      </c>
      <c r="B3946" s="6"/>
      <c r="C3946" s="6"/>
      <c r="D3946" s="6"/>
      <c r="E3946" s="6"/>
      <c r="F3946" s="6"/>
      <c r="G3946" s="6"/>
    </row>
    <row r="3947" spans="1:7" x14ac:dyDescent="0.25">
      <c r="A3947" s="6" t="s">
        <v>3797</v>
      </c>
      <c r="B3947" s="6"/>
      <c r="C3947" s="6"/>
      <c r="D3947" s="6"/>
      <c r="E3947" s="6"/>
      <c r="F3947" s="6"/>
      <c r="G3947" s="6"/>
    </row>
    <row r="3948" spans="1:7" x14ac:dyDescent="0.25">
      <c r="A3948" s="6" t="s">
        <v>3795</v>
      </c>
      <c r="B3948" s="6"/>
      <c r="C3948" s="6"/>
      <c r="D3948" s="6"/>
      <c r="E3948" s="6"/>
      <c r="F3948" s="6"/>
      <c r="G3948" s="6"/>
    </row>
    <row r="3949" spans="1:7" x14ac:dyDescent="0.25">
      <c r="A3949" s="6" t="s">
        <v>3792</v>
      </c>
      <c r="B3949" s="6"/>
      <c r="C3949" s="6"/>
      <c r="D3949" s="6"/>
      <c r="E3949" s="6"/>
      <c r="F3949" s="6"/>
      <c r="G3949" s="6"/>
    </row>
    <row r="3950" spans="1:7" x14ac:dyDescent="0.25">
      <c r="A3950" s="6" t="s">
        <v>3789</v>
      </c>
      <c r="B3950" s="6"/>
      <c r="C3950" s="6"/>
      <c r="D3950" s="6"/>
      <c r="E3950" s="6"/>
      <c r="F3950" s="6"/>
      <c r="G3950" s="6"/>
    </row>
    <row r="3951" spans="1:7" x14ac:dyDescent="0.25">
      <c r="A3951" s="6" t="s">
        <v>3786</v>
      </c>
      <c r="B3951" s="6"/>
      <c r="C3951" s="6"/>
      <c r="D3951" s="6"/>
      <c r="E3951" s="6"/>
      <c r="F3951" s="6"/>
      <c r="G3951" s="6"/>
    </row>
    <row r="3952" spans="1:7" x14ac:dyDescent="0.25">
      <c r="A3952" s="6" t="s">
        <v>3783</v>
      </c>
      <c r="B3952" s="6"/>
      <c r="C3952" s="6"/>
      <c r="D3952" s="6"/>
      <c r="E3952" s="6"/>
      <c r="F3952" s="6"/>
      <c r="G3952" s="6"/>
    </row>
    <row r="3953" spans="1:7" x14ac:dyDescent="0.25">
      <c r="A3953" s="6" t="s">
        <v>3780</v>
      </c>
      <c r="B3953" s="6"/>
      <c r="C3953" s="6"/>
      <c r="D3953" s="6"/>
      <c r="E3953" s="6"/>
      <c r="F3953" s="6"/>
      <c r="G3953" s="6"/>
    </row>
    <row r="3954" spans="1:7" x14ac:dyDescent="0.25">
      <c r="A3954" s="6" t="s">
        <v>3777</v>
      </c>
      <c r="B3954" s="6"/>
      <c r="C3954" s="6"/>
      <c r="D3954" s="6"/>
      <c r="E3954" s="6"/>
      <c r="F3954" s="6"/>
      <c r="G3954" s="6"/>
    </row>
    <row r="3955" spans="1:7" x14ac:dyDescent="0.25">
      <c r="A3955" s="6" t="s">
        <v>3774</v>
      </c>
      <c r="B3955" s="6"/>
      <c r="C3955" s="6"/>
      <c r="D3955" s="6"/>
      <c r="E3955" s="6"/>
      <c r="F3955" s="6"/>
      <c r="G3955" s="6"/>
    </row>
    <row r="3956" spans="1:7" x14ac:dyDescent="0.25">
      <c r="A3956" s="6" t="s">
        <v>957</v>
      </c>
      <c r="B3956" s="6"/>
      <c r="C3956" s="6"/>
      <c r="D3956" s="6"/>
      <c r="E3956" s="6"/>
      <c r="F3956" s="6"/>
      <c r="G3956" s="6"/>
    </row>
    <row r="3957" spans="1:7" x14ac:dyDescent="0.25">
      <c r="A3957" s="6" t="s">
        <v>3769</v>
      </c>
      <c r="B3957" s="6"/>
      <c r="C3957" s="6"/>
      <c r="D3957" s="6"/>
      <c r="E3957" s="6"/>
      <c r="F3957" s="6"/>
      <c r="G3957" s="6"/>
    </row>
    <row r="3958" spans="1:7" x14ac:dyDescent="0.25">
      <c r="A3958" s="6" t="s">
        <v>3766</v>
      </c>
      <c r="B3958" s="6"/>
      <c r="C3958" s="6"/>
      <c r="D3958" s="6"/>
      <c r="E3958" s="6"/>
      <c r="F3958" s="6"/>
      <c r="G3958" s="6"/>
    </row>
    <row r="3959" spans="1:7" x14ac:dyDescent="0.25">
      <c r="A3959" s="6" t="s">
        <v>957</v>
      </c>
      <c r="B3959" s="6"/>
      <c r="C3959" s="6"/>
      <c r="D3959" s="6"/>
      <c r="E3959" s="6"/>
      <c r="F3959" s="6"/>
      <c r="G3959" s="6"/>
    </row>
    <row r="3960" spans="1:7" x14ac:dyDescent="0.25">
      <c r="A3960" s="6" t="s">
        <v>957</v>
      </c>
      <c r="B3960" s="6"/>
      <c r="C3960" s="6"/>
      <c r="D3960" s="6"/>
      <c r="E3960" s="6"/>
      <c r="F3960" s="6"/>
      <c r="G3960" s="6"/>
    </row>
    <row r="3961" spans="1:7" x14ac:dyDescent="0.25">
      <c r="A3961" s="6" t="s">
        <v>957</v>
      </c>
      <c r="B3961" s="6"/>
      <c r="C3961" s="6"/>
      <c r="D3961" s="6"/>
      <c r="E3961" s="6"/>
      <c r="F3961" s="6"/>
      <c r="G3961" s="6"/>
    </row>
    <row r="3962" spans="1:7" x14ac:dyDescent="0.25">
      <c r="A3962" s="6" t="s">
        <v>3760</v>
      </c>
      <c r="B3962" s="6"/>
      <c r="C3962" s="6"/>
      <c r="D3962" s="6"/>
      <c r="E3962" s="6"/>
      <c r="F3962" s="6"/>
      <c r="G3962" s="6"/>
    </row>
    <row r="3963" spans="1:7" x14ac:dyDescent="0.25">
      <c r="A3963" s="6" t="s">
        <v>4799</v>
      </c>
      <c r="B3963" s="6"/>
      <c r="C3963" s="6"/>
      <c r="D3963" s="6"/>
      <c r="E3963" s="6"/>
      <c r="F3963" s="6"/>
      <c r="G3963" s="6"/>
    </row>
    <row r="3964" spans="1:7" x14ac:dyDescent="0.25">
      <c r="A3964" s="6" t="s">
        <v>957</v>
      </c>
      <c r="B3964" s="6"/>
      <c r="C3964" s="6"/>
      <c r="D3964" s="6"/>
      <c r="E3964" s="6"/>
      <c r="F3964" s="6"/>
      <c r="G3964" s="6"/>
    </row>
    <row r="3965" spans="1:7" x14ac:dyDescent="0.25">
      <c r="A3965" s="6" t="s">
        <v>4795</v>
      </c>
      <c r="B3965" s="6"/>
      <c r="C3965" s="6"/>
      <c r="D3965" s="6"/>
      <c r="E3965" s="6"/>
      <c r="F3965" s="6"/>
      <c r="G3965" s="6"/>
    </row>
    <row r="3966" spans="1:7" x14ac:dyDescent="0.25">
      <c r="A3966" s="6" t="s">
        <v>4792</v>
      </c>
      <c r="B3966" s="6"/>
      <c r="C3966" s="6"/>
      <c r="D3966" s="6"/>
      <c r="E3966" s="6"/>
      <c r="F3966" s="6"/>
      <c r="G3966" s="6"/>
    </row>
    <row r="3967" spans="1:7" x14ac:dyDescent="0.25">
      <c r="A3967" s="6" t="s">
        <v>4789</v>
      </c>
      <c r="B3967" s="6"/>
      <c r="C3967" s="6"/>
      <c r="D3967" s="6"/>
      <c r="E3967" s="6"/>
      <c r="F3967" s="6"/>
      <c r="G3967" s="6"/>
    </row>
    <row r="3968" spans="1:7" x14ac:dyDescent="0.25">
      <c r="A3968" s="6" t="s">
        <v>4787</v>
      </c>
      <c r="B3968" s="6"/>
      <c r="C3968" s="6"/>
      <c r="D3968" s="6"/>
      <c r="E3968" s="6"/>
      <c r="F3968" s="6"/>
      <c r="G3968" s="6"/>
    </row>
    <row r="3969" spans="1:7" x14ac:dyDescent="0.25">
      <c r="A3969" s="6" t="s">
        <v>4785</v>
      </c>
      <c r="B3969" s="6"/>
      <c r="C3969" s="6"/>
      <c r="D3969" s="6"/>
      <c r="E3969" s="6"/>
      <c r="F3969" s="6"/>
      <c r="G3969" s="6"/>
    </row>
    <row r="3970" spans="1:7" x14ac:dyDescent="0.25">
      <c r="A3970" s="6" t="s">
        <v>4782</v>
      </c>
      <c r="B3970" s="6"/>
      <c r="C3970" s="6"/>
      <c r="D3970" s="6"/>
      <c r="E3970" s="6"/>
      <c r="F3970" s="6"/>
      <c r="G3970" s="6"/>
    </row>
    <row r="3971" spans="1:7" x14ac:dyDescent="0.25">
      <c r="A3971" s="6" t="s">
        <v>957</v>
      </c>
      <c r="B3971" s="6"/>
      <c r="C3971" s="6"/>
      <c r="D3971" s="6"/>
      <c r="E3971" s="6"/>
      <c r="F3971" s="6"/>
      <c r="G3971" s="6"/>
    </row>
    <row r="3972" spans="1:7" x14ac:dyDescent="0.25">
      <c r="A3972" s="6" t="s">
        <v>4778</v>
      </c>
      <c r="B3972" s="6"/>
      <c r="C3972" s="6"/>
      <c r="D3972" s="6"/>
      <c r="E3972" s="6"/>
      <c r="F3972" s="6"/>
      <c r="G3972" s="6"/>
    </row>
    <row r="3973" spans="1:7" x14ac:dyDescent="0.25">
      <c r="A3973" s="6" t="s">
        <v>4775</v>
      </c>
      <c r="B3973" s="6"/>
      <c r="C3973" s="6"/>
      <c r="D3973" s="6"/>
      <c r="E3973" s="6"/>
      <c r="F3973" s="6"/>
      <c r="G3973" s="6"/>
    </row>
    <row r="3974" spans="1:7" x14ac:dyDescent="0.25">
      <c r="A3974" s="6" t="s">
        <v>4772</v>
      </c>
      <c r="B3974" s="6"/>
      <c r="C3974" s="6"/>
      <c r="D3974" s="6"/>
      <c r="E3974" s="6"/>
      <c r="F3974" s="6"/>
      <c r="G3974" s="6"/>
    </row>
    <row r="3975" spans="1:7" x14ac:dyDescent="0.25">
      <c r="A3975" s="6" t="s">
        <v>4769</v>
      </c>
      <c r="B3975" s="6"/>
      <c r="C3975" s="6"/>
      <c r="D3975" s="6"/>
      <c r="E3975" s="6"/>
      <c r="F3975" s="6"/>
      <c r="G3975" s="6"/>
    </row>
    <row r="3976" spans="1:7" x14ac:dyDescent="0.25">
      <c r="A3976" s="6" t="s">
        <v>957</v>
      </c>
      <c r="B3976" s="6"/>
      <c r="C3976" s="6"/>
      <c r="D3976" s="6"/>
      <c r="E3976" s="6"/>
      <c r="F3976" s="6"/>
      <c r="G3976" s="6"/>
    </row>
    <row r="3977" spans="1:7" x14ac:dyDescent="0.25">
      <c r="A3977" s="6" t="s">
        <v>4765</v>
      </c>
      <c r="B3977" s="6"/>
      <c r="C3977" s="6"/>
      <c r="D3977" s="6"/>
      <c r="E3977" s="6"/>
      <c r="F3977" s="6"/>
      <c r="G3977" s="6"/>
    </row>
    <row r="3978" spans="1:7" x14ac:dyDescent="0.25">
      <c r="A3978" s="6" t="s">
        <v>4762</v>
      </c>
      <c r="B3978" s="6"/>
      <c r="C3978" s="6"/>
      <c r="D3978" s="6"/>
      <c r="E3978" s="6"/>
      <c r="F3978" s="6"/>
      <c r="G3978" s="6"/>
    </row>
    <row r="3979" spans="1:7" x14ac:dyDescent="0.25">
      <c r="A3979" s="6" t="s">
        <v>4759</v>
      </c>
      <c r="B3979" s="6"/>
      <c r="C3979" s="6"/>
      <c r="D3979" s="6"/>
      <c r="E3979" s="6"/>
      <c r="F3979" s="6"/>
      <c r="G3979" s="6"/>
    </row>
    <row r="3980" spans="1:7" x14ac:dyDescent="0.25">
      <c r="A3980" s="6" t="s">
        <v>4756</v>
      </c>
      <c r="B3980" s="6"/>
      <c r="C3980" s="6"/>
      <c r="D3980" s="6"/>
      <c r="E3980" s="6"/>
      <c r="F3980" s="6"/>
      <c r="G3980" s="6"/>
    </row>
    <row r="3981" spans="1:7" x14ac:dyDescent="0.25">
      <c r="A3981" s="6" t="s">
        <v>4753</v>
      </c>
      <c r="B3981" s="6"/>
      <c r="C3981" s="6"/>
      <c r="D3981" s="6"/>
      <c r="E3981" s="6"/>
      <c r="F3981" s="6"/>
      <c r="G3981" s="6"/>
    </row>
    <row r="3982" spans="1:7" x14ac:dyDescent="0.25">
      <c r="A3982" s="6" t="s">
        <v>4750</v>
      </c>
      <c r="B3982" s="6"/>
      <c r="C3982" s="6"/>
      <c r="D3982" s="6"/>
      <c r="E3982" s="6"/>
      <c r="F3982" s="6"/>
      <c r="G3982" s="6"/>
    </row>
    <row r="3983" spans="1:7" x14ac:dyDescent="0.25">
      <c r="A3983" s="6" t="s">
        <v>957</v>
      </c>
      <c r="B3983" s="6"/>
      <c r="C3983" s="6"/>
      <c r="D3983" s="6"/>
      <c r="E3983" s="6"/>
      <c r="F3983" s="6"/>
      <c r="G3983" s="6"/>
    </row>
    <row r="3984" spans="1:7" x14ac:dyDescent="0.25">
      <c r="A3984" s="6" t="s">
        <v>957</v>
      </c>
      <c r="B3984" s="6"/>
      <c r="C3984" s="6"/>
      <c r="D3984" s="6"/>
      <c r="E3984" s="6"/>
      <c r="F3984" s="6"/>
      <c r="G3984" s="6"/>
    </row>
    <row r="3985" spans="1:7" x14ac:dyDescent="0.25">
      <c r="A3985" s="6" t="s">
        <v>4743</v>
      </c>
      <c r="B3985" s="6"/>
      <c r="C3985" s="6"/>
      <c r="D3985" s="6"/>
      <c r="E3985" s="6"/>
      <c r="F3985" s="6"/>
      <c r="G3985" s="6"/>
    </row>
    <row r="3986" spans="1:7" x14ac:dyDescent="0.25">
      <c r="A3986" s="6" t="s">
        <v>4740</v>
      </c>
      <c r="B3986" s="6"/>
      <c r="C3986" s="6"/>
      <c r="D3986" s="6"/>
      <c r="E3986" s="6"/>
      <c r="F3986" s="6"/>
      <c r="G3986" s="6"/>
    </row>
    <row r="3987" spans="1:7" x14ac:dyDescent="0.25">
      <c r="A3987" s="6" t="s">
        <v>4737</v>
      </c>
      <c r="B3987" s="6"/>
      <c r="C3987" s="6"/>
      <c r="D3987" s="6"/>
      <c r="E3987" s="6"/>
      <c r="F3987" s="6"/>
      <c r="G3987" s="6"/>
    </row>
    <row r="3988" spans="1:7" x14ac:dyDescent="0.25">
      <c r="A3988" s="6" t="s">
        <v>3699</v>
      </c>
      <c r="B3988" s="6"/>
      <c r="C3988" s="6"/>
      <c r="D3988" s="6"/>
      <c r="E3988" s="6"/>
      <c r="F3988" s="6"/>
      <c r="G3988" s="6"/>
    </row>
    <row r="3989" spans="1:7" x14ac:dyDescent="0.25">
      <c r="A3989" s="6" t="s">
        <v>3696</v>
      </c>
      <c r="B3989" s="6"/>
      <c r="C3989" s="6"/>
      <c r="D3989" s="6"/>
      <c r="E3989" s="6"/>
      <c r="F3989" s="6"/>
      <c r="G3989" s="6"/>
    </row>
    <row r="3990" spans="1:7" x14ac:dyDescent="0.25">
      <c r="A3990" s="6" t="s">
        <v>3693</v>
      </c>
      <c r="B3990" s="6"/>
      <c r="C3990" s="6"/>
      <c r="D3990" s="6"/>
      <c r="E3990" s="6"/>
      <c r="F3990" s="6"/>
      <c r="G3990" s="6"/>
    </row>
    <row r="3991" spans="1:7" x14ac:dyDescent="0.25">
      <c r="A3991" s="6" t="s">
        <v>3690</v>
      </c>
      <c r="B3991" s="6"/>
      <c r="C3991" s="6"/>
      <c r="D3991" s="6"/>
      <c r="E3991" s="6"/>
      <c r="F3991" s="6"/>
      <c r="G3991" s="6"/>
    </row>
    <row r="3992" spans="1:7" x14ac:dyDescent="0.25">
      <c r="A3992" s="6" t="s">
        <v>3687</v>
      </c>
      <c r="B3992" s="6"/>
      <c r="C3992" s="6"/>
      <c r="D3992" s="6"/>
      <c r="E3992" s="6"/>
      <c r="F3992" s="6"/>
      <c r="G3992" s="6"/>
    </row>
    <row r="3993" spans="1:7" x14ac:dyDescent="0.25">
      <c r="A3993" s="6" t="s">
        <v>3684</v>
      </c>
      <c r="B3993" s="6"/>
      <c r="C3993" s="6"/>
      <c r="D3993" s="6"/>
      <c r="E3993" s="6"/>
      <c r="F3993" s="6"/>
      <c r="G3993" s="6"/>
    </row>
    <row r="3994" spans="1:7" x14ac:dyDescent="0.25">
      <c r="A3994" s="6" t="s">
        <v>3681</v>
      </c>
      <c r="B3994" s="6"/>
      <c r="C3994" s="6"/>
      <c r="D3994" s="6"/>
      <c r="E3994" s="6"/>
      <c r="F3994" s="6"/>
      <c r="G3994" s="6"/>
    </row>
    <row r="3995" spans="1:7" x14ac:dyDescent="0.25">
      <c r="A3995" s="6" t="s">
        <v>957</v>
      </c>
      <c r="B3995" s="6"/>
      <c r="C3995" s="6"/>
      <c r="D3995" s="6"/>
      <c r="E3995" s="6"/>
      <c r="F3995" s="6"/>
      <c r="G3995" s="6"/>
    </row>
    <row r="3996" spans="1:7" x14ac:dyDescent="0.25">
      <c r="A3996" s="6" t="s">
        <v>3677</v>
      </c>
      <c r="B3996" s="6"/>
      <c r="C3996" s="6"/>
      <c r="D3996" s="6"/>
      <c r="E3996" s="6"/>
      <c r="F3996" s="6"/>
      <c r="G3996" s="6"/>
    </row>
    <row r="3997" spans="1:7" x14ac:dyDescent="0.25">
      <c r="A3997" s="6" t="s">
        <v>4705</v>
      </c>
      <c r="B3997" s="6"/>
      <c r="C3997" s="6"/>
      <c r="D3997" s="6"/>
      <c r="E3997" s="6"/>
      <c r="F3997" s="6"/>
      <c r="G3997" s="6"/>
    </row>
    <row r="3998" spans="1:7" x14ac:dyDescent="0.25">
      <c r="A3998" s="6" t="s">
        <v>4702</v>
      </c>
      <c r="B3998" s="6"/>
      <c r="C3998" s="6"/>
      <c r="D3998" s="6"/>
      <c r="E3998" s="6"/>
      <c r="F3998" s="6"/>
      <c r="G3998" s="6"/>
    </row>
    <row r="3999" spans="1:7" x14ac:dyDescent="0.25">
      <c r="A3999" s="6" t="s">
        <v>4699</v>
      </c>
      <c r="B3999" s="6"/>
      <c r="C3999" s="6"/>
      <c r="D3999" s="6"/>
      <c r="E3999" s="6"/>
      <c r="F3999" s="6"/>
      <c r="G3999" s="6"/>
    </row>
    <row r="4000" spans="1:7" x14ac:dyDescent="0.25">
      <c r="A4000" s="6" t="s">
        <v>957</v>
      </c>
      <c r="B4000" s="6"/>
      <c r="C4000" s="6"/>
      <c r="D4000" s="6"/>
      <c r="E4000" s="6"/>
      <c r="F4000" s="6"/>
      <c r="G4000" s="6"/>
    </row>
    <row r="4001" spans="1:7" x14ac:dyDescent="0.25">
      <c r="A4001" s="6" t="s">
        <v>4695</v>
      </c>
      <c r="B4001" s="6"/>
      <c r="C4001" s="6"/>
      <c r="D4001" s="6"/>
      <c r="E4001" s="6"/>
      <c r="F4001" s="6"/>
      <c r="G4001" s="6"/>
    </row>
    <row r="4002" spans="1:7" x14ac:dyDescent="0.25">
      <c r="A4002" s="6" t="s">
        <v>4692</v>
      </c>
      <c r="B4002" s="6"/>
      <c r="C4002" s="6"/>
      <c r="D4002" s="6"/>
      <c r="E4002" s="6"/>
      <c r="F4002" s="6"/>
      <c r="G4002" s="6"/>
    </row>
    <row r="4003" spans="1:7" x14ac:dyDescent="0.25">
      <c r="A4003" s="6" t="s">
        <v>4689</v>
      </c>
      <c r="B4003" s="6"/>
      <c r="C4003" s="6"/>
      <c r="D4003" s="6"/>
      <c r="E4003" s="6"/>
      <c r="F4003" s="6"/>
      <c r="G4003" s="6"/>
    </row>
    <row r="4004" spans="1:7" x14ac:dyDescent="0.25">
      <c r="A4004" s="6" t="s">
        <v>4686</v>
      </c>
      <c r="B4004" s="6"/>
      <c r="C4004" s="6"/>
      <c r="D4004" s="6"/>
      <c r="E4004" s="6"/>
      <c r="F4004" s="6"/>
      <c r="G4004" s="6"/>
    </row>
    <row r="4005" spans="1:7" x14ac:dyDescent="0.25">
      <c r="A4005" s="6" t="s">
        <v>4683</v>
      </c>
      <c r="B4005" s="6"/>
      <c r="C4005" s="6"/>
      <c r="D4005" s="6"/>
      <c r="E4005" s="6"/>
      <c r="F4005" s="6"/>
      <c r="G4005" s="6"/>
    </row>
    <row r="4006" spans="1:7" x14ac:dyDescent="0.25">
      <c r="A4006" s="6" t="s">
        <v>957</v>
      </c>
      <c r="B4006" s="6"/>
      <c r="C4006" s="6"/>
      <c r="D4006" s="6"/>
      <c r="E4006" s="6"/>
      <c r="F4006" s="6"/>
      <c r="G4006" s="6"/>
    </row>
    <row r="4007" spans="1:7" x14ac:dyDescent="0.25">
      <c r="A4007" s="6" t="s">
        <v>4679</v>
      </c>
      <c r="B4007" s="6"/>
      <c r="C4007" s="6"/>
      <c r="D4007" s="6"/>
      <c r="E4007" s="6"/>
      <c r="F4007" s="6"/>
      <c r="G4007" s="6"/>
    </row>
    <row r="4008" spans="1:7" x14ac:dyDescent="0.25">
      <c r="A4008" s="6" t="s">
        <v>957</v>
      </c>
      <c r="B4008" s="6"/>
      <c r="C4008" s="6"/>
      <c r="D4008" s="6"/>
      <c r="E4008" s="6"/>
      <c r="F4008" s="6"/>
      <c r="G4008" s="6"/>
    </row>
    <row r="4009" spans="1:7" x14ac:dyDescent="0.25">
      <c r="A4009" s="6" t="s">
        <v>957</v>
      </c>
      <c r="B4009" s="6"/>
      <c r="C4009" s="6"/>
      <c r="D4009" s="6"/>
      <c r="E4009" s="6"/>
      <c r="F4009" s="6"/>
      <c r="G4009" s="6"/>
    </row>
    <row r="4010" spans="1:7" x14ac:dyDescent="0.25">
      <c r="A4010" s="6" t="s">
        <v>957</v>
      </c>
      <c r="B4010" s="6"/>
      <c r="C4010" s="6"/>
      <c r="D4010" s="6"/>
      <c r="E4010" s="6"/>
      <c r="F4010" s="6"/>
      <c r="G4010" s="6"/>
    </row>
    <row r="4011" spans="1:7" x14ac:dyDescent="0.25">
      <c r="A4011" s="6" t="s">
        <v>4673</v>
      </c>
      <c r="B4011" s="6"/>
      <c r="C4011" s="6"/>
      <c r="D4011" s="6"/>
      <c r="E4011" s="6"/>
      <c r="F4011" s="6"/>
      <c r="G4011" s="6"/>
    </row>
    <row r="4012" spans="1:7" x14ac:dyDescent="0.25">
      <c r="A4012" s="6" t="s">
        <v>4670</v>
      </c>
      <c r="B4012" s="6"/>
      <c r="C4012" s="6"/>
      <c r="D4012" s="6"/>
      <c r="E4012" s="6"/>
      <c r="F4012" s="6"/>
      <c r="G4012" s="6"/>
    </row>
    <row r="4013" spans="1:7" x14ac:dyDescent="0.25">
      <c r="A4013" s="6" t="s">
        <v>4667</v>
      </c>
      <c r="B4013" s="6"/>
      <c r="C4013" s="6"/>
      <c r="D4013" s="6"/>
      <c r="E4013" s="6"/>
      <c r="F4013" s="6"/>
      <c r="G4013" s="6"/>
    </row>
    <row r="4014" spans="1:7" x14ac:dyDescent="0.25">
      <c r="A4014" s="6" t="s">
        <v>3620</v>
      </c>
      <c r="B4014" s="6"/>
      <c r="C4014" s="6"/>
      <c r="D4014" s="6"/>
      <c r="E4014" s="6"/>
      <c r="F4014" s="6"/>
      <c r="G4014" s="6"/>
    </row>
    <row r="4015" spans="1:7" x14ac:dyDescent="0.25">
      <c r="A4015" s="6" t="s">
        <v>957</v>
      </c>
      <c r="B4015" s="6"/>
      <c r="C4015" s="6"/>
      <c r="D4015" s="6"/>
      <c r="E4015" s="6"/>
      <c r="F4015" s="6"/>
      <c r="G4015" s="6"/>
    </row>
    <row r="4016" spans="1:7" x14ac:dyDescent="0.25">
      <c r="A4016" s="6" t="s">
        <v>957</v>
      </c>
      <c r="B4016" s="6"/>
      <c r="C4016" s="6"/>
      <c r="D4016" s="6"/>
      <c r="E4016" s="6"/>
      <c r="F4016" s="6"/>
      <c r="G4016" s="6"/>
    </row>
    <row r="4017" spans="1:7" x14ac:dyDescent="0.25">
      <c r="A4017" s="6" t="s">
        <v>3614</v>
      </c>
      <c r="B4017" s="6"/>
      <c r="C4017" s="6"/>
      <c r="D4017" s="6"/>
      <c r="E4017" s="6"/>
      <c r="F4017" s="6"/>
      <c r="G4017" s="6"/>
    </row>
    <row r="4018" spans="1:7" x14ac:dyDescent="0.25">
      <c r="A4018" s="6" t="s">
        <v>3611</v>
      </c>
      <c r="B4018" s="6"/>
      <c r="C4018" s="6"/>
      <c r="D4018" s="6"/>
      <c r="E4018" s="6"/>
      <c r="F4018" s="6"/>
      <c r="G4018" s="6"/>
    </row>
    <row r="4019" spans="1:7" x14ac:dyDescent="0.25">
      <c r="A4019" s="6" t="s">
        <v>3608</v>
      </c>
      <c r="B4019" s="6"/>
      <c r="C4019" s="6"/>
      <c r="D4019" s="6"/>
      <c r="E4019" s="6"/>
      <c r="F4019" s="6"/>
      <c r="G4019" s="6"/>
    </row>
    <row r="4020" spans="1:7" x14ac:dyDescent="0.25">
      <c r="A4020" s="6" t="s">
        <v>957</v>
      </c>
      <c r="B4020" s="6"/>
      <c r="C4020" s="6"/>
      <c r="D4020" s="6"/>
      <c r="E4020" s="6"/>
      <c r="F4020" s="6"/>
      <c r="G4020" s="6"/>
    </row>
    <row r="4021" spans="1:7" x14ac:dyDescent="0.25">
      <c r="A4021" s="6" t="s">
        <v>3605</v>
      </c>
      <c r="B4021" s="6"/>
      <c r="C4021" s="6"/>
      <c r="D4021" s="6"/>
      <c r="E4021" s="6"/>
      <c r="F4021" s="6"/>
      <c r="G4021" s="6"/>
    </row>
    <row r="4022" spans="1:7" x14ac:dyDescent="0.25">
      <c r="A4022" s="6" t="s">
        <v>3602</v>
      </c>
      <c r="B4022" s="6"/>
      <c r="C4022" s="6"/>
      <c r="D4022" s="6"/>
      <c r="E4022" s="6"/>
      <c r="F4022" s="6"/>
      <c r="G4022" s="6"/>
    </row>
    <row r="4023" spans="1:7" x14ac:dyDescent="0.25">
      <c r="A4023" s="6" t="s">
        <v>3599</v>
      </c>
      <c r="B4023" s="6"/>
      <c r="C4023" s="6"/>
      <c r="D4023" s="6"/>
      <c r="E4023" s="6"/>
      <c r="F4023" s="6"/>
      <c r="G4023" s="6"/>
    </row>
    <row r="4024" spans="1:7" x14ac:dyDescent="0.25">
      <c r="A4024" s="6" t="s">
        <v>3596</v>
      </c>
      <c r="B4024" s="6"/>
      <c r="C4024" s="6"/>
      <c r="D4024" s="6"/>
      <c r="E4024" s="6"/>
      <c r="F4024" s="6"/>
      <c r="G4024" s="6"/>
    </row>
    <row r="4025" spans="1:7" x14ac:dyDescent="0.25">
      <c r="A4025" s="6" t="s">
        <v>957</v>
      </c>
      <c r="B4025" s="6"/>
      <c r="C4025" s="6"/>
      <c r="D4025" s="6"/>
      <c r="E4025" s="6"/>
      <c r="F4025" s="6"/>
      <c r="G4025" s="6"/>
    </row>
    <row r="4026" spans="1:7" x14ac:dyDescent="0.25">
      <c r="A4026" s="6" t="s">
        <v>3592</v>
      </c>
      <c r="B4026" s="6"/>
      <c r="C4026" s="6"/>
      <c r="D4026" s="6"/>
      <c r="E4026" s="6"/>
      <c r="F4026" s="6"/>
      <c r="G4026" s="6"/>
    </row>
    <row r="4027" spans="1:7" x14ac:dyDescent="0.25">
      <c r="A4027" s="6" t="s">
        <v>3589</v>
      </c>
      <c r="B4027" s="6"/>
      <c r="C4027" s="6"/>
      <c r="D4027" s="6"/>
      <c r="E4027" s="6"/>
      <c r="F4027" s="6"/>
      <c r="G4027" s="6"/>
    </row>
    <row r="4028" spans="1:7" x14ac:dyDescent="0.25">
      <c r="A4028" s="6" t="s">
        <v>3586</v>
      </c>
      <c r="B4028" s="6"/>
      <c r="C4028" s="6"/>
      <c r="D4028" s="6"/>
      <c r="E4028" s="6"/>
      <c r="F4028" s="6"/>
      <c r="G4028" s="6"/>
    </row>
    <row r="4029" spans="1:7" x14ac:dyDescent="0.25">
      <c r="A4029" s="6" t="s">
        <v>3583</v>
      </c>
      <c r="B4029" s="6"/>
      <c r="C4029" s="6"/>
      <c r="D4029" s="6"/>
      <c r="E4029" s="6"/>
      <c r="F4029" s="6"/>
      <c r="G4029" s="6"/>
    </row>
    <row r="4030" spans="1:7" x14ac:dyDescent="0.25">
      <c r="A4030" s="6" t="s">
        <v>3580</v>
      </c>
      <c r="B4030" s="6"/>
      <c r="C4030" s="6"/>
      <c r="D4030" s="6"/>
      <c r="E4030" s="6"/>
      <c r="F4030" s="6"/>
      <c r="G4030" s="6"/>
    </row>
    <row r="4031" spans="1:7" x14ac:dyDescent="0.25">
      <c r="A4031" s="6" t="s">
        <v>3578</v>
      </c>
      <c r="B4031" s="6"/>
      <c r="C4031" s="6"/>
      <c r="D4031" s="6"/>
      <c r="E4031" s="6"/>
      <c r="F4031" s="6"/>
      <c r="G4031" s="6"/>
    </row>
    <row r="4032" spans="1:7" x14ac:dyDescent="0.25">
      <c r="A4032" s="6" t="s">
        <v>3575</v>
      </c>
      <c r="B4032" s="6"/>
      <c r="C4032" s="6"/>
      <c r="D4032" s="6"/>
      <c r="E4032" s="6"/>
      <c r="F4032" s="6"/>
      <c r="G4032" s="6"/>
    </row>
    <row r="4033" spans="1:7" x14ac:dyDescent="0.25">
      <c r="A4033" s="6" t="s">
        <v>3572</v>
      </c>
      <c r="B4033" s="6"/>
      <c r="C4033" s="6"/>
      <c r="D4033" s="6"/>
      <c r="E4033" s="6"/>
      <c r="F4033" s="6"/>
      <c r="G4033" s="6"/>
    </row>
    <row r="4034" spans="1:7" x14ac:dyDescent="0.25">
      <c r="A4034" s="6" t="s">
        <v>957</v>
      </c>
      <c r="B4034" s="6"/>
      <c r="C4034" s="6"/>
      <c r="D4034" s="6"/>
      <c r="E4034" s="6"/>
      <c r="F4034" s="6"/>
      <c r="G4034" s="6"/>
    </row>
    <row r="4035" spans="1:7" x14ac:dyDescent="0.25">
      <c r="A4035" s="6" t="s">
        <v>3567</v>
      </c>
      <c r="B4035" s="6"/>
      <c r="C4035" s="6"/>
      <c r="D4035" s="6"/>
      <c r="E4035" s="6"/>
      <c r="F4035" s="6"/>
      <c r="G4035" s="6"/>
    </row>
    <row r="4036" spans="1:7" x14ac:dyDescent="0.25">
      <c r="A4036" s="6" t="s">
        <v>3564</v>
      </c>
      <c r="B4036" s="6"/>
      <c r="C4036" s="6"/>
      <c r="D4036" s="6"/>
      <c r="E4036" s="6"/>
      <c r="F4036" s="6"/>
      <c r="G4036" s="6"/>
    </row>
    <row r="4037" spans="1:7" x14ac:dyDescent="0.25">
      <c r="A4037" s="6" t="s">
        <v>3561</v>
      </c>
      <c r="B4037" s="6"/>
      <c r="C4037" s="6"/>
      <c r="D4037" s="6"/>
      <c r="E4037" s="6"/>
      <c r="F4037" s="6"/>
      <c r="G4037" s="6"/>
    </row>
    <row r="4038" spans="1:7" x14ac:dyDescent="0.25">
      <c r="A4038" s="6" t="s">
        <v>957</v>
      </c>
      <c r="B4038" s="6"/>
      <c r="C4038" s="6"/>
      <c r="D4038" s="6"/>
      <c r="E4038" s="6"/>
      <c r="F4038" s="6"/>
      <c r="G4038" s="6"/>
    </row>
    <row r="4039" spans="1:7" x14ac:dyDescent="0.25">
      <c r="A4039" s="6" t="s">
        <v>957</v>
      </c>
      <c r="B4039" s="6"/>
      <c r="C4039" s="6"/>
      <c r="D4039" s="6"/>
      <c r="E4039" s="6"/>
      <c r="F4039" s="6"/>
      <c r="G4039" s="6"/>
    </row>
    <row r="4040" spans="1:7" x14ac:dyDescent="0.25">
      <c r="A4040" s="6" t="s">
        <v>3556</v>
      </c>
      <c r="B4040" s="6"/>
      <c r="C4040" s="6"/>
      <c r="D4040" s="6"/>
      <c r="E4040" s="6"/>
      <c r="F4040" s="6"/>
      <c r="G4040" s="6"/>
    </row>
    <row r="4041" spans="1:7" x14ac:dyDescent="0.25">
      <c r="A4041" s="6" t="s">
        <v>3554</v>
      </c>
      <c r="B4041" s="6"/>
      <c r="C4041" s="6"/>
      <c r="D4041" s="6"/>
      <c r="E4041" s="6"/>
      <c r="F4041" s="6"/>
      <c r="G4041" s="6"/>
    </row>
    <row r="4042" spans="1:7" x14ac:dyDescent="0.25">
      <c r="A4042" s="6" t="s">
        <v>957</v>
      </c>
      <c r="B4042" s="6"/>
      <c r="C4042" s="6"/>
      <c r="D4042" s="6"/>
      <c r="E4042" s="6"/>
      <c r="F4042" s="6"/>
      <c r="G4042" s="6"/>
    </row>
    <row r="4043" spans="1:7" x14ac:dyDescent="0.25">
      <c r="A4043" s="6" t="s">
        <v>3551</v>
      </c>
      <c r="B4043" s="6"/>
      <c r="C4043" s="6"/>
      <c r="D4043" s="6"/>
      <c r="E4043" s="6"/>
      <c r="F4043" s="6"/>
      <c r="G4043" s="6"/>
    </row>
    <row r="4044" spans="1:7" x14ac:dyDescent="0.25">
      <c r="A4044" s="6" t="s">
        <v>3548</v>
      </c>
      <c r="B4044" s="6"/>
      <c r="C4044" s="6"/>
      <c r="D4044" s="6"/>
      <c r="E4044" s="6"/>
      <c r="F4044" s="6"/>
      <c r="G4044" s="6"/>
    </row>
    <row r="4045" spans="1:7" x14ac:dyDescent="0.25">
      <c r="A4045" s="6" t="s">
        <v>3545</v>
      </c>
      <c r="B4045" s="6"/>
      <c r="C4045" s="6"/>
      <c r="D4045" s="6"/>
      <c r="E4045" s="6"/>
      <c r="F4045" s="6"/>
      <c r="G4045" s="6"/>
    </row>
    <row r="4046" spans="1:7" x14ac:dyDescent="0.25">
      <c r="A4046" s="6" t="s">
        <v>3542</v>
      </c>
      <c r="B4046" s="6"/>
      <c r="C4046" s="6"/>
      <c r="D4046" s="6"/>
      <c r="E4046" s="6"/>
      <c r="F4046" s="6"/>
      <c r="G4046" s="6"/>
    </row>
    <row r="4047" spans="1:7" x14ac:dyDescent="0.25">
      <c r="A4047" s="6" t="s">
        <v>3539</v>
      </c>
      <c r="B4047" s="6"/>
      <c r="C4047" s="6"/>
      <c r="D4047" s="6"/>
      <c r="E4047" s="6"/>
      <c r="F4047" s="6"/>
      <c r="G4047" s="6"/>
    </row>
    <row r="4048" spans="1:7" x14ac:dyDescent="0.25">
      <c r="A4048" s="6" t="s">
        <v>957</v>
      </c>
      <c r="B4048" s="6"/>
      <c r="C4048" s="6"/>
      <c r="D4048" s="6"/>
      <c r="E4048" s="6"/>
      <c r="F4048" s="6"/>
      <c r="G4048" s="6"/>
    </row>
    <row r="4049" spans="1:7" x14ac:dyDescent="0.25">
      <c r="A4049" s="6" t="s">
        <v>957</v>
      </c>
      <c r="B4049" s="6"/>
      <c r="C4049" s="6"/>
      <c r="D4049" s="6"/>
      <c r="E4049" s="6"/>
      <c r="F4049" s="6"/>
      <c r="G4049" s="6"/>
    </row>
    <row r="4050" spans="1:7" x14ac:dyDescent="0.25">
      <c r="A4050" s="6" t="s">
        <v>3533</v>
      </c>
      <c r="B4050" s="6"/>
      <c r="C4050" s="6"/>
      <c r="D4050" s="6"/>
      <c r="E4050" s="6"/>
      <c r="F4050" s="6"/>
      <c r="G4050" s="6"/>
    </row>
    <row r="4051" spans="1:7" x14ac:dyDescent="0.25">
      <c r="A4051" s="6" t="s">
        <v>3530</v>
      </c>
      <c r="B4051" s="6"/>
      <c r="C4051" s="6"/>
      <c r="D4051" s="6"/>
      <c r="E4051" s="6"/>
      <c r="F4051" s="6"/>
      <c r="G4051" s="6"/>
    </row>
    <row r="4052" spans="1:7" x14ac:dyDescent="0.25">
      <c r="A4052" s="6" t="s">
        <v>4571</v>
      </c>
      <c r="B4052" s="6"/>
      <c r="C4052" s="6"/>
      <c r="D4052" s="6"/>
      <c r="E4052" s="6"/>
      <c r="F4052" s="6"/>
      <c r="G4052" s="6"/>
    </row>
    <row r="4053" spans="1:7" x14ac:dyDescent="0.25">
      <c r="A4053" s="6" t="s">
        <v>4568</v>
      </c>
      <c r="B4053" s="6"/>
      <c r="C4053" s="6"/>
      <c r="D4053" s="6"/>
      <c r="E4053" s="6"/>
      <c r="F4053" s="6"/>
      <c r="G4053" s="6"/>
    </row>
    <row r="4054" spans="1:7" x14ac:dyDescent="0.25">
      <c r="A4054" s="6" t="s">
        <v>4566</v>
      </c>
      <c r="B4054" s="6"/>
      <c r="C4054" s="6"/>
      <c r="D4054" s="6"/>
      <c r="E4054" s="6"/>
      <c r="F4054" s="6"/>
      <c r="G4054" s="6"/>
    </row>
    <row r="4055" spans="1:7" x14ac:dyDescent="0.25">
      <c r="A4055" s="6" t="s">
        <v>4563</v>
      </c>
      <c r="B4055" s="6"/>
      <c r="C4055" s="6"/>
      <c r="D4055" s="6"/>
      <c r="E4055" s="6"/>
      <c r="F4055" s="6"/>
      <c r="G4055" s="6"/>
    </row>
    <row r="4056" spans="1:7" x14ac:dyDescent="0.25">
      <c r="A4056" s="6" t="s">
        <v>4560</v>
      </c>
      <c r="B4056" s="6"/>
      <c r="C4056" s="6"/>
      <c r="D4056" s="6"/>
      <c r="E4056" s="6"/>
      <c r="F4056" s="6"/>
      <c r="G4056" s="6"/>
    </row>
    <row r="4057" spans="1:7" x14ac:dyDescent="0.25">
      <c r="A4057" s="6" t="s">
        <v>4557</v>
      </c>
      <c r="B4057" s="6"/>
      <c r="C4057" s="6"/>
      <c r="D4057" s="6"/>
      <c r="E4057" s="6"/>
      <c r="F4057" s="6"/>
      <c r="G4057" s="6"/>
    </row>
    <row r="4058" spans="1:7" x14ac:dyDescent="0.25">
      <c r="A4058" s="6" t="s">
        <v>4554</v>
      </c>
      <c r="B4058" s="6"/>
      <c r="C4058" s="6"/>
      <c r="D4058" s="6"/>
      <c r="E4058" s="6"/>
      <c r="F4058" s="6"/>
      <c r="G4058" s="6"/>
    </row>
    <row r="4059" spans="1:7" x14ac:dyDescent="0.25">
      <c r="A4059" s="6" t="s">
        <v>4551</v>
      </c>
      <c r="B4059" s="6"/>
      <c r="C4059" s="6"/>
      <c r="D4059" s="6"/>
      <c r="E4059" s="6"/>
      <c r="F4059" s="6"/>
      <c r="G4059" s="6"/>
    </row>
    <row r="4060" spans="1:7" x14ac:dyDescent="0.25">
      <c r="A4060" s="6" t="s">
        <v>4548</v>
      </c>
      <c r="B4060" s="6"/>
      <c r="C4060" s="6"/>
      <c r="D4060" s="6"/>
      <c r="E4060" s="6"/>
      <c r="F4060" s="6"/>
      <c r="G4060" s="6"/>
    </row>
    <row r="4061" spans="1:7" x14ac:dyDescent="0.25">
      <c r="A4061" s="6" t="s">
        <v>3492</v>
      </c>
      <c r="B4061" s="6"/>
      <c r="C4061" s="6"/>
      <c r="D4061" s="6"/>
      <c r="E4061" s="6"/>
      <c r="F4061" s="6"/>
      <c r="G4061" s="6"/>
    </row>
    <row r="4062" spans="1:7" x14ac:dyDescent="0.25">
      <c r="A4062" s="6" t="s">
        <v>3490</v>
      </c>
      <c r="B4062" s="6"/>
      <c r="C4062" s="6"/>
      <c r="D4062" s="6"/>
      <c r="E4062" s="6"/>
      <c r="F4062" s="6"/>
      <c r="G4062" s="6"/>
    </row>
    <row r="4063" spans="1:7" x14ac:dyDescent="0.25">
      <c r="A4063" s="6" t="s">
        <v>3487</v>
      </c>
      <c r="B4063" s="6"/>
      <c r="C4063" s="6"/>
      <c r="D4063" s="6"/>
      <c r="E4063" s="6"/>
      <c r="F4063" s="6"/>
      <c r="G4063" s="6"/>
    </row>
    <row r="4064" spans="1:7" x14ac:dyDescent="0.25">
      <c r="A4064" s="6" t="s">
        <v>4510</v>
      </c>
      <c r="B4064" s="6"/>
      <c r="C4064" s="6"/>
      <c r="D4064" s="6"/>
      <c r="E4064" s="6"/>
      <c r="F4064" s="6"/>
      <c r="G4064" s="6"/>
    </row>
    <row r="4065" spans="1:7" x14ac:dyDescent="0.25">
      <c r="A4065" s="6" t="s">
        <v>4507</v>
      </c>
      <c r="B4065" s="6"/>
      <c r="C4065" s="6"/>
      <c r="D4065" s="6"/>
      <c r="E4065" s="6"/>
      <c r="F4065" s="6"/>
      <c r="G4065" s="6"/>
    </row>
    <row r="4066" spans="1:7" x14ac:dyDescent="0.25">
      <c r="A4066" s="6" t="s">
        <v>4504</v>
      </c>
      <c r="B4066" s="6"/>
      <c r="C4066" s="6"/>
      <c r="D4066" s="6"/>
      <c r="E4066" s="6"/>
      <c r="F4066" s="6"/>
      <c r="G4066" s="6"/>
    </row>
    <row r="4067" spans="1:7" x14ac:dyDescent="0.25">
      <c r="A4067" s="6" t="s">
        <v>4501</v>
      </c>
      <c r="B4067" s="6"/>
      <c r="C4067" s="6"/>
      <c r="D4067" s="6"/>
      <c r="E4067" s="6"/>
      <c r="F4067" s="6"/>
      <c r="G4067" s="6"/>
    </row>
    <row r="4068" spans="1:7" x14ac:dyDescent="0.25">
      <c r="A4068" s="6" t="s">
        <v>4498</v>
      </c>
      <c r="B4068" s="6"/>
      <c r="C4068" s="6"/>
      <c r="D4068" s="6"/>
      <c r="E4068" s="6"/>
      <c r="F4068" s="6"/>
      <c r="G4068" s="6"/>
    </row>
    <row r="4069" spans="1:7" x14ac:dyDescent="0.25">
      <c r="A4069" s="6" t="s">
        <v>4496</v>
      </c>
      <c r="B4069" s="6"/>
      <c r="C4069" s="6"/>
      <c r="D4069" s="6"/>
      <c r="E4069" s="6"/>
      <c r="F4069" s="6"/>
      <c r="G4069" s="6"/>
    </row>
    <row r="4070" spans="1:7" x14ac:dyDescent="0.25">
      <c r="A4070" s="6" t="s">
        <v>4493</v>
      </c>
      <c r="B4070" s="6"/>
      <c r="C4070" s="6"/>
      <c r="D4070" s="6"/>
      <c r="E4070" s="6"/>
      <c r="F4070" s="6"/>
      <c r="G4070" s="6"/>
    </row>
    <row r="4071" spans="1:7" x14ac:dyDescent="0.25">
      <c r="A4071" s="6" t="s">
        <v>4490</v>
      </c>
      <c r="B4071" s="6"/>
      <c r="C4071" s="6"/>
      <c r="D4071" s="6"/>
      <c r="E4071" s="6"/>
      <c r="F4071" s="6"/>
      <c r="G4071" s="6"/>
    </row>
    <row r="4072" spans="1:7" x14ac:dyDescent="0.25">
      <c r="A4072" s="6" t="s">
        <v>4487</v>
      </c>
      <c r="B4072" s="6"/>
      <c r="C4072" s="6"/>
      <c r="D4072" s="6"/>
      <c r="E4072" s="6"/>
      <c r="F4072" s="6"/>
      <c r="G4072" s="6"/>
    </row>
    <row r="4073" spans="1:7" x14ac:dyDescent="0.25">
      <c r="A4073" s="6" t="s">
        <v>4484</v>
      </c>
      <c r="B4073" s="6"/>
      <c r="C4073" s="6"/>
      <c r="D4073" s="6"/>
      <c r="E4073" s="6"/>
      <c r="F4073" s="6"/>
      <c r="G4073" s="6"/>
    </row>
    <row r="4074" spans="1:7" x14ac:dyDescent="0.25">
      <c r="A4074" s="6" t="s">
        <v>957</v>
      </c>
      <c r="B4074" s="6"/>
      <c r="C4074" s="6"/>
      <c r="D4074" s="6"/>
      <c r="E4074" s="6"/>
      <c r="F4074" s="6"/>
      <c r="G4074" s="6"/>
    </row>
    <row r="4075" spans="1:7" x14ac:dyDescent="0.25">
      <c r="A4075" s="6" t="s">
        <v>4479</v>
      </c>
      <c r="B4075" s="6"/>
      <c r="C4075" s="6"/>
      <c r="D4075" s="6"/>
      <c r="E4075" s="6"/>
      <c r="F4075" s="6"/>
      <c r="G4075" s="6"/>
    </row>
    <row r="4076" spans="1:7" x14ac:dyDescent="0.25">
      <c r="A4076" s="6" t="s">
        <v>957</v>
      </c>
      <c r="B4076" s="6"/>
      <c r="C4076" s="6"/>
      <c r="D4076" s="6"/>
      <c r="E4076" s="6"/>
      <c r="F4076" s="6"/>
      <c r="G4076" s="6"/>
    </row>
    <row r="4077" spans="1:7" x14ac:dyDescent="0.25">
      <c r="A4077" s="6" t="s">
        <v>957</v>
      </c>
      <c r="B4077" s="6"/>
      <c r="C4077" s="6"/>
      <c r="D4077" s="6"/>
      <c r="E4077" s="6"/>
      <c r="F4077" s="6"/>
      <c r="G4077" s="6"/>
    </row>
    <row r="4078" spans="1:7" x14ac:dyDescent="0.25">
      <c r="A4078" s="6" t="s">
        <v>957</v>
      </c>
      <c r="B4078" s="6"/>
      <c r="C4078" s="6"/>
      <c r="D4078" s="6"/>
      <c r="E4078" s="6"/>
      <c r="F4078" s="6"/>
      <c r="G4078" s="6"/>
    </row>
    <row r="4079" spans="1:7" x14ac:dyDescent="0.25">
      <c r="A4079" s="6" t="s">
        <v>4472</v>
      </c>
      <c r="B4079" s="6"/>
      <c r="C4079" s="6"/>
      <c r="D4079" s="6"/>
      <c r="E4079" s="6"/>
      <c r="F4079" s="6"/>
      <c r="G4079" s="6"/>
    </row>
    <row r="4080" spans="1:7" x14ac:dyDescent="0.25">
      <c r="A4080" s="6" t="s">
        <v>4469</v>
      </c>
      <c r="B4080" s="6"/>
      <c r="C4080" s="6"/>
      <c r="D4080" s="6"/>
      <c r="E4080" s="6"/>
      <c r="F4080" s="6"/>
      <c r="G4080" s="6"/>
    </row>
    <row r="4081" spans="1:7" x14ac:dyDescent="0.25">
      <c r="A4081" s="6" t="s">
        <v>4466</v>
      </c>
      <c r="B4081" s="6"/>
      <c r="C4081" s="6"/>
      <c r="D4081" s="6"/>
      <c r="E4081" s="6"/>
      <c r="F4081" s="6"/>
      <c r="G4081" s="6"/>
    </row>
    <row r="4082" spans="1:7" x14ac:dyDescent="0.25">
      <c r="A4082" s="6" t="s">
        <v>4463</v>
      </c>
      <c r="B4082" s="6"/>
      <c r="C4082" s="6"/>
      <c r="D4082" s="6"/>
      <c r="E4082" s="6"/>
      <c r="F4082" s="6"/>
      <c r="G4082" s="6"/>
    </row>
    <row r="4083" spans="1:7" x14ac:dyDescent="0.25">
      <c r="A4083" s="6" t="s">
        <v>4460</v>
      </c>
      <c r="B4083" s="6"/>
      <c r="C4083" s="6"/>
      <c r="D4083" s="6"/>
      <c r="E4083" s="6"/>
      <c r="F4083" s="6"/>
      <c r="G4083" s="6"/>
    </row>
    <row r="4084" spans="1:7" x14ac:dyDescent="0.25">
      <c r="A4084" s="6" t="s">
        <v>4457</v>
      </c>
      <c r="B4084" s="6"/>
      <c r="C4084" s="6"/>
      <c r="D4084" s="6"/>
      <c r="E4084" s="6"/>
      <c r="F4084" s="6"/>
      <c r="G4084" s="6"/>
    </row>
    <row r="4085" spans="1:7" x14ac:dyDescent="0.25">
      <c r="A4085" s="6" t="s">
        <v>4454</v>
      </c>
      <c r="B4085" s="6"/>
      <c r="C4085" s="6"/>
      <c r="D4085" s="6"/>
      <c r="E4085" s="6"/>
      <c r="F4085" s="6"/>
      <c r="G4085" s="6"/>
    </row>
    <row r="4086" spans="1:7" x14ac:dyDescent="0.25">
      <c r="A4086" s="6" t="s">
        <v>957</v>
      </c>
      <c r="B4086" s="6"/>
      <c r="C4086" s="6"/>
      <c r="D4086" s="6"/>
      <c r="E4086" s="6"/>
      <c r="F4086" s="6"/>
      <c r="G4086" s="6"/>
    </row>
    <row r="4087" spans="1:7" x14ac:dyDescent="0.25">
      <c r="A4087" s="6" t="s">
        <v>957</v>
      </c>
      <c r="B4087" s="6"/>
      <c r="C4087" s="6"/>
      <c r="D4087" s="6"/>
      <c r="E4087" s="6"/>
      <c r="F4087" s="6"/>
      <c r="G4087" s="6"/>
    </row>
    <row r="4088" spans="1:7" x14ac:dyDescent="0.25">
      <c r="A4088" s="6" t="s">
        <v>957</v>
      </c>
      <c r="B4088" s="6"/>
      <c r="C4088" s="6"/>
      <c r="D4088" s="6"/>
      <c r="E4088" s="6"/>
      <c r="F4088" s="6"/>
      <c r="G4088" s="6"/>
    </row>
    <row r="4089" spans="1:7" x14ac:dyDescent="0.25">
      <c r="A4089" s="6" t="s">
        <v>957</v>
      </c>
      <c r="B4089" s="6"/>
      <c r="C4089" s="6"/>
      <c r="D4089" s="6"/>
      <c r="E4089" s="6"/>
      <c r="F4089" s="6"/>
      <c r="G4089" s="6"/>
    </row>
    <row r="4090" spans="1:7" x14ac:dyDescent="0.25">
      <c r="A4090" s="6" t="s">
        <v>4445</v>
      </c>
      <c r="B4090" s="6"/>
      <c r="C4090" s="6"/>
      <c r="D4090" s="6"/>
      <c r="E4090" s="6"/>
      <c r="F4090" s="6"/>
      <c r="G4090" s="6"/>
    </row>
    <row r="4091" spans="1:7" x14ac:dyDescent="0.25">
      <c r="A4091" s="6" t="s">
        <v>4442</v>
      </c>
      <c r="B4091" s="6"/>
      <c r="C4091" s="6"/>
      <c r="D4091" s="6"/>
      <c r="E4091" s="6"/>
      <c r="F4091" s="6"/>
      <c r="G4091" s="6"/>
    </row>
    <row r="4092" spans="1:7" x14ac:dyDescent="0.25">
      <c r="A4092" s="6" t="s">
        <v>957</v>
      </c>
      <c r="B4092" s="6"/>
      <c r="C4092" s="6"/>
      <c r="D4092" s="6"/>
      <c r="E4092" s="6"/>
      <c r="F4092" s="6"/>
      <c r="G4092" s="6"/>
    </row>
    <row r="4093" spans="1:7" x14ac:dyDescent="0.25">
      <c r="A4093" s="6" t="s">
        <v>4438</v>
      </c>
      <c r="B4093" s="6"/>
      <c r="C4093" s="6"/>
      <c r="D4093" s="6"/>
      <c r="E4093" s="6"/>
      <c r="F4093" s="6"/>
      <c r="G4093" s="6"/>
    </row>
    <row r="4094" spans="1:7" x14ac:dyDescent="0.25">
      <c r="A4094" s="6" t="s">
        <v>4435</v>
      </c>
      <c r="B4094" s="6"/>
      <c r="C4094" s="6"/>
      <c r="D4094" s="6"/>
      <c r="E4094" s="6"/>
      <c r="F4094" s="6"/>
      <c r="G4094" s="6"/>
    </row>
    <row r="4095" spans="1:7" x14ac:dyDescent="0.25">
      <c r="A4095" s="6" t="s">
        <v>4432</v>
      </c>
      <c r="B4095" s="6"/>
      <c r="C4095" s="6"/>
      <c r="D4095" s="6"/>
      <c r="E4095" s="6"/>
      <c r="F4095" s="6"/>
      <c r="G4095" s="6"/>
    </row>
    <row r="4096" spans="1:7" x14ac:dyDescent="0.25">
      <c r="A4096" s="6" t="s">
        <v>4429</v>
      </c>
      <c r="B4096" s="6"/>
      <c r="C4096" s="6"/>
      <c r="D4096" s="6"/>
      <c r="E4096" s="6"/>
      <c r="F4096" s="6"/>
      <c r="G4096" s="6"/>
    </row>
    <row r="4097" spans="1:7" x14ac:dyDescent="0.25">
      <c r="A4097" s="6" t="s">
        <v>4426</v>
      </c>
      <c r="B4097" s="6"/>
      <c r="C4097" s="6"/>
      <c r="D4097" s="6"/>
      <c r="E4097" s="6"/>
      <c r="F4097" s="6"/>
      <c r="G4097" s="6"/>
    </row>
    <row r="4098" spans="1:7" x14ac:dyDescent="0.25">
      <c r="A4098" s="6" t="s">
        <v>4423</v>
      </c>
      <c r="B4098" s="6"/>
      <c r="C4098" s="6"/>
      <c r="D4098" s="6"/>
      <c r="E4098" s="6"/>
      <c r="F4098" s="6"/>
      <c r="G4098" s="6"/>
    </row>
    <row r="4099" spans="1:7" x14ac:dyDescent="0.25">
      <c r="A4099" s="6" t="s">
        <v>4420</v>
      </c>
      <c r="B4099" s="6"/>
      <c r="C4099" s="6"/>
      <c r="D4099" s="6"/>
      <c r="E4099" s="6"/>
      <c r="F4099" s="6"/>
      <c r="G4099" s="6"/>
    </row>
    <row r="4100" spans="1:7" x14ac:dyDescent="0.25">
      <c r="A4100" s="6" t="s">
        <v>957</v>
      </c>
      <c r="B4100" s="6"/>
      <c r="C4100" s="6"/>
      <c r="D4100" s="6"/>
      <c r="E4100" s="6"/>
      <c r="F4100" s="6"/>
      <c r="G4100" s="6"/>
    </row>
    <row r="4101" spans="1:7" x14ac:dyDescent="0.25">
      <c r="A4101" s="6" t="s">
        <v>957</v>
      </c>
      <c r="B4101" s="6"/>
      <c r="C4101" s="6"/>
      <c r="D4101" s="6"/>
      <c r="E4101" s="6"/>
      <c r="F4101" s="6"/>
      <c r="G4101" s="6"/>
    </row>
    <row r="4102" spans="1:7" x14ac:dyDescent="0.25">
      <c r="A4102" s="6" t="s">
        <v>4415</v>
      </c>
      <c r="B4102" s="6"/>
      <c r="C4102" s="6"/>
      <c r="D4102" s="6"/>
      <c r="E4102" s="6"/>
      <c r="F4102" s="6"/>
      <c r="G4102" s="6"/>
    </row>
    <row r="4103" spans="1:7" x14ac:dyDescent="0.25">
      <c r="A4103" s="6" t="s">
        <v>4412</v>
      </c>
      <c r="B4103" s="6"/>
      <c r="C4103" s="6"/>
      <c r="D4103" s="6"/>
      <c r="E4103" s="6"/>
      <c r="F4103" s="6"/>
      <c r="G4103" s="6"/>
    </row>
    <row r="4104" spans="1:7" x14ac:dyDescent="0.25">
      <c r="A4104" s="6" t="s">
        <v>957</v>
      </c>
      <c r="B4104" s="6"/>
      <c r="C4104" s="6"/>
      <c r="D4104" s="6"/>
      <c r="E4104" s="6"/>
      <c r="F4104" s="6"/>
      <c r="G4104" s="6"/>
    </row>
    <row r="4105" spans="1:7" x14ac:dyDescent="0.25">
      <c r="A4105" s="6" t="s">
        <v>4407</v>
      </c>
      <c r="B4105" s="6"/>
      <c r="C4105" s="6"/>
      <c r="D4105" s="6"/>
      <c r="E4105" s="6"/>
      <c r="F4105" s="6"/>
      <c r="G4105" s="6"/>
    </row>
    <row r="4106" spans="1:7" x14ac:dyDescent="0.25">
      <c r="A4106" s="6" t="s">
        <v>4404</v>
      </c>
      <c r="B4106" s="6"/>
      <c r="C4106" s="6"/>
      <c r="D4106" s="6"/>
      <c r="E4106" s="6"/>
      <c r="F4106" s="6"/>
      <c r="G4106" s="6"/>
    </row>
    <row r="4107" spans="1:7" x14ac:dyDescent="0.25">
      <c r="A4107" s="6" t="s">
        <v>957</v>
      </c>
      <c r="B4107" s="6"/>
      <c r="C4107" s="6"/>
      <c r="D4107" s="6"/>
      <c r="E4107" s="6"/>
      <c r="F4107" s="6"/>
      <c r="G4107" s="6"/>
    </row>
    <row r="4108" spans="1:7" x14ac:dyDescent="0.25">
      <c r="A4108" s="6" t="s">
        <v>4401</v>
      </c>
      <c r="B4108" s="6"/>
      <c r="C4108" s="6"/>
      <c r="D4108" s="6"/>
      <c r="E4108" s="6"/>
      <c r="F4108" s="6"/>
      <c r="G4108" s="6"/>
    </row>
    <row r="4109" spans="1:7" x14ac:dyDescent="0.25">
      <c r="A4109" s="6" t="s">
        <v>4399</v>
      </c>
      <c r="B4109" s="6"/>
      <c r="C4109" s="6"/>
      <c r="D4109" s="6"/>
      <c r="E4109" s="6"/>
      <c r="F4109" s="6"/>
      <c r="G4109" s="6"/>
    </row>
    <row r="4110" spans="1:7" x14ac:dyDescent="0.25">
      <c r="A4110" s="6" t="s">
        <v>4396</v>
      </c>
      <c r="B4110" s="6"/>
      <c r="C4110" s="6"/>
      <c r="D4110" s="6"/>
      <c r="E4110" s="6"/>
      <c r="F4110" s="6"/>
      <c r="G4110" s="6"/>
    </row>
    <row r="4111" spans="1:7" x14ac:dyDescent="0.25">
      <c r="A4111" s="6" t="s">
        <v>4393</v>
      </c>
      <c r="B4111" s="6"/>
      <c r="C4111" s="6"/>
      <c r="D4111" s="6"/>
      <c r="E4111" s="6"/>
      <c r="F4111" s="6"/>
      <c r="G4111" s="6"/>
    </row>
    <row r="4112" spans="1:7" x14ac:dyDescent="0.25">
      <c r="A4112" s="6" t="s">
        <v>957</v>
      </c>
      <c r="B4112" s="6"/>
      <c r="C4112" s="6"/>
      <c r="D4112" s="6"/>
      <c r="E4112" s="6"/>
      <c r="F4112" s="6"/>
      <c r="G4112" s="6"/>
    </row>
    <row r="4113" spans="1:7" x14ac:dyDescent="0.25">
      <c r="A4113" s="6" t="s">
        <v>957</v>
      </c>
      <c r="B4113" s="6"/>
      <c r="C4113" s="6"/>
      <c r="D4113" s="6"/>
      <c r="E4113" s="6"/>
      <c r="F4113" s="6"/>
      <c r="G4113" s="6"/>
    </row>
    <row r="4114" spans="1:7" x14ac:dyDescent="0.25">
      <c r="A4114" s="6" t="s">
        <v>4388</v>
      </c>
      <c r="B4114" s="6"/>
      <c r="C4114" s="6"/>
      <c r="D4114" s="6"/>
      <c r="E4114" s="6"/>
      <c r="F4114" s="6"/>
      <c r="G4114" s="6"/>
    </row>
    <row r="4115" spans="1:7" x14ac:dyDescent="0.25">
      <c r="A4115" s="6" t="s">
        <v>4385</v>
      </c>
      <c r="B4115" s="6"/>
      <c r="C4115" s="6"/>
      <c r="D4115" s="6"/>
      <c r="E4115" s="6"/>
      <c r="F4115" s="6"/>
      <c r="G4115" s="6"/>
    </row>
    <row r="4116" spans="1:7" x14ac:dyDescent="0.25">
      <c r="A4116" s="6" t="s">
        <v>957</v>
      </c>
      <c r="B4116" s="6"/>
      <c r="C4116" s="6"/>
      <c r="D4116" s="6"/>
      <c r="E4116" s="6"/>
      <c r="F4116" s="6"/>
      <c r="G4116" s="6"/>
    </row>
    <row r="4117" spans="1:7" x14ac:dyDescent="0.25">
      <c r="A4117" s="6" t="s">
        <v>957</v>
      </c>
      <c r="B4117" s="6"/>
      <c r="C4117" s="6"/>
      <c r="D4117" s="6"/>
      <c r="E4117" s="6"/>
      <c r="F4117" s="6"/>
      <c r="G4117" s="6"/>
    </row>
    <row r="4118" spans="1:7" x14ac:dyDescent="0.25">
      <c r="A4118" s="6" t="s">
        <v>4380</v>
      </c>
      <c r="B4118" s="6"/>
      <c r="C4118" s="6"/>
      <c r="D4118" s="6"/>
      <c r="E4118" s="6"/>
      <c r="F4118" s="6"/>
      <c r="G4118" s="6"/>
    </row>
    <row r="4119" spans="1:7" x14ac:dyDescent="0.25">
      <c r="A4119" s="6" t="s">
        <v>4378</v>
      </c>
      <c r="B4119" s="6"/>
      <c r="C4119" s="6"/>
      <c r="D4119" s="6"/>
      <c r="E4119" s="6"/>
      <c r="F4119" s="6"/>
      <c r="G4119" s="6"/>
    </row>
    <row r="4120" spans="1:7" x14ac:dyDescent="0.25">
      <c r="A4120" s="6" t="s">
        <v>957</v>
      </c>
      <c r="B4120" s="6"/>
      <c r="C4120" s="6"/>
      <c r="D4120" s="6"/>
      <c r="E4120" s="6"/>
      <c r="F4120" s="6"/>
      <c r="G4120" s="6"/>
    </row>
    <row r="4121" spans="1:7" x14ac:dyDescent="0.25">
      <c r="A4121" s="6" t="s">
        <v>4375</v>
      </c>
      <c r="B4121" s="6"/>
      <c r="C4121" s="6"/>
      <c r="D4121" s="6"/>
      <c r="E4121" s="6"/>
      <c r="F4121" s="6"/>
      <c r="G4121" s="6"/>
    </row>
    <row r="4122" spans="1:7" x14ac:dyDescent="0.25">
      <c r="A4122" s="6" t="s">
        <v>3354</v>
      </c>
      <c r="B4122" s="6"/>
      <c r="C4122" s="6"/>
      <c r="D4122" s="6"/>
      <c r="E4122" s="6"/>
      <c r="F4122" s="6"/>
      <c r="G4122" s="6"/>
    </row>
    <row r="4123" spans="1:7" x14ac:dyDescent="0.25">
      <c r="A4123" s="6" t="s">
        <v>3351</v>
      </c>
      <c r="B4123" s="6"/>
      <c r="C4123" s="6"/>
      <c r="D4123" s="6"/>
      <c r="E4123" s="6"/>
      <c r="F4123" s="6"/>
      <c r="G4123" s="6"/>
    </row>
    <row r="4124" spans="1:7" x14ac:dyDescent="0.25">
      <c r="A4124" s="6" t="s">
        <v>957</v>
      </c>
      <c r="B4124" s="6"/>
      <c r="C4124" s="6"/>
      <c r="D4124" s="6"/>
      <c r="E4124" s="6"/>
      <c r="F4124" s="6"/>
      <c r="G4124" s="6"/>
    </row>
    <row r="4125" spans="1:7" x14ac:dyDescent="0.25">
      <c r="A4125" s="6" t="s">
        <v>3347</v>
      </c>
      <c r="B4125" s="6"/>
      <c r="C4125" s="6"/>
      <c r="D4125" s="6"/>
      <c r="E4125" s="6"/>
      <c r="F4125" s="6"/>
      <c r="G4125" s="6"/>
    </row>
    <row r="4126" spans="1:7" x14ac:dyDescent="0.25">
      <c r="A4126" s="6" t="s">
        <v>957</v>
      </c>
      <c r="B4126" s="6"/>
      <c r="C4126" s="6"/>
      <c r="D4126" s="6"/>
      <c r="E4126" s="6"/>
      <c r="F4126" s="6"/>
      <c r="G4126" s="6"/>
    </row>
    <row r="4127" spans="1:7" x14ac:dyDescent="0.25">
      <c r="A4127" s="6" t="s">
        <v>3343</v>
      </c>
      <c r="B4127" s="6"/>
      <c r="C4127" s="6"/>
      <c r="D4127" s="6"/>
      <c r="E4127" s="6"/>
      <c r="F4127" s="6"/>
      <c r="G4127" s="6"/>
    </row>
    <row r="4128" spans="1:7" x14ac:dyDescent="0.25">
      <c r="A4128" s="6" t="s">
        <v>957</v>
      </c>
      <c r="B4128" s="6"/>
      <c r="C4128" s="6"/>
      <c r="D4128" s="6"/>
      <c r="E4128" s="6"/>
      <c r="F4128" s="6"/>
      <c r="G4128" s="6"/>
    </row>
    <row r="4129" spans="1:7" x14ac:dyDescent="0.25">
      <c r="A4129" s="6" t="s">
        <v>3338</v>
      </c>
      <c r="B4129" s="6"/>
      <c r="C4129" s="6"/>
      <c r="D4129" s="6"/>
      <c r="E4129" s="6"/>
      <c r="F4129" s="6"/>
      <c r="G4129" s="6"/>
    </row>
    <row r="4130" spans="1:7" x14ac:dyDescent="0.25">
      <c r="A4130" s="6" t="s">
        <v>3335</v>
      </c>
      <c r="B4130" s="6"/>
      <c r="C4130" s="6"/>
      <c r="D4130" s="6"/>
      <c r="E4130" s="6"/>
      <c r="F4130" s="6"/>
      <c r="G4130" s="6"/>
    </row>
    <row r="4131" spans="1:7" x14ac:dyDescent="0.25">
      <c r="A4131" s="6" t="s">
        <v>3332</v>
      </c>
      <c r="B4131" s="6"/>
      <c r="C4131" s="6"/>
      <c r="D4131" s="6"/>
      <c r="E4131" s="6"/>
      <c r="F4131" s="6"/>
      <c r="G4131" s="6"/>
    </row>
    <row r="4132" spans="1:7" x14ac:dyDescent="0.25">
      <c r="A4132" s="6" t="s">
        <v>957</v>
      </c>
      <c r="B4132" s="6"/>
      <c r="C4132" s="6"/>
      <c r="D4132" s="6"/>
      <c r="E4132" s="6"/>
      <c r="F4132" s="6"/>
      <c r="G4132" s="6"/>
    </row>
    <row r="4133" spans="1:7" x14ac:dyDescent="0.25">
      <c r="A4133" s="6" t="s">
        <v>3328</v>
      </c>
      <c r="B4133" s="6"/>
      <c r="C4133" s="6"/>
      <c r="D4133" s="6"/>
      <c r="E4133" s="6"/>
      <c r="F4133" s="6"/>
      <c r="G4133" s="6"/>
    </row>
    <row r="4134" spans="1:7" x14ac:dyDescent="0.25">
      <c r="A4134" s="6" t="s">
        <v>2288</v>
      </c>
      <c r="B4134" s="6"/>
      <c r="C4134" s="6"/>
      <c r="D4134" s="6"/>
      <c r="E4134" s="6"/>
      <c r="F4134" s="6"/>
      <c r="G4134" s="6"/>
    </row>
    <row r="4135" spans="1:7" x14ac:dyDescent="0.25">
      <c r="A4135" s="6" t="s">
        <v>4342</v>
      </c>
      <c r="B4135" s="6"/>
      <c r="C4135" s="6"/>
      <c r="D4135" s="6"/>
      <c r="E4135" s="6"/>
      <c r="F4135" s="6"/>
      <c r="G4135" s="6"/>
    </row>
    <row r="4136" spans="1:7" x14ac:dyDescent="0.25">
      <c r="A4136" s="6" t="s">
        <v>957</v>
      </c>
      <c r="B4136" s="6"/>
      <c r="C4136" s="6"/>
      <c r="D4136" s="6"/>
      <c r="E4136" s="6"/>
      <c r="F4136" s="6"/>
      <c r="G4136" s="6"/>
    </row>
    <row r="4137" spans="1:7" x14ac:dyDescent="0.25">
      <c r="A4137" s="6" t="s">
        <v>3327</v>
      </c>
      <c r="B4137" s="6"/>
      <c r="C4137" s="6"/>
      <c r="D4137" s="6"/>
      <c r="E4137" s="6"/>
      <c r="F4137" s="6"/>
      <c r="G4137" s="6"/>
    </row>
    <row r="4138" spans="1:7" x14ac:dyDescent="0.25">
      <c r="A4138" s="6" t="s">
        <v>3324</v>
      </c>
      <c r="B4138" s="6"/>
      <c r="C4138" s="6"/>
      <c r="D4138" s="6"/>
      <c r="E4138" s="6"/>
      <c r="F4138" s="6"/>
      <c r="G4138" s="6"/>
    </row>
    <row r="4139" spans="1:7" x14ac:dyDescent="0.25">
      <c r="A4139" s="6" t="s">
        <v>3321</v>
      </c>
      <c r="B4139" s="6"/>
      <c r="C4139" s="6"/>
      <c r="D4139" s="6"/>
      <c r="E4139" s="6"/>
      <c r="F4139" s="6"/>
      <c r="G4139" s="6"/>
    </row>
    <row r="4140" spans="1:7" x14ac:dyDescent="0.25">
      <c r="A4140" s="6" t="s">
        <v>3318</v>
      </c>
      <c r="B4140" s="6"/>
      <c r="C4140" s="6"/>
      <c r="D4140" s="6"/>
      <c r="E4140" s="6"/>
      <c r="F4140" s="6"/>
      <c r="G4140" s="6"/>
    </row>
    <row r="4141" spans="1:7" x14ac:dyDescent="0.25">
      <c r="A4141" s="6" t="s">
        <v>3315</v>
      </c>
      <c r="B4141" s="6"/>
      <c r="C4141" s="6"/>
      <c r="D4141" s="6"/>
      <c r="E4141" s="6"/>
      <c r="F4141" s="6"/>
      <c r="G4141" s="6"/>
    </row>
    <row r="4142" spans="1:7" x14ac:dyDescent="0.25">
      <c r="A4142" s="6" t="s">
        <v>3312</v>
      </c>
      <c r="B4142" s="6"/>
      <c r="C4142" s="6"/>
      <c r="D4142" s="6"/>
      <c r="E4142" s="6"/>
      <c r="F4142" s="6"/>
      <c r="G4142" s="6"/>
    </row>
    <row r="4143" spans="1:7" x14ac:dyDescent="0.25">
      <c r="A4143" s="6" t="s">
        <v>14139</v>
      </c>
      <c r="B4143" s="6" t="s">
        <v>14140</v>
      </c>
      <c r="C4143" s="6"/>
      <c r="D4143" s="6"/>
      <c r="E4143" s="6"/>
      <c r="F4143" s="6"/>
      <c r="G4143" s="6"/>
    </row>
    <row r="4144" spans="1:7" x14ac:dyDescent="0.25">
      <c r="A4144" s="6" t="s">
        <v>3307</v>
      </c>
      <c r="B4144" s="6"/>
      <c r="C4144" s="6"/>
      <c r="D4144" s="6"/>
      <c r="E4144" s="6"/>
      <c r="F4144" s="6"/>
      <c r="G4144" s="6"/>
    </row>
    <row r="4145" spans="1:7" x14ac:dyDescent="0.25">
      <c r="A4145" s="6" t="s">
        <v>957</v>
      </c>
      <c r="B4145" s="6"/>
      <c r="C4145" s="6"/>
      <c r="D4145" s="6"/>
      <c r="E4145" s="6"/>
      <c r="F4145" s="6"/>
      <c r="G4145" s="6"/>
    </row>
    <row r="4146" spans="1:7" x14ac:dyDescent="0.25">
      <c r="A4146" s="6" t="s">
        <v>3303</v>
      </c>
      <c r="B4146" s="6"/>
      <c r="C4146" s="6"/>
      <c r="D4146" s="6"/>
      <c r="E4146" s="6"/>
      <c r="F4146" s="6"/>
      <c r="G4146" s="6"/>
    </row>
    <row r="4147" spans="1:7" x14ac:dyDescent="0.25">
      <c r="A4147" s="6" t="s">
        <v>3300</v>
      </c>
      <c r="B4147" s="6"/>
      <c r="C4147" s="6"/>
      <c r="D4147" s="6"/>
      <c r="E4147" s="6"/>
      <c r="F4147" s="6"/>
      <c r="G4147" s="6"/>
    </row>
    <row r="4148" spans="1:7" x14ac:dyDescent="0.25">
      <c r="A4148" s="6" t="s">
        <v>957</v>
      </c>
      <c r="B4148" s="6"/>
      <c r="C4148" s="6"/>
      <c r="D4148" s="6"/>
      <c r="E4148" s="6"/>
      <c r="F4148" s="6"/>
      <c r="G4148" s="6"/>
    </row>
    <row r="4149" spans="1:7" x14ac:dyDescent="0.25">
      <c r="A4149" s="6" t="s">
        <v>957</v>
      </c>
      <c r="B4149" s="6"/>
      <c r="C4149" s="6"/>
      <c r="D4149" s="6"/>
      <c r="E4149" s="6"/>
      <c r="F4149" s="6"/>
      <c r="G4149" s="6"/>
    </row>
    <row r="4150" spans="1:7" x14ac:dyDescent="0.25">
      <c r="A4150" s="6" t="s">
        <v>3295</v>
      </c>
      <c r="B4150" s="6"/>
      <c r="C4150" s="6"/>
      <c r="D4150" s="6"/>
      <c r="E4150" s="6"/>
      <c r="F4150" s="6"/>
      <c r="G4150" s="6"/>
    </row>
    <row r="4151" spans="1:7" x14ac:dyDescent="0.25">
      <c r="A4151" s="6" t="s">
        <v>3292</v>
      </c>
      <c r="B4151" s="6"/>
      <c r="C4151" s="6"/>
      <c r="D4151" s="6"/>
      <c r="E4151" s="6"/>
      <c r="F4151" s="6"/>
      <c r="G4151" s="6"/>
    </row>
    <row r="4152" spans="1:7" x14ac:dyDescent="0.25">
      <c r="A4152" s="6" t="s">
        <v>3289</v>
      </c>
      <c r="B4152" s="6"/>
      <c r="C4152" s="6"/>
      <c r="D4152" s="6"/>
      <c r="E4152" s="6"/>
      <c r="F4152" s="6"/>
      <c r="G4152" s="6"/>
    </row>
    <row r="4153" spans="1:7" x14ac:dyDescent="0.25">
      <c r="A4153" s="6" t="s">
        <v>3286</v>
      </c>
      <c r="B4153" s="6"/>
      <c r="C4153" s="6"/>
      <c r="D4153" s="6"/>
      <c r="E4153" s="6"/>
      <c r="F4153" s="6"/>
      <c r="G4153" s="6"/>
    </row>
    <row r="4154" spans="1:7" x14ac:dyDescent="0.25">
      <c r="A4154" s="6" t="s">
        <v>3283</v>
      </c>
      <c r="B4154" s="6"/>
      <c r="C4154" s="6"/>
      <c r="D4154" s="6"/>
      <c r="E4154" s="6"/>
      <c r="F4154" s="6"/>
      <c r="G4154" s="6"/>
    </row>
    <row r="4155" spans="1:7" x14ac:dyDescent="0.25">
      <c r="A4155" s="6" t="s">
        <v>957</v>
      </c>
      <c r="B4155" s="6"/>
      <c r="C4155" s="6"/>
      <c r="D4155" s="6"/>
      <c r="E4155" s="6"/>
      <c r="F4155" s="6"/>
      <c r="G4155" s="6"/>
    </row>
    <row r="4156" spans="1:7" x14ac:dyDescent="0.25">
      <c r="A4156" s="6" t="s">
        <v>3279</v>
      </c>
      <c r="B4156" s="6"/>
      <c r="C4156" s="6"/>
      <c r="D4156" s="6"/>
      <c r="E4156" s="6"/>
      <c r="F4156" s="6"/>
      <c r="G4156" s="6"/>
    </row>
    <row r="4157" spans="1:7" x14ac:dyDescent="0.25">
      <c r="A4157" s="6" t="s">
        <v>957</v>
      </c>
      <c r="B4157" s="6"/>
      <c r="C4157" s="6"/>
      <c r="D4157" s="6"/>
      <c r="E4157" s="6"/>
      <c r="F4157" s="6"/>
      <c r="G4157" s="6"/>
    </row>
    <row r="4158" spans="1:7" x14ac:dyDescent="0.25">
      <c r="A4158" s="6" t="s">
        <v>957</v>
      </c>
      <c r="B4158" s="6"/>
      <c r="C4158" s="6"/>
      <c r="D4158" s="6"/>
      <c r="E4158" s="6"/>
      <c r="F4158" s="6"/>
      <c r="G4158" s="6"/>
    </row>
    <row r="4159" spans="1:7" x14ac:dyDescent="0.25">
      <c r="A4159" s="6" t="s">
        <v>3274</v>
      </c>
      <c r="B4159" s="6"/>
      <c r="C4159" s="6"/>
      <c r="D4159" s="6"/>
      <c r="E4159" s="6"/>
      <c r="F4159" s="6"/>
      <c r="G4159" s="6"/>
    </row>
    <row r="4160" spans="1:7" x14ac:dyDescent="0.25">
      <c r="A4160" s="6" t="s">
        <v>3271</v>
      </c>
      <c r="B4160" s="6"/>
      <c r="C4160" s="6"/>
      <c r="D4160" s="6"/>
      <c r="E4160" s="6"/>
      <c r="F4160" s="6"/>
      <c r="G4160" s="6"/>
    </row>
    <row r="4161" spans="1:7" x14ac:dyDescent="0.25">
      <c r="A4161" s="6" t="s">
        <v>957</v>
      </c>
      <c r="B4161" s="6"/>
      <c r="C4161" s="6"/>
      <c r="D4161" s="6"/>
      <c r="E4161" s="6"/>
      <c r="F4161" s="6"/>
      <c r="G4161" s="6"/>
    </row>
    <row r="4162" spans="1:7" x14ac:dyDescent="0.25">
      <c r="A4162" s="6" t="s">
        <v>3267</v>
      </c>
      <c r="B4162" s="6"/>
      <c r="C4162" s="6"/>
      <c r="D4162" s="6"/>
      <c r="E4162" s="6"/>
      <c r="F4162" s="6"/>
      <c r="G4162" s="6"/>
    </row>
    <row r="4163" spans="1:7" x14ac:dyDescent="0.25">
      <c r="A4163" s="6" t="s">
        <v>3264</v>
      </c>
      <c r="B4163" s="6"/>
      <c r="C4163" s="6"/>
      <c r="D4163" s="6"/>
      <c r="E4163" s="6"/>
      <c r="F4163" s="6"/>
      <c r="G4163" s="6"/>
    </row>
    <row r="4164" spans="1:7" x14ac:dyDescent="0.25">
      <c r="A4164" s="6" t="s">
        <v>957</v>
      </c>
      <c r="B4164" s="6"/>
      <c r="C4164" s="6"/>
      <c r="D4164" s="6"/>
      <c r="E4164" s="6"/>
      <c r="F4164" s="6"/>
      <c r="G4164" s="6"/>
    </row>
    <row r="4165" spans="1:7" x14ac:dyDescent="0.25">
      <c r="A4165" s="6" t="s">
        <v>3260</v>
      </c>
      <c r="B4165" s="6"/>
      <c r="C4165" s="6"/>
      <c r="D4165" s="6"/>
      <c r="E4165" s="6"/>
      <c r="F4165" s="6"/>
      <c r="G4165" s="6"/>
    </row>
    <row r="4166" spans="1:7" x14ac:dyDescent="0.25">
      <c r="A4166" s="6" t="s">
        <v>3257</v>
      </c>
      <c r="B4166" s="6"/>
      <c r="C4166" s="6"/>
      <c r="D4166" s="6"/>
      <c r="E4166" s="6"/>
      <c r="F4166" s="6"/>
      <c r="G4166" s="6"/>
    </row>
    <row r="4167" spans="1:7" x14ac:dyDescent="0.25">
      <c r="A4167" s="6" t="s">
        <v>957</v>
      </c>
      <c r="B4167" s="6"/>
      <c r="C4167" s="6"/>
      <c r="D4167" s="6"/>
      <c r="E4167" s="6"/>
      <c r="F4167" s="6"/>
      <c r="G4167" s="6"/>
    </row>
    <row r="4168" spans="1:7" x14ac:dyDescent="0.25">
      <c r="A4168" s="6" t="s">
        <v>3253</v>
      </c>
      <c r="B4168" s="6"/>
      <c r="C4168" s="6"/>
      <c r="D4168" s="6"/>
      <c r="E4168" s="6"/>
      <c r="F4168" s="6"/>
      <c r="G4168" s="6"/>
    </row>
    <row r="4169" spans="1:7" x14ac:dyDescent="0.25">
      <c r="A4169" s="6" t="s">
        <v>3250</v>
      </c>
      <c r="B4169" s="6"/>
      <c r="C4169" s="6"/>
      <c r="D4169" s="6"/>
      <c r="E4169" s="6"/>
      <c r="F4169" s="6"/>
      <c r="G4169" s="6"/>
    </row>
    <row r="4170" spans="1:7" x14ac:dyDescent="0.25">
      <c r="A4170" s="6" t="s">
        <v>3247</v>
      </c>
      <c r="B4170" s="6"/>
      <c r="C4170" s="6"/>
      <c r="D4170" s="6"/>
      <c r="E4170" s="6"/>
      <c r="F4170" s="6"/>
      <c r="G4170" s="6"/>
    </row>
    <row r="4171" spans="1:7" x14ac:dyDescent="0.25">
      <c r="A4171" s="6" t="s">
        <v>3244</v>
      </c>
      <c r="B4171" s="6"/>
      <c r="C4171" s="6"/>
      <c r="D4171" s="6"/>
      <c r="E4171" s="6"/>
      <c r="F4171" s="6"/>
      <c r="G4171" s="6"/>
    </row>
    <row r="4172" spans="1:7" x14ac:dyDescent="0.25">
      <c r="A4172" s="6" t="s">
        <v>957</v>
      </c>
      <c r="B4172" s="6"/>
      <c r="C4172" s="6"/>
      <c r="D4172" s="6"/>
      <c r="E4172" s="6"/>
      <c r="F4172" s="6"/>
      <c r="G4172" s="6"/>
    </row>
    <row r="4173" spans="1:7" x14ac:dyDescent="0.25">
      <c r="A4173" s="6" t="s">
        <v>4272</v>
      </c>
      <c r="B4173" s="6"/>
      <c r="C4173" s="6"/>
      <c r="D4173" s="6"/>
      <c r="E4173" s="6"/>
      <c r="F4173" s="6"/>
      <c r="G4173" s="6"/>
    </row>
    <row r="4174" spans="1:7" x14ac:dyDescent="0.25">
      <c r="A4174" s="6" t="s">
        <v>4269</v>
      </c>
      <c r="B4174" s="6"/>
      <c r="C4174" s="6"/>
      <c r="D4174" s="6"/>
      <c r="E4174" s="6"/>
      <c r="F4174" s="6"/>
      <c r="G4174" s="6"/>
    </row>
    <row r="4175" spans="1:7" x14ac:dyDescent="0.25">
      <c r="A4175" s="6" t="s">
        <v>4266</v>
      </c>
      <c r="B4175" s="6"/>
      <c r="C4175" s="6"/>
      <c r="D4175" s="6"/>
      <c r="E4175" s="6"/>
      <c r="F4175" s="6"/>
      <c r="G4175" s="6"/>
    </row>
    <row r="4176" spans="1:7" x14ac:dyDescent="0.25">
      <c r="A4176" s="6" t="s">
        <v>4263</v>
      </c>
      <c r="B4176" s="6"/>
      <c r="C4176" s="6"/>
      <c r="D4176" s="6"/>
      <c r="E4176" s="6"/>
      <c r="F4176" s="6"/>
      <c r="G4176" s="6"/>
    </row>
    <row r="4177" spans="1:7" x14ac:dyDescent="0.25">
      <c r="A4177" s="6" t="s">
        <v>957</v>
      </c>
      <c r="B4177" s="6"/>
      <c r="C4177" s="6"/>
      <c r="D4177" s="6"/>
      <c r="E4177" s="6"/>
      <c r="F4177" s="6"/>
      <c r="G4177" s="6"/>
    </row>
    <row r="4178" spans="1:7" x14ac:dyDescent="0.25">
      <c r="A4178" s="6" t="s">
        <v>4259</v>
      </c>
      <c r="B4178" s="6"/>
      <c r="C4178" s="6"/>
      <c r="D4178" s="6"/>
      <c r="E4178" s="6"/>
      <c r="F4178" s="6"/>
      <c r="G4178" s="6"/>
    </row>
    <row r="4179" spans="1:7" x14ac:dyDescent="0.25">
      <c r="A4179" s="6" t="s">
        <v>4256</v>
      </c>
      <c r="B4179" s="6"/>
      <c r="C4179" s="6"/>
      <c r="D4179" s="6"/>
      <c r="E4179" s="6"/>
      <c r="F4179" s="6"/>
      <c r="G4179" s="6"/>
    </row>
    <row r="4180" spans="1:7" x14ac:dyDescent="0.25">
      <c r="A4180" s="6" t="s">
        <v>957</v>
      </c>
      <c r="B4180" s="6"/>
      <c r="C4180" s="6"/>
      <c r="D4180" s="6"/>
      <c r="E4180" s="6"/>
      <c r="F4180" s="6"/>
      <c r="G4180" s="6"/>
    </row>
    <row r="4181" spans="1:7" x14ac:dyDescent="0.25">
      <c r="A4181" s="6" t="s">
        <v>4252</v>
      </c>
      <c r="B4181" s="6"/>
      <c r="C4181" s="6"/>
      <c r="D4181" s="6"/>
      <c r="E4181" s="6"/>
      <c r="F4181" s="6"/>
      <c r="G4181" s="6"/>
    </row>
    <row r="4182" spans="1:7" x14ac:dyDescent="0.25">
      <c r="A4182" s="6" t="s">
        <v>4249</v>
      </c>
      <c r="B4182" s="6"/>
      <c r="C4182" s="6"/>
      <c r="D4182" s="6"/>
      <c r="E4182" s="6"/>
      <c r="F4182" s="6"/>
      <c r="G4182" s="6"/>
    </row>
    <row r="4183" spans="1:7" x14ac:dyDescent="0.25">
      <c r="A4183" s="6" t="s">
        <v>957</v>
      </c>
      <c r="B4183" s="6"/>
      <c r="C4183" s="6"/>
      <c r="D4183" s="6"/>
      <c r="E4183" s="6"/>
      <c r="F4183" s="6"/>
      <c r="G4183" s="6"/>
    </row>
    <row r="4184" spans="1:7" x14ac:dyDescent="0.25">
      <c r="A4184" s="6" t="s">
        <v>4244</v>
      </c>
      <c r="B4184" s="6"/>
      <c r="C4184" s="6"/>
      <c r="D4184" s="6"/>
      <c r="E4184" s="6"/>
      <c r="F4184" s="6"/>
      <c r="G4184" s="6"/>
    </row>
    <row r="4185" spans="1:7" x14ac:dyDescent="0.25">
      <c r="A4185" s="6" t="s">
        <v>957</v>
      </c>
      <c r="B4185" s="6"/>
      <c r="C4185" s="6"/>
      <c r="D4185" s="6"/>
      <c r="E4185" s="6"/>
      <c r="F4185" s="6"/>
      <c r="G4185" s="6"/>
    </row>
    <row r="4186" spans="1:7" x14ac:dyDescent="0.25">
      <c r="A4186" s="6" t="s">
        <v>4240</v>
      </c>
      <c r="B4186" s="6"/>
      <c r="C4186" s="6"/>
      <c r="D4186" s="6"/>
      <c r="E4186" s="6"/>
      <c r="F4186" s="6"/>
      <c r="G4186" s="6"/>
    </row>
    <row r="4187" spans="1:7" x14ac:dyDescent="0.25">
      <c r="A4187" s="6" t="s">
        <v>957</v>
      </c>
      <c r="B4187" s="6"/>
      <c r="C4187" s="6"/>
      <c r="D4187" s="6"/>
      <c r="E4187" s="6"/>
      <c r="F4187" s="6"/>
      <c r="G4187" s="6"/>
    </row>
    <row r="4188" spans="1:7" x14ac:dyDescent="0.25">
      <c r="A4188" s="6" t="s">
        <v>957</v>
      </c>
      <c r="B4188" s="6"/>
      <c r="C4188" s="6"/>
      <c r="D4188" s="6"/>
      <c r="E4188" s="6"/>
      <c r="F4188" s="6"/>
      <c r="G4188" s="6"/>
    </row>
    <row r="4189" spans="1:7" x14ac:dyDescent="0.25">
      <c r="A4189" s="6" t="s">
        <v>14234</v>
      </c>
      <c r="B4189" s="6" t="s">
        <v>14235</v>
      </c>
      <c r="C4189" s="6"/>
      <c r="D4189" s="6"/>
      <c r="E4189" s="6"/>
      <c r="F4189" s="6"/>
      <c r="G4189" s="6"/>
    </row>
    <row r="4190" spans="1:7" x14ac:dyDescent="0.25">
      <c r="A4190" s="6" t="s">
        <v>957</v>
      </c>
      <c r="B4190" s="6"/>
      <c r="C4190" s="6"/>
      <c r="D4190" s="6"/>
      <c r="E4190" s="6"/>
      <c r="F4190" s="6"/>
      <c r="G4190" s="6"/>
    </row>
    <row r="4191" spans="1:7" x14ac:dyDescent="0.25">
      <c r="A4191" s="6" t="s">
        <v>4234</v>
      </c>
      <c r="B4191" s="6"/>
      <c r="C4191" s="6"/>
      <c r="D4191" s="6"/>
      <c r="E4191" s="6"/>
      <c r="F4191" s="6"/>
      <c r="G4191" s="6"/>
    </row>
    <row r="4192" spans="1:7" x14ac:dyDescent="0.25">
      <c r="A4192" s="6" t="s">
        <v>4231</v>
      </c>
      <c r="B4192" s="6"/>
      <c r="C4192" s="6"/>
      <c r="D4192" s="6"/>
      <c r="E4192" s="6"/>
      <c r="F4192" s="6"/>
      <c r="G4192" s="6"/>
    </row>
    <row r="4193" spans="1:7" x14ac:dyDescent="0.25">
      <c r="A4193" s="6" t="s">
        <v>4228</v>
      </c>
      <c r="B4193" s="6"/>
      <c r="C4193" s="6"/>
      <c r="D4193" s="6"/>
      <c r="E4193" s="6"/>
      <c r="F4193" s="6"/>
      <c r="G4193" s="6"/>
    </row>
    <row r="4194" spans="1:7" x14ac:dyDescent="0.25">
      <c r="A4194" s="6" t="s">
        <v>4225</v>
      </c>
      <c r="B4194" s="6"/>
      <c r="C4194" s="6"/>
      <c r="D4194" s="6"/>
      <c r="E4194" s="6"/>
      <c r="F4194" s="6"/>
      <c r="G4194" s="6"/>
    </row>
    <row r="4195" spans="1:7" x14ac:dyDescent="0.25">
      <c r="A4195" s="6" t="s">
        <v>4222</v>
      </c>
      <c r="B4195" s="6"/>
      <c r="C4195" s="6"/>
      <c r="D4195" s="6"/>
      <c r="E4195" s="6"/>
      <c r="F4195" s="6"/>
      <c r="G4195" s="6"/>
    </row>
    <row r="4196" spans="1:7" x14ac:dyDescent="0.25">
      <c r="A4196" s="6" t="s">
        <v>4220</v>
      </c>
      <c r="B4196" s="6"/>
      <c r="C4196" s="6"/>
      <c r="D4196" s="6"/>
      <c r="E4196" s="6"/>
      <c r="F4196" s="6"/>
      <c r="G4196" s="6"/>
    </row>
    <row r="4197" spans="1:7" x14ac:dyDescent="0.25">
      <c r="A4197" s="6" t="s">
        <v>957</v>
      </c>
      <c r="B4197" s="6"/>
      <c r="C4197" s="6"/>
      <c r="D4197" s="6"/>
      <c r="E4197" s="6"/>
      <c r="F4197" s="6"/>
      <c r="G4197" s="6"/>
    </row>
    <row r="4198" spans="1:7" x14ac:dyDescent="0.25">
      <c r="A4198" s="6" t="s">
        <v>4215</v>
      </c>
      <c r="B4198" s="6"/>
      <c r="C4198" s="6"/>
      <c r="D4198" s="6"/>
      <c r="E4198" s="6"/>
      <c r="F4198" s="6"/>
      <c r="G4198" s="6"/>
    </row>
    <row r="4199" spans="1:7" x14ac:dyDescent="0.25">
      <c r="A4199" s="6" t="s">
        <v>4212</v>
      </c>
      <c r="B4199" s="6"/>
      <c r="C4199" s="6"/>
      <c r="D4199" s="6"/>
      <c r="E4199" s="6"/>
      <c r="F4199" s="6"/>
      <c r="G4199" s="6"/>
    </row>
    <row r="4200" spans="1:7" x14ac:dyDescent="0.25">
      <c r="A4200" s="6" t="s">
        <v>957</v>
      </c>
      <c r="B4200" s="6"/>
      <c r="C4200" s="6"/>
      <c r="D4200" s="6"/>
      <c r="E4200" s="6"/>
      <c r="F4200" s="6"/>
      <c r="G4200" s="6"/>
    </row>
    <row r="4201" spans="1:7" x14ac:dyDescent="0.25">
      <c r="A4201" s="6" t="s">
        <v>4208</v>
      </c>
      <c r="B4201" s="6"/>
      <c r="C4201" s="6"/>
      <c r="D4201" s="6"/>
      <c r="E4201" s="6"/>
      <c r="F4201" s="6"/>
      <c r="G4201" s="6"/>
    </row>
    <row r="4202" spans="1:7" x14ac:dyDescent="0.25">
      <c r="A4202" s="6" t="s">
        <v>4205</v>
      </c>
      <c r="B4202" s="6"/>
      <c r="C4202" s="6"/>
      <c r="D4202" s="6"/>
      <c r="E4202" s="6"/>
      <c r="F4202" s="6"/>
      <c r="G4202" s="6"/>
    </row>
    <row r="4203" spans="1:7" x14ac:dyDescent="0.25">
      <c r="A4203" s="6" t="s">
        <v>4203</v>
      </c>
      <c r="B4203" s="6"/>
      <c r="C4203" s="6"/>
      <c r="D4203" s="6"/>
      <c r="E4203" s="6"/>
      <c r="F4203" s="6"/>
      <c r="G4203" s="6"/>
    </row>
    <row r="4204" spans="1:7" x14ac:dyDescent="0.25">
      <c r="A4204" s="6" t="s">
        <v>4200</v>
      </c>
      <c r="B4204" s="6"/>
      <c r="C4204" s="6"/>
      <c r="D4204" s="6"/>
      <c r="E4204" s="6"/>
      <c r="F4204" s="6"/>
      <c r="G4204" s="6"/>
    </row>
    <row r="4205" spans="1:7" x14ac:dyDescent="0.25">
      <c r="A4205" s="6" t="s">
        <v>3169</v>
      </c>
      <c r="B4205" s="6"/>
      <c r="C4205" s="6"/>
      <c r="D4205" s="6"/>
      <c r="E4205" s="6"/>
      <c r="F4205" s="6"/>
      <c r="G4205" s="6"/>
    </row>
    <row r="4206" spans="1:7" x14ac:dyDescent="0.25">
      <c r="A4206" s="6" t="s">
        <v>3166</v>
      </c>
      <c r="B4206" s="6"/>
      <c r="C4206" s="6"/>
      <c r="D4206" s="6"/>
      <c r="E4206" s="6"/>
      <c r="F4206" s="6"/>
      <c r="G4206" s="6"/>
    </row>
    <row r="4207" spans="1:7" x14ac:dyDescent="0.25">
      <c r="A4207" s="6" t="s">
        <v>3163</v>
      </c>
      <c r="B4207" s="6"/>
      <c r="C4207" s="6"/>
      <c r="D4207" s="6"/>
      <c r="E4207" s="6"/>
      <c r="F4207" s="6"/>
      <c r="G4207" s="6"/>
    </row>
    <row r="4208" spans="1:7" x14ac:dyDescent="0.25">
      <c r="A4208" s="6" t="s">
        <v>3160</v>
      </c>
      <c r="B4208" s="6"/>
      <c r="C4208" s="6"/>
      <c r="D4208" s="6"/>
      <c r="E4208" s="6"/>
      <c r="F4208" s="6"/>
      <c r="G4208" s="6"/>
    </row>
    <row r="4209" spans="1:7" x14ac:dyDescent="0.25">
      <c r="A4209" s="6" t="s">
        <v>3157</v>
      </c>
      <c r="B4209" s="6"/>
      <c r="C4209" s="6"/>
      <c r="D4209" s="6"/>
      <c r="E4209" s="6"/>
      <c r="F4209" s="6"/>
      <c r="G4209" s="6"/>
    </row>
    <row r="4210" spans="1:7" x14ac:dyDescent="0.25">
      <c r="A4210" s="6" t="s">
        <v>957</v>
      </c>
      <c r="B4210" s="6"/>
      <c r="C4210" s="6"/>
      <c r="D4210" s="6"/>
      <c r="E4210" s="6"/>
      <c r="F4210" s="6"/>
      <c r="G4210" s="6"/>
    </row>
    <row r="4211" spans="1:7" x14ac:dyDescent="0.25">
      <c r="A4211" s="6" t="s">
        <v>3153</v>
      </c>
      <c r="B4211" s="6"/>
      <c r="C4211" s="6"/>
      <c r="D4211" s="6"/>
      <c r="E4211" s="6"/>
      <c r="F4211" s="6"/>
      <c r="G4211" s="6"/>
    </row>
    <row r="4212" spans="1:7" x14ac:dyDescent="0.25">
      <c r="A4212" s="6" t="s">
        <v>3150</v>
      </c>
      <c r="B4212" s="6"/>
      <c r="C4212" s="6"/>
      <c r="D4212" s="6"/>
      <c r="E4212" s="6"/>
      <c r="F4212" s="6"/>
      <c r="G4212" s="6"/>
    </row>
    <row r="4213" spans="1:7" x14ac:dyDescent="0.25">
      <c r="A4213" s="6" t="s">
        <v>957</v>
      </c>
      <c r="B4213" s="6"/>
      <c r="C4213" s="6"/>
      <c r="D4213" s="6"/>
      <c r="E4213" s="6"/>
      <c r="F4213" s="6"/>
      <c r="G4213" s="6"/>
    </row>
    <row r="4214" spans="1:7" x14ac:dyDescent="0.25">
      <c r="A4214" s="6" t="s">
        <v>957</v>
      </c>
      <c r="B4214" s="6"/>
      <c r="C4214" s="6"/>
      <c r="D4214" s="6"/>
      <c r="E4214" s="6"/>
      <c r="F4214" s="6"/>
      <c r="G4214" s="6"/>
    </row>
    <row r="4215" spans="1:7" x14ac:dyDescent="0.25">
      <c r="A4215" s="6" t="s">
        <v>4168</v>
      </c>
      <c r="B4215" s="6"/>
      <c r="C4215" s="6"/>
      <c r="D4215" s="6"/>
      <c r="E4215" s="6"/>
      <c r="F4215" s="6"/>
      <c r="G4215" s="6"/>
    </row>
    <row r="4216" spans="1:7" x14ac:dyDescent="0.25">
      <c r="A4216" s="6" t="s">
        <v>4165</v>
      </c>
      <c r="B4216" s="6"/>
      <c r="C4216" s="6"/>
      <c r="D4216" s="6"/>
      <c r="E4216" s="6"/>
      <c r="F4216" s="6"/>
      <c r="G4216" s="6"/>
    </row>
    <row r="4217" spans="1:7" x14ac:dyDescent="0.25">
      <c r="A4217" s="6" t="s">
        <v>4162</v>
      </c>
      <c r="B4217" s="6"/>
      <c r="C4217" s="6"/>
      <c r="D4217" s="6"/>
      <c r="E4217" s="6"/>
      <c r="F4217" s="6"/>
      <c r="G4217" s="6"/>
    </row>
    <row r="4218" spans="1:7" x14ac:dyDescent="0.25">
      <c r="A4218" s="6" t="s">
        <v>4159</v>
      </c>
      <c r="B4218" s="6"/>
      <c r="C4218" s="6"/>
      <c r="D4218" s="6"/>
      <c r="E4218" s="6"/>
      <c r="F4218" s="6"/>
      <c r="G4218" s="6"/>
    </row>
    <row r="4219" spans="1:7" x14ac:dyDescent="0.25">
      <c r="A4219" s="6" t="s">
        <v>4157</v>
      </c>
      <c r="B4219" s="6"/>
      <c r="C4219" s="6"/>
      <c r="D4219" s="6"/>
      <c r="E4219" s="6"/>
      <c r="F4219" s="6"/>
      <c r="G4219" s="6"/>
    </row>
    <row r="4220" spans="1:7" x14ac:dyDescent="0.25">
      <c r="A4220" s="6" t="s">
        <v>4154</v>
      </c>
      <c r="B4220" s="6"/>
      <c r="C4220" s="6"/>
      <c r="D4220" s="6"/>
      <c r="E4220" s="6"/>
      <c r="F4220" s="6"/>
      <c r="G4220" s="6"/>
    </row>
    <row r="4221" spans="1:7" x14ac:dyDescent="0.25">
      <c r="A4221" s="6" t="s">
        <v>4151</v>
      </c>
      <c r="B4221" s="6"/>
      <c r="C4221" s="6"/>
      <c r="D4221" s="6"/>
      <c r="E4221" s="6"/>
      <c r="F4221" s="6"/>
      <c r="G4221" s="6"/>
    </row>
    <row r="4222" spans="1:7" x14ac:dyDescent="0.25">
      <c r="A4222" s="6" t="s">
        <v>4148</v>
      </c>
      <c r="B4222" s="6"/>
      <c r="C4222" s="6"/>
      <c r="D4222" s="6"/>
      <c r="E4222" s="6"/>
      <c r="F4222" s="6"/>
      <c r="G4222" s="6"/>
    </row>
    <row r="4223" spans="1:7" x14ac:dyDescent="0.25">
      <c r="A4223" s="6" t="s">
        <v>4145</v>
      </c>
      <c r="B4223" s="6"/>
      <c r="C4223" s="6"/>
      <c r="D4223" s="6"/>
      <c r="E4223" s="6"/>
      <c r="F4223" s="6"/>
      <c r="G4223" s="6"/>
    </row>
    <row r="4224" spans="1:7" x14ac:dyDescent="0.25">
      <c r="A4224" s="6" t="s">
        <v>4142</v>
      </c>
      <c r="B4224" s="6"/>
      <c r="C4224" s="6"/>
      <c r="D4224" s="6"/>
      <c r="E4224" s="6"/>
      <c r="F4224" s="6"/>
      <c r="G4224" s="6"/>
    </row>
    <row r="4225" spans="1:7" x14ac:dyDescent="0.25">
      <c r="A4225" s="6" t="s">
        <v>957</v>
      </c>
      <c r="B4225" s="6"/>
      <c r="C4225" s="6"/>
      <c r="D4225" s="6"/>
      <c r="E4225" s="6"/>
      <c r="F4225" s="6"/>
      <c r="G4225" s="6"/>
    </row>
    <row r="4226" spans="1:7" x14ac:dyDescent="0.25">
      <c r="A4226" s="6" t="s">
        <v>4139</v>
      </c>
      <c r="B4226" s="6"/>
      <c r="C4226" s="6"/>
      <c r="D4226" s="6"/>
      <c r="E4226" s="6"/>
      <c r="F4226" s="6"/>
      <c r="G4226" s="6"/>
    </row>
    <row r="4227" spans="1:7" x14ac:dyDescent="0.25">
      <c r="A4227" s="6" t="s">
        <v>4136</v>
      </c>
      <c r="B4227" s="6"/>
      <c r="C4227" s="6"/>
      <c r="D4227" s="6"/>
      <c r="E4227" s="6"/>
      <c r="F4227" s="6"/>
      <c r="G4227" s="6"/>
    </row>
    <row r="4228" spans="1:7" x14ac:dyDescent="0.25">
      <c r="A4228" s="6" t="s">
        <v>4133</v>
      </c>
      <c r="B4228" s="6"/>
      <c r="C4228" s="6"/>
      <c r="D4228" s="6"/>
      <c r="E4228" s="6"/>
      <c r="F4228" s="6"/>
      <c r="G4228" s="6"/>
    </row>
    <row r="4229" spans="1:7" x14ac:dyDescent="0.25">
      <c r="A4229" s="6" t="s">
        <v>4131</v>
      </c>
      <c r="B4229" s="6"/>
      <c r="C4229" s="6"/>
      <c r="D4229" s="6"/>
      <c r="E4229" s="6"/>
      <c r="F4229" s="6"/>
      <c r="G4229" s="6"/>
    </row>
    <row r="4230" spans="1:7" x14ac:dyDescent="0.25">
      <c r="A4230" s="6" t="s">
        <v>957</v>
      </c>
      <c r="B4230" s="6"/>
      <c r="C4230" s="6"/>
      <c r="D4230" s="6"/>
      <c r="E4230" s="6"/>
      <c r="F4230" s="6"/>
      <c r="G4230" s="6"/>
    </row>
    <row r="4231" spans="1:7" x14ac:dyDescent="0.25">
      <c r="A4231" s="6" t="s">
        <v>4126</v>
      </c>
      <c r="B4231" s="6"/>
      <c r="C4231" s="6"/>
      <c r="D4231" s="6"/>
      <c r="E4231" s="6"/>
      <c r="F4231" s="6"/>
      <c r="G4231" s="6"/>
    </row>
    <row r="4232" spans="1:7" x14ac:dyDescent="0.25">
      <c r="A4232" s="6" t="s">
        <v>3093</v>
      </c>
      <c r="B4232" s="6"/>
      <c r="C4232" s="6"/>
      <c r="D4232" s="6"/>
      <c r="E4232" s="6"/>
      <c r="F4232" s="6"/>
      <c r="G4232" s="6"/>
    </row>
    <row r="4233" spans="1:7" x14ac:dyDescent="0.25">
      <c r="A4233" s="6" t="s">
        <v>3090</v>
      </c>
      <c r="B4233" s="6"/>
      <c r="C4233" s="6"/>
      <c r="D4233" s="6"/>
      <c r="E4233" s="6"/>
      <c r="F4233" s="6"/>
      <c r="G4233" s="6"/>
    </row>
    <row r="4234" spans="1:7" x14ac:dyDescent="0.25">
      <c r="A4234" s="6" t="s">
        <v>14236</v>
      </c>
      <c r="B4234" s="6" t="s">
        <v>14237</v>
      </c>
      <c r="C4234" s="6"/>
      <c r="D4234" s="6"/>
      <c r="E4234" s="6"/>
      <c r="F4234" s="6"/>
      <c r="G4234" s="6"/>
    </row>
    <row r="4235" spans="1:7" x14ac:dyDescent="0.25">
      <c r="A4235" s="6" t="s">
        <v>957</v>
      </c>
      <c r="B4235" s="6"/>
      <c r="C4235" s="6"/>
      <c r="D4235" s="6"/>
      <c r="E4235" s="6"/>
      <c r="F4235" s="6"/>
      <c r="G4235" s="6"/>
    </row>
    <row r="4236" spans="1:7" x14ac:dyDescent="0.25">
      <c r="A4236" s="6" t="s">
        <v>3085</v>
      </c>
      <c r="B4236" s="6"/>
      <c r="C4236" s="6"/>
      <c r="D4236" s="6"/>
      <c r="E4236" s="6"/>
      <c r="F4236" s="6"/>
      <c r="G4236" s="6"/>
    </row>
    <row r="4237" spans="1:7" x14ac:dyDescent="0.25">
      <c r="A4237" s="6" t="s">
        <v>3082</v>
      </c>
      <c r="B4237" s="6"/>
      <c r="C4237" s="6"/>
      <c r="D4237" s="6"/>
      <c r="E4237" s="6"/>
      <c r="F4237" s="6"/>
      <c r="G4237" s="6"/>
    </row>
    <row r="4238" spans="1:7" x14ac:dyDescent="0.25">
      <c r="A4238" s="6" t="s">
        <v>957</v>
      </c>
      <c r="B4238" s="6"/>
      <c r="C4238" s="6"/>
      <c r="D4238" s="6"/>
      <c r="E4238" s="6"/>
      <c r="F4238" s="6"/>
      <c r="G4238" s="6"/>
    </row>
    <row r="4239" spans="1:7" x14ac:dyDescent="0.25">
      <c r="A4239" s="6" t="s">
        <v>3077</v>
      </c>
      <c r="B4239" s="6"/>
      <c r="C4239" s="6"/>
      <c r="D4239" s="6"/>
      <c r="E4239" s="6"/>
      <c r="F4239" s="6"/>
      <c r="G4239" s="6"/>
    </row>
    <row r="4240" spans="1:7" x14ac:dyDescent="0.25">
      <c r="A4240" s="6" t="s">
        <v>3074</v>
      </c>
      <c r="B4240" s="6"/>
      <c r="C4240" s="6"/>
      <c r="D4240" s="6"/>
      <c r="E4240" s="6"/>
      <c r="F4240" s="6"/>
      <c r="G4240" s="6"/>
    </row>
    <row r="4241" spans="1:7" x14ac:dyDescent="0.25">
      <c r="A4241" s="6" t="s">
        <v>3071</v>
      </c>
      <c r="B4241" s="6"/>
      <c r="C4241" s="6"/>
      <c r="D4241" s="6"/>
      <c r="E4241" s="6"/>
      <c r="F4241" s="6"/>
      <c r="G4241" s="6"/>
    </row>
    <row r="4242" spans="1:7" x14ac:dyDescent="0.25">
      <c r="A4242" s="6" t="s">
        <v>957</v>
      </c>
      <c r="B4242" s="6"/>
      <c r="C4242" s="6"/>
      <c r="D4242" s="6"/>
      <c r="E4242" s="6"/>
      <c r="F4242" s="6"/>
      <c r="G4242" s="6"/>
    </row>
    <row r="4243" spans="1:7" x14ac:dyDescent="0.25">
      <c r="A4243" s="6" t="s">
        <v>3066</v>
      </c>
      <c r="B4243" s="6"/>
      <c r="C4243" s="6"/>
      <c r="D4243" s="6"/>
      <c r="E4243" s="6"/>
      <c r="F4243" s="6"/>
      <c r="G4243" s="6"/>
    </row>
    <row r="4244" spans="1:7" x14ac:dyDescent="0.25">
      <c r="A4244" s="6" t="s">
        <v>3063</v>
      </c>
      <c r="B4244" s="6"/>
      <c r="C4244" s="6"/>
      <c r="D4244" s="6"/>
      <c r="E4244" s="6"/>
      <c r="F4244" s="6"/>
      <c r="G4244" s="6"/>
    </row>
    <row r="4245" spans="1:7" x14ac:dyDescent="0.25">
      <c r="A4245" s="6" t="s">
        <v>3060</v>
      </c>
      <c r="B4245" s="6"/>
      <c r="C4245" s="6"/>
      <c r="D4245" s="6"/>
      <c r="E4245" s="6"/>
      <c r="F4245" s="6"/>
      <c r="G4245" s="6"/>
    </row>
    <row r="4246" spans="1:7" x14ac:dyDescent="0.25">
      <c r="A4246" s="6" t="s">
        <v>3057</v>
      </c>
      <c r="B4246" s="6"/>
      <c r="C4246" s="6"/>
      <c r="D4246" s="6"/>
      <c r="E4246" s="6"/>
      <c r="F4246" s="6"/>
      <c r="G4246" s="6"/>
    </row>
    <row r="4247" spans="1:7" x14ac:dyDescent="0.25">
      <c r="A4247" s="6" t="s">
        <v>3054</v>
      </c>
      <c r="B4247" s="6"/>
      <c r="C4247" s="6"/>
      <c r="D4247" s="6"/>
      <c r="E4247" s="6"/>
      <c r="F4247" s="6"/>
      <c r="G4247" s="6"/>
    </row>
    <row r="4248" spans="1:7" x14ac:dyDescent="0.25">
      <c r="A4248" s="6" t="s">
        <v>957</v>
      </c>
      <c r="B4248" s="6"/>
      <c r="C4248" s="6"/>
      <c r="D4248" s="6"/>
      <c r="E4248" s="6"/>
      <c r="F4248" s="6"/>
      <c r="G4248" s="6"/>
    </row>
    <row r="4249" spans="1:7" x14ac:dyDescent="0.25">
      <c r="A4249" s="6" t="s">
        <v>3050</v>
      </c>
      <c r="B4249" s="6"/>
      <c r="C4249" s="6"/>
      <c r="D4249" s="6"/>
      <c r="E4249" s="6"/>
      <c r="F4249" s="6"/>
      <c r="G4249" s="6"/>
    </row>
    <row r="4250" spans="1:7" x14ac:dyDescent="0.25">
      <c r="A4250" s="6" t="s">
        <v>957</v>
      </c>
      <c r="B4250" s="6"/>
      <c r="C4250" s="6"/>
      <c r="D4250" s="6"/>
      <c r="E4250" s="6"/>
      <c r="F4250" s="6"/>
      <c r="G4250" s="6"/>
    </row>
    <row r="4251" spans="1:7" x14ac:dyDescent="0.25">
      <c r="A4251" s="6" t="s">
        <v>957</v>
      </c>
      <c r="B4251" s="6"/>
      <c r="C4251" s="6"/>
      <c r="D4251" s="6"/>
      <c r="E4251" s="6"/>
      <c r="F4251" s="6"/>
      <c r="G4251" s="6"/>
    </row>
    <row r="4252" spans="1:7" x14ac:dyDescent="0.25">
      <c r="A4252" s="6" t="s">
        <v>3045</v>
      </c>
      <c r="B4252" s="6"/>
      <c r="C4252" s="6"/>
      <c r="D4252" s="6"/>
      <c r="E4252" s="6"/>
      <c r="F4252" s="6"/>
      <c r="G4252" s="6"/>
    </row>
    <row r="4253" spans="1:7" x14ac:dyDescent="0.25">
      <c r="A4253" s="6" t="s">
        <v>957</v>
      </c>
      <c r="B4253" s="6"/>
      <c r="C4253" s="6"/>
      <c r="D4253" s="6"/>
      <c r="E4253" s="6"/>
      <c r="F4253" s="6"/>
      <c r="G4253" s="6"/>
    </row>
    <row r="4254" spans="1:7" x14ac:dyDescent="0.25">
      <c r="A4254" s="6" t="s">
        <v>957</v>
      </c>
      <c r="B4254" s="6"/>
      <c r="C4254" s="6"/>
      <c r="D4254" s="6"/>
      <c r="E4254" s="6"/>
      <c r="F4254" s="6"/>
      <c r="G4254" s="6"/>
    </row>
    <row r="4255" spans="1:7" x14ac:dyDescent="0.25">
      <c r="A4255" s="6" t="s">
        <v>3040</v>
      </c>
      <c r="B4255" s="6"/>
      <c r="C4255" s="6"/>
      <c r="D4255" s="6"/>
      <c r="E4255" s="6"/>
      <c r="F4255" s="6"/>
      <c r="G4255" s="6"/>
    </row>
    <row r="4256" spans="1:7" x14ac:dyDescent="0.25">
      <c r="A4256" s="6" t="s">
        <v>957</v>
      </c>
      <c r="B4256" s="6"/>
      <c r="C4256" s="6"/>
      <c r="D4256" s="6"/>
      <c r="E4256" s="6"/>
      <c r="F4256" s="6"/>
      <c r="G4256" s="6"/>
    </row>
    <row r="4257" spans="1:7" x14ac:dyDescent="0.25">
      <c r="A4257" s="6" t="s">
        <v>3035</v>
      </c>
      <c r="B4257" s="6"/>
      <c r="C4257" s="6"/>
      <c r="D4257" s="6"/>
      <c r="E4257" s="6"/>
      <c r="F4257" s="6"/>
      <c r="G4257" s="6"/>
    </row>
    <row r="4258" spans="1:7" x14ac:dyDescent="0.25">
      <c r="A4258" s="6" t="s">
        <v>957</v>
      </c>
      <c r="B4258" s="6"/>
      <c r="C4258" s="6"/>
      <c r="D4258" s="6"/>
      <c r="E4258" s="6"/>
      <c r="F4258" s="6"/>
      <c r="G4258" s="6"/>
    </row>
    <row r="4259" spans="1:7" x14ac:dyDescent="0.25">
      <c r="A4259" s="6" t="s">
        <v>957</v>
      </c>
      <c r="B4259" s="6"/>
      <c r="C4259" s="6"/>
      <c r="D4259" s="6"/>
      <c r="E4259" s="6"/>
      <c r="F4259" s="6"/>
      <c r="G4259" s="6"/>
    </row>
    <row r="4260" spans="1:7" x14ac:dyDescent="0.25">
      <c r="A4260" s="6" t="s">
        <v>3030</v>
      </c>
      <c r="B4260" s="6"/>
      <c r="C4260" s="6"/>
      <c r="D4260" s="6"/>
      <c r="E4260" s="6"/>
      <c r="F4260" s="6"/>
      <c r="G4260" s="6"/>
    </row>
    <row r="4261" spans="1:7" x14ac:dyDescent="0.25">
      <c r="A4261" s="6" t="s">
        <v>3027</v>
      </c>
      <c r="B4261" s="6"/>
      <c r="C4261" s="6"/>
      <c r="D4261" s="6"/>
      <c r="E4261" s="6"/>
      <c r="F4261" s="6"/>
      <c r="G4261" s="6"/>
    </row>
    <row r="4262" spans="1:7" x14ac:dyDescent="0.25">
      <c r="A4262" s="6" t="s">
        <v>3024</v>
      </c>
      <c r="B4262" s="6"/>
      <c r="C4262" s="6"/>
      <c r="D4262" s="6"/>
      <c r="E4262" s="6"/>
      <c r="F4262" s="6"/>
      <c r="G4262" s="6"/>
    </row>
    <row r="4263" spans="1:7" x14ac:dyDescent="0.25">
      <c r="A4263" s="6" t="s">
        <v>957</v>
      </c>
      <c r="B4263" s="6"/>
      <c r="C4263" s="6"/>
      <c r="D4263" s="6"/>
      <c r="E4263" s="6"/>
      <c r="F4263" s="6"/>
      <c r="G4263" s="6"/>
    </row>
    <row r="4264" spans="1:7" x14ac:dyDescent="0.25">
      <c r="A4264" s="6" t="s">
        <v>957</v>
      </c>
      <c r="B4264" s="6"/>
      <c r="C4264" s="6"/>
      <c r="D4264" s="6"/>
      <c r="E4264" s="6"/>
      <c r="F4264" s="6"/>
      <c r="G4264" s="6"/>
    </row>
    <row r="4265" spans="1:7" x14ac:dyDescent="0.25">
      <c r="A4265" s="6" t="s">
        <v>3019</v>
      </c>
      <c r="B4265" s="6"/>
      <c r="C4265" s="6"/>
      <c r="D4265" s="6"/>
      <c r="E4265" s="6"/>
      <c r="F4265" s="6"/>
      <c r="G4265" s="6"/>
    </row>
    <row r="4266" spans="1:7" x14ac:dyDescent="0.25">
      <c r="A4266" s="6" t="s">
        <v>3016</v>
      </c>
      <c r="B4266" s="6"/>
      <c r="C4266" s="6"/>
      <c r="D4266" s="6"/>
      <c r="E4266" s="6"/>
      <c r="F4266" s="6"/>
      <c r="G4266" s="6"/>
    </row>
    <row r="4267" spans="1:7" x14ac:dyDescent="0.25">
      <c r="A4267" s="6" t="s">
        <v>957</v>
      </c>
      <c r="B4267" s="6"/>
      <c r="C4267" s="6"/>
      <c r="D4267" s="6"/>
      <c r="E4267" s="6"/>
      <c r="F4267" s="6"/>
      <c r="G4267" s="6"/>
    </row>
    <row r="4268" spans="1:7" x14ac:dyDescent="0.25">
      <c r="A4268" s="6" t="s">
        <v>3012</v>
      </c>
      <c r="B4268" s="6"/>
      <c r="C4268" s="6"/>
      <c r="D4268" s="6"/>
      <c r="E4268" s="6"/>
      <c r="F4268" s="6"/>
      <c r="G4268" s="6"/>
    </row>
    <row r="4269" spans="1:7" x14ac:dyDescent="0.25">
      <c r="A4269" s="6" t="s">
        <v>3009</v>
      </c>
      <c r="B4269" s="6"/>
      <c r="C4269" s="6"/>
      <c r="D4269" s="6"/>
      <c r="E4269" s="6"/>
      <c r="F4269" s="6"/>
      <c r="G4269" s="6"/>
    </row>
    <row r="4270" spans="1:7" x14ac:dyDescent="0.25">
      <c r="A4270" s="6" t="s">
        <v>957</v>
      </c>
      <c r="B4270" s="6"/>
      <c r="C4270" s="6"/>
      <c r="D4270" s="6"/>
      <c r="E4270" s="6"/>
      <c r="F4270" s="6"/>
      <c r="G4270" s="6"/>
    </row>
    <row r="4271" spans="1:7" x14ac:dyDescent="0.25">
      <c r="A4271" s="6" t="s">
        <v>957</v>
      </c>
      <c r="B4271" s="6"/>
      <c r="C4271" s="6"/>
      <c r="D4271" s="6"/>
      <c r="E4271" s="6"/>
      <c r="F4271" s="6"/>
      <c r="G4271" s="6"/>
    </row>
    <row r="4272" spans="1:7" x14ac:dyDescent="0.25">
      <c r="A4272" s="6" t="s">
        <v>3003</v>
      </c>
      <c r="B4272" s="6"/>
      <c r="C4272" s="6"/>
      <c r="D4272" s="6"/>
      <c r="E4272" s="6"/>
      <c r="F4272" s="6"/>
      <c r="G4272" s="6"/>
    </row>
    <row r="4273" spans="1:7" x14ac:dyDescent="0.25">
      <c r="A4273" s="6" t="s">
        <v>3000</v>
      </c>
      <c r="B4273" s="6"/>
      <c r="C4273" s="6"/>
      <c r="D4273" s="6"/>
      <c r="E4273" s="6"/>
      <c r="F4273" s="6"/>
      <c r="G4273" s="6"/>
    </row>
    <row r="4274" spans="1:7" x14ac:dyDescent="0.25">
      <c r="A4274" s="6" t="s">
        <v>957</v>
      </c>
      <c r="B4274" s="6"/>
      <c r="C4274" s="6"/>
      <c r="D4274" s="6"/>
      <c r="E4274" s="6"/>
      <c r="F4274" s="6"/>
      <c r="G4274" s="6"/>
    </row>
    <row r="4275" spans="1:7" x14ac:dyDescent="0.25">
      <c r="A4275" s="6" t="s">
        <v>2995</v>
      </c>
      <c r="B4275" s="6"/>
      <c r="C4275" s="6"/>
      <c r="D4275" s="6"/>
      <c r="E4275" s="6"/>
      <c r="F4275" s="6"/>
      <c r="G4275" s="6"/>
    </row>
    <row r="4276" spans="1:7" x14ac:dyDescent="0.25">
      <c r="A4276" s="6" t="s">
        <v>2992</v>
      </c>
      <c r="B4276" s="6"/>
      <c r="C4276" s="6"/>
      <c r="D4276" s="6"/>
      <c r="E4276" s="6"/>
      <c r="F4276" s="6"/>
      <c r="G4276" s="6"/>
    </row>
    <row r="4277" spans="1:7" x14ac:dyDescent="0.25">
      <c r="A4277" s="6" t="s">
        <v>2989</v>
      </c>
      <c r="B4277" s="6"/>
      <c r="C4277" s="6"/>
      <c r="D4277" s="6"/>
      <c r="E4277" s="6"/>
      <c r="F4277" s="6"/>
      <c r="G4277" s="6"/>
    </row>
    <row r="4278" spans="1:7" x14ac:dyDescent="0.25">
      <c r="A4278" s="6" t="s">
        <v>957</v>
      </c>
      <c r="B4278" s="6"/>
      <c r="C4278" s="6"/>
      <c r="D4278" s="6"/>
      <c r="E4278" s="6"/>
      <c r="F4278" s="6"/>
      <c r="G4278" s="6"/>
    </row>
    <row r="4279" spans="1:7" x14ac:dyDescent="0.25">
      <c r="A4279" s="6" t="s">
        <v>2985</v>
      </c>
      <c r="B4279" s="6"/>
      <c r="C4279" s="6"/>
      <c r="D4279" s="6"/>
      <c r="E4279" s="6"/>
      <c r="F4279" s="6"/>
      <c r="G4279" s="6"/>
    </row>
    <row r="4280" spans="1:7" x14ac:dyDescent="0.25">
      <c r="A4280" s="6" t="s">
        <v>2982</v>
      </c>
      <c r="B4280" s="6"/>
      <c r="C4280" s="6"/>
      <c r="D4280" s="6"/>
      <c r="E4280" s="6"/>
      <c r="F4280" s="6"/>
      <c r="G4280" s="6"/>
    </row>
    <row r="4281" spans="1:7" x14ac:dyDescent="0.25">
      <c r="A4281" s="6" t="s">
        <v>4016</v>
      </c>
      <c r="B4281" s="6"/>
      <c r="C4281" s="6"/>
      <c r="D4281" s="6"/>
      <c r="E4281" s="6"/>
      <c r="F4281" s="6"/>
      <c r="G4281" s="6"/>
    </row>
    <row r="4282" spans="1:7" x14ac:dyDescent="0.25">
      <c r="A4282" s="6" t="s">
        <v>4013</v>
      </c>
      <c r="B4282" s="6"/>
      <c r="C4282" s="6"/>
      <c r="D4282" s="6"/>
      <c r="E4282" s="6"/>
      <c r="F4282" s="6"/>
      <c r="G4282" s="6"/>
    </row>
    <row r="4283" spans="1:7" x14ac:dyDescent="0.25">
      <c r="A4283" s="6" t="s">
        <v>4010</v>
      </c>
      <c r="B4283" s="6"/>
      <c r="C4283" s="6"/>
      <c r="D4283" s="6"/>
      <c r="E4283" s="6"/>
      <c r="F4283" s="6"/>
      <c r="G4283" s="6"/>
    </row>
    <row r="4284" spans="1:7" x14ac:dyDescent="0.25">
      <c r="A4284" s="6" t="s">
        <v>957</v>
      </c>
      <c r="B4284" s="6"/>
      <c r="C4284" s="6"/>
      <c r="D4284" s="6"/>
      <c r="E4284" s="6"/>
      <c r="F4284" s="6"/>
      <c r="G4284" s="6"/>
    </row>
    <row r="4285" spans="1:7" x14ac:dyDescent="0.25">
      <c r="A4285" s="6" t="s">
        <v>957</v>
      </c>
      <c r="B4285" s="6"/>
      <c r="C4285" s="6"/>
      <c r="D4285" s="6"/>
      <c r="E4285" s="6"/>
      <c r="F4285" s="6"/>
      <c r="G4285" s="6"/>
    </row>
    <row r="4286" spans="1:7" x14ac:dyDescent="0.25">
      <c r="A4286" s="6" t="s">
        <v>4005</v>
      </c>
      <c r="B4286" s="6"/>
      <c r="C4286" s="6"/>
      <c r="D4286" s="6"/>
      <c r="E4286" s="6"/>
      <c r="F4286" s="6"/>
      <c r="G4286" s="6"/>
    </row>
    <row r="4287" spans="1:7" x14ac:dyDescent="0.25">
      <c r="A4287" s="6" t="s">
        <v>4002</v>
      </c>
      <c r="B4287" s="6"/>
      <c r="C4287" s="6"/>
      <c r="D4287" s="6"/>
      <c r="E4287" s="6"/>
      <c r="F4287" s="6"/>
      <c r="G4287" s="6"/>
    </row>
    <row r="4288" spans="1:7" x14ac:dyDescent="0.25">
      <c r="A4288" s="6" t="s">
        <v>3999</v>
      </c>
      <c r="B4288" s="6"/>
      <c r="C4288" s="6"/>
      <c r="D4288" s="6"/>
      <c r="E4288" s="6"/>
      <c r="F4288" s="6"/>
      <c r="G4288" s="6"/>
    </row>
    <row r="4289" spans="1:7" x14ac:dyDescent="0.25">
      <c r="A4289" s="6" t="s">
        <v>3996</v>
      </c>
      <c r="B4289" s="6"/>
      <c r="C4289" s="6"/>
      <c r="D4289" s="6"/>
      <c r="E4289" s="6"/>
      <c r="F4289" s="6"/>
      <c r="G4289" s="6"/>
    </row>
    <row r="4290" spans="1:7" x14ac:dyDescent="0.25">
      <c r="A4290" s="6" t="s">
        <v>3993</v>
      </c>
      <c r="B4290" s="6"/>
      <c r="C4290" s="6"/>
      <c r="D4290" s="6"/>
      <c r="E4290" s="6"/>
      <c r="F4290" s="6"/>
      <c r="G4290" s="6"/>
    </row>
    <row r="4291" spans="1:7" x14ac:dyDescent="0.25">
      <c r="A4291" s="6" t="s">
        <v>3988</v>
      </c>
      <c r="B4291" s="6"/>
      <c r="C4291" s="6"/>
      <c r="D4291" s="6"/>
      <c r="E4291" s="6"/>
      <c r="F4291" s="6"/>
      <c r="G4291" s="6"/>
    </row>
    <row r="4292" spans="1:7" x14ac:dyDescent="0.25">
      <c r="A4292" s="6" t="s">
        <v>3986</v>
      </c>
      <c r="B4292" s="6"/>
      <c r="C4292" s="6"/>
      <c r="D4292" s="6"/>
      <c r="E4292" s="6"/>
      <c r="F4292" s="6"/>
      <c r="G4292" s="6"/>
    </row>
    <row r="4293" spans="1:7" x14ac:dyDescent="0.25">
      <c r="A4293" s="6" t="s">
        <v>3983</v>
      </c>
      <c r="B4293" s="6"/>
      <c r="C4293" s="6"/>
      <c r="D4293" s="6"/>
      <c r="E4293" s="6"/>
      <c r="F4293" s="6"/>
      <c r="G4293" s="6"/>
    </row>
    <row r="4294" spans="1:7" x14ac:dyDescent="0.25">
      <c r="A4294" s="6" t="s">
        <v>3980</v>
      </c>
      <c r="B4294" s="6"/>
      <c r="C4294" s="6"/>
      <c r="D4294" s="6"/>
      <c r="E4294" s="6"/>
      <c r="F4294" s="6"/>
      <c r="G4294" s="6"/>
    </row>
    <row r="4295" spans="1:7" x14ac:dyDescent="0.25">
      <c r="A4295" s="6" t="s">
        <v>957</v>
      </c>
      <c r="B4295" s="6"/>
      <c r="C4295" s="6"/>
      <c r="D4295" s="6"/>
      <c r="E4295" s="6"/>
      <c r="F4295" s="6"/>
      <c r="G4295" s="6"/>
    </row>
    <row r="4296" spans="1:7" x14ac:dyDescent="0.25">
      <c r="A4296" s="6" t="s">
        <v>3975</v>
      </c>
      <c r="B4296" s="6"/>
      <c r="C4296" s="6"/>
      <c r="D4296" s="6"/>
      <c r="E4296" s="6"/>
      <c r="F4296" s="6"/>
      <c r="G4296" s="6"/>
    </row>
    <row r="4297" spans="1:7" x14ac:dyDescent="0.25">
      <c r="A4297" s="6" t="s">
        <v>957</v>
      </c>
      <c r="B4297" s="6"/>
      <c r="C4297" s="6"/>
      <c r="D4297" s="6"/>
      <c r="E4297" s="6"/>
      <c r="F4297" s="6"/>
      <c r="G4297" s="6"/>
    </row>
    <row r="4298" spans="1:7" x14ac:dyDescent="0.25">
      <c r="A4298" s="6" t="s">
        <v>3971</v>
      </c>
      <c r="B4298" s="6"/>
      <c r="C4298" s="6"/>
      <c r="D4298" s="6"/>
      <c r="E4298" s="6"/>
      <c r="F4298" s="6"/>
      <c r="G4298" s="6"/>
    </row>
    <row r="4299" spans="1:7" x14ac:dyDescent="0.25">
      <c r="A4299" s="6" t="s">
        <v>957</v>
      </c>
      <c r="B4299" s="6"/>
      <c r="C4299" s="6"/>
      <c r="D4299" s="6"/>
      <c r="E4299" s="6"/>
      <c r="F4299" s="6"/>
      <c r="G4299" s="6"/>
    </row>
    <row r="4300" spans="1:7" x14ac:dyDescent="0.25">
      <c r="A4300" s="6" t="s">
        <v>3966</v>
      </c>
      <c r="B4300" s="6"/>
      <c r="C4300" s="6"/>
      <c r="D4300" s="6"/>
      <c r="E4300" s="6"/>
      <c r="F4300" s="6"/>
      <c r="G4300" s="6"/>
    </row>
    <row r="4301" spans="1:7" x14ac:dyDescent="0.25">
      <c r="A4301" s="6" t="s">
        <v>957</v>
      </c>
      <c r="B4301" s="6"/>
      <c r="C4301" s="6"/>
      <c r="D4301" s="6"/>
      <c r="E4301" s="6"/>
      <c r="F4301" s="6"/>
      <c r="G4301" s="6"/>
    </row>
    <row r="4302" spans="1:7" x14ac:dyDescent="0.25">
      <c r="A4302" s="6" t="s">
        <v>3961</v>
      </c>
      <c r="B4302" s="6"/>
      <c r="C4302" s="6"/>
      <c r="D4302" s="6"/>
      <c r="E4302" s="6"/>
      <c r="F4302" s="6"/>
      <c r="G4302" s="6"/>
    </row>
    <row r="4303" spans="1:7" x14ac:dyDescent="0.25">
      <c r="A4303" s="6" t="s">
        <v>3958</v>
      </c>
      <c r="B4303" s="6"/>
      <c r="C4303" s="6"/>
      <c r="D4303" s="6"/>
      <c r="E4303" s="6"/>
      <c r="F4303" s="6"/>
      <c r="G4303" s="6"/>
    </row>
    <row r="4304" spans="1:7" x14ac:dyDescent="0.25">
      <c r="A4304" s="6" t="s">
        <v>3955</v>
      </c>
      <c r="B4304" s="6"/>
      <c r="C4304" s="6"/>
      <c r="D4304" s="6"/>
      <c r="E4304" s="6"/>
      <c r="F4304" s="6"/>
      <c r="G4304" s="6"/>
    </row>
    <row r="4305" spans="1:7" x14ac:dyDescent="0.25">
      <c r="A4305" s="6" t="s">
        <v>3952</v>
      </c>
      <c r="B4305" s="6"/>
      <c r="C4305" s="6"/>
      <c r="D4305" s="6"/>
      <c r="E4305" s="6"/>
      <c r="F4305" s="6"/>
      <c r="G4305" s="6"/>
    </row>
    <row r="4306" spans="1:7" x14ac:dyDescent="0.25">
      <c r="A4306" s="6" t="s">
        <v>3949</v>
      </c>
      <c r="B4306" s="6"/>
      <c r="C4306" s="6"/>
      <c r="D4306" s="6"/>
      <c r="E4306" s="6"/>
      <c r="F4306" s="6"/>
      <c r="G4306" s="6"/>
    </row>
    <row r="4307" spans="1:7" x14ac:dyDescent="0.25">
      <c r="A4307" s="6" t="s">
        <v>3946</v>
      </c>
      <c r="B4307" s="6"/>
      <c r="C4307" s="6"/>
      <c r="D4307" s="6"/>
      <c r="E4307" s="6"/>
      <c r="F4307" s="6"/>
      <c r="G4307" s="6"/>
    </row>
    <row r="4308" spans="1:7" x14ac:dyDescent="0.25">
      <c r="A4308" s="6" t="s">
        <v>3943</v>
      </c>
      <c r="B4308" s="6"/>
      <c r="C4308" s="6"/>
      <c r="D4308" s="6"/>
      <c r="E4308" s="6"/>
      <c r="F4308" s="6"/>
      <c r="G4308" s="6"/>
    </row>
    <row r="4309" spans="1:7" x14ac:dyDescent="0.25">
      <c r="A4309" s="6" t="s">
        <v>3940</v>
      </c>
      <c r="B4309" s="6"/>
      <c r="C4309" s="6"/>
      <c r="D4309" s="6"/>
      <c r="E4309" s="6"/>
      <c r="F4309" s="6"/>
      <c r="G4309" s="6"/>
    </row>
    <row r="4310" spans="1:7" x14ac:dyDescent="0.25">
      <c r="A4310" s="6" t="s">
        <v>3937</v>
      </c>
      <c r="B4310" s="6"/>
      <c r="C4310" s="6"/>
      <c r="D4310" s="6"/>
      <c r="E4310" s="6"/>
      <c r="F4310" s="6"/>
      <c r="G4310" s="6"/>
    </row>
    <row r="4311" spans="1:7" x14ac:dyDescent="0.25">
      <c r="A4311" s="6" t="s">
        <v>3934</v>
      </c>
      <c r="B4311" s="6"/>
      <c r="C4311" s="6"/>
      <c r="D4311" s="6"/>
      <c r="E4311" s="6"/>
      <c r="F4311" s="6"/>
      <c r="G4311" s="6"/>
    </row>
    <row r="4312" spans="1:7" x14ac:dyDescent="0.25">
      <c r="A4312" s="6" t="s">
        <v>3931</v>
      </c>
      <c r="B4312" s="6"/>
      <c r="C4312" s="6"/>
      <c r="D4312" s="6"/>
      <c r="E4312" s="6"/>
      <c r="F4312" s="6"/>
      <c r="G4312" s="6"/>
    </row>
    <row r="4313" spans="1:7" x14ac:dyDescent="0.25">
      <c r="A4313" s="6" t="s">
        <v>3928</v>
      </c>
      <c r="B4313" s="6"/>
      <c r="C4313" s="6"/>
      <c r="D4313" s="6"/>
      <c r="E4313" s="6"/>
      <c r="F4313" s="6"/>
      <c r="G4313" s="6"/>
    </row>
    <row r="4314" spans="1:7" x14ac:dyDescent="0.25">
      <c r="A4314" s="6" t="s">
        <v>3925</v>
      </c>
      <c r="B4314" s="6"/>
      <c r="C4314" s="6"/>
      <c r="D4314" s="6"/>
      <c r="E4314" s="6"/>
      <c r="F4314" s="6"/>
      <c r="G4314" s="6"/>
    </row>
    <row r="4315" spans="1:7" x14ac:dyDescent="0.25">
      <c r="A4315" s="6" t="s">
        <v>3922</v>
      </c>
      <c r="B4315" s="6"/>
      <c r="C4315" s="6"/>
      <c r="D4315" s="6"/>
      <c r="E4315" s="6"/>
      <c r="F4315" s="6"/>
      <c r="G4315" s="6"/>
    </row>
    <row r="4316" spans="1:7" x14ac:dyDescent="0.25">
      <c r="A4316" s="6" t="s">
        <v>957</v>
      </c>
      <c r="B4316" s="6"/>
      <c r="C4316" s="6"/>
      <c r="D4316" s="6"/>
      <c r="E4316" s="6"/>
      <c r="F4316" s="6"/>
      <c r="G4316" s="6"/>
    </row>
    <row r="4317" spans="1:7" x14ac:dyDescent="0.25">
      <c r="A4317" s="6" t="s">
        <v>3918</v>
      </c>
      <c r="B4317" s="6"/>
      <c r="C4317" s="6"/>
      <c r="D4317" s="6"/>
      <c r="E4317" s="6"/>
      <c r="F4317" s="6"/>
      <c r="G4317" s="6"/>
    </row>
    <row r="4318" spans="1:7" x14ac:dyDescent="0.25">
      <c r="A4318" s="6" t="s">
        <v>3916</v>
      </c>
      <c r="B4318" s="6"/>
      <c r="C4318" s="6"/>
      <c r="D4318" s="6"/>
      <c r="E4318" s="6"/>
      <c r="F4318" s="6"/>
      <c r="G4318" s="6"/>
    </row>
    <row r="4319" spans="1:7" x14ac:dyDescent="0.25">
      <c r="A4319" s="6" t="s">
        <v>3913</v>
      </c>
      <c r="B4319" s="6"/>
      <c r="C4319" s="6"/>
      <c r="D4319" s="6"/>
      <c r="E4319" s="6"/>
      <c r="F4319" s="6"/>
      <c r="G4319" s="6"/>
    </row>
    <row r="4320" spans="1:7" x14ac:dyDescent="0.25">
      <c r="A4320" s="6" t="s">
        <v>3911</v>
      </c>
      <c r="B4320" s="6"/>
      <c r="C4320" s="6"/>
      <c r="D4320" s="6"/>
      <c r="E4320" s="6"/>
      <c r="F4320" s="6"/>
      <c r="G4320" s="6"/>
    </row>
    <row r="4321" spans="1:7" x14ac:dyDescent="0.25">
      <c r="A4321" s="6" t="s">
        <v>957</v>
      </c>
      <c r="B4321" s="6"/>
      <c r="C4321" s="6"/>
      <c r="D4321" s="6"/>
      <c r="E4321" s="6"/>
      <c r="F4321" s="6"/>
      <c r="G4321" s="6"/>
    </row>
    <row r="4322" spans="1:7" x14ac:dyDescent="0.25">
      <c r="A4322" s="6" t="s">
        <v>957</v>
      </c>
      <c r="B4322" s="6"/>
      <c r="C4322" s="6"/>
      <c r="D4322" s="6"/>
      <c r="E4322" s="6"/>
      <c r="F4322" s="6"/>
      <c r="G4322" s="6"/>
    </row>
    <row r="4323" spans="1:7" x14ac:dyDescent="0.25">
      <c r="A4323" s="6" t="s">
        <v>3906</v>
      </c>
      <c r="B4323" s="6"/>
      <c r="C4323" s="6"/>
      <c r="D4323" s="6"/>
      <c r="E4323" s="6"/>
      <c r="F4323" s="6"/>
      <c r="G4323" s="6"/>
    </row>
    <row r="4324" spans="1:7" x14ac:dyDescent="0.25">
      <c r="A4324" s="6" t="s">
        <v>957</v>
      </c>
      <c r="B4324" s="6"/>
      <c r="C4324" s="6"/>
      <c r="D4324" s="6"/>
      <c r="E4324" s="6"/>
      <c r="F4324" s="6"/>
      <c r="G4324" s="6"/>
    </row>
    <row r="4325" spans="1:7" x14ac:dyDescent="0.25">
      <c r="A4325" s="6" t="s">
        <v>3902</v>
      </c>
      <c r="B4325" s="6"/>
      <c r="C4325" s="6"/>
      <c r="D4325" s="6"/>
      <c r="E4325" s="6"/>
      <c r="F4325" s="6"/>
      <c r="G4325" s="6"/>
    </row>
    <row r="4326" spans="1:7" x14ac:dyDescent="0.25">
      <c r="A4326" s="6" t="s">
        <v>3899</v>
      </c>
      <c r="B4326" s="6"/>
      <c r="C4326" s="6"/>
      <c r="D4326" s="6"/>
      <c r="E4326" s="6"/>
      <c r="F4326" s="6"/>
      <c r="G4326" s="6"/>
    </row>
    <row r="4327" spans="1:7" x14ac:dyDescent="0.25">
      <c r="A4327" s="6" t="s">
        <v>212</v>
      </c>
      <c r="B4327" s="6"/>
      <c r="C4327" s="6"/>
      <c r="D4327" s="6"/>
      <c r="E4327" s="6"/>
      <c r="F4327" s="6"/>
      <c r="G4327" s="6"/>
    </row>
    <row r="4328" spans="1:7" x14ac:dyDescent="0.25">
      <c r="A4328" s="6" t="s">
        <v>14238</v>
      </c>
      <c r="B4328" s="6" t="s">
        <v>14239</v>
      </c>
      <c r="C4328" s="6" t="s">
        <v>14240</v>
      </c>
      <c r="D4328" s="6"/>
      <c r="E4328" s="6"/>
      <c r="F4328" s="6"/>
      <c r="G4328" s="6"/>
    </row>
    <row r="4329" spans="1:7" x14ac:dyDescent="0.25">
      <c r="A4329" s="6" t="s">
        <v>14241</v>
      </c>
      <c r="B4329" s="6" t="s">
        <v>14242</v>
      </c>
      <c r="C4329" s="6" t="s">
        <v>14243</v>
      </c>
      <c r="D4329" s="6"/>
      <c r="E4329" s="6"/>
      <c r="F4329" s="6"/>
      <c r="G4329" s="6"/>
    </row>
    <row r="4330" spans="1:7" x14ac:dyDescent="0.25">
      <c r="A4330" s="6" t="s">
        <v>3891</v>
      </c>
      <c r="B4330" s="6"/>
      <c r="C4330" s="6"/>
      <c r="D4330" s="6"/>
      <c r="E4330" s="6"/>
      <c r="F4330" s="6"/>
      <c r="G4330" s="6"/>
    </row>
    <row r="4331" spans="1:7" x14ac:dyDescent="0.25">
      <c r="A4331" s="6" t="s">
        <v>3888</v>
      </c>
      <c r="B4331" s="6"/>
      <c r="C4331" s="6"/>
      <c r="D4331" s="6"/>
      <c r="E4331" s="6"/>
      <c r="F4331" s="6"/>
      <c r="G4331" s="6"/>
    </row>
    <row r="4332" spans="1:7" x14ac:dyDescent="0.25">
      <c r="A4332" s="6" t="s">
        <v>3885</v>
      </c>
      <c r="B4332" s="6"/>
      <c r="C4332" s="6"/>
      <c r="D4332" s="6"/>
      <c r="E4332" s="6"/>
      <c r="F4332" s="6"/>
      <c r="G4332" s="6"/>
    </row>
    <row r="4333" spans="1:7" x14ac:dyDescent="0.25">
      <c r="A4333" s="6" t="s">
        <v>3882</v>
      </c>
      <c r="B4333" s="6"/>
      <c r="C4333" s="6"/>
      <c r="D4333" s="6"/>
      <c r="E4333" s="6"/>
      <c r="F4333" s="6"/>
      <c r="G4333" s="6"/>
    </row>
    <row r="4334" spans="1:7" x14ac:dyDescent="0.25">
      <c r="A4334" s="6" t="s">
        <v>3880</v>
      </c>
      <c r="B4334" s="6"/>
      <c r="C4334" s="6"/>
      <c r="D4334" s="6"/>
      <c r="E4334" s="6"/>
      <c r="F4334" s="6"/>
      <c r="G4334" s="6"/>
    </row>
    <row r="4335" spans="1:7" x14ac:dyDescent="0.25">
      <c r="A4335" s="6" t="s">
        <v>3877</v>
      </c>
      <c r="B4335" s="6"/>
      <c r="C4335" s="6"/>
      <c r="D4335" s="6"/>
      <c r="E4335" s="6"/>
      <c r="F4335" s="6"/>
      <c r="G4335" s="6"/>
    </row>
    <row r="4336" spans="1:7" x14ac:dyDescent="0.25">
      <c r="A4336" s="6" t="s">
        <v>3874</v>
      </c>
      <c r="B4336" s="6"/>
      <c r="C4336" s="6"/>
      <c r="D4336" s="6"/>
      <c r="E4336" s="6"/>
      <c r="F4336" s="6"/>
      <c r="G4336" s="6"/>
    </row>
    <row r="4337" spans="1:7" x14ac:dyDescent="0.25">
      <c r="A4337" s="6" t="s">
        <v>3871</v>
      </c>
      <c r="B4337" s="6"/>
      <c r="C4337" s="6"/>
      <c r="D4337" s="6"/>
      <c r="E4337" s="6"/>
      <c r="F4337" s="6"/>
      <c r="G4337" s="6"/>
    </row>
    <row r="4338" spans="1:7" x14ac:dyDescent="0.25">
      <c r="A4338" s="6" t="s">
        <v>3868</v>
      </c>
      <c r="B4338" s="6"/>
      <c r="C4338" s="6"/>
      <c r="D4338" s="6"/>
      <c r="E4338" s="6"/>
      <c r="F4338" s="6"/>
      <c r="G4338" s="6"/>
    </row>
    <row r="4339" spans="1:7" x14ac:dyDescent="0.25">
      <c r="A4339" s="6" t="s">
        <v>957</v>
      </c>
      <c r="B4339" s="6"/>
      <c r="C4339" s="6"/>
      <c r="D4339" s="6"/>
      <c r="E4339" s="6"/>
      <c r="F4339" s="6"/>
      <c r="G4339" s="6"/>
    </row>
    <row r="4340" spans="1:7" x14ac:dyDescent="0.25">
      <c r="A4340" s="6" t="s">
        <v>957</v>
      </c>
      <c r="B4340" s="6"/>
      <c r="C4340" s="6"/>
      <c r="D4340" s="6"/>
      <c r="E4340" s="6"/>
      <c r="F4340" s="6"/>
      <c r="G4340" s="6"/>
    </row>
    <row r="4341" spans="1:7" x14ac:dyDescent="0.25">
      <c r="A4341" s="6" t="s">
        <v>3863</v>
      </c>
      <c r="B4341" s="6"/>
      <c r="C4341" s="6"/>
      <c r="D4341" s="6"/>
      <c r="E4341" s="6"/>
      <c r="F4341" s="6"/>
      <c r="G4341" s="6"/>
    </row>
    <row r="4342" spans="1:7" x14ac:dyDescent="0.25">
      <c r="A4342" s="6" t="s">
        <v>3860</v>
      </c>
      <c r="B4342" s="6"/>
      <c r="C4342" s="6"/>
      <c r="D4342" s="6"/>
      <c r="E4342" s="6"/>
      <c r="F4342" s="6"/>
      <c r="G4342" s="6"/>
    </row>
    <row r="4343" spans="1:7" x14ac:dyDescent="0.25">
      <c r="A4343" s="6" t="s">
        <v>3857</v>
      </c>
      <c r="B4343" s="6"/>
      <c r="C4343" s="6"/>
      <c r="D4343" s="6"/>
      <c r="E4343" s="6"/>
      <c r="F4343" s="6"/>
      <c r="G4343" s="6"/>
    </row>
    <row r="4344" spans="1:7" x14ac:dyDescent="0.25">
      <c r="A4344" s="6" t="s">
        <v>2819</v>
      </c>
      <c r="B4344" s="6"/>
      <c r="C4344" s="6"/>
      <c r="D4344" s="6"/>
      <c r="E4344" s="6"/>
      <c r="F4344" s="6"/>
      <c r="G4344" s="6"/>
    </row>
    <row r="4345" spans="1:7" x14ac:dyDescent="0.25">
      <c r="A4345" s="6" t="s">
        <v>957</v>
      </c>
      <c r="B4345" s="6"/>
      <c r="C4345" s="6"/>
      <c r="D4345" s="6"/>
      <c r="E4345" s="6"/>
      <c r="F4345" s="6"/>
      <c r="G4345" s="6"/>
    </row>
    <row r="4346" spans="1:7" x14ac:dyDescent="0.25">
      <c r="A4346" s="6" t="s">
        <v>2815</v>
      </c>
      <c r="B4346" s="6"/>
      <c r="C4346" s="6"/>
      <c r="D4346" s="6"/>
      <c r="E4346" s="6"/>
      <c r="F4346" s="6"/>
      <c r="G4346" s="6"/>
    </row>
    <row r="4347" spans="1:7" x14ac:dyDescent="0.25">
      <c r="A4347" s="6" t="s">
        <v>2812</v>
      </c>
      <c r="B4347" s="6"/>
      <c r="C4347" s="6"/>
      <c r="D4347" s="6"/>
      <c r="E4347" s="6"/>
      <c r="F4347" s="6"/>
      <c r="G4347" s="6"/>
    </row>
    <row r="4348" spans="1:7" x14ac:dyDescent="0.25">
      <c r="A4348" s="6" t="s">
        <v>957</v>
      </c>
      <c r="B4348" s="6"/>
      <c r="C4348" s="6"/>
      <c r="D4348" s="6"/>
      <c r="E4348" s="6"/>
      <c r="F4348" s="6"/>
      <c r="G4348" s="6"/>
    </row>
    <row r="4349" spans="1:7" x14ac:dyDescent="0.25">
      <c r="A4349" s="6" t="s">
        <v>2807</v>
      </c>
      <c r="B4349" s="6"/>
      <c r="C4349" s="6"/>
      <c r="D4349" s="6"/>
      <c r="E4349" s="6"/>
      <c r="F4349" s="6"/>
      <c r="G4349" s="6"/>
    </row>
    <row r="4350" spans="1:7" x14ac:dyDescent="0.25">
      <c r="A4350" s="6" t="s">
        <v>957</v>
      </c>
      <c r="B4350" s="6"/>
      <c r="C4350" s="6"/>
      <c r="D4350" s="6"/>
      <c r="E4350" s="6"/>
      <c r="F4350" s="6"/>
      <c r="G4350" s="6"/>
    </row>
    <row r="4351" spans="1:7" x14ac:dyDescent="0.25">
      <c r="A4351" s="6" t="s">
        <v>957</v>
      </c>
      <c r="B4351" s="6"/>
      <c r="C4351" s="6"/>
      <c r="D4351" s="6"/>
      <c r="E4351" s="6"/>
      <c r="F4351" s="6"/>
      <c r="G4351" s="6"/>
    </row>
    <row r="4352" spans="1:7" x14ac:dyDescent="0.25">
      <c r="A4352" s="6" t="s">
        <v>2803</v>
      </c>
      <c r="B4352" s="6"/>
      <c r="C4352" s="6"/>
      <c r="D4352" s="6"/>
      <c r="E4352" s="6"/>
      <c r="F4352" s="6"/>
      <c r="G4352" s="6"/>
    </row>
    <row r="4353" spans="1:7" x14ac:dyDescent="0.25">
      <c r="A4353" s="6" t="s">
        <v>2800</v>
      </c>
      <c r="B4353" s="6"/>
      <c r="C4353" s="6"/>
      <c r="D4353" s="6"/>
      <c r="E4353" s="6"/>
      <c r="F4353" s="6"/>
      <c r="G4353" s="6"/>
    </row>
    <row r="4354" spans="1:7" x14ac:dyDescent="0.25">
      <c r="A4354" s="6" t="s">
        <v>2797</v>
      </c>
      <c r="B4354" s="6"/>
      <c r="C4354" s="6"/>
      <c r="D4354" s="6"/>
      <c r="E4354" s="6"/>
      <c r="F4354" s="6"/>
      <c r="G4354" s="6"/>
    </row>
    <row r="4355" spans="1:7" x14ac:dyDescent="0.25">
      <c r="A4355" s="6" t="s">
        <v>2794</v>
      </c>
      <c r="B4355" s="6"/>
      <c r="C4355" s="6"/>
      <c r="D4355" s="6"/>
      <c r="E4355" s="6"/>
      <c r="F4355" s="6"/>
      <c r="G4355" s="6"/>
    </row>
    <row r="4356" spans="1:7" x14ac:dyDescent="0.25">
      <c r="A4356" s="6" t="s">
        <v>14111</v>
      </c>
      <c r="B4356" s="6" t="s">
        <v>14112</v>
      </c>
      <c r="C4356" s="6"/>
      <c r="D4356" s="6"/>
      <c r="E4356" s="6"/>
      <c r="F4356" s="6"/>
      <c r="G4356" s="6"/>
    </row>
    <row r="4357" spans="1:7" x14ac:dyDescent="0.25">
      <c r="A4357" s="6" t="s">
        <v>2777</v>
      </c>
      <c r="B4357" s="6"/>
      <c r="C4357" s="6"/>
      <c r="D4357" s="6"/>
      <c r="E4357" s="6"/>
      <c r="F4357" s="6"/>
      <c r="G4357" s="6"/>
    </row>
    <row r="4358" spans="1:7" x14ac:dyDescent="0.25">
      <c r="A4358" s="6" t="s">
        <v>957</v>
      </c>
      <c r="B4358" s="6"/>
      <c r="C4358" s="6"/>
      <c r="D4358" s="6"/>
      <c r="E4358" s="6"/>
      <c r="F4358" s="6"/>
      <c r="G4358" s="6"/>
    </row>
    <row r="4359" spans="1:7" x14ac:dyDescent="0.25">
      <c r="A4359" s="6" t="s">
        <v>957</v>
      </c>
      <c r="B4359" s="6"/>
      <c r="C4359" s="6"/>
      <c r="D4359" s="6"/>
      <c r="E4359" s="6"/>
      <c r="F4359" s="6"/>
      <c r="G4359" s="6"/>
    </row>
    <row r="4360" spans="1:7" x14ac:dyDescent="0.25">
      <c r="A4360" s="6" t="s">
        <v>957</v>
      </c>
      <c r="B4360" s="6"/>
      <c r="C4360" s="6"/>
      <c r="D4360" s="6"/>
      <c r="E4360" s="6"/>
      <c r="F4360" s="6"/>
      <c r="G4360" s="6"/>
    </row>
    <row r="4361" spans="1:7" x14ac:dyDescent="0.25">
      <c r="A4361" s="6" t="s">
        <v>2771</v>
      </c>
      <c r="B4361" s="6"/>
      <c r="C4361" s="6"/>
      <c r="D4361" s="6"/>
      <c r="E4361" s="6"/>
      <c r="F4361" s="6"/>
      <c r="G4361" s="6"/>
    </row>
    <row r="4362" spans="1:7" x14ac:dyDescent="0.25">
      <c r="A4362" s="6" t="s">
        <v>2769</v>
      </c>
      <c r="B4362" s="6"/>
      <c r="C4362" s="6"/>
      <c r="D4362" s="6"/>
      <c r="E4362" s="6"/>
      <c r="F4362" s="6"/>
      <c r="G4362" s="6"/>
    </row>
    <row r="4363" spans="1:7" x14ac:dyDescent="0.25">
      <c r="A4363" s="6" t="s">
        <v>2766</v>
      </c>
      <c r="B4363" s="6"/>
      <c r="C4363" s="6"/>
      <c r="D4363" s="6"/>
      <c r="E4363" s="6"/>
      <c r="F4363" s="6"/>
      <c r="G4363" s="6"/>
    </row>
    <row r="4364" spans="1:7" x14ac:dyDescent="0.25">
      <c r="A4364" s="6" t="s">
        <v>2763</v>
      </c>
      <c r="B4364" s="6"/>
      <c r="C4364" s="6"/>
      <c r="D4364" s="6"/>
      <c r="E4364" s="6"/>
      <c r="F4364" s="6"/>
      <c r="G4364" s="6"/>
    </row>
    <row r="4365" spans="1:7" x14ac:dyDescent="0.25">
      <c r="A4365" s="6" t="s">
        <v>957</v>
      </c>
      <c r="B4365" s="6"/>
      <c r="C4365" s="6"/>
      <c r="D4365" s="6"/>
      <c r="E4365" s="6"/>
      <c r="F4365" s="6"/>
      <c r="G4365" s="6"/>
    </row>
    <row r="4366" spans="1:7" x14ac:dyDescent="0.25">
      <c r="A4366" s="6" t="s">
        <v>2760</v>
      </c>
      <c r="B4366" s="6"/>
      <c r="C4366" s="6"/>
      <c r="D4366" s="6"/>
      <c r="E4366" s="6"/>
      <c r="F4366" s="6"/>
      <c r="G4366" s="6"/>
    </row>
    <row r="4367" spans="1:7" x14ac:dyDescent="0.25">
      <c r="A4367" s="6" t="s">
        <v>2757</v>
      </c>
      <c r="B4367" s="6"/>
      <c r="C4367" s="6"/>
      <c r="D4367" s="6"/>
      <c r="E4367" s="6"/>
      <c r="F4367" s="6"/>
      <c r="G4367" s="6"/>
    </row>
    <row r="4368" spans="1:7" x14ac:dyDescent="0.25">
      <c r="A4368" s="6" t="s">
        <v>957</v>
      </c>
      <c r="B4368" s="6"/>
      <c r="C4368" s="6"/>
      <c r="D4368" s="6"/>
      <c r="E4368" s="6"/>
      <c r="F4368" s="6"/>
      <c r="G4368" s="6"/>
    </row>
    <row r="4369" spans="1:7" x14ac:dyDescent="0.25">
      <c r="A4369" s="6" t="s">
        <v>2753</v>
      </c>
      <c r="B4369" s="6"/>
      <c r="C4369" s="6"/>
      <c r="D4369" s="6"/>
      <c r="E4369" s="6"/>
      <c r="F4369" s="6"/>
      <c r="G4369" s="6"/>
    </row>
    <row r="4370" spans="1:7" x14ac:dyDescent="0.25">
      <c r="A4370" s="6" t="s">
        <v>957</v>
      </c>
      <c r="B4370" s="6"/>
      <c r="C4370" s="6"/>
      <c r="D4370" s="6"/>
      <c r="E4370" s="6"/>
      <c r="F4370" s="6"/>
      <c r="G4370" s="6"/>
    </row>
    <row r="4371" spans="1:7" x14ac:dyDescent="0.25">
      <c r="A4371" s="6" t="s">
        <v>957</v>
      </c>
      <c r="B4371" s="6"/>
      <c r="C4371" s="6"/>
      <c r="D4371" s="6"/>
      <c r="E4371" s="6"/>
      <c r="F4371" s="6"/>
      <c r="G4371" s="6"/>
    </row>
    <row r="4372" spans="1:7" x14ac:dyDescent="0.25">
      <c r="A4372" s="6" t="s">
        <v>2747</v>
      </c>
      <c r="B4372" s="6"/>
      <c r="C4372" s="6"/>
      <c r="D4372" s="6"/>
      <c r="E4372" s="6"/>
      <c r="F4372" s="6"/>
      <c r="G4372" s="6"/>
    </row>
    <row r="4373" spans="1:7" x14ac:dyDescent="0.25">
      <c r="A4373" s="6" t="s">
        <v>2744</v>
      </c>
      <c r="B4373" s="6"/>
      <c r="C4373" s="6"/>
      <c r="D4373" s="6"/>
      <c r="E4373" s="6"/>
      <c r="F4373" s="6"/>
      <c r="G4373" s="6"/>
    </row>
    <row r="4374" spans="1:7" x14ac:dyDescent="0.25">
      <c r="A4374" s="6" t="s">
        <v>2741</v>
      </c>
      <c r="B4374" s="6"/>
      <c r="C4374" s="6"/>
      <c r="D4374" s="6"/>
      <c r="E4374" s="6"/>
      <c r="F4374" s="6"/>
      <c r="G4374" s="6"/>
    </row>
    <row r="4375" spans="1:7" x14ac:dyDescent="0.25">
      <c r="A4375" s="6" t="s">
        <v>957</v>
      </c>
      <c r="B4375" s="6"/>
      <c r="C4375" s="6"/>
      <c r="D4375" s="6"/>
      <c r="E4375" s="6"/>
      <c r="F4375" s="6"/>
      <c r="G4375" s="6"/>
    </row>
    <row r="4376" spans="1:7" x14ac:dyDescent="0.25">
      <c r="A4376" s="6" t="s">
        <v>2737</v>
      </c>
      <c r="B4376" s="6"/>
      <c r="C4376" s="6"/>
      <c r="D4376" s="6"/>
      <c r="E4376" s="6"/>
      <c r="F4376" s="6"/>
      <c r="G4376" s="6"/>
    </row>
    <row r="4377" spans="1:7" x14ac:dyDescent="0.25">
      <c r="A4377" s="6" t="s">
        <v>2734</v>
      </c>
      <c r="B4377" s="6"/>
      <c r="C4377" s="6"/>
      <c r="D4377" s="6"/>
      <c r="E4377" s="6"/>
      <c r="F4377" s="6"/>
      <c r="G4377" s="6"/>
    </row>
    <row r="4378" spans="1:7" x14ac:dyDescent="0.25">
      <c r="A4378" s="6" t="s">
        <v>2731</v>
      </c>
      <c r="B4378" s="6"/>
      <c r="C4378" s="6"/>
      <c r="D4378" s="6"/>
      <c r="E4378" s="6"/>
      <c r="F4378" s="6"/>
      <c r="G4378" s="6"/>
    </row>
    <row r="4379" spans="1:7" x14ac:dyDescent="0.25">
      <c r="A4379" s="6" t="s">
        <v>2728</v>
      </c>
      <c r="B4379" s="6"/>
      <c r="C4379" s="6"/>
      <c r="D4379" s="6"/>
      <c r="E4379" s="6"/>
      <c r="F4379" s="6"/>
      <c r="G4379" s="6"/>
    </row>
    <row r="4380" spans="1:7" x14ac:dyDescent="0.25">
      <c r="A4380" s="6" t="s">
        <v>6958</v>
      </c>
      <c r="B4380" s="6" t="s">
        <v>14244</v>
      </c>
      <c r="C4380" s="6"/>
      <c r="D4380" s="6"/>
      <c r="E4380" s="6"/>
      <c r="F4380" s="6"/>
      <c r="G4380" s="6"/>
    </row>
    <row r="4381" spans="1:7" x14ac:dyDescent="0.25">
      <c r="A4381" s="6" t="s">
        <v>957</v>
      </c>
      <c r="B4381" s="6"/>
      <c r="C4381" s="6"/>
      <c r="D4381" s="6"/>
      <c r="E4381" s="6"/>
      <c r="F4381" s="6"/>
      <c r="G4381" s="6"/>
    </row>
    <row r="4382" spans="1:7" x14ac:dyDescent="0.25">
      <c r="A4382" s="6" t="s">
        <v>957</v>
      </c>
      <c r="B4382" s="6"/>
      <c r="C4382" s="6"/>
      <c r="D4382" s="6"/>
      <c r="E4382" s="6"/>
      <c r="F4382" s="6"/>
      <c r="G4382" s="6"/>
    </row>
    <row r="4383" spans="1:7" x14ac:dyDescent="0.25">
      <c r="A4383" s="6" t="s">
        <v>2720</v>
      </c>
      <c r="B4383" s="6"/>
      <c r="C4383" s="6"/>
      <c r="D4383" s="6"/>
      <c r="E4383" s="6"/>
      <c r="F4383" s="6"/>
      <c r="G4383" s="6"/>
    </row>
    <row r="4384" spans="1:7" x14ac:dyDescent="0.25">
      <c r="A4384" s="6" t="s">
        <v>2717</v>
      </c>
      <c r="B4384" s="6"/>
      <c r="C4384" s="6"/>
      <c r="D4384" s="6"/>
      <c r="E4384" s="6"/>
      <c r="F4384" s="6"/>
      <c r="G4384" s="6"/>
    </row>
    <row r="4385" spans="1:7" x14ac:dyDescent="0.25">
      <c r="A4385" s="6" t="s">
        <v>2714</v>
      </c>
      <c r="B4385" s="6"/>
      <c r="C4385" s="6"/>
      <c r="D4385" s="6"/>
      <c r="E4385" s="6"/>
      <c r="F4385" s="6"/>
      <c r="G4385" s="6"/>
    </row>
    <row r="4386" spans="1:7" x14ac:dyDescent="0.25">
      <c r="A4386" s="6" t="s">
        <v>957</v>
      </c>
      <c r="B4386" s="6"/>
      <c r="C4386" s="6"/>
      <c r="D4386" s="6"/>
      <c r="E4386" s="6"/>
      <c r="F4386" s="6"/>
      <c r="G4386" s="6"/>
    </row>
    <row r="4387" spans="1:7" x14ac:dyDescent="0.25">
      <c r="A4387" s="6" t="s">
        <v>2710</v>
      </c>
      <c r="B4387" s="6"/>
      <c r="C4387" s="6"/>
      <c r="D4387" s="6"/>
      <c r="E4387" s="6"/>
      <c r="F4387" s="6"/>
      <c r="G4387" s="6"/>
    </row>
    <row r="4388" spans="1:7" x14ac:dyDescent="0.25">
      <c r="A4388" s="6" t="s">
        <v>2707</v>
      </c>
      <c r="B4388" s="6"/>
      <c r="C4388" s="6"/>
      <c r="D4388" s="6"/>
      <c r="E4388" s="6"/>
      <c r="F4388" s="6"/>
      <c r="G4388" s="6"/>
    </row>
    <row r="4389" spans="1:7" x14ac:dyDescent="0.25">
      <c r="A4389" s="6" t="s">
        <v>2704</v>
      </c>
      <c r="B4389" s="6"/>
      <c r="C4389" s="6"/>
      <c r="D4389" s="6"/>
      <c r="E4389" s="6"/>
      <c r="F4389" s="6"/>
      <c r="G4389" s="6"/>
    </row>
    <row r="4390" spans="1:7" x14ac:dyDescent="0.25">
      <c r="A4390" s="6" t="s">
        <v>14192</v>
      </c>
      <c r="B4390" s="6" t="s">
        <v>14193</v>
      </c>
      <c r="C4390" s="6"/>
      <c r="D4390" s="6"/>
      <c r="E4390" s="6"/>
      <c r="F4390" s="6"/>
      <c r="G4390" s="6"/>
    </row>
    <row r="4391" spans="1:7" x14ac:dyDescent="0.25">
      <c r="A4391" s="6" t="s">
        <v>957</v>
      </c>
      <c r="B4391" s="6"/>
      <c r="C4391" s="6"/>
      <c r="D4391" s="6"/>
      <c r="E4391" s="6"/>
      <c r="F4391" s="6"/>
      <c r="G4391" s="6"/>
    </row>
    <row r="4392" spans="1:7" x14ac:dyDescent="0.25">
      <c r="A4392" s="6" t="s">
        <v>2698</v>
      </c>
      <c r="B4392" s="6"/>
      <c r="C4392" s="6"/>
      <c r="D4392" s="6"/>
      <c r="E4392" s="6"/>
      <c r="F4392" s="6"/>
      <c r="G4392" s="6"/>
    </row>
    <row r="4393" spans="1:7" x14ac:dyDescent="0.25">
      <c r="A4393" s="6" t="s">
        <v>2695</v>
      </c>
      <c r="B4393" s="6"/>
      <c r="C4393" s="6"/>
      <c r="D4393" s="6"/>
      <c r="E4393" s="6"/>
      <c r="F4393" s="6"/>
      <c r="G4393" s="6"/>
    </row>
    <row r="4394" spans="1:7" x14ac:dyDescent="0.25">
      <c r="A4394" s="6" t="s">
        <v>2692</v>
      </c>
      <c r="B4394" s="6"/>
      <c r="C4394" s="6"/>
      <c r="D4394" s="6"/>
      <c r="E4394" s="6"/>
      <c r="F4394" s="6"/>
      <c r="G4394" s="6"/>
    </row>
    <row r="4395" spans="1:7" x14ac:dyDescent="0.25">
      <c r="A4395" s="6" t="s">
        <v>2689</v>
      </c>
      <c r="B4395" s="6"/>
      <c r="C4395" s="6"/>
      <c r="D4395" s="6"/>
      <c r="E4395" s="6"/>
      <c r="F4395" s="6"/>
      <c r="G4395" s="6"/>
    </row>
    <row r="4396" spans="1:7" x14ac:dyDescent="0.25">
      <c r="A4396" s="6" t="s">
        <v>3757</v>
      </c>
      <c r="B4396" s="6"/>
      <c r="C4396" s="6"/>
      <c r="D4396" s="6"/>
      <c r="E4396" s="6"/>
      <c r="F4396" s="6"/>
      <c r="G4396" s="6"/>
    </row>
    <row r="4397" spans="1:7" x14ac:dyDescent="0.25">
      <c r="A4397" s="6" t="s">
        <v>3754</v>
      </c>
      <c r="B4397" s="6"/>
      <c r="C4397" s="6"/>
      <c r="D4397" s="6"/>
      <c r="E4397" s="6"/>
      <c r="F4397" s="6"/>
      <c r="G4397" s="6"/>
    </row>
    <row r="4398" spans="1:7" x14ac:dyDescent="0.25">
      <c r="A4398" s="6" t="s">
        <v>3751</v>
      </c>
      <c r="B4398" s="6"/>
      <c r="C4398" s="6"/>
      <c r="D4398" s="6"/>
      <c r="E4398" s="6"/>
      <c r="F4398" s="6"/>
      <c r="G4398" s="6"/>
    </row>
    <row r="4399" spans="1:7" x14ac:dyDescent="0.25">
      <c r="A4399" s="6" t="s">
        <v>3748</v>
      </c>
      <c r="B4399" s="6"/>
      <c r="C4399" s="6"/>
      <c r="D4399" s="6"/>
      <c r="E4399" s="6"/>
      <c r="F4399" s="6"/>
      <c r="G4399" s="6"/>
    </row>
    <row r="4400" spans="1:7" x14ac:dyDescent="0.25">
      <c r="A4400" s="6" t="s">
        <v>3745</v>
      </c>
      <c r="B4400" s="6"/>
      <c r="C4400" s="6"/>
      <c r="D4400" s="6"/>
      <c r="E4400" s="6"/>
      <c r="F4400" s="6"/>
      <c r="G4400" s="6"/>
    </row>
    <row r="4401" spans="1:7" x14ac:dyDescent="0.25">
      <c r="A4401" s="6" t="s">
        <v>3742</v>
      </c>
      <c r="B4401" s="6"/>
      <c r="C4401" s="6"/>
      <c r="D4401" s="6"/>
      <c r="E4401" s="6"/>
      <c r="F4401" s="6"/>
      <c r="G4401" s="6"/>
    </row>
    <row r="4402" spans="1:7" x14ac:dyDescent="0.25">
      <c r="A4402" s="6" t="s">
        <v>3739</v>
      </c>
      <c r="B4402" s="6"/>
      <c r="C4402" s="6"/>
      <c r="D4402" s="6"/>
      <c r="E4402" s="6"/>
      <c r="F4402" s="6"/>
      <c r="G4402" s="6"/>
    </row>
    <row r="4403" spans="1:7" x14ac:dyDescent="0.25">
      <c r="A4403" s="6" t="s">
        <v>3736</v>
      </c>
      <c r="B4403" s="6"/>
      <c r="C4403" s="6"/>
      <c r="D4403" s="6"/>
      <c r="E4403" s="6"/>
      <c r="F4403" s="6"/>
      <c r="G4403" s="6"/>
    </row>
    <row r="4404" spans="1:7" x14ac:dyDescent="0.25">
      <c r="A4404" s="6" t="s">
        <v>957</v>
      </c>
      <c r="B4404" s="6"/>
      <c r="C4404" s="6"/>
      <c r="D4404" s="6"/>
      <c r="E4404" s="6"/>
      <c r="F4404" s="6"/>
      <c r="G4404" s="6"/>
    </row>
    <row r="4405" spans="1:7" x14ac:dyDescent="0.25">
      <c r="A4405" s="6" t="s">
        <v>3731</v>
      </c>
      <c r="B4405" s="6"/>
      <c r="C4405" s="6"/>
      <c r="D4405" s="6"/>
      <c r="E4405" s="6"/>
      <c r="F4405" s="6"/>
      <c r="G4405" s="6"/>
    </row>
    <row r="4406" spans="1:7" x14ac:dyDescent="0.25">
      <c r="A4406" s="6" t="s">
        <v>3728</v>
      </c>
      <c r="B4406" s="6"/>
      <c r="C4406" s="6"/>
      <c r="D4406" s="6"/>
      <c r="E4406" s="6"/>
      <c r="F4406" s="6"/>
      <c r="G4406" s="6"/>
    </row>
    <row r="4407" spans="1:7" x14ac:dyDescent="0.25">
      <c r="A4407" s="6" t="s">
        <v>3725</v>
      </c>
      <c r="B4407" s="6"/>
      <c r="C4407" s="6"/>
      <c r="D4407" s="6"/>
      <c r="E4407" s="6"/>
      <c r="F4407" s="6"/>
      <c r="G4407" s="6"/>
    </row>
    <row r="4408" spans="1:7" x14ac:dyDescent="0.25">
      <c r="A4408" s="6" t="s">
        <v>3722</v>
      </c>
      <c r="B4408" s="6"/>
      <c r="C4408" s="6"/>
      <c r="D4408" s="6"/>
      <c r="E4408" s="6"/>
      <c r="F4408" s="6"/>
      <c r="G4408" s="6"/>
    </row>
    <row r="4409" spans="1:7" x14ac:dyDescent="0.25">
      <c r="A4409" s="6" t="s">
        <v>3719</v>
      </c>
      <c r="B4409" s="6"/>
      <c r="C4409" s="6"/>
      <c r="D4409" s="6"/>
      <c r="E4409" s="6"/>
      <c r="F4409" s="6"/>
      <c r="G4409" s="6"/>
    </row>
    <row r="4410" spans="1:7" x14ac:dyDescent="0.25">
      <c r="A4410" s="6" t="s">
        <v>957</v>
      </c>
      <c r="B4410" s="6"/>
      <c r="C4410" s="6"/>
      <c r="D4410" s="6"/>
      <c r="E4410" s="6"/>
      <c r="F4410" s="6"/>
      <c r="G4410" s="6"/>
    </row>
    <row r="4411" spans="1:7" x14ac:dyDescent="0.25">
      <c r="A4411" s="6" t="s">
        <v>3715</v>
      </c>
      <c r="B4411" s="6"/>
      <c r="C4411" s="6"/>
      <c r="D4411" s="6"/>
      <c r="E4411" s="6"/>
      <c r="F4411" s="6"/>
      <c r="G4411" s="6"/>
    </row>
    <row r="4412" spans="1:7" x14ac:dyDescent="0.25">
      <c r="A4412" s="6" t="s">
        <v>3712</v>
      </c>
      <c r="B4412" s="6"/>
      <c r="C4412" s="6"/>
      <c r="D4412" s="6"/>
      <c r="E4412" s="6"/>
      <c r="F4412" s="6"/>
      <c r="G4412" s="6"/>
    </row>
    <row r="4413" spans="1:7" x14ac:dyDescent="0.25">
      <c r="A4413" s="6" t="s">
        <v>3709</v>
      </c>
      <c r="B4413" s="6"/>
      <c r="C4413" s="6"/>
      <c r="D4413" s="6"/>
      <c r="E4413" s="6"/>
      <c r="F4413" s="6"/>
      <c r="G4413" s="6"/>
    </row>
    <row r="4414" spans="1:7" x14ac:dyDescent="0.25">
      <c r="A4414" s="6" t="s">
        <v>3706</v>
      </c>
      <c r="B4414" s="6"/>
      <c r="C4414" s="6"/>
      <c r="D4414" s="6"/>
      <c r="E4414" s="6"/>
      <c r="F4414" s="6"/>
      <c r="G4414" s="6"/>
    </row>
    <row r="4415" spans="1:7" x14ac:dyDescent="0.25">
      <c r="A4415" s="6" t="s">
        <v>957</v>
      </c>
      <c r="B4415" s="6"/>
      <c r="C4415" s="6"/>
      <c r="D4415" s="6"/>
      <c r="E4415" s="6"/>
      <c r="F4415" s="6"/>
      <c r="G4415" s="6"/>
    </row>
    <row r="4416" spans="1:7" x14ac:dyDescent="0.25">
      <c r="A4416" s="6" t="s">
        <v>3702</v>
      </c>
      <c r="B4416" s="6"/>
      <c r="C4416" s="6"/>
      <c r="D4416" s="6"/>
      <c r="E4416" s="6"/>
      <c r="F4416" s="6"/>
      <c r="G4416" s="6"/>
    </row>
    <row r="4417" spans="1:7" x14ac:dyDescent="0.25">
      <c r="A4417" s="6" t="s">
        <v>2637</v>
      </c>
      <c r="B4417" s="6"/>
      <c r="C4417" s="6"/>
      <c r="D4417" s="6"/>
      <c r="E4417" s="6"/>
      <c r="F4417" s="6"/>
      <c r="G4417" s="6"/>
    </row>
    <row r="4418" spans="1:7" x14ac:dyDescent="0.25">
      <c r="A4418" s="6" t="s">
        <v>957</v>
      </c>
      <c r="B4418" s="6"/>
      <c r="C4418" s="6"/>
      <c r="D4418" s="6"/>
      <c r="E4418" s="6"/>
      <c r="F4418" s="6"/>
      <c r="G4418" s="6"/>
    </row>
    <row r="4419" spans="1:7" x14ac:dyDescent="0.25">
      <c r="A4419" s="6" t="s">
        <v>2633</v>
      </c>
      <c r="B4419" s="6"/>
      <c r="C4419" s="6"/>
      <c r="D4419" s="6"/>
      <c r="E4419" s="6"/>
      <c r="F4419" s="6"/>
      <c r="G4419" s="6"/>
    </row>
    <row r="4420" spans="1:7" x14ac:dyDescent="0.25">
      <c r="A4420" s="6" t="s">
        <v>2630</v>
      </c>
      <c r="B4420" s="6"/>
      <c r="C4420" s="6"/>
      <c r="D4420" s="6"/>
      <c r="E4420" s="6"/>
      <c r="F4420" s="6"/>
      <c r="G4420" s="6"/>
    </row>
    <row r="4421" spans="1:7" x14ac:dyDescent="0.25">
      <c r="A4421" s="6" t="s">
        <v>957</v>
      </c>
      <c r="B4421" s="6"/>
      <c r="C4421" s="6"/>
      <c r="D4421" s="6"/>
      <c r="E4421" s="6"/>
      <c r="F4421" s="6"/>
      <c r="G4421" s="6"/>
    </row>
    <row r="4422" spans="1:7" x14ac:dyDescent="0.25">
      <c r="A4422" s="6" t="s">
        <v>2626</v>
      </c>
      <c r="B4422" s="6"/>
      <c r="C4422" s="6"/>
      <c r="D4422" s="6"/>
      <c r="E4422" s="6"/>
      <c r="F4422" s="6"/>
      <c r="G4422" s="6"/>
    </row>
    <row r="4423" spans="1:7" x14ac:dyDescent="0.25">
      <c r="A4423" s="6" t="s">
        <v>3674</v>
      </c>
      <c r="B4423" s="6"/>
      <c r="C4423" s="6"/>
      <c r="D4423" s="6"/>
      <c r="E4423" s="6"/>
      <c r="F4423" s="6"/>
      <c r="G4423" s="6"/>
    </row>
    <row r="4424" spans="1:7" x14ac:dyDescent="0.25">
      <c r="A4424" s="6" t="s">
        <v>957</v>
      </c>
      <c r="B4424" s="6"/>
      <c r="C4424" s="6"/>
      <c r="D4424" s="6"/>
      <c r="E4424" s="6"/>
      <c r="F4424" s="6"/>
      <c r="G4424" s="6"/>
    </row>
    <row r="4425" spans="1:7" x14ac:dyDescent="0.25">
      <c r="A4425" s="6" t="s">
        <v>3670</v>
      </c>
      <c r="B4425" s="6"/>
      <c r="C4425" s="6"/>
      <c r="D4425" s="6"/>
      <c r="E4425" s="6"/>
      <c r="F4425" s="6"/>
      <c r="G4425" s="6"/>
    </row>
    <row r="4426" spans="1:7" x14ac:dyDescent="0.25">
      <c r="A4426" s="6" t="s">
        <v>3667</v>
      </c>
      <c r="B4426" s="6"/>
      <c r="C4426" s="6"/>
      <c r="D4426" s="6"/>
      <c r="E4426" s="6"/>
      <c r="F4426" s="6"/>
      <c r="G4426" s="6"/>
    </row>
    <row r="4427" spans="1:7" x14ac:dyDescent="0.25">
      <c r="A4427" s="6" t="s">
        <v>3664</v>
      </c>
      <c r="B4427" s="6"/>
      <c r="C4427" s="6"/>
      <c r="D4427" s="6"/>
      <c r="E4427" s="6"/>
      <c r="F4427" s="6"/>
      <c r="G4427" s="6"/>
    </row>
    <row r="4428" spans="1:7" x14ac:dyDescent="0.25">
      <c r="A4428" s="6" t="s">
        <v>3661</v>
      </c>
      <c r="B4428" s="6"/>
      <c r="C4428" s="6"/>
      <c r="D4428" s="6"/>
      <c r="E4428" s="6"/>
      <c r="F4428" s="6"/>
      <c r="G4428" s="6"/>
    </row>
    <row r="4429" spans="1:7" x14ac:dyDescent="0.25">
      <c r="A4429" s="6" t="s">
        <v>3658</v>
      </c>
      <c r="B4429" s="6"/>
      <c r="C4429" s="6"/>
      <c r="D4429" s="6"/>
      <c r="E4429" s="6"/>
      <c r="F4429" s="6"/>
      <c r="G4429" s="6"/>
    </row>
    <row r="4430" spans="1:7" x14ac:dyDescent="0.25">
      <c r="A4430" s="6" t="s">
        <v>3655</v>
      </c>
      <c r="B4430" s="6"/>
      <c r="C4430" s="6"/>
      <c r="D4430" s="6"/>
      <c r="E4430" s="6"/>
      <c r="F4430" s="6"/>
      <c r="G4430" s="6"/>
    </row>
    <row r="4431" spans="1:7" x14ac:dyDescent="0.25">
      <c r="A4431" s="6" t="s">
        <v>957</v>
      </c>
      <c r="B4431" s="6"/>
      <c r="C4431" s="6"/>
      <c r="D4431" s="6"/>
      <c r="E4431" s="6"/>
      <c r="F4431" s="6"/>
      <c r="G4431" s="6"/>
    </row>
    <row r="4432" spans="1:7" x14ac:dyDescent="0.25">
      <c r="A4432" s="6" t="s">
        <v>3651</v>
      </c>
      <c r="B4432" s="6"/>
      <c r="C4432" s="6"/>
      <c r="D4432" s="6"/>
      <c r="E4432" s="6"/>
      <c r="F4432" s="6"/>
      <c r="G4432" s="6"/>
    </row>
    <row r="4433" spans="1:7" x14ac:dyDescent="0.25">
      <c r="A4433" s="6" t="s">
        <v>3648</v>
      </c>
      <c r="B4433" s="6"/>
      <c r="C4433" s="6"/>
      <c r="D4433" s="6"/>
      <c r="E4433" s="6"/>
      <c r="F4433" s="6"/>
      <c r="G4433" s="6"/>
    </row>
    <row r="4434" spans="1:7" x14ac:dyDescent="0.25">
      <c r="A4434" s="6" t="s">
        <v>3645</v>
      </c>
      <c r="B4434" s="6"/>
      <c r="C4434" s="6"/>
      <c r="D4434" s="6"/>
      <c r="E4434" s="6"/>
      <c r="F4434" s="6"/>
      <c r="G4434" s="6"/>
    </row>
    <row r="4435" spans="1:7" x14ac:dyDescent="0.25">
      <c r="A4435" s="6" t="s">
        <v>3642</v>
      </c>
      <c r="B4435" s="6"/>
      <c r="C4435" s="6"/>
      <c r="D4435" s="6"/>
      <c r="E4435" s="6"/>
      <c r="F4435" s="6"/>
      <c r="G4435" s="6"/>
    </row>
    <row r="4436" spans="1:7" x14ac:dyDescent="0.25">
      <c r="A4436" s="6" t="s">
        <v>957</v>
      </c>
      <c r="B4436" s="6"/>
      <c r="C4436" s="6"/>
      <c r="D4436" s="6"/>
      <c r="E4436" s="6"/>
      <c r="F4436" s="6"/>
      <c r="G4436" s="6"/>
    </row>
    <row r="4437" spans="1:7" x14ac:dyDescent="0.25">
      <c r="A4437" s="6" t="s">
        <v>3638</v>
      </c>
      <c r="B4437" s="6"/>
      <c r="C4437" s="6"/>
      <c r="D4437" s="6"/>
      <c r="E4437" s="6"/>
      <c r="F4437" s="6"/>
      <c r="G4437" s="6"/>
    </row>
    <row r="4438" spans="1:7" x14ac:dyDescent="0.25">
      <c r="A4438" s="6" t="s">
        <v>3635</v>
      </c>
      <c r="B4438" s="6"/>
      <c r="C4438" s="6"/>
      <c r="D4438" s="6"/>
      <c r="E4438" s="6"/>
      <c r="F4438" s="6"/>
      <c r="G4438" s="6"/>
    </row>
    <row r="4439" spans="1:7" x14ac:dyDescent="0.25">
      <c r="A4439" s="6" t="s">
        <v>3632</v>
      </c>
      <c r="B4439" s="6"/>
      <c r="C4439" s="6"/>
      <c r="D4439" s="6"/>
      <c r="E4439" s="6"/>
      <c r="F4439" s="6"/>
      <c r="G4439" s="6"/>
    </row>
    <row r="4440" spans="1:7" x14ac:dyDescent="0.25">
      <c r="A4440" s="6" t="s">
        <v>3629</v>
      </c>
      <c r="B4440" s="6"/>
      <c r="C4440" s="6"/>
      <c r="D4440" s="6"/>
      <c r="E4440" s="6"/>
      <c r="F4440" s="6"/>
      <c r="G4440" s="6"/>
    </row>
    <row r="4441" spans="1:7" x14ac:dyDescent="0.25">
      <c r="A4441" s="6" t="s">
        <v>3626</v>
      </c>
      <c r="B4441" s="6"/>
      <c r="C4441" s="6"/>
      <c r="D4441" s="6"/>
      <c r="E4441" s="6"/>
      <c r="F4441" s="6"/>
      <c r="G4441" s="6"/>
    </row>
    <row r="4442" spans="1:7" x14ac:dyDescent="0.25">
      <c r="A4442" s="6" t="s">
        <v>957</v>
      </c>
      <c r="B4442" s="6"/>
      <c r="C4442" s="6"/>
      <c r="D4442" s="6"/>
      <c r="E4442" s="6"/>
      <c r="F4442" s="6"/>
      <c r="G4442" s="6"/>
    </row>
    <row r="4443" spans="1:7" x14ac:dyDescent="0.25">
      <c r="A4443" s="6" t="s">
        <v>957</v>
      </c>
      <c r="B4443" s="6"/>
      <c r="C4443" s="6"/>
      <c r="D4443" s="6"/>
      <c r="E4443" s="6"/>
      <c r="F4443" s="6"/>
      <c r="G4443" s="6"/>
    </row>
    <row r="4444" spans="1:7" x14ac:dyDescent="0.25">
      <c r="A4444" s="6" t="s">
        <v>2577</v>
      </c>
      <c r="B4444" s="6"/>
      <c r="C4444" s="6"/>
      <c r="D4444" s="6"/>
      <c r="E4444" s="6"/>
      <c r="F4444" s="6"/>
      <c r="G4444" s="6"/>
    </row>
    <row r="4445" spans="1:7" x14ac:dyDescent="0.25">
      <c r="A4445" s="6" t="s">
        <v>2574</v>
      </c>
      <c r="B4445" s="6"/>
      <c r="C4445" s="6"/>
      <c r="D4445" s="6"/>
      <c r="E4445" s="6"/>
      <c r="F4445" s="6"/>
      <c r="G4445" s="6"/>
    </row>
    <row r="4446" spans="1:7" x14ac:dyDescent="0.25">
      <c r="A4446" s="6" t="s">
        <v>2571</v>
      </c>
      <c r="B4446" s="6"/>
      <c r="C4446" s="6"/>
      <c r="D4446" s="6"/>
      <c r="E4446" s="6"/>
      <c r="F4446" s="6"/>
      <c r="G4446" s="6"/>
    </row>
    <row r="4447" spans="1:7" x14ac:dyDescent="0.25">
      <c r="A4447" s="6" t="s">
        <v>2568</v>
      </c>
      <c r="B4447" s="6"/>
      <c r="C4447" s="6"/>
      <c r="D4447" s="6"/>
      <c r="E4447" s="6"/>
      <c r="F4447" s="6"/>
      <c r="G4447" s="6"/>
    </row>
    <row r="4448" spans="1:7" x14ac:dyDescent="0.25">
      <c r="A4448" s="6" t="s">
        <v>2565</v>
      </c>
      <c r="B4448" s="6"/>
      <c r="C4448" s="6"/>
      <c r="D4448" s="6"/>
      <c r="E4448" s="6"/>
      <c r="F4448" s="6"/>
      <c r="G4448" s="6"/>
    </row>
    <row r="4449" spans="1:7" x14ac:dyDescent="0.25">
      <c r="A4449" s="6" t="s">
        <v>2562</v>
      </c>
      <c r="B4449" s="6"/>
      <c r="C4449" s="6"/>
      <c r="D4449" s="6"/>
      <c r="E4449" s="6"/>
      <c r="F4449" s="6"/>
      <c r="G4449" s="6"/>
    </row>
    <row r="4450" spans="1:7" x14ac:dyDescent="0.25">
      <c r="A4450" s="6" t="s">
        <v>2559</v>
      </c>
      <c r="B4450" s="6"/>
      <c r="C4450" s="6"/>
      <c r="D4450" s="6"/>
      <c r="E4450" s="6"/>
      <c r="F4450" s="6"/>
      <c r="G4450" s="6"/>
    </row>
    <row r="4451" spans="1:7" x14ac:dyDescent="0.25">
      <c r="A4451" s="6" t="s">
        <v>957</v>
      </c>
      <c r="B4451" s="6"/>
      <c r="C4451" s="6"/>
      <c r="D4451" s="6"/>
      <c r="E4451" s="6"/>
      <c r="F4451" s="6"/>
      <c r="G4451" s="6"/>
    </row>
    <row r="4452" spans="1:7" x14ac:dyDescent="0.25">
      <c r="A4452" s="6" t="s">
        <v>2555</v>
      </c>
      <c r="B4452" s="6"/>
      <c r="C4452" s="6"/>
      <c r="D4452" s="6"/>
      <c r="E4452" s="6"/>
      <c r="F4452" s="6"/>
      <c r="G4452" s="6"/>
    </row>
    <row r="4453" spans="1:7" x14ac:dyDescent="0.25">
      <c r="A4453" s="6" t="s">
        <v>2552</v>
      </c>
      <c r="B4453" s="6"/>
      <c r="C4453" s="6"/>
      <c r="D4453" s="6"/>
      <c r="E4453" s="6"/>
      <c r="F4453" s="6"/>
      <c r="G4453" s="6"/>
    </row>
    <row r="4454" spans="1:7" x14ac:dyDescent="0.25">
      <c r="A4454" s="6" t="s">
        <v>2549</v>
      </c>
      <c r="B4454" s="6"/>
      <c r="C4454" s="6"/>
      <c r="D4454" s="6"/>
      <c r="E4454" s="6"/>
      <c r="F4454" s="6"/>
      <c r="G4454" s="6"/>
    </row>
    <row r="4455" spans="1:7" x14ac:dyDescent="0.25">
      <c r="A4455" s="6" t="s">
        <v>957</v>
      </c>
      <c r="B4455" s="6"/>
      <c r="C4455" s="6"/>
      <c r="D4455" s="6"/>
      <c r="E4455" s="6"/>
      <c r="F4455" s="6"/>
      <c r="G4455" s="6"/>
    </row>
    <row r="4456" spans="1:7" x14ac:dyDescent="0.25">
      <c r="A4456" s="6" t="s">
        <v>2545</v>
      </c>
      <c r="B4456" s="6"/>
      <c r="C4456" s="6"/>
      <c r="D4456" s="6"/>
      <c r="E4456" s="6"/>
      <c r="F4456" s="6"/>
      <c r="G4456" s="6"/>
    </row>
    <row r="4457" spans="1:7" x14ac:dyDescent="0.25">
      <c r="A4457" s="6" t="s">
        <v>2542</v>
      </c>
      <c r="B4457" s="6"/>
      <c r="C4457" s="6"/>
      <c r="D4457" s="6"/>
      <c r="E4457" s="6"/>
      <c r="F4457" s="6"/>
      <c r="G4457" s="6"/>
    </row>
    <row r="4458" spans="1:7" x14ac:dyDescent="0.25">
      <c r="A4458" s="6" t="s">
        <v>2539</v>
      </c>
      <c r="B4458" s="6"/>
      <c r="C4458" s="6"/>
      <c r="D4458" s="6"/>
      <c r="E4458" s="6"/>
      <c r="F4458" s="6"/>
      <c r="G4458" s="6"/>
    </row>
    <row r="4459" spans="1:7" x14ac:dyDescent="0.25">
      <c r="A4459" s="6" t="s">
        <v>2536</v>
      </c>
      <c r="B4459" s="6"/>
      <c r="C4459" s="6"/>
      <c r="D4459" s="6"/>
      <c r="E4459" s="6"/>
      <c r="F4459" s="6"/>
      <c r="G4459" s="6"/>
    </row>
    <row r="4460" spans="1:7" x14ac:dyDescent="0.25">
      <c r="A4460" s="6" t="s">
        <v>957</v>
      </c>
      <c r="B4460" s="6"/>
      <c r="C4460" s="6"/>
      <c r="D4460" s="6"/>
      <c r="E4460" s="6"/>
      <c r="F4460" s="6"/>
      <c r="G4460" s="6"/>
    </row>
    <row r="4461" spans="1:7" x14ac:dyDescent="0.25">
      <c r="A4461" s="6" t="s">
        <v>2531</v>
      </c>
      <c r="B4461" s="6"/>
      <c r="C4461" s="6"/>
      <c r="D4461" s="6"/>
      <c r="E4461" s="6"/>
      <c r="F4461" s="6"/>
      <c r="G4461" s="6"/>
    </row>
    <row r="4462" spans="1:7" x14ac:dyDescent="0.25">
      <c r="A4462" s="6" t="s">
        <v>2528</v>
      </c>
      <c r="B4462" s="6"/>
      <c r="C4462" s="6"/>
      <c r="D4462" s="6"/>
      <c r="E4462" s="6"/>
      <c r="F4462" s="6"/>
      <c r="G4462" s="6"/>
    </row>
    <row r="4463" spans="1:7" x14ac:dyDescent="0.25">
      <c r="A4463" s="6" t="s">
        <v>2525</v>
      </c>
      <c r="B4463" s="6"/>
      <c r="C4463" s="6"/>
      <c r="D4463" s="6"/>
      <c r="E4463" s="6"/>
      <c r="F4463" s="6"/>
      <c r="G4463" s="6"/>
    </row>
    <row r="4464" spans="1:7" x14ac:dyDescent="0.25">
      <c r="A4464" s="6" t="s">
        <v>957</v>
      </c>
      <c r="B4464" s="6"/>
      <c r="C4464" s="6"/>
      <c r="D4464" s="6"/>
      <c r="E4464" s="6"/>
      <c r="F4464" s="6"/>
      <c r="G4464" s="6"/>
    </row>
    <row r="4465" spans="1:7" x14ac:dyDescent="0.25">
      <c r="A4465" s="6" t="s">
        <v>2521</v>
      </c>
      <c r="B4465" s="6"/>
      <c r="C4465" s="6"/>
      <c r="D4465" s="6"/>
      <c r="E4465" s="6"/>
      <c r="F4465" s="6"/>
      <c r="G4465" s="6"/>
    </row>
    <row r="4466" spans="1:7" x14ac:dyDescent="0.25">
      <c r="A4466" s="6" t="s">
        <v>957</v>
      </c>
      <c r="B4466" s="6"/>
      <c r="C4466" s="6"/>
      <c r="D4466" s="6"/>
      <c r="E4466" s="6"/>
      <c r="F4466" s="6"/>
      <c r="G4466" s="6"/>
    </row>
    <row r="4467" spans="1:7" x14ac:dyDescent="0.25">
      <c r="A4467" s="6" t="s">
        <v>957</v>
      </c>
      <c r="B4467" s="6"/>
      <c r="C4467" s="6"/>
      <c r="D4467" s="6"/>
      <c r="E4467" s="6"/>
      <c r="F4467" s="6"/>
      <c r="G4467" s="6"/>
    </row>
    <row r="4468" spans="1:7" x14ac:dyDescent="0.25">
      <c r="A4468" s="6" t="s">
        <v>2516</v>
      </c>
      <c r="B4468" s="6"/>
      <c r="C4468" s="6"/>
      <c r="D4468" s="6"/>
      <c r="E4468" s="6"/>
      <c r="F4468" s="6"/>
      <c r="G4468" s="6"/>
    </row>
    <row r="4469" spans="1:7" x14ac:dyDescent="0.25">
      <c r="A4469" s="6" t="s">
        <v>2513</v>
      </c>
      <c r="B4469" s="6"/>
      <c r="C4469" s="6"/>
      <c r="D4469" s="6"/>
      <c r="E4469" s="6"/>
      <c r="F4469" s="6"/>
      <c r="G4469" s="6"/>
    </row>
    <row r="4470" spans="1:7" x14ac:dyDescent="0.25">
      <c r="A4470" s="6" t="s">
        <v>957</v>
      </c>
      <c r="B4470" s="6"/>
      <c r="C4470" s="6"/>
      <c r="D4470" s="6"/>
      <c r="E4470" s="6"/>
      <c r="F4470" s="6"/>
      <c r="G4470" s="6"/>
    </row>
    <row r="4471" spans="1:7" x14ac:dyDescent="0.25">
      <c r="A4471" s="6" t="s">
        <v>2509</v>
      </c>
      <c r="B4471" s="6"/>
      <c r="C4471" s="6"/>
      <c r="D4471" s="6"/>
      <c r="E4471" s="6"/>
      <c r="F4471" s="6"/>
      <c r="G4471" s="6"/>
    </row>
    <row r="4472" spans="1:7" x14ac:dyDescent="0.25">
      <c r="A4472" s="6" t="s">
        <v>957</v>
      </c>
      <c r="B4472" s="6"/>
      <c r="C4472" s="6"/>
      <c r="D4472" s="6"/>
      <c r="E4472" s="6"/>
      <c r="F4472" s="6"/>
      <c r="G4472" s="6"/>
    </row>
    <row r="4473" spans="1:7" x14ac:dyDescent="0.25">
      <c r="A4473" s="6" t="s">
        <v>2505</v>
      </c>
      <c r="B4473" s="6"/>
      <c r="C4473" s="6"/>
      <c r="D4473" s="6"/>
      <c r="E4473" s="6"/>
      <c r="F4473" s="6"/>
      <c r="G4473" s="6"/>
    </row>
    <row r="4474" spans="1:7" x14ac:dyDescent="0.25">
      <c r="A4474" s="6" t="s">
        <v>2502</v>
      </c>
      <c r="B4474" s="6"/>
      <c r="C4474" s="6"/>
      <c r="D4474" s="6"/>
      <c r="E4474" s="6"/>
      <c r="F4474" s="6"/>
      <c r="G4474" s="6"/>
    </row>
    <row r="4475" spans="1:7" x14ac:dyDescent="0.25">
      <c r="A4475" s="6" t="s">
        <v>957</v>
      </c>
      <c r="B4475" s="6"/>
      <c r="C4475" s="6"/>
      <c r="D4475" s="6"/>
      <c r="E4475" s="6"/>
      <c r="F4475" s="6"/>
      <c r="G4475" s="6"/>
    </row>
    <row r="4476" spans="1:7" x14ac:dyDescent="0.25">
      <c r="A4476" s="6" t="s">
        <v>957</v>
      </c>
      <c r="B4476" s="6"/>
      <c r="C4476" s="6"/>
      <c r="D4476" s="6"/>
      <c r="E4476" s="6"/>
      <c r="F4476" s="6"/>
      <c r="G4476" s="6"/>
    </row>
    <row r="4477" spans="1:7" x14ac:dyDescent="0.25">
      <c r="A4477" s="6" t="s">
        <v>957</v>
      </c>
      <c r="B4477" s="6"/>
      <c r="C4477" s="6"/>
      <c r="D4477" s="6"/>
      <c r="E4477" s="6"/>
      <c r="F4477" s="6"/>
      <c r="G4477" s="6"/>
    </row>
    <row r="4478" spans="1:7" x14ac:dyDescent="0.25">
      <c r="A4478" s="6" t="s">
        <v>957</v>
      </c>
      <c r="B4478" s="6"/>
      <c r="C4478" s="6"/>
      <c r="D4478" s="6"/>
      <c r="E4478" s="6"/>
      <c r="F4478" s="6"/>
      <c r="G4478" s="6"/>
    </row>
    <row r="4479" spans="1:7" x14ac:dyDescent="0.25">
      <c r="A4479" s="6" t="s">
        <v>2493</v>
      </c>
      <c r="B4479" s="6"/>
      <c r="C4479" s="6"/>
      <c r="D4479" s="6"/>
      <c r="E4479" s="6"/>
      <c r="F4479" s="6"/>
      <c r="G4479" s="6"/>
    </row>
    <row r="4480" spans="1:7" x14ac:dyDescent="0.25">
      <c r="A4480" s="6" t="s">
        <v>2490</v>
      </c>
      <c r="B4480" s="6"/>
      <c r="C4480" s="6"/>
      <c r="D4480" s="6"/>
      <c r="E4480" s="6"/>
      <c r="F4480" s="6"/>
      <c r="G4480" s="6"/>
    </row>
    <row r="4481" spans="1:7" x14ac:dyDescent="0.25">
      <c r="A4481" s="6" t="s">
        <v>2487</v>
      </c>
      <c r="B4481" s="6"/>
      <c r="C4481" s="6"/>
      <c r="D4481" s="6"/>
      <c r="E4481" s="6"/>
      <c r="F4481" s="6"/>
      <c r="G4481" s="6"/>
    </row>
    <row r="4482" spans="1:7" x14ac:dyDescent="0.25">
      <c r="A4482" s="6" t="s">
        <v>957</v>
      </c>
      <c r="B4482" s="6"/>
      <c r="C4482" s="6"/>
      <c r="D4482" s="6"/>
      <c r="E4482" s="6"/>
      <c r="F4482" s="6"/>
      <c r="G4482" s="6"/>
    </row>
    <row r="4483" spans="1:7" x14ac:dyDescent="0.25">
      <c r="A4483" s="6" t="s">
        <v>2483</v>
      </c>
      <c r="B4483" s="6"/>
      <c r="C4483" s="6"/>
      <c r="D4483" s="6"/>
      <c r="E4483" s="6"/>
      <c r="F4483" s="6"/>
      <c r="G4483" s="6"/>
    </row>
    <row r="4484" spans="1:7" x14ac:dyDescent="0.25">
      <c r="A4484" s="6" t="s">
        <v>2480</v>
      </c>
      <c r="B4484" s="6"/>
      <c r="C4484" s="6"/>
      <c r="D4484" s="6"/>
      <c r="E4484" s="6"/>
      <c r="F4484" s="6"/>
      <c r="G4484" s="6"/>
    </row>
    <row r="4485" spans="1:7" x14ac:dyDescent="0.25">
      <c r="A4485" s="6" t="s">
        <v>957</v>
      </c>
      <c r="B4485" s="6"/>
      <c r="C4485" s="6"/>
      <c r="D4485" s="6"/>
      <c r="E4485" s="6"/>
      <c r="F4485" s="6"/>
      <c r="G4485" s="6"/>
    </row>
    <row r="4486" spans="1:7" x14ac:dyDescent="0.25">
      <c r="A4486" s="6" t="s">
        <v>2476</v>
      </c>
      <c r="B4486" s="6"/>
      <c r="C4486" s="6"/>
      <c r="D4486" s="6"/>
      <c r="E4486" s="6"/>
      <c r="F4486" s="6"/>
      <c r="G4486" s="6"/>
    </row>
    <row r="4487" spans="1:7" x14ac:dyDescent="0.25">
      <c r="A4487" s="6" t="s">
        <v>2473</v>
      </c>
      <c r="B4487" s="6"/>
      <c r="C4487" s="6"/>
      <c r="D4487" s="6"/>
      <c r="E4487" s="6"/>
      <c r="F4487" s="6"/>
      <c r="G4487" s="6"/>
    </row>
    <row r="4488" spans="1:7" x14ac:dyDescent="0.25">
      <c r="A4488" s="6" t="s">
        <v>957</v>
      </c>
      <c r="B4488" s="6"/>
      <c r="C4488" s="6"/>
      <c r="D4488" s="6"/>
      <c r="E4488" s="6"/>
      <c r="F4488" s="6"/>
      <c r="G4488" s="6"/>
    </row>
    <row r="4489" spans="1:7" x14ac:dyDescent="0.25">
      <c r="A4489" s="6" t="s">
        <v>3525</v>
      </c>
      <c r="B4489" s="6"/>
      <c r="C4489" s="6"/>
      <c r="D4489" s="6"/>
      <c r="E4489" s="6"/>
      <c r="F4489" s="6"/>
      <c r="G4489" s="6"/>
    </row>
    <row r="4490" spans="1:7" x14ac:dyDescent="0.25">
      <c r="A4490" s="6" t="s">
        <v>3522</v>
      </c>
      <c r="B4490" s="6"/>
      <c r="C4490" s="6"/>
      <c r="D4490" s="6"/>
      <c r="E4490" s="6"/>
      <c r="F4490" s="6"/>
      <c r="G4490" s="6"/>
    </row>
    <row r="4491" spans="1:7" x14ac:dyDescent="0.25">
      <c r="A4491" s="6" t="s">
        <v>3519</v>
      </c>
      <c r="B4491" s="6"/>
      <c r="C4491" s="6"/>
      <c r="D4491" s="6"/>
      <c r="E4491" s="6"/>
      <c r="F4491" s="6"/>
      <c r="G4491" s="6"/>
    </row>
    <row r="4492" spans="1:7" x14ac:dyDescent="0.25">
      <c r="A4492" s="6" t="s">
        <v>3516</v>
      </c>
      <c r="B4492" s="6"/>
      <c r="C4492" s="6"/>
      <c r="D4492" s="6"/>
      <c r="E4492" s="6"/>
      <c r="F4492" s="6"/>
      <c r="G4492" s="6"/>
    </row>
    <row r="4493" spans="1:7" x14ac:dyDescent="0.25">
      <c r="A4493" s="6" t="s">
        <v>957</v>
      </c>
      <c r="B4493" s="6"/>
      <c r="C4493" s="6"/>
      <c r="D4493" s="6"/>
      <c r="E4493" s="6"/>
      <c r="F4493" s="6"/>
      <c r="G4493" s="6"/>
    </row>
    <row r="4494" spans="1:7" x14ac:dyDescent="0.25">
      <c r="A4494" s="6" t="s">
        <v>3513</v>
      </c>
      <c r="B4494" s="6"/>
      <c r="C4494" s="6"/>
      <c r="D4494" s="6"/>
      <c r="E4494" s="6"/>
      <c r="F4494" s="6"/>
      <c r="G4494" s="6"/>
    </row>
    <row r="4495" spans="1:7" x14ac:dyDescent="0.25">
      <c r="A4495" s="6" t="s">
        <v>3510</v>
      </c>
      <c r="B4495" s="6"/>
      <c r="C4495" s="6"/>
      <c r="D4495" s="6"/>
      <c r="E4495" s="6"/>
      <c r="F4495" s="6"/>
      <c r="G4495" s="6"/>
    </row>
    <row r="4496" spans="1:7" x14ac:dyDescent="0.25">
      <c r="A4496" s="6" t="s">
        <v>3507</v>
      </c>
      <c r="B4496" s="6"/>
      <c r="C4496" s="6"/>
      <c r="D4496" s="6"/>
      <c r="E4496" s="6"/>
      <c r="F4496" s="6"/>
      <c r="G4496" s="6"/>
    </row>
    <row r="4497" spans="1:7" x14ac:dyDescent="0.25">
      <c r="A4497" s="6" t="s">
        <v>957</v>
      </c>
      <c r="B4497" s="6"/>
      <c r="C4497" s="6"/>
      <c r="D4497" s="6"/>
      <c r="E4497" s="6"/>
      <c r="F4497" s="6"/>
      <c r="G4497" s="6"/>
    </row>
    <row r="4498" spans="1:7" x14ac:dyDescent="0.25">
      <c r="A4498" s="6" t="s">
        <v>3503</v>
      </c>
      <c r="B4498" s="6"/>
      <c r="C4498" s="6"/>
      <c r="D4498" s="6"/>
      <c r="E4498" s="6"/>
      <c r="F4498" s="6"/>
      <c r="G4498" s="6"/>
    </row>
    <row r="4499" spans="1:7" x14ac:dyDescent="0.25">
      <c r="A4499" s="6" t="s">
        <v>3500</v>
      </c>
      <c r="B4499" s="6"/>
      <c r="C4499" s="6"/>
      <c r="D4499" s="6"/>
      <c r="E4499" s="6"/>
      <c r="F4499" s="6"/>
      <c r="G4499" s="6"/>
    </row>
    <row r="4500" spans="1:7" x14ac:dyDescent="0.25">
      <c r="A4500" s="6" t="s">
        <v>3498</v>
      </c>
      <c r="B4500" s="6"/>
      <c r="C4500" s="6"/>
      <c r="D4500" s="6"/>
      <c r="E4500" s="6"/>
      <c r="F4500" s="6"/>
      <c r="G4500" s="6"/>
    </row>
    <row r="4501" spans="1:7" x14ac:dyDescent="0.25">
      <c r="A4501" s="6" t="s">
        <v>3495</v>
      </c>
      <c r="B4501" s="6"/>
      <c r="C4501" s="6"/>
      <c r="D4501" s="6"/>
      <c r="E4501" s="6"/>
      <c r="F4501" s="6"/>
      <c r="G4501" s="6"/>
    </row>
    <row r="4502" spans="1:7" x14ac:dyDescent="0.25">
      <c r="A4502" s="6" t="s">
        <v>957</v>
      </c>
      <c r="B4502" s="6"/>
      <c r="C4502" s="6"/>
      <c r="D4502" s="6"/>
      <c r="E4502" s="6"/>
      <c r="F4502" s="6"/>
      <c r="G4502" s="6"/>
    </row>
    <row r="4503" spans="1:7" x14ac:dyDescent="0.25">
      <c r="A4503" s="6" t="s">
        <v>3478</v>
      </c>
      <c r="B4503" s="6"/>
      <c r="C4503" s="6"/>
      <c r="D4503" s="6"/>
      <c r="E4503" s="6"/>
      <c r="F4503" s="6"/>
      <c r="G4503" s="6"/>
    </row>
    <row r="4504" spans="1:7" x14ac:dyDescent="0.25">
      <c r="A4504" s="6" t="s">
        <v>3475</v>
      </c>
      <c r="B4504" s="6"/>
      <c r="C4504" s="6"/>
      <c r="D4504" s="6"/>
      <c r="E4504" s="6"/>
      <c r="F4504" s="6"/>
      <c r="G4504" s="6"/>
    </row>
    <row r="4505" spans="1:7" x14ac:dyDescent="0.25">
      <c r="A4505" s="6" t="s">
        <v>957</v>
      </c>
      <c r="B4505" s="6"/>
      <c r="C4505" s="6"/>
      <c r="D4505" s="6"/>
      <c r="E4505" s="6"/>
      <c r="F4505" s="6"/>
      <c r="G4505" s="6"/>
    </row>
    <row r="4506" spans="1:7" x14ac:dyDescent="0.25">
      <c r="A4506" s="6" t="s">
        <v>957</v>
      </c>
      <c r="B4506" s="6"/>
      <c r="C4506" s="6"/>
      <c r="D4506" s="6"/>
      <c r="E4506" s="6"/>
      <c r="F4506" s="6"/>
      <c r="G4506" s="6"/>
    </row>
    <row r="4507" spans="1:7" x14ac:dyDescent="0.25">
      <c r="A4507" s="6" t="s">
        <v>3470</v>
      </c>
      <c r="B4507" s="6"/>
      <c r="C4507" s="6"/>
      <c r="D4507" s="6"/>
      <c r="E4507" s="6"/>
      <c r="F4507" s="6"/>
      <c r="G4507" s="6"/>
    </row>
    <row r="4508" spans="1:7" x14ac:dyDescent="0.25">
      <c r="A4508" s="6" t="s">
        <v>957</v>
      </c>
      <c r="B4508" s="6"/>
      <c r="C4508" s="6"/>
      <c r="D4508" s="6"/>
      <c r="E4508" s="6"/>
      <c r="F4508" s="6"/>
      <c r="G4508" s="6"/>
    </row>
    <row r="4509" spans="1:7" x14ac:dyDescent="0.25">
      <c r="A4509" s="6" t="s">
        <v>957</v>
      </c>
      <c r="B4509" s="6"/>
      <c r="C4509" s="6"/>
      <c r="D4509" s="6"/>
      <c r="E4509" s="6"/>
      <c r="F4509" s="6"/>
      <c r="G4509" s="6"/>
    </row>
    <row r="4510" spans="1:7" x14ac:dyDescent="0.25">
      <c r="A4510" s="6" t="s">
        <v>957</v>
      </c>
      <c r="B4510" s="6"/>
      <c r="C4510" s="6"/>
      <c r="D4510" s="6"/>
      <c r="E4510" s="6"/>
      <c r="F4510" s="6"/>
      <c r="G4510" s="6"/>
    </row>
    <row r="4511" spans="1:7" x14ac:dyDescent="0.25">
      <c r="A4511" s="6" t="s">
        <v>957</v>
      </c>
      <c r="B4511" s="6"/>
      <c r="C4511" s="6"/>
      <c r="D4511" s="6"/>
      <c r="E4511" s="6"/>
      <c r="F4511" s="6"/>
      <c r="G4511" s="6"/>
    </row>
    <row r="4512" spans="1:7" x14ac:dyDescent="0.25">
      <c r="A4512" s="6" t="s">
        <v>3462</v>
      </c>
      <c r="B4512" s="6"/>
      <c r="C4512" s="6"/>
      <c r="D4512" s="6"/>
      <c r="E4512" s="6"/>
      <c r="F4512" s="6"/>
      <c r="G4512" s="6"/>
    </row>
    <row r="4513" spans="1:7" x14ac:dyDescent="0.25">
      <c r="A4513" s="6" t="s">
        <v>3459</v>
      </c>
      <c r="B4513" s="6"/>
      <c r="C4513" s="6"/>
      <c r="D4513" s="6"/>
      <c r="E4513" s="6"/>
      <c r="F4513" s="6"/>
      <c r="G4513" s="6"/>
    </row>
    <row r="4514" spans="1:7" x14ac:dyDescent="0.25">
      <c r="A4514" s="6" t="s">
        <v>957</v>
      </c>
      <c r="B4514" s="6"/>
      <c r="C4514" s="6"/>
      <c r="D4514" s="6"/>
      <c r="E4514" s="6"/>
      <c r="F4514" s="6"/>
      <c r="G4514" s="6"/>
    </row>
    <row r="4515" spans="1:7" x14ac:dyDescent="0.25">
      <c r="A4515" s="6" t="s">
        <v>3454</v>
      </c>
      <c r="B4515" s="6"/>
      <c r="C4515" s="6"/>
      <c r="D4515" s="6"/>
      <c r="E4515" s="6"/>
      <c r="F4515" s="6"/>
      <c r="G4515" s="6"/>
    </row>
    <row r="4516" spans="1:7" x14ac:dyDescent="0.25">
      <c r="A4516" s="6" t="s">
        <v>3451</v>
      </c>
      <c r="B4516" s="6"/>
      <c r="C4516" s="6"/>
      <c r="D4516" s="6"/>
      <c r="E4516" s="6"/>
      <c r="F4516" s="6"/>
      <c r="G4516" s="6"/>
    </row>
    <row r="4517" spans="1:7" x14ac:dyDescent="0.25">
      <c r="A4517" s="6" t="s">
        <v>3448</v>
      </c>
      <c r="B4517" s="6"/>
      <c r="C4517" s="6"/>
      <c r="D4517" s="6"/>
      <c r="E4517" s="6"/>
      <c r="F4517" s="6"/>
      <c r="G4517" s="6"/>
    </row>
    <row r="4518" spans="1:7" x14ac:dyDescent="0.25">
      <c r="A4518" s="6" t="s">
        <v>3445</v>
      </c>
      <c r="B4518" s="6"/>
      <c r="C4518" s="6"/>
      <c r="D4518" s="6"/>
      <c r="E4518" s="6"/>
      <c r="F4518" s="6"/>
      <c r="G4518" s="6"/>
    </row>
    <row r="4519" spans="1:7" x14ac:dyDescent="0.25">
      <c r="A4519" s="6" t="s">
        <v>3442</v>
      </c>
      <c r="B4519" s="6"/>
      <c r="C4519" s="6"/>
      <c r="D4519" s="6"/>
      <c r="E4519" s="6"/>
      <c r="F4519" s="6"/>
      <c r="G4519" s="6"/>
    </row>
    <row r="4520" spans="1:7" x14ac:dyDescent="0.25">
      <c r="A4520" s="6" t="s">
        <v>957</v>
      </c>
      <c r="B4520" s="6"/>
      <c r="C4520" s="6"/>
      <c r="D4520" s="6"/>
      <c r="E4520" s="6"/>
      <c r="F4520" s="6"/>
      <c r="G4520" s="6"/>
    </row>
    <row r="4521" spans="1:7" x14ac:dyDescent="0.25">
      <c r="A4521" s="6" t="s">
        <v>14145</v>
      </c>
      <c r="B4521" s="6" t="s">
        <v>14146</v>
      </c>
      <c r="C4521" s="6"/>
      <c r="D4521" s="6"/>
      <c r="E4521" s="6"/>
      <c r="F4521" s="6"/>
      <c r="G4521" s="6"/>
    </row>
    <row r="4522" spans="1:7" x14ac:dyDescent="0.25">
      <c r="A4522" s="6" t="s">
        <v>3436</v>
      </c>
      <c r="B4522" s="6"/>
      <c r="C4522" s="6"/>
      <c r="D4522" s="6"/>
      <c r="E4522" s="6"/>
      <c r="F4522" s="6"/>
      <c r="G4522" s="6"/>
    </row>
    <row r="4523" spans="1:7" x14ac:dyDescent="0.25">
      <c r="A4523" s="6" t="s">
        <v>957</v>
      </c>
      <c r="B4523" s="6"/>
      <c r="C4523" s="6"/>
      <c r="D4523" s="6"/>
      <c r="E4523" s="6"/>
      <c r="F4523" s="6"/>
      <c r="G4523" s="6"/>
    </row>
    <row r="4524" spans="1:7" x14ac:dyDescent="0.25">
      <c r="A4524" s="6" t="s">
        <v>3432</v>
      </c>
      <c r="B4524" s="6"/>
      <c r="C4524" s="6"/>
      <c r="D4524" s="6"/>
      <c r="E4524" s="6"/>
      <c r="F4524" s="6"/>
      <c r="G4524" s="6"/>
    </row>
    <row r="4525" spans="1:7" x14ac:dyDescent="0.25">
      <c r="A4525" s="6" t="s">
        <v>957</v>
      </c>
      <c r="B4525" s="6"/>
      <c r="C4525" s="6"/>
      <c r="D4525" s="6"/>
      <c r="E4525" s="6"/>
      <c r="F4525" s="6"/>
      <c r="G4525" s="6"/>
    </row>
    <row r="4526" spans="1:7" x14ac:dyDescent="0.25">
      <c r="A4526" s="6" t="s">
        <v>3428</v>
      </c>
      <c r="B4526" s="6"/>
      <c r="C4526" s="6"/>
      <c r="D4526" s="6"/>
      <c r="E4526" s="6"/>
      <c r="F4526" s="6"/>
      <c r="G4526" s="6"/>
    </row>
    <row r="4527" spans="1:7" x14ac:dyDescent="0.25">
      <c r="A4527" s="6" t="s">
        <v>3426</v>
      </c>
      <c r="B4527" s="6"/>
      <c r="C4527" s="6"/>
      <c r="D4527" s="6"/>
      <c r="E4527" s="6"/>
      <c r="F4527" s="6"/>
      <c r="G4527" s="6"/>
    </row>
    <row r="4528" spans="1:7" x14ac:dyDescent="0.25">
      <c r="A4528" s="6" t="s">
        <v>3423</v>
      </c>
      <c r="B4528" s="6"/>
      <c r="C4528" s="6"/>
      <c r="D4528" s="6"/>
      <c r="E4528" s="6"/>
      <c r="F4528" s="6"/>
      <c r="G4528" s="6"/>
    </row>
    <row r="4529" spans="1:7" x14ac:dyDescent="0.25">
      <c r="A4529" s="6" t="s">
        <v>957</v>
      </c>
      <c r="B4529" s="6"/>
      <c r="C4529" s="6"/>
      <c r="D4529" s="6"/>
      <c r="E4529" s="6"/>
      <c r="F4529" s="6"/>
      <c r="G4529" s="6"/>
    </row>
    <row r="4530" spans="1:7" x14ac:dyDescent="0.25">
      <c r="A4530" s="6" t="s">
        <v>3419</v>
      </c>
      <c r="B4530" s="6"/>
      <c r="C4530" s="6"/>
      <c r="D4530" s="6"/>
      <c r="E4530" s="6"/>
      <c r="F4530" s="6"/>
      <c r="G4530" s="6"/>
    </row>
    <row r="4531" spans="1:7" x14ac:dyDescent="0.25">
      <c r="A4531" s="6" t="s">
        <v>3416</v>
      </c>
      <c r="B4531" s="6"/>
      <c r="C4531" s="6"/>
      <c r="D4531" s="6"/>
      <c r="E4531" s="6"/>
      <c r="F4531" s="6"/>
      <c r="G4531" s="6"/>
    </row>
    <row r="4532" spans="1:7" x14ac:dyDescent="0.25">
      <c r="A4532" s="6" t="s">
        <v>3413</v>
      </c>
      <c r="B4532" s="6"/>
      <c r="C4532" s="6"/>
      <c r="D4532" s="6"/>
      <c r="E4532" s="6"/>
      <c r="F4532" s="6"/>
      <c r="G4532" s="6"/>
    </row>
    <row r="4533" spans="1:7" x14ac:dyDescent="0.25">
      <c r="A4533" s="6" t="s">
        <v>3410</v>
      </c>
      <c r="B4533" s="6"/>
      <c r="C4533" s="6"/>
      <c r="D4533" s="6"/>
      <c r="E4533" s="6"/>
      <c r="F4533" s="6"/>
      <c r="G4533" s="6"/>
    </row>
    <row r="4534" spans="1:7" x14ac:dyDescent="0.25">
      <c r="A4534" s="6" t="s">
        <v>3407</v>
      </c>
      <c r="B4534" s="6"/>
      <c r="C4534" s="6"/>
      <c r="D4534" s="6"/>
      <c r="E4534" s="6"/>
      <c r="F4534" s="6"/>
      <c r="G4534" s="6"/>
    </row>
    <row r="4535" spans="1:7" x14ac:dyDescent="0.25">
      <c r="A4535" s="6" t="s">
        <v>3404</v>
      </c>
      <c r="B4535" s="6"/>
      <c r="C4535" s="6"/>
      <c r="D4535" s="6"/>
      <c r="E4535" s="6"/>
      <c r="F4535" s="6"/>
      <c r="G4535" s="6"/>
    </row>
    <row r="4536" spans="1:7" x14ac:dyDescent="0.25">
      <c r="A4536" s="6" t="s">
        <v>957</v>
      </c>
      <c r="B4536" s="6"/>
      <c r="C4536" s="6"/>
      <c r="D4536" s="6"/>
      <c r="E4536" s="6"/>
      <c r="F4536" s="6"/>
      <c r="G4536" s="6"/>
    </row>
    <row r="4537" spans="1:7" x14ac:dyDescent="0.25">
      <c r="A4537" s="6" t="s">
        <v>3400</v>
      </c>
      <c r="B4537" s="6"/>
      <c r="C4537" s="6"/>
      <c r="D4537" s="6"/>
      <c r="E4537" s="6"/>
      <c r="F4537" s="6"/>
      <c r="G4537" s="6"/>
    </row>
    <row r="4538" spans="1:7" x14ac:dyDescent="0.25">
      <c r="A4538" s="6" t="s">
        <v>3397</v>
      </c>
      <c r="B4538" s="6"/>
      <c r="C4538" s="6"/>
      <c r="D4538" s="6"/>
      <c r="E4538" s="6"/>
      <c r="F4538" s="6"/>
      <c r="G4538" s="6"/>
    </row>
    <row r="4539" spans="1:7" x14ac:dyDescent="0.25">
      <c r="A4539" s="6" t="s">
        <v>3394</v>
      </c>
      <c r="B4539" s="6"/>
      <c r="C4539" s="6"/>
      <c r="D4539" s="6"/>
      <c r="E4539" s="6"/>
      <c r="F4539" s="6"/>
      <c r="G4539" s="6"/>
    </row>
    <row r="4540" spans="1:7" x14ac:dyDescent="0.25">
      <c r="A4540" s="6" t="s">
        <v>3391</v>
      </c>
      <c r="B4540" s="6"/>
      <c r="C4540" s="6"/>
      <c r="D4540" s="6"/>
      <c r="E4540" s="6"/>
      <c r="F4540" s="6"/>
      <c r="G4540" s="6"/>
    </row>
    <row r="4541" spans="1:7" x14ac:dyDescent="0.25">
      <c r="A4541" s="6" t="s">
        <v>3388</v>
      </c>
      <c r="B4541" s="6"/>
      <c r="C4541" s="6"/>
      <c r="D4541" s="6"/>
      <c r="E4541" s="6"/>
      <c r="F4541" s="6"/>
      <c r="G4541" s="6"/>
    </row>
    <row r="4542" spans="1:7" x14ac:dyDescent="0.25">
      <c r="A4542" s="6" t="s">
        <v>3385</v>
      </c>
      <c r="B4542" s="6"/>
      <c r="C4542" s="6"/>
      <c r="D4542" s="6"/>
      <c r="E4542" s="6"/>
      <c r="F4542" s="6"/>
      <c r="G4542" s="6"/>
    </row>
    <row r="4543" spans="1:7" x14ac:dyDescent="0.25">
      <c r="A4543" s="6" t="s">
        <v>3382</v>
      </c>
      <c r="B4543" s="6"/>
      <c r="C4543" s="6"/>
      <c r="D4543" s="6"/>
      <c r="E4543" s="6"/>
      <c r="F4543" s="6"/>
      <c r="G4543" s="6"/>
    </row>
    <row r="4544" spans="1:7" x14ac:dyDescent="0.25">
      <c r="A4544" s="6" t="s">
        <v>957</v>
      </c>
      <c r="B4544" s="6"/>
      <c r="C4544" s="6"/>
      <c r="D4544" s="6"/>
      <c r="E4544" s="6"/>
      <c r="F4544" s="6"/>
      <c r="G4544" s="6"/>
    </row>
    <row r="4545" spans="1:7" x14ac:dyDescent="0.25">
      <c r="A4545" s="6" t="s">
        <v>3377</v>
      </c>
      <c r="B4545" s="6"/>
      <c r="C4545" s="6"/>
      <c r="D4545" s="6"/>
      <c r="E4545" s="6"/>
      <c r="F4545" s="6"/>
      <c r="G4545" s="6"/>
    </row>
    <row r="4546" spans="1:7" x14ac:dyDescent="0.25">
      <c r="A4546" s="6" t="s">
        <v>3374</v>
      </c>
      <c r="B4546" s="6"/>
      <c r="C4546" s="6"/>
      <c r="D4546" s="6"/>
      <c r="E4546" s="6"/>
      <c r="F4546" s="6"/>
      <c r="G4546" s="6"/>
    </row>
    <row r="4547" spans="1:7" x14ac:dyDescent="0.25">
      <c r="A4547" s="6" t="s">
        <v>3371</v>
      </c>
      <c r="B4547" s="6"/>
      <c r="C4547" s="6"/>
      <c r="D4547" s="6"/>
      <c r="E4547" s="6"/>
      <c r="F4547" s="6"/>
      <c r="G4547" s="6"/>
    </row>
    <row r="4548" spans="1:7" x14ac:dyDescent="0.25">
      <c r="A4548" s="6" t="s">
        <v>3368</v>
      </c>
      <c r="B4548" s="6"/>
      <c r="C4548" s="6"/>
      <c r="D4548" s="6"/>
      <c r="E4548" s="6"/>
      <c r="F4548" s="6"/>
      <c r="G4548" s="6"/>
    </row>
    <row r="4549" spans="1:7" x14ac:dyDescent="0.25">
      <c r="A4549" s="6" t="s">
        <v>3365</v>
      </c>
      <c r="B4549" s="6"/>
      <c r="C4549" s="6"/>
      <c r="D4549" s="6"/>
      <c r="E4549" s="6"/>
      <c r="F4549" s="6"/>
      <c r="G4549" s="6"/>
    </row>
    <row r="4550" spans="1:7" x14ac:dyDescent="0.25">
      <c r="A4550" s="6" t="s">
        <v>3362</v>
      </c>
      <c r="B4550" s="6"/>
      <c r="C4550" s="6"/>
      <c r="D4550" s="6"/>
      <c r="E4550" s="6"/>
      <c r="F4550" s="6"/>
      <c r="G4550" s="6"/>
    </row>
    <row r="4551" spans="1:7" x14ac:dyDescent="0.25">
      <c r="A4551" s="6" t="s">
        <v>3359</v>
      </c>
      <c r="B4551" s="6"/>
      <c r="C4551" s="6"/>
      <c r="D4551" s="6"/>
      <c r="E4551" s="6"/>
      <c r="F4551" s="6"/>
      <c r="G4551" s="6"/>
    </row>
    <row r="4552" spans="1:7" x14ac:dyDescent="0.25">
      <c r="A4552" s="6" t="s">
        <v>1653</v>
      </c>
      <c r="B4552" s="6"/>
      <c r="C4552" s="6"/>
      <c r="D4552" s="6"/>
      <c r="E4552" s="6"/>
      <c r="F4552" s="6"/>
      <c r="G4552" s="6"/>
    </row>
    <row r="4553" spans="1:7" x14ac:dyDescent="0.25">
      <c r="A4553" s="6" t="s">
        <v>1650</v>
      </c>
      <c r="B4553" s="6"/>
      <c r="C4553" s="6"/>
      <c r="D4553" s="6"/>
      <c r="E4553" s="6"/>
      <c r="F4553" s="6"/>
      <c r="G4553" s="6"/>
    </row>
    <row r="4554" spans="1:7" x14ac:dyDescent="0.25">
      <c r="A4554" s="6" t="s">
        <v>1647</v>
      </c>
      <c r="B4554" s="6"/>
      <c r="C4554" s="6"/>
      <c r="D4554" s="6"/>
      <c r="E4554" s="6"/>
      <c r="F4554" s="6"/>
      <c r="G4554" s="6"/>
    </row>
    <row r="4555" spans="1:7" x14ac:dyDescent="0.25">
      <c r="A4555" s="6" t="s">
        <v>1644</v>
      </c>
      <c r="B4555" s="6"/>
      <c r="C4555" s="6"/>
      <c r="D4555" s="6"/>
      <c r="E4555" s="6"/>
      <c r="F4555" s="6"/>
      <c r="G4555" s="6"/>
    </row>
    <row r="4556" spans="1:7" x14ac:dyDescent="0.25">
      <c r="A4556" s="6" t="s">
        <v>957</v>
      </c>
      <c r="B4556" s="6"/>
      <c r="C4556" s="6"/>
      <c r="D4556" s="6"/>
      <c r="E4556" s="6"/>
      <c r="F4556" s="6"/>
      <c r="G4556" s="6"/>
    </row>
    <row r="4557" spans="1:7" x14ac:dyDescent="0.25">
      <c r="A4557" s="6" t="s">
        <v>1640</v>
      </c>
      <c r="B4557" s="6"/>
      <c r="C4557" s="6"/>
      <c r="D4557" s="6"/>
      <c r="E4557" s="6"/>
      <c r="F4557" s="6"/>
      <c r="G4557" s="6"/>
    </row>
    <row r="4558" spans="1:7" x14ac:dyDescent="0.25">
      <c r="A4558" s="6" t="s">
        <v>1637</v>
      </c>
      <c r="B4558" s="6"/>
      <c r="C4558" s="6"/>
      <c r="D4558" s="6"/>
      <c r="E4558" s="6"/>
      <c r="F4558" s="6"/>
      <c r="G4558" s="6"/>
    </row>
    <row r="4559" spans="1:7" x14ac:dyDescent="0.25">
      <c r="A4559" s="6" t="s">
        <v>1634</v>
      </c>
      <c r="B4559" s="6"/>
      <c r="C4559" s="6"/>
      <c r="D4559" s="6"/>
      <c r="E4559" s="6"/>
      <c r="F4559" s="6"/>
      <c r="G4559" s="6"/>
    </row>
    <row r="4560" spans="1:7" x14ac:dyDescent="0.25">
      <c r="A4560" s="6" t="s">
        <v>1631</v>
      </c>
      <c r="B4560" s="6"/>
      <c r="C4560" s="6"/>
      <c r="D4560" s="6"/>
      <c r="E4560" s="6"/>
      <c r="F4560" s="6"/>
      <c r="G4560" s="6"/>
    </row>
    <row r="4561" spans="1:7" x14ac:dyDescent="0.25">
      <c r="A4561" s="6" t="s">
        <v>1629</v>
      </c>
      <c r="B4561" s="6"/>
      <c r="C4561" s="6"/>
      <c r="D4561" s="6"/>
      <c r="E4561" s="6"/>
      <c r="F4561" s="6"/>
      <c r="G4561" s="6"/>
    </row>
    <row r="4562" spans="1:7" x14ac:dyDescent="0.25">
      <c r="A4562" s="6" t="s">
        <v>1626</v>
      </c>
      <c r="B4562" s="6"/>
      <c r="C4562" s="6"/>
      <c r="D4562" s="6"/>
      <c r="E4562" s="6"/>
      <c r="F4562" s="6"/>
      <c r="G4562" s="6"/>
    </row>
    <row r="4563" spans="1:7" x14ac:dyDescent="0.25">
      <c r="A4563" s="6" t="s">
        <v>957</v>
      </c>
      <c r="B4563" s="6"/>
      <c r="C4563" s="6"/>
      <c r="D4563" s="6"/>
      <c r="E4563" s="6"/>
      <c r="F4563" s="6"/>
      <c r="G4563" s="6"/>
    </row>
    <row r="4564" spans="1:7" x14ac:dyDescent="0.25">
      <c r="A4564" s="6" t="s">
        <v>1622</v>
      </c>
      <c r="B4564" s="6"/>
      <c r="C4564" s="6"/>
      <c r="D4564" s="6"/>
      <c r="E4564" s="6"/>
      <c r="F4564" s="6"/>
      <c r="G4564" s="6"/>
    </row>
    <row r="4565" spans="1:7" x14ac:dyDescent="0.25">
      <c r="A4565" s="6" t="s">
        <v>1619</v>
      </c>
      <c r="B4565" s="6"/>
      <c r="C4565" s="6"/>
      <c r="D4565" s="6"/>
      <c r="E4565" s="6"/>
      <c r="F4565" s="6"/>
      <c r="G4565" s="6"/>
    </row>
    <row r="4566" spans="1:7" x14ac:dyDescent="0.25">
      <c r="A4566" s="6" t="s">
        <v>1616</v>
      </c>
      <c r="B4566" s="6"/>
      <c r="C4566" s="6"/>
      <c r="D4566" s="6"/>
      <c r="E4566" s="6"/>
      <c r="F4566" s="6"/>
      <c r="G4566" s="6"/>
    </row>
    <row r="4567" spans="1:7" x14ac:dyDescent="0.25">
      <c r="A4567" s="6" t="s">
        <v>2285</v>
      </c>
      <c r="B4567" s="6"/>
      <c r="C4567" s="6"/>
      <c r="D4567" s="6"/>
      <c r="E4567" s="6"/>
      <c r="F4567" s="6"/>
      <c r="G4567" s="6"/>
    </row>
    <row r="4568" spans="1:7" x14ac:dyDescent="0.25">
      <c r="A4568" s="6" t="s">
        <v>2282</v>
      </c>
      <c r="B4568" s="6"/>
      <c r="C4568" s="6"/>
      <c r="D4568" s="6"/>
      <c r="E4568" s="6"/>
      <c r="F4568" s="6"/>
      <c r="G4568" s="6"/>
    </row>
    <row r="4569" spans="1:7" x14ac:dyDescent="0.25">
      <c r="A4569" s="6" t="s">
        <v>957</v>
      </c>
      <c r="B4569" s="6"/>
      <c r="C4569" s="6"/>
      <c r="D4569" s="6"/>
      <c r="E4569" s="6"/>
      <c r="F4569" s="6"/>
      <c r="G4569" s="6"/>
    </row>
    <row r="4570" spans="1:7" x14ac:dyDescent="0.25">
      <c r="A4570" s="6" t="s">
        <v>2279</v>
      </c>
      <c r="B4570" s="6"/>
      <c r="C4570" s="6"/>
      <c r="D4570" s="6"/>
      <c r="E4570" s="6"/>
      <c r="F4570" s="6"/>
      <c r="G4570" s="6"/>
    </row>
    <row r="4571" spans="1:7" x14ac:dyDescent="0.25">
      <c r="A4571" s="6" t="s">
        <v>2276</v>
      </c>
      <c r="B4571" s="6"/>
      <c r="C4571" s="6"/>
      <c r="D4571" s="6"/>
      <c r="E4571" s="6"/>
      <c r="F4571" s="6"/>
      <c r="G4571" s="6"/>
    </row>
    <row r="4572" spans="1:7" x14ac:dyDescent="0.25">
      <c r="A4572" s="6" t="s">
        <v>2273</v>
      </c>
      <c r="B4572" s="6"/>
      <c r="C4572" s="6"/>
      <c r="D4572" s="6"/>
      <c r="E4572" s="6"/>
      <c r="F4572" s="6"/>
      <c r="G4572" s="6"/>
    </row>
    <row r="4573" spans="1:7" x14ac:dyDescent="0.25">
      <c r="A4573" s="6" t="s">
        <v>2270</v>
      </c>
      <c r="B4573" s="6"/>
      <c r="C4573" s="6"/>
      <c r="D4573" s="6"/>
      <c r="E4573" s="6"/>
      <c r="F4573" s="6"/>
      <c r="G4573" s="6"/>
    </row>
    <row r="4574" spans="1:7" x14ac:dyDescent="0.25">
      <c r="A4574" s="6" t="s">
        <v>2267</v>
      </c>
      <c r="B4574" s="6"/>
      <c r="C4574" s="6"/>
      <c r="D4574" s="6"/>
      <c r="E4574" s="6"/>
      <c r="F4574" s="6"/>
      <c r="G4574" s="6"/>
    </row>
    <row r="4575" spans="1:7" x14ac:dyDescent="0.25">
      <c r="A4575" s="6" t="s">
        <v>2264</v>
      </c>
      <c r="B4575" s="6"/>
      <c r="C4575" s="6"/>
      <c r="D4575" s="6"/>
      <c r="E4575" s="6"/>
      <c r="F4575" s="6"/>
      <c r="G4575" s="6"/>
    </row>
    <row r="4576" spans="1:7" x14ac:dyDescent="0.25">
      <c r="A4576" s="6" t="s">
        <v>2261</v>
      </c>
      <c r="B4576" s="6"/>
      <c r="C4576" s="6"/>
      <c r="D4576" s="6"/>
      <c r="E4576" s="6"/>
      <c r="F4576" s="6"/>
      <c r="G4576" s="6"/>
    </row>
    <row r="4577" spans="1:7" x14ac:dyDescent="0.25">
      <c r="A4577" s="6" t="s">
        <v>2258</v>
      </c>
      <c r="B4577" s="6"/>
      <c r="C4577" s="6"/>
      <c r="D4577" s="6"/>
      <c r="E4577" s="6"/>
      <c r="F4577" s="6"/>
      <c r="G4577" s="6"/>
    </row>
    <row r="4578" spans="1:7" x14ac:dyDescent="0.25">
      <c r="A4578" s="6" t="s">
        <v>2255</v>
      </c>
      <c r="B4578" s="6"/>
      <c r="C4578" s="6"/>
      <c r="D4578" s="6"/>
      <c r="E4578" s="6"/>
      <c r="F4578" s="6"/>
      <c r="G4578" s="6"/>
    </row>
    <row r="4579" spans="1:7" x14ac:dyDescent="0.25">
      <c r="A4579" s="6" t="s">
        <v>2252</v>
      </c>
      <c r="B4579" s="6"/>
      <c r="C4579" s="6"/>
      <c r="D4579" s="6"/>
      <c r="E4579" s="6"/>
      <c r="F4579" s="6"/>
      <c r="G4579" s="6"/>
    </row>
    <row r="4580" spans="1:7" x14ac:dyDescent="0.25">
      <c r="A4580" s="6" t="s">
        <v>2249</v>
      </c>
      <c r="B4580" s="6"/>
      <c r="C4580" s="6"/>
      <c r="D4580" s="6"/>
      <c r="E4580" s="6"/>
      <c r="F4580" s="6"/>
      <c r="G4580" s="6"/>
    </row>
    <row r="4581" spans="1:7" x14ac:dyDescent="0.25">
      <c r="A4581" s="6" t="s">
        <v>2246</v>
      </c>
      <c r="B4581" s="6"/>
      <c r="C4581" s="6"/>
      <c r="D4581" s="6"/>
      <c r="E4581" s="6"/>
      <c r="F4581" s="6"/>
      <c r="G4581" s="6"/>
    </row>
    <row r="4582" spans="1:7" x14ac:dyDescent="0.25">
      <c r="A4582" s="6" t="s">
        <v>957</v>
      </c>
      <c r="B4582" s="6"/>
      <c r="C4582" s="6"/>
      <c r="D4582" s="6"/>
      <c r="E4582" s="6"/>
      <c r="F4582" s="6"/>
      <c r="G4582" s="6"/>
    </row>
    <row r="4583" spans="1:7" x14ac:dyDescent="0.25">
      <c r="A4583" s="6" t="s">
        <v>957</v>
      </c>
      <c r="B4583" s="6"/>
      <c r="C4583" s="6"/>
      <c r="D4583" s="6"/>
      <c r="E4583" s="6"/>
      <c r="F4583" s="6"/>
      <c r="G4583" s="6"/>
    </row>
    <row r="4584" spans="1:7" x14ac:dyDescent="0.25">
      <c r="A4584" s="6" t="s">
        <v>2239</v>
      </c>
      <c r="B4584" s="6"/>
      <c r="C4584" s="6"/>
      <c r="D4584" s="6"/>
      <c r="E4584" s="6"/>
      <c r="F4584" s="6"/>
      <c r="G4584" s="6"/>
    </row>
    <row r="4585" spans="1:7" x14ac:dyDescent="0.25">
      <c r="A4585" s="6" t="s">
        <v>957</v>
      </c>
      <c r="B4585" s="6"/>
      <c r="C4585" s="6"/>
      <c r="D4585" s="6"/>
      <c r="E4585" s="6"/>
      <c r="F4585" s="6"/>
      <c r="G4585" s="6"/>
    </row>
    <row r="4586" spans="1:7" x14ac:dyDescent="0.25">
      <c r="A4586" s="6" t="s">
        <v>2235</v>
      </c>
      <c r="B4586" s="6"/>
      <c r="C4586" s="6"/>
      <c r="D4586" s="6"/>
      <c r="E4586" s="6"/>
      <c r="F4586" s="6"/>
      <c r="G4586" s="6"/>
    </row>
    <row r="4587" spans="1:7" x14ac:dyDescent="0.25">
      <c r="A4587" s="6" t="s">
        <v>2232</v>
      </c>
      <c r="B4587" s="6"/>
      <c r="C4587" s="6"/>
      <c r="D4587" s="6"/>
      <c r="E4587" s="6"/>
      <c r="F4587" s="6"/>
      <c r="G4587" s="6"/>
    </row>
    <row r="4588" spans="1:7" x14ac:dyDescent="0.25">
      <c r="A4588" s="6" t="s">
        <v>2229</v>
      </c>
      <c r="B4588" s="6"/>
      <c r="C4588" s="6"/>
      <c r="D4588" s="6"/>
      <c r="E4588" s="6"/>
      <c r="F4588" s="6"/>
      <c r="G4588" s="6"/>
    </row>
    <row r="4589" spans="1:7" x14ac:dyDescent="0.25">
      <c r="A4589" s="6" t="s">
        <v>2226</v>
      </c>
      <c r="B4589" s="6"/>
      <c r="C4589" s="6"/>
      <c r="D4589" s="6"/>
      <c r="E4589" s="6"/>
      <c r="F4589" s="6"/>
      <c r="G4589" s="6"/>
    </row>
    <row r="4590" spans="1:7" x14ac:dyDescent="0.25">
      <c r="A4590" s="6" t="s">
        <v>2223</v>
      </c>
      <c r="B4590" s="6"/>
      <c r="C4590" s="6"/>
      <c r="D4590" s="6"/>
      <c r="E4590" s="6"/>
      <c r="F4590" s="6"/>
      <c r="G4590" s="6"/>
    </row>
    <row r="4591" spans="1:7" x14ac:dyDescent="0.25">
      <c r="A4591" s="6" t="s">
        <v>2220</v>
      </c>
      <c r="B4591" s="6"/>
      <c r="C4591" s="6"/>
      <c r="D4591" s="6"/>
      <c r="E4591" s="6"/>
      <c r="F4591" s="6"/>
      <c r="G4591" s="6"/>
    </row>
    <row r="4592" spans="1:7" x14ac:dyDescent="0.25">
      <c r="A4592" s="6" t="s">
        <v>2217</v>
      </c>
      <c r="B4592" s="6"/>
      <c r="C4592" s="6"/>
      <c r="D4592" s="6"/>
      <c r="E4592" s="6"/>
      <c r="F4592" s="6"/>
      <c r="G4592" s="6"/>
    </row>
    <row r="4593" spans="1:7" x14ac:dyDescent="0.25">
      <c r="A4593" s="6" t="s">
        <v>2214</v>
      </c>
      <c r="B4593" s="6"/>
      <c r="C4593" s="6"/>
      <c r="D4593" s="6"/>
      <c r="E4593" s="6"/>
      <c r="F4593" s="6"/>
      <c r="G4593" s="6"/>
    </row>
    <row r="4594" spans="1:7" x14ac:dyDescent="0.25">
      <c r="A4594" s="6" t="s">
        <v>2211</v>
      </c>
      <c r="B4594" s="6"/>
      <c r="C4594" s="6"/>
      <c r="D4594" s="6"/>
      <c r="E4594" s="6"/>
      <c r="F4594" s="6"/>
      <c r="G4594" s="6"/>
    </row>
    <row r="4595" spans="1:7" x14ac:dyDescent="0.25">
      <c r="A4595" s="6" t="s">
        <v>2208</v>
      </c>
      <c r="B4595" s="6"/>
      <c r="C4595" s="6"/>
      <c r="D4595" s="6"/>
      <c r="E4595" s="6"/>
      <c r="F4595" s="6"/>
      <c r="G4595" s="6"/>
    </row>
    <row r="4596" spans="1:7" x14ac:dyDescent="0.25">
      <c r="A4596" s="6" t="s">
        <v>2205</v>
      </c>
      <c r="B4596" s="6"/>
      <c r="C4596" s="6"/>
      <c r="D4596" s="6"/>
      <c r="E4596" s="6"/>
      <c r="F4596" s="6"/>
      <c r="G4596" s="6"/>
    </row>
    <row r="4597" spans="1:7" x14ac:dyDescent="0.25">
      <c r="A4597" s="6" t="s">
        <v>2203</v>
      </c>
      <c r="B4597" s="6"/>
      <c r="C4597" s="6"/>
      <c r="D4597" s="6"/>
      <c r="E4597" s="6"/>
      <c r="F4597" s="6"/>
      <c r="G4597" s="6"/>
    </row>
    <row r="4598" spans="1:7" x14ac:dyDescent="0.25">
      <c r="A4598" s="6" t="s">
        <v>2200</v>
      </c>
      <c r="B4598" s="6"/>
      <c r="C4598" s="6"/>
      <c r="D4598" s="6"/>
      <c r="E4598" s="6"/>
      <c r="F4598" s="6"/>
      <c r="G4598" s="6"/>
    </row>
    <row r="4599" spans="1:7" x14ac:dyDescent="0.25">
      <c r="A4599" s="6" t="s">
        <v>2197</v>
      </c>
      <c r="B4599" s="6"/>
      <c r="C4599" s="6"/>
      <c r="D4599" s="6"/>
      <c r="E4599" s="6"/>
      <c r="F4599" s="6"/>
      <c r="G4599" s="6"/>
    </row>
    <row r="4600" spans="1:7" x14ac:dyDescent="0.25">
      <c r="A4600" s="6" t="s">
        <v>3239</v>
      </c>
      <c r="B4600" s="6"/>
      <c r="C4600" s="6"/>
      <c r="D4600" s="6"/>
      <c r="E4600" s="6"/>
      <c r="F4600" s="6"/>
      <c r="G4600" s="6"/>
    </row>
    <row r="4601" spans="1:7" x14ac:dyDescent="0.25">
      <c r="A4601" s="6" t="s">
        <v>3236</v>
      </c>
      <c r="B4601" s="6"/>
      <c r="C4601" s="6"/>
      <c r="D4601" s="6"/>
      <c r="E4601" s="6"/>
      <c r="F4601" s="6"/>
      <c r="G4601" s="6"/>
    </row>
    <row r="4602" spans="1:7" x14ac:dyDescent="0.25">
      <c r="A4602" s="6" t="s">
        <v>957</v>
      </c>
      <c r="B4602" s="6"/>
      <c r="C4602" s="6"/>
      <c r="D4602" s="6"/>
      <c r="E4602" s="6"/>
      <c r="F4602" s="6"/>
      <c r="G4602" s="6"/>
    </row>
    <row r="4603" spans="1:7" x14ac:dyDescent="0.25">
      <c r="A4603" s="6" t="s">
        <v>3232</v>
      </c>
      <c r="B4603" s="6"/>
      <c r="C4603" s="6"/>
      <c r="D4603" s="6"/>
      <c r="E4603" s="6"/>
      <c r="F4603" s="6"/>
      <c r="G4603" s="6"/>
    </row>
    <row r="4604" spans="1:7" x14ac:dyDescent="0.25">
      <c r="A4604" s="6" t="s">
        <v>3229</v>
      </c>
      <c r="B4604" s="6"/>
      <c r="C4604" s="6"/>
      <c r="D4604" s="6"/>
      <c r="E4604" s="6"/>
      <c r="F4604" s="6"/>
      <c r="G4604" s="6"/>
    </row>
    <row r="4605" spans="1:7" x14ac:dyDescent="0.25">
      <c r="A4605" s="6" t="s">
        <v>3226</v>
      </c>
      <c r="B4605" s="6"/>
      <c r="C4605" s="6"/>
      <c r="D4605" s="6"/>
      <c r="E4605" s="6"/>
      <c r="F4605" s="6"/>
      <c r="G4605" s="6"/>
    </row>
    <row r="4606" spans="1:7" x14ac:dyDescent="0.25">
      <c r="A4606" s="6" t="s">
        <v>957</v>
      </c>
      <c r="B4606" s="6"/>
      <c r="C4606" s="6"/>
      <c r="D4606" s="6"/>
      <c r="E4606" s="6"/>
      <c r="F4606" s="6"/>
      <c r="G4606" s="6"/>
    </row>
    <row r="4607" spans="1:7" x14ac:dyDescent="0.25">
      <c r="A4607" s="6" t="s">
        <v>14245</v>
      </c>
      <c r="B4607" s="6" t="s">
        <v>14246</v>
      </c>
      <c r="C4607" s="6"/>
      <c r="D4607" s="6"/>
      <c r="E4607" s="6"/>
      <c r="F4607" s="6"/>
      <c r="G4607" s="6"/>
    </row>
    <row r="4608" spans="1:7" x14ac:dyDescent="0.25">
      <c r="A4608" s="6" t="s">
        <v>14247</v>
      </c>
      <c r="B4608" s="6" t="s">
        <v>14248</v>
      </c>
      <c r="C4608" s="6"/>
      <c r="D4608" s="6"/>
      <c r="E4608" s="6"/>
      <c r="F4608" s="6"/>
      <c r="G4608" s="6"/>
    </row>
    <row r="4609" spans="1:7" x14ac:dyDescent="0.25">
      <c r="A4609" s="6" t="s">
        <v>3220</v>
      </c>
      <c r="B4609" s="6"/>
      <c r="C4609" s="6"/>
      <c r="D4609" s="6"/>
      <c r="E4609" s="6"/>
      <c r="F4609" s="6"/>
      <c r="G4609" s="6"/>
    </row>
    <row r="4610" spans="1:7" x14ac:dyDescent="0.25">
      <c r="A4610" s="6" t="s">
        <v>957</v>
      </c>
      <c r="B4610" s="6"/>
      <c r="C4610" s="6"/>
      <c r="D4610" s="6"/>
      <c r="E4610" s="6"/>
      <c r="F4610" s="6"/>
      <c r="G4610" s="6"/>
    </row>
    <row r="4611" spans="1:7" x14ac:dyDescent="0.25">
      <c r="A4611" s="6" t="s">
        <v>3216</v>
      </c>
      <c r="B4611" s="6"/>
      <c r="C4611" s="6"/>
      <c r="D4611" s="6"/>
      <c r="E4611" s="6"/>
      <c r="F4611" s="6"/>
      <c r="G4611" s="6"/>
    </row>
    <row r="4612" spans="1:7" x14ac:dyDescent="0.25">
      <c r="A4612" s="6" t="s">
        <v>3213</v>
      </c>
      <c r="B4612" s="6"/>
      <c r="C4612" s="6"/>
      <c r="D4612" s="6"/>
      <c r="E4612" s="6"/>
      <c r="F4612" s="6"/>
      <c r="G4612" s="6"/>
    </row>
    <row r="4613" spans="1:7" x14ac:dyDescent="0.25">
      <c r="A4613" s="6" t="s">
        <v>3210</v>
      </c>
      <c r="B4613" s="6"/>
      <c r="C4613" s="6"/>
      <c r="D4613" s="6"/>
      <c r="E4613" s="6"/>
      <c r="F4613" s="6"/>
      <c r="G4613" s="6"/>
    </row>
    <row r="4614" spans="1:7" x14ac:dyDescent="0.25">
      <c r="A4614" s="6" t="s">
        <v>3207</v>
      </c>
      <c r="B4614" s="6"/>
      <c r="C4614" s="6"/>
      <c r="D4614" s="6"/>
      <c r="E4614" s="6"/>
      <c r="F4614" s="6"/>
      <c r="G4614" s="6"/>
    </row>
    <row r="4615" spans="1:7" x14ac:dyDescent="0.25">
      <c r="A4615" s="6" t="s">
        <v>3204</v>
      </c>
      <c r="B4615" s="6"/>
      <c r="C4615" s="6"/>
      <c r="D4615" s="6"/>
      <c r="E4615" s="6"/>
      <c r="F4615" s="6"/>
      <c r="G4615" s="6"/>
    </row>
    <row r="4616" spans="1:7" x14ac:dyDescent="0.25">
      <c r="A4616" s="6" t="s">
        <v>957</v>
      </c>
      <c r="B4616" s="6"/>
      <c r="C4616" s="6"/>
      <c r="D4616" s="6"/>
      <c r="E4616" s="6"/>
      <c r="F4616" s="6"/>
      <c r="G4616" s="6"/>
    </row>
    <row r="4617" spans="1:7" x14ac:dyDescent="0.25">
      <c r="A4617" s="6" t="s">
        <v>3199</v>
      </c>
      <c r="B4617" s="6"/>
      <c r="C4617" s="6"/>
      <c r="D4617" s="6"/>
      <c r="E4617" s="6"/>
      <c r="F4617" s="6"/>
      <c r="G4617" s="6"/>
    </row>
    <row r="4618" spans="1:7" x14ac:dyDescent="0.25">
      <c r="A4618" s="6" t="s">
        <v>957</v>
      </c>
      <c r="B4618" s="6"/>
      <c r="C4618" s="6"/>
      <c r="D4618" s="6"/>
      <c r="E4618" s="6"/>
      <c r="F4618" s="6"/>
      <c r="G4618" s="6"/>
    </row>
    <row r="4619" spans="1:7" x14ac:dyDescent="0.25">
      <c r="A4619" s="6" t="s">
        <v>3195</v>
      </c>
      <c r="B4619" s="6"/>
      <c r="C4619" s="6"/>
      <c r="D4619" s="6"/>
      <c r="E4619" s="6"/>
      <c r="F4619" s="6"/>
      <c r="G4619" s="6"/>
    </row>
    <row r="4620" spans="1:7" x14ac:dyDescent="0.25">
      <c r="A4620" s="6" t="s">
        <v>3192</v>
      </c>
      <c r="B4620" s="6"/>
      <c r="C4620" s="6"/>
      <c r="D4620" s="6"/>
      <c r="E4620" s="6"/>
      <c r="F4620" s="6"/>
      <c r="G4620" s="6"/>
    </row>
    <row r="4621" spans="1:7" x14ac:dyDescent="0.25">
      <c r="A4621" s="6" t="s">
        <v>3189</v>
      </c>
      <c r="B4621" s="6"/>
      <c r="C4621" s="6"/>
      <c r="D4621" s="6"/>
      <c r="E4621" s="6"/>
      <c r="F4621" s="6"/>
      <c r="G4621" s="6"/>
    </row>
    <row r="4622" spans="1:7" x14ac:dyDescent="0.25">
      <c r="A4622" s="6" t="s">
        <v>3186</v>
      </c>
      <c r="B4622" s="6"/>
      <c r="C4622" s="6"/>
      <c r="D4622" s="6"/>
      <c r="E4622" s="6"/>
      <c r="F4622" s="6"/>
      <c r="G4622" s="6"/>
    </row>
    <row r="4623" spans="1:7" x14ac:dyDescent="0.25">
      <c r="A4623" s="6" t="s">
        <v>3183</v>
      </c>
      <c r="B4623" s="6"/>
      <c r="C4623" s="6"/>
      <c r="D4623" s="6"/>
      <c r="E4623" s="6"/>
      <c r="F4623" s="6"/>
      <c r="G4623" s="6"/>
    </row>
    <row r="4624" spans="1:7" x14ac:dyDescent="0.25">
      <c r="A4624" s="6" t="s">
        <v>957</v>
      </c>
      <c r="B4624" s="6"/>
      <c r="C4624" s="6"/>
      <c r="D4624" s="6"/>
      <c r="E4624" s="6"/>
      <c r="F4624" s="6"/>
      <c r="G4624" s="6"/>
    </row>
    <row r="4625" spans="1:7" x14ac:dyDescent="0.25">
      <c r="A4625" s="6" t="s">
        <v>957</v>
      </c>
      <c r="B4625" s="6"/>
      <c r="C4625" s="6"/>
      <c r="D4625" s="6"/>
      <c r="E4625" s="6"/>
      <c r="F4625" s="6"/>
      <c r="G4625" s="6"/>
    </row>
    <row r="4626" spans="1:7" x14ac:dyDescent="0.25">
      <c r="A4626" s="6" t="s">
        <v>3178</v>
      </c>
      <c r="B4626" s="6"/>
      <c r="C4626" s="6"/>
      <c r="D4626" s="6"/>
      <c r="E4626" s="6"/>
      <c r="F4626" s="6"/>
      <c r="G4626" s="6"/>
    </row>
    <row r="4627" spans="1:7" x14ac:dyDescent="0.25">
      <c r="A4627" s="6" t="s">
        <v>3175</v>
      </c>
      <c r="B4627" s="6"/>
      <c r="C4627" s="6"/>
      <c r="D4627" s="6"/>
      <c r="E4627" s="6"/>
      <c r="F4627" s="6"/>
      <c r="G4627" s="6"/>
    </row>
    <row r="4628" spans="1:7" x14ac:dyDescent="0.25">
      <c r="A4628" s="6" t="s">
        <v>3172</v>
      </c>
      <c r="B4628" s="6"/>
      <c r="C4628" s="6"/>
      <c r="D4628" s="6"/>
      <c r="E4628" s="6"/>
      <c r="F4628" s="6"/>
      <c r="G4628" s="6"/>
    </row>
    <row r="4629" spans="1:7" x14ac:dyDescent="0.25">
      <c r="A4629" s="6" t="s">
        <v>957</v>
      </c>
      <c r="B4629" s="6"/>
      <c r="C4629" s="6"/>
      <c r="D4629" s="6"/>
      <c r="E4629" s="6"/>
      <c r="F4629" s="6"/>
      <c r="G4629" s="6"/>
    </row>
    <row r="4630" spans="1:7" x14ac:dyDescent="0.25">
      <c r="A4630" s="6" t="s">
        <v>2128</v>
      </c>
      <c r="B4630" s="6"/>
      <c r="C4630" s="6"/>
      <c r="D4630" s="6"/>
      <c r="E4630" s="6"/>
      <c r="F4630" s="6"/>
      <c r="G4630" s="6"/>
    </row>
    <row r="4631" spans="1:7" x14ac:dyDescent="0.25">
      <c r="A4631" s="6" t="s">
        <v>2125</v>
      </c>
      <c r="B4631" s="6"/>
      <c r="C4631" s="6"/>
      <c r="D4631" s="6"/>
      <c r="E4631" s="6"/>
      <c r="F4631" s="6"/>
      <c r="G4631" s="6"/>
    </row>
    <row r="4632" spans="1:7" x14ac:dyDescent="0.25">
      <c r="A4632" s="6" t="s">
        <v>2122</v>
      </c>
      <c r="B4632" s="6"/>
      <c r="C4632" s="6"/>
      <c r="D4632" s="6"/>
      <c r="E4632" s="6"/>
      <c r="F4632" s="6"/>
      <c r="G4632" s="6"/>
    </row>
    <row r="4633" spans="1:7" x14ac:dyDescent="0.25">
      <c r="A4633" s="6" t="s">
        <v>2119</v>
      </c>
      <c r="B4633" s="6"/>
      <c r="C4633" s="6"/>
      <c r="D4633" s="6"/>
      <c r="E4633" s="6"/>
      <c r="F4633" s="6"/>
      <c r="G4633" s="6"/>
    </row>
    <row r="4634" spans="1:7" x14ac:dyDescent="0.25">
      <c r="A4634" s="6" t="s">
        <v>3144</v>
      </c>
      <c r="B4634" s="6"/>
      <c r="C4634" s="6"/>
      <c r="D4634" s="6"/>
      <c r="E4634" s="6"/>
      <c r="F4634" s="6"/>
      <c r="G4634" s="6"/>
    </row>
    <row r="4635" spans="1:7" x14ac:dyDescent="0.25">
      <c r="A4635" s="6" t="s">
        <v>3141</v>
      </c>
      <c r="B4635" s="6"/>
      <c r="C4635" s="6"/>
      <c r="D4635" s="6"/>
      <c r="E4635" s="6"/>
      <c r="F4635" s="6"/>
      <c r="G4635" s="6"/>
    </row>
    <row r="4636" spans="1:7" x14ac:dyDescent="0.25">
      <c r="A4636" s="6" t="s">
        <v>3138</v>
      </c>
      <c r="B4636" s="6"/>
      <c r="C4636" s="6"/>
      <c r="D4636" s="6"/>
      <c r="E4636" s="6"/>
      <c r="F4636" s="6"/>
      <c r="G4636" s="6"/>
    </row>
    <row r="4637" spans="1:7" x14ac:dyDescent="0.25">
      <c r="A4637" s="6" t="s">
        <v>3135</v>
      </c>
      <c r="B4637" s="6"/>
      <c r="C4637" s="6"/>
      <c r="D4637" s="6"/>
      <c r="E4637" s="6"/>
      <c r="F4637" s="6"/>
      <c r="G4637" s="6"/>
    </row>
    <row r="4638" spans="1:7" x14ac:dyDescent="0.25">
      <c r="A4638" s="6" t="s">
        <v>957</v>
      </c>
      <c r="B4638" s="6"/>
      <c r="C4638" s="6"/>
      <c r="D4638" s="6"/>
      <c r="E4638" s="6"/>
      <c r="F4638" s="6"/>
      <c r="G4638" s="6"/>
    </row>
    <row r="4639" spans="1:7" x14ac:dyDescent="0.25">
      <c r="A4639" s="6" t="s">
        <v>3131</v>
      </c>
      <c r="B4639" s="6"/>
      <c r="C4639" s="6"/>
      <c r="D4639" s="6"/>
      <c r="E4639" s="6"/>
      <c r="F4639" s="6"/>
      <c r="G4639" s="6"/>
    </row>
    <row r="4640" spans="1:7" x14ac:dyDescent="0.25">
      <c r="A4640" s="6" t="s">
        <v>3128</v>
      </c>
      <c r="B4640" s="6"/>
      <c r="C4640" s="6"/>
      <c r="D4640" s="6"/>
      <c r="E4640" s="6"/>
      <c r="F4640" s="6"/>
      <c r="G4640" s="6"/>
    </row>
    <row r="4641" spans="1:7" x14ac:dyDescent="0.25">
      <c r="A4641" s="6" t="s">
        <v>3125</v>
      </c>
      <c r="B4641" s="6"/>
      <c r="C4641" s="6"/>
      <c r="D4641" s="6"/>
      <c r="E4641" s="6"/>
      <c r="F4641" s="6"/>
      <c r="G4641" s="6"/>
    </row>
    <row r="4642" spans="1:7" x14ac:dyDescent="0.25">
      <c r="A4642" s="6" t="s">
        <v>957</v>
      </c>
      <c r="B4642" s="6"/>
      <c r="C4642" s="6"/>
      <c r="D4642" s="6"/>
      <c r="E4642" s="6"/>
      <c r="F4642" s="6"/>
      <c r="G4642" s="6"/>
    </row>
    <row r="4643" spans="1:7" x14ac:dyDescent="0.25">
      <c r="A4643" s="6" t="s">
        <v>3121</v>
      </c>
      <c r="B4643" s="6"/>
      <c r="C4643" s="6"/>
      <c r="D4643" s="6"/>
      <c r="E4643" s="6"/>
      <c r="F4643" s="6"/>
      <c r="G4643" s="6"/>
    </row>
    <row r="4644" spans="1:7" x14ac:dyDescent="0.25">
      <c r="A4644" s="6" t="s">
        <v>3118</v>
      </c>
      <c r="B4644" s="6"/>
      <c r="C4644" s="6"/>
      <c r="D4644" s="6"/>
      <c r="E4644" s="6"/>
      <c r="F4644" s="6"/>
      <c r="G4644" s="6"/>
    </row>
    <row r="4645" spans="1:7" x14ac:dyDescent="0.25">
      <c r="A4645" s="6" t="s">
        <v>3115</v>
      </c>
      <c r="B4645" s="6"/>
      <c r="C4645" s="6"/>
      <c r="D4645" s="6"/>
      <c r="E4645" s="6"/>
      <c r="F4645" s="6"/>
      <c r="G4645" s="6"/>
    </row>
    <row r="4646" spans="1:7" x14ac:dyDescent="0.25">
      <c r="A4646" s="6" t="s">
        <v>3112</v>
      </c>
      <c r="B4646" s="6"/>
      <c r="C4646" s="6"/>
      <c r="D4646" s="6"/>
      <c r="E4646" s="6"/>
      <c r="F4646" s="6"/>
      <c r="G4646" s="6"/>
    </row>
    <row r="4647" spans="1:7" x14ac:dyDescent="0.25">
      <c r="A4647" s="6" t="s">
        <v>957</v>
      </c>
      <c r="B4647" s="6"/>
      <c r="C4647" s="6"/>
      <c r="D4647" s="6"/>
      <c r="E4647" s="6"/>
      <c r="F4647" s="6"/>
      <c r="G4647" s="6"/>
    </row>
    <row r="4648" spans="1:7" x14ac:dyDescent="0.25">
      <c r="A4648" s="6" t="s">
        <v>3108</v>
      </c>
      <c r="B4648" s="6"/>
      <c r="C4648" s="6"/>
      <c r="D4648" s="6"/>
      <c r="E4648" s="6"/>
      <c r="F4648" s="6"/>
      <c r="G4648" s="6"/>
    </row>
    <row r="4649" spans="1:7" x14ac:dyDescent="0.25">
      <c r="A4649" s="6" t="s">
        <v>3105</v>
      </c>
      <c r="B4649" s="6"/>
      <c r="C4649" s="6"/>
      <c r="D4649" s="6"/>
      <c r="E4649" s="6"/>
      <c r="F4649" s="6"/>
      <c r="G4649" s="6"/>
    </row>
    <row r="4650" spans="1:7" x14ac:dyDescent="0.25">
      <c r="A4650" s="6" t="s">
        <v>3102</v>
      </c>
      <c r="B4650" s="6"/>
      <c r="C4650" s="6"/>
      <c r="D4650" s="6"/>
      <c r="E4650" s="6"/>
      <c r="F4650" s="6"/>
      <c r="G4650" s="6"/>
    </row>
    <row r="4651" spans="1:7" x14ac:dyDescent="0.25">
      <c r="A4651" s="6" t="s">
        <v>957</v>
      </c>
      <c r="B4651" s="6"/>
      <c r="C4651" s="6"/>
      <c r="D4651" s="6"/>
      <c r="E4651" s="6"/>
      <c r="F4651" s="6"/>
      <c r="G4651" s="6"/>
    </row>
    <row r="4652" spans="1:7" x14ac:dyDescent="0.25">
      <c r="A4652" s="6" t="s">
        <v>3098</v>
      </c>
      <c r="B4652" s="6"/>
      <c r="C4652" s="6"/>
      <c r="D4652" s="6"/>
      <c r="E4652" s="6"/>
      <c r="F4652" s="6"/>
      <c r="G4652" s="6"/>
    </row>
    <row r="4653" spans="1:7" x14ac:dyDescent="0.25">
      <c r="A4653" s="6" t="s">
        <v>957</v>
      </c>
      <c r="B4653" s="6"/>
      <c r="C4653" s="6"/>
      <c r="D4653" s="6"/>
      <c r="E4653" s="6"/>
      <c r="F4653" s="6"/>
      <c r="G4653" s="6"/>
    </row>
    <row r="4654" spans="1:7" x14ac:dyDescent="0.25">
      <c r="A4654" s="6" t="s">
        <v>957</v>
      </c>
      <c r="B4654" s="6"/>
      <c r="C4654" s="6"/>
      <c r="D4654" s="6"/>
      <c r="E4654" s="6"/>
      <c r="F4654" s="6"/>
      <c r="G4654" s="6"/>
    </row>
    <row r="4655" spans="1:7" x14ac:dyDescent="0.25">
      <c r="A4655" s="6" t="s">
        <v>2392</v>
      </c>
      <c r="B4655" s="6"/>
      <c r="C4655" s="6"/>
      <c r="D4655" s="6"/>
      <c r="E4655" s="6"/>
      <c r="F4655" s="6"/>
      <c r="G4655" s="6"/>
    </row>
    <row r="4656" spans="1:7" x14ac:dyDescent="0.25">
      <c r="A4656" s="6" t="s">
        <v>2389</v>
      </c>
      <c r="B4656" s="6"/>
      <c r="C4656" s="6"/>
      <c r="D4656" s="6"/>
      <c r="E4656" s="6"/>
      <c r="F4656" s="6"/>
      <c r="G4656" s="6"/>
    </row>
    <row r="4657" spans="1:7" x14ac:dyDescent="0.25">
      <c r="A4657" s="6" t="s">
        <v>957</v>
      </c>
      <c r="B4657" s="6"/>
      <c r="C4657" s="6"/>
      <c r="D4657" s="6"/>
      <c r="E4657" s="6"/>
      <c r="F4657" s="6"/>
      <c r="G4657" s="6"/>
    </row>
    <row r="4658" spans="1:7" x14ac:dyDescent="0.25">
      <c r="A4658" s="6" t="s">
        <v>2385</v>
      </c>
      <c r="B4658" s="6"/>
      <c r="C4658" s="6"/>
      <c r="D4658" s="6"/>
      <c r="E4658" s="6"/>
      <c r="F4658" s="6"/>
      <c r="G4658" s="6"/>
    </row>
    <row r="4659" spans="1:7" x14ac:dyDescent="0.25">
      <c r="A4659" s="6" t="s">
        <v>2382</v>
      </c>
      <c r="B4659" s="6"/>
      <c r="C4659" s="6"/>
      <c r="D4659" s="6"/>
      <c r="E4659" s="6"/>
      <c r="F4659" s="6"/>
      <c r="G4659" s="6"/>
    </row>
    <row r="4660" spans="1:7" x14ac:dyDescent="0.25">
      <c r="A4660" s="6" t="s">
        <v>2379</v>
      </c>
      <c r="B4660" s="6"/>
      <c r="C4660" s="6"/>
      <c r="D4660" s="6"/>
      <c r="E4660" s="6"/>
      <c r="F4660" s="6"/>
      <c r="G4660" s="6"/>
    </row>
    <row r="4661" spans="1:7" x14ac:dyDescent="0.25">
      <c r="A4661" s="6" t="s">
        <v>957</v>
      </c>
      <c r="B4661" s="6"/>
      <c r="C4661" s="6"/>
      <c r="D4661" s="6"/>
      <c r="E4661" s="6"/>
      <c r="F4661" s="6"/>
      <c r="G4661" s="6"/>
    </row>
    <row r="4662" spans="1:7" x14ac:dyDescent="0.25">
      <c r="A4662" s="6" t="s">
        <v>2375</v>
      </c>
      <c r="B4662" s="6"/>
      <c r="C4662" s="6"/>
      <c r="D4662" s="6"/>
      <c r="E4662" s="6"/>
      <c r="F4662" s="6"/>
      <c r="G4662" s="6"/>
    </row>
    <row r="4663" spans="1:7" x14ac:dyDescent="0.25">
      <c r="A4663" s="6" t="s">
        <v>2372</v>
      </c>
      <c r="B4663" s="6"/>
      <c r="C4663" s="6"/>
      <c r="D4663" s="6"/>
      <c r="E4663" s="6"/>
      <c r="F4663" s="6"/>
      <c r="G4663" s="6"/>
    </row>
    <row r="4664" spans="1:7" x14ac:dyDescent="0.25">
      <c r="A4664" s="6" t="s">
        <v>2369</v>
      </c>
      <c r="B4664" s="6"/>
      <c r="C4664" s="6"/>
      <c r="D4664" s="6"/>
      <c r="E4664" s="6"/>
      <c r="F4664" s="6"/>
      <c r="G4664" s="6"/>
    </row>
    <row r="4665" spans="1:7" x14ac:dyDescent="0.25">
      <c r="A4665" s="6" t="s">
        <v>2366</v>
      </c>
      <c r="B4665" s="6"/>
      <c r="C4665" s="6"/>
      <c r="D4665" s="6"/>
      <c r="E4665" s="6"/>
      <c r="F4665" s="6"/>
      <c r="G4665" s="6"/>
    </row>
    <row r="4666" spans="1:7" x14ac:dyDescent="0.25">
      <c r="A4666" s="6" t="s">
        <v>2363</v>
      </c>
      <c r="B4666" s="6"/>
      <c r="C4666" s="6"/>
      <c r="D4666" s="6"/>
      <c r="E4666" s="6"/>
      <c r="F4666" s="6"/>
      <c r="G4666" s="6"/>
    </row>
    <row r="4667" spans="1:7" x14ac:dyDescent="0.25">
      <c r="A4667" s="6" t="s">
        <v>2360</v>
      </c>
      <c r="B4667" s="6"/>
      <c r="C4667" s="6"/>
      <c r="D4667" s="6"/>
      <c r="E4667" s="6"/>
      <c r="F4667" s="6"/>
      <c r="G4667" s="6"/>
    </row>
    <row r="4668" spans="1:7" x14ac:dyDescent="0.25">
      <c r="A4668" s="6" t="s">
        <v>957</v>
      </c>
      <c r="B4668" s="6"/>
      <c r="C4668" s="6"/>
      <c r="D4668" s="6"/>
      <c r="E4668" s="6"/>
      <c r="F4668" s="6"/>
      <c r="G4668" s="6"/>
    </row>
    <row r="4669" spans="1:7" x14ac:dyDescent="0.25">
      <c r="A4669" s="6" t="s">
        <v>2356</v>
      </c>
      <c r="B4669" s="6"/>
      <c r="C4669" s="6"/>
      <c r="D4669" s="6"/>
      <c r="E4669" s="6"/>
      <c r="F4669" s="6"/>
      <c r="G4669" s="6"/>
    </row>
    <row r="4670" spans="1:7" x14ac:dyDescent="0.25">
      <c r="A4670" s="6" t="s">
        <v>957</v>
      </c>
      <c r="B4670" s="6"/>
      <c r="C4670" s="6"/>
      <c r="D4670" s="6"/>
      <c r="E4670" s="6"/>
      <c r="F4670" s="6"/>
      <c r="G4670" s="6"/>
    </row>
    <row r="4671" spans="1:7" x14ac:dyDescent="0.25">
      <c r="A4671" s="6" t="s">
        <v>2351</v>
      </c>
      <c r="B4671" s="6"/>
      <c r="C4671" s="6"/>
      <c r="D4671" s="6"/>
      <c r="E4671" s="6"/>
      <c r="F4671" s="6"/>
      <c r="G4671" s="6"/>
    </row>
    <row r="4672" spans="1:7" x14ac:dyDescent="0.25">
      <c r="A4672" s="6" t="s">
        <v>2348</v>
      </c>
      <c r="B4672" s="6"/>
      <c r="C4672" s="6"/>
      <c r="D4672" s="6"/>
      <c r="E4672" s="6"/>
      <c r="F4672" s="6"/>
      <c r="G4672" s="6"/>
    </row>
    <row r="4673" spans="1:7" x14ac:dyDescent="0.25">
      <c r="A4673" s="6" t="s">
        <v>2345</v>
      </c>
      <c r="B4673" s="6"/>
      <c r="C4673" s="6"/>
      <c r="D4673" s="6"/>
      <c r="E4673" s="6"/>
      <c r="F4673" s="6"/>
      <c r="G4673" s="6"/>
    </row>
    <row r="4674" spans="1:7" x14ac:dyDescent="0.25">
      <c r="A4674" s="6" t="s">
        <v>957</v>
      </c>
      <c r="B4674" s="6"/>
      <c r="C4674" s="6"/>
      <c r="D4674" s="6"/>
      <c r="E4674" s="6"/>
      <c r="F4674" s="6"/>
      <c r="G4674" s="6"/>
    </row>
    <row r="4675" spans="1:7" x14ac:dyDescent="0.25">
      <c r="A4675" s="6" t="s">
        <v>2341</v>
      </c>
      <c r="B4675" s="6"/>
      <c r="C4675" s="6"/>
      <c r="D4675" s="6"/>
      <c r="E4675" s="6"/>
      <c r="F4675" s="6"/>
      <c r="G4675" s="6"/>
    </row>
    <row r="4676" spans="1:7" x14ac:dyDescent="0.25">
      <c r="A4676" s="6" t="s">
        <v>2338</v>
      </c>
      <c r="B4676" s="6"/>
      <c r="C4676" s="6"/>
      <c r="D4676" s="6"/>
      <c r="E4676" s="6"/>
      <c r="F4676" s="6"/>
      <c r="G4676" s="6"/>
    </row>
    <row r="4677" spans="1:7" x14ac:dyDescent="0.25">
      <c r="A4677" s="6" t="s">
        <v>2335</v>
      </c>
      <c r="B4677" s="6"/>
      <c r="C4677" s="6"/>
      <c r="D4677" s="6"/>
      <c r="E4677" s="6"/>
      <c r="F4677" s="6"/>
      <c r="G4677" s="6"/>
    </row>
    <row r="4678" spans="1:7" x14ac:dyDescent="0.25">
      <c r="A4678" s="6" t="s">
        <v>2332</v>
      </c>
      <c r="B4678" s="6"/>
      <c r="C4678" s="6"/>
      <c r="D4678" s="6"/>
      <c r="E4678" s="6"/>
      <c r="F4678" s="6"/>
      <c r="G4678" s="6"/>
    </row>
    <row r="4679" spans="1:7" x14ac:dyDescent="0.25">
      <c r="A4679" s="6" t="s">
        <v>2329</v>
      </c>
      <c r="B4679" s="6"/>
      <c r="C4679" s="6"/>
      <c r="D4679" s="6"/>
      <c r="E4679" s="6"/>
      <c r="F4679" s="6"/>
      <c r="G4679" s="6"/>
    </row>
    <row r="4680" spans="1:7" x14ac:dyDescent="0.25">
      <c r="A4680" s="6" t="s">
        <v>957</v>
      </c>
      <c r="B4680" s="6"/>
      <c r="C4680" s="6"/>
      <c r="D4680" s="6"/>
      <c r="E4680" s="6"/>
      <c r="F4680" s="6"/>
      <c r="G4680" s="6"/>
    </row>
    <row r="4681" spans="1:7" x14ac:dyDescent="0.25">
      <c r="A4681" s="6" t="s">
        <v>957</v>
      </c>
      <c r="B4681" s="6"/>
      <c r="C4681" s="6"/>
      <c r="D4681" s="6"/>
      <c r="E4681" s="6"/>
      <c r="F4681" s="6"/>
      <c r="G4681" s="6"/>
    </row>
    <row r="4682" spans="1:7" x14ac:dyDescent="0.25">
      <c r="A4682" s="6" t="s">
        <v>2322</v>
      </c>
      <c r="B4682" s="6"/>
      <c r="C4682" s="6"/>
      <c r="D4682" s="6"/>
      <c r="E4682" s="6"/>
      <c r="F4682" s="6"/>
      <c r="G4682" s="6"/>
    </row>
    <row r="4683" spans="1:7" x14ac:dyDescent="0.25">
      <c r="A4683" s="6" t="s">
        <v>2319</v>
      </c>
      <c r="B4683" s="6"/>
      <c r="C4683" s="6"/>
      <c r="D4683" s="6"/>
      <c r="E4683" s="6"/>
      <c r="F4683" s="6"/>
      <c r="G4683" s="6"/>
    </row>
    <row r="4684" spans="1:7" x14ac:dyDescent="0.25">
      <c r="A4684" s="6" t="s">
        <v>2316</v>
      </c>
      <c r="B4684" s="6"/>
      <c r="C4684" s="6"/>
      <c r="D4684" s="6"/>
      <c r="E4684" s="6"/>
      <c r="F4684" s="6"/>
      <c r="G4684" s="6"/>
    </row>
    <row r="4685" spans="1:7" x14ac:dyDescent="0.25">
      <c r="A4685" s="6" t="s">
        <v>2313</v>
      </c>
      <c r="B4685" s="6"/>
      <c r="C4685" s="6"/>
      <c r="D4685" s="6"/>
      <c r="E4685" s="6"/>
      <c r="F4685" s="6"/>
      <c r="G4685" s="6"/>
    </row>
    <row r="4686" spans="1:7" x14ac:dyDescent="0.25">
      <c r="A4686" s="6" t="s">
        <v>2310</v>
      </c>
      <c r="B4686" s="6"/>
      <c r="C4686" s="6"/>
      <c r="D4686" s="6"/>
      <c r="E4686" s="6"/>
      <c r="F4686" s="6"/>
      <c r="G4686" s="6"/>
    </row>
    <row r="4687" spans="1:7" x14ac:dyDescent="0.25">
      <c r="A4687" s="6" t="s">
        <v>957</v>
      </c>
      <c r="B4687" s="6"/>
      <c r="C4687" s="6"/>
      <c r="D4687" s="6"/>
      <c r="E4687" s="6"/>
      <c r="F4687" s="6"/>
      <c r="G4687" s="6"/>
    </row>
    <row r="4688" spans="1:7" x14ac:dyDescent="0.25">
      <c r="A4688" s="6" t="s">
        <v>2305</v>
      </c>
      <c r="B4688" s="6"/>
      <c r="C4688" s="6"/>
      <c r="D4688" s="6"/>
      <c r="E4688" s="6"/>
      <c r="F4688" s="6"/>
      <c r="G4688" s="6"/>
    </row>
    <row r="4689" spans="1:7" x14ac:dyDescent="0.25">
      <c r="A4689" s="6" t="s">
        <v>2979</v>
      </c>
      <c r="B4689" s="6"/>
      <c r="C4689" s="6"/>
      <c r="D4689" s="6"/>
      <c r="E4689" s="6"/>
      <c r="F4689" s="6"/>
      <c r="G4689" s="6"/>
    </row>
    <row r="4690" spans="1:7" x14ac:dyDescent="0.25">
      <c r="A4690" s="6" t="s">
        <v>2976</v>
      </c>
      <c r="B4690" s="6"/>
      <c r="C4690" s="6"/>
      <c r="D4690" s="6"/>
      <c r="E4690" s="6"/>
      <c r="F4690" s="6"/>
      <c r="G4690" s="6"/>
    </row>
    <row r="4691" spans="1:7" x14ac:dyDescent="0.25">
      <c r="A4691" s="6" t="s">
        <v>2973</v>
      </c>
      <c r="B4691" s="6"/>
      <c r="C4691" s="6"/>
      <c r="D4691" s="6"/>
      <c r="E4691" s="6"/>
      <c r="F4691" s="6"/>
      <c r="G4691" s="6"/>
    </row>
    <row r="4692" spans="1:7" x14ac:dyDescent="0.25">
      <c r="A4692" s="6" t="s">
        <v>2970</v>
      </c>
      <c r="B4692" s="6"/>
      <c r="C4692" s="6"/>
      <c r="D4692" s="6"/>
      <c r="E4692" s="6"/>
      <c r="F4692" s="6"/>
      <c r="G4692" s="6"/>
    </row>
    <row r="4693" spans="1:7" x14ac:dyDescent="0.25">
      <c r="A4693" s="6" t="s">
        <v>2967</v>
      </c>
      <c r="B4693" s="6"/>
      <c r="C4693" s="6"/>
      <c r="D4693" s="6"/>
      <c r="E4693" s="6"/>
      <c r="F4693" s="6"/>
      <c r="G4693" s="6"/>
    </row>
    <row r="4694" spans="1:7" x14ac:dyDescent="0.25">
      <c r="A4694" s="6" t="s">
        <v>957</v>
      </c>
      <c r="B4694" s="6"/>
      <c r="C4694" s="6"/>
      <c r="D4694" s="6"/>
      <c r="E4694" s="6"/>
      <c r="F4694" s="6"/>
      <c r="G4694" s="6"/>
    </row>
    <row r="4695" spans="1:7" x14ac:dyDescent="0.25">
      <c r="A4695" s="6" t="s">
        <v>957</v>
      </c>
      <c r="B4695" s="6"/>
      <c r="C4695" s="6"/>
      <c r="D4695" s="6"/>
      <c r="E4695" s="6"/>
      <c r="F4695" s="6"/>
      <c r="G4695" s="6"/>
    </row>
    <row r="4696" spans="1:7" x14ac:dyDescent="0.25">
      <c r="A4696" s="6" t="s">
        <v>957</v>
      </c>
      <c r="B4696" s="6"/>
      <c r="C4696" s="6"/>
      <c r="D4696" s="6"/>
      <c r="E4696" s="6"/>
      <c r="F4696" s="6"/>
      <c r="G4696" s="6"/>
    </row>
    <row r="4697" spans="1:7" x14ac:dyDescent="0.25">
      <c r="A4697" s="6" t="s">
        <v>957</v>
      </c>
      <c r="B4697" s="6"/>
      <c r="C4697" s="6"/>
      <c r="D4697" s="6"/>
      <c r="E4697" s="6"/>
      <c r="F4697" s="6"/>
      <c r="G4697" s="6"/>
    </row>
    <row r="4698" spans="1:7" x14ac:dyDescent="0.25">
      <c r="A4698" s="6" t="s">
        <v>957</v>
      </c>
      <c r="B4698" s="6"/>
      <c r="C4698" s="6"/>
      <c r="D4698" s="6"/>
      <c r="E4698" s="6"/>
      <c r="F4698" s="6"/>
      <c r="G4698" s="6"/>
    </row>
    <row r="4699" spans="1:7" x14ac:dyDescent="0.25">
      <c r="A4699" s="6" t="s">
        <v>957</v>
      </c>
      <c r="B4699" s="6"/>
      <c r="C4699" s="6"/>
      <c r="D4699" s="6"/>
      <c r="E4699" s="6"/>
      <c r="F4699" s="6"/>
      <c r="G4699" s="6"/>
    </row>
    <row r="4700" spans="1:7" x14ac:dyDescent="0.25">
      <c r="A4700" s="6" t="s">
        <v>2956</v>
      </c>
      <c r="B4700" s="6"/>
      <c r="C4700" s="6"/>
      <c r="D4700" s="6"/>
      <c r="E4700" s="6"/>
      <c r="F4700" s="6"/>
      <c r="G4700" s="6"/>
    </row>
    <row r="4701" spans="1:7" x14ac:dyDescent="0.25">
      <c r="A4701" s="6" t="s">
        <v>957</v>
      </c>
      <c r="B4701" s="6"/>
      <c r="C4701" s="6"/>
      <c r="D4701" s="6"/>
      <c r="E4701" s="6"/>
      <c r="F4701" s="6"/>
      <c r="G4701" s="6"/>
    </row>
    <row r="4702" spans="1:7" x14ac:dyDescent="0.25">
      <c r="A4702" s="6" t="s">
        <v>2952</v>
      </c>
      <c r="B4702" s="6"/>
      <c r="C4702" s="6"/>
      <c r="D4702" s="6"/>
      <c r="E4702" s="6"/>
      <c r="F4702" s="6"/>
      <c r="G4702" s="6"/>
    </row>
    <row r="4703" spans="1:7" x14ac:dyDescent="0.25">
      <c r="A4703" s="6" t="s">
        <v>957</v>
      </c>
      <c r="B4703" s="6"/>
      <c r="C4703" s="6"/>
      <c r="D4703" s="6"/>
      <c r="E4703" s="6"/>
      <c r="F4703" s="6"/>
      <c r="G4703" s="6"/>
    </row>
    <row r="4704" spans="1:7" x14ac:dyDescent="0.25">
      <c r="A4704" s="6" t="s">
        <v>957</v>
      </c>
      <c r="B4704" s="6"/>
      <c r="C4704" s="6"/>
      <c r="D4704" s="6"/>
      <c r="E4704" s="6"/>
      <c r="F4704" s="6"/>
      <c r="G4704" s="6"/>
    </row>
    <row r="4705" spans="1:7" x14ac:dyDescent="0.25">
      <c r="A4705" s="6" t="s">
        <v>14175</v>
      </c>
      <c r="B4705" s="6" t="s">
        <v>14176</v>
      </c>
      <c r="C4705" s="6"/>
      <c r="D4705" s="6"/>
      <c r="E4705" s="6"/>
      <c r="F4705" s="6"/>
      <c r="G4705" s="6"/>
    </row>
    <row r="4706" spans="1:7" x14ac:dyDescent="0.25">
      <c r="A4706" s="6" t="s">
        <v>2946</v>
      </c>
      <c r="B4706" s="6"/>
      <c r="C4706" s="6"/>
      <c r="D4706" s="6"/>
      <c r="E4706" s="6"/>
      <c r="F4706" s="6"/>
      <c r="G4706" s="6"/>
    </row>
    <row r="4707" spans="1:7" x14ac:dyDescent="0.25">
      <c r="A4707" s="6" t="s">
        <v>957</v>
      </c>
      <c r="B4707" s="6"/>
      <c r="C4707" s="6"/>
      <c r="D4707" s="6"/>
      <c r="E4707" s="6"/>
      <c r="F4707" s="6"/>
      <c r="G4707" s="6"/>
    </row>
    <row r="4708" spans="1:7" x14ac:dyDescent="0.25">
      <c r="A4708" s="6" t="s">
        <v>2941</v>
      </c>
      <c r="B4708" s="6"/>
      <c r="C4708" s="6"/>
      <c r="D4708" s="6"/>
      <c r="E4708" s="6"/>
      <c r="F4708" s="6"/>
      <c r="G4708" s="6"/>
    </row>
    <row r="4709" spans="1:7" x14ac:dyDescent="0.25">
      <c r="A4709" s="6" t="s">
        <v>2938</v>
      </c>
      <c r="B4709" s="6"/>
      <c r="C4709" s="6"/>
      <c r="D4709" s="6"/>
      <c r="E4709" s="6"/>
      <c r="F4709" s="6"/>
      <c r="G4709" s="6"/>
    </row>
    <row r="4710" spans="1:7" x14ac:dyDescent="0.25">
      <c r="A4710" s="6" t="s">
        <v>2935</v>
      </c>
      <c r="B4710" s="6"/>
      <c r="C4710" s="6"/>
      <c r="D4710" s="6"/>
      <c r="E4710" s="6"/>
      <c r="F4710" s="6"/>
      <c r="G4710" s="6"/>
    </row>
    <row r="4711" spans="1:7" x14ac:dyDescent="0.25">
      <c r="A4711" s="6" t="s">
        <v>957</v>
      </c>
      <c r="B4711" s="6"/>
      <c r="C4711" s="6"/>
      <c r="D4711" s="6"/>
      <c r="E4711" s="6"/>
      <c r="F4711" s="6"/>
      <c r="G4711" s="6"/>
    </row>
    <row r="4712" spans="1:7" x14ac:dyDescent="0.25">
      <c r="A4712" s="6" t="s">
        <v>2930</v>
      </c>
      <c r="B4712" s="6"/>
      <c r="C4712" s="6"/>
      <c r="D4712" s="6"/>
      <c r="E4712" s="6"/>
      <c r="F4712" s="6"/>
      <c r="G4712" s="6"/>
    </row>
    <row r="4713" spans="1:7" x14ac:dyDescent="0.25">
      <c r="A4713" s="6" t="s">
        <v>2927</v>
      </c>
      <c r="B4713" s="6"/>
      <c r="C4713" s="6"/>
      <c r="D4713" s="6"/>
      <c r="E4713" s="6"/>
      <c r="F4713" s="6"/>
      <c r="G4713" s="6"/>
    </row>
    <row r="4714" spans="1:7" x14ac:dyDescent="0.25">
      <c r="A4714" s="6" t="s">
        <v>2924</v>
      </c>
      <c r="B4714" s="6"/>
      <c r="C4714" s="6"/>
      <c r="D4714" s="6"/>
      <c r="E4714" s="6"/>
      <c r="F4714" s="6"/>
      <c r="G4714" s="6"/>
    </row>
    <row r="4715" spans="1:7" x14ac:dyDescent="0.25">
      <c r="A4715" s="6" t="s">
        <v>957</v>
      </c>
      <c r="B4715" s="6"/>
      <c r="C4715" s="6"/>
      <c r="D4715" s="6"/>
      <c r="E4715" s="6"/>
      <c r="F4715" s="6"/>
      <c r="G4715" s="6"/>
    </row>
    <row r="4716" spans="1:7" x14ac:dyDescent="0.25">
      <c r="A4716" s="6" t="s">
        <v>957</v>
      </c>
      <c r="B4716" s="6"/>
      <c r="C4716" s="6"/>
      <c r="D4716" s="6"/>
      <c r="E4716" s="6"/>
      <c r="F4716" s="6"/>
      <c r="G4716" s="6"/>
    </row>
    <row r="4717" spans="1:7" x14ac:dyDescent="0.25">
      <c r="A4717" s="6" t="s">
        <v>2918</v>
      </c>
      <c r="B4717" s="6"/>
      <c r="C4717" s="6"/>
      <c r="D4717" s="6"/>
      <c r="E4717" s="6"/>
      <c r="F4717" s="6"/>
      <c r="G4717" s="6"/>
    </row>
    <row r="4718" spans="1:7" x14ac:dyDescent="0.25">
      <c r="A4718" s="6" t="s">
        <v>2915</v>
      </c>
      <c r="B4718" s="6"/>
      <c r="C4718" s="6"/>
      <c r="D4718" s="6"/>
      <c r="E4718" s="6"/>
      <c r="F4718" s="6"/>
      <c r="G4718" s="6"/>
    </row>
    <row r="4719" spans="1:7" x14ac:dyDescent="0.25">
      <c r="A4719" s="6" t="s">
        <v>2912</v>
      </c>
      <c r="B4719" s="6"/>
      <c r="C4719" s="6"/>
      <c r="D4719" s="6"/>
      <c r="E4719" s="6"/>
      <c r="F4719" s="6"/>
      <c r="G4719" s="6"/>
    </row>
    <row r="4720" spans="1:7" x14ac:dyDescent="0.25">
      <c r="A4720" s="6" t="s">
        <v>2909</v>
      </c>
      <c r="B4720" s="6"/>
      <c r="C4720" s="6"/>
      <c r="D4720" s="6"/>
      <c r="E4720" s="6"/>
      <c r="F4720" s="6"/>
      <c r="G4720" s="6"/>
    </row>
    <row r="4721" spans="1:7" x14ac:dyDescent="0.25">
      <c r="A4721" s="6" t="s">
        <v>2906</v>
      </c>
      <c r="B4721" s="6"/>
      <c r="C4721" s="6"/>
      <c r="D4721" s="6"/>
      <c r="E4721" s="6"/>
      <c r="F4721" s="6"/>
      <c r="G4721" s="6"/>
    </row>
    <row r="4722" spans="1:7" x14ac:dyDescent="0.25">
      <c r="A4722" s="6" t="s">
        <v>957</v>
      </c>
      <c r="B4722" s="6"/>
      <c r="C4722" s="6"/>
      <c r="D4722" s="6"/>
      <c r="E4722" s="6"/>
      <c r="F4722" s="6"/>
      <c r="G4722" s="6"/>
    </row>
    <row r="4723" spans="1:7" x14ac:dyDescent="0.25">
      <c r="A4723" s="6" t="s">
        <v>957</v>
      </c>
      <c r="B4723" s="6"/>
      <c r="C4723" s="6"/>
      <c r="D4723" s="6"/>
      <c r="E4723" s="6"/>
      <c r="F4723" s="6"/>
      <c r="G4723" s="6"/>
    </row>
    <row r="4724" spans="1:7" x14ac:dyDescent="0.25">
      <c r="A4724" s="6" t="s">
        <v>957</v>
      </c>
      <c r="B4724" s="6"/>
      <c r="C4724" s="6"/>
      <c r="D4724" s="6"/>
      <c r="E4724" s="6"/>
      <c r="F4724" s="6"/>
      <c r="G4724" s="6"/>
    </row>
    <row r="4725" spans="1:7" x14ac:dyDescent="0.25">
      <c r="A4725" s="6" t="s">
        <v>2900</v>
      </c>
      <c r="B4725" s="6"/>
      <c r="C4725" s="6"/>
      <c r="D4725" s="6"/>
      <c r="E4725" s="6"/>
      <c r="F4725" s="6"/>
      <c r="G4725" s="6"/>
    </row>
    <row r="4726" spans="1:7" x14ac:dyDescent="0.25">
      <c r="A4726" s="6" t="s">
        <v>2897</v>
      </c>
      <c r="B4726" s="6"/>
      <c r="C4726" s="6"/>
      <c r="D4726" s="6"/>
      <c r="E4726" s="6"/>
      <c r="F4726" s="6"/>
      <c r="G4726" s="6"/>
    </row>
    <row r="4727" spans="1:7" x14ac:dyDescent="0.25">
      <c r="A4727" s="6" t="s">
        <v>2894</v>
      </c>
      <c r="B4727" s="6"/>
      <c r="C4727" s="6"/>
      <c r="D4727" s="6"/>
      <c r="E4727" s="6"/>
      <c r="F4727" s="6"/>
      <c r="G4727" s="6"/>
    </row>
    <row r="4728" spans="1:7" x14ac:dyDescent="0.25">
      <c r="A4728" s="6" t="s">
        <v>957</v>
      </c>
      <c r="B4728" s="6"/>
      <c r="C4728" s="6"/>
      <c r="D4728" s="6"/>
      <c r="E4728" s="6"/>
      <c r="F4728" s="6"/>
      <c r="G4728" s="6"/>
    </row>
    <row r="4729" spans="1:7" x14ac:dyDescent="0.25">
      <c r="A4729" s="6" t="s">
        <v>957</v>
      </c>
      <c r="B4729" s="6"/>
      <c r="C4729" s="6"/>
      <c r="D4729" s="6"/>
      <c r="E4729" s="6"/>
      <c r="F4729" s="6"/>
      <c r="G4729" s="6"/>
    </row>
    <row r="4730" spans="1:7" x14ac:dyDescent="0.25">
      <c r="A4730" s="6" t="s">
        <v>2888</v>
      </c>
      <c r="B4730" s="6"/>
      <c r="C4730" s="6"/>
      <c r="D4730" s="6"/>
      <c r="E4730" s="6"/>
      <c r="F4730" s="6"/>
      <c r="G4730" s="6"/>
    </row>
    <row r="4731" spans="1:7" x14ac:dyDescent="0.25">
      <c r="A4731" s="6" t="s">
        <v>2885</v>
      </c>
      <c r="B4731" s="6"/>
      <c r="C4731" s="6"/>
      <c r="D4731" s="6"/>
      <c r="E4731" s="6"/>
      <c r="F4731" s="6"/>
      <c r="G4731" s="6"/>
    </row>
    <row r="4732" spans="1:7" x14ac:dyDescent="0.25">
      <c r="A4732" s="6" t="s">
        <v>957</v>
      </c>
      <c r="B4732" s="6"/>
      <c r="C4732" s="6"/>
      <c r="D4732" s="6"/>
      <c r="E4732" s="6"/>
      <c r="F4732" s="6"/>
      <c r="G4732" s="6"/>
    </row>
    <row r="4733" spans="1:7" x14ac:dyDescent="0.25">
      <c r="A4733" s="6" t="s">
        <v>2881</v>
      </c>
      <c r="B4733" s="6"/>
      <c r="C4733" s="6"/>
      <c r="D4733" s="6"/>
      <c r="E4733" s="6"/>
      <c r="F4733" s="6"/>
      <c r="G4733" s="6"/>
    </row>
    <row r="4734" spans="1:7" x14ac:dyDescent="0.25">
      <c r="A4734" s="6" t="s">
        <v>957</v>
      </c>
      <c r="B4734" s="6"/>
      <c r="C4734" s="6"/>
      <c r="D4734" s="6"/>
      <c r="E4734" s="6"/>
      <c r="F4734" s="6"/>
      <c r="G4734" s="6"/>
    </row>
    <row r="4735" spans="1:7" x14ac:dyDescent="0.25">
      <c r="A4735" s="6" t="s">
        <v>2877</v>
      </c>
      <c r="B4735" s="6"/>
      <c r="C4735" s="6"/>
      <c r="D4735" s="6"/>
      <c r="E4735" s="6"/>
      <c r="F4735" s="6"/>
      <c r="G4735" s="6"/>
    </row>
    <row r="4736" spans="1:7" x14ac:dyDescent="0.25">
      <c r="A4736" s="6" t="s">
        <v>2874</v>
      </c>
      <c r="B4736" s="6"/>
      <c r="C4736" s="6"/>
      <c r="D4736" s="6"/>
      <c r="E4736" s="6"/>
      <c r="F4736" s="6"/>
      <c r="G4736" s="6"/>
    </row>
    <row r="4737" spans="1:7" x14ac:dyDescent="0.25">
      <c r="A4737" s="6" t="s">
        <v>2871</v>
      </c>
      <c r="B4737" s="6"/>
      <c r="C4737" s="6"/>
      <c r="D4737" s="6"/>
      <c r="E4737" s="6"/>
      <c r="F4737" s="6"/>
      <c r="G4737" s="6"/>
    </row>
    <row r="4738" spans="1:7" x14ac:dyDescent="0.25">
      <c r="A4738" s="6" t="s">
        <v>2868</v>
      </c>
      <c r="B4738" s="6"/>
      <c r="C4738" s="6"/>
      <c r="D4738" s="6"/>
      <c r="E4738" s="6"/>
      <c r="F4738" s="6"/>
      <c r="G4738" s="6"/>
    </row>
    <row r="4739" spans="1:7" x14ac:dyDescent="0.25">
      <c r="A4739" s="6" t="s">
        <v>957</v>
      </c>
      <c r="B4739" s="6"/>
      <c r="C4739" s="6"/>
      <c r="D4739" s="6"/>
      <c r="E4739" s="6"/>
      <c r="F4739" s="6"/>
      <c r="G4739" s="6"/>
    </row>
    <row r="4740" spans="1:7" x14ac:dyDescent="0.25">
      <c r="A4740" s="6" t="s">
        <v>2865</v>
      </c>
      <c r="B4740" s="6"/>
      <c r="C4740" s="6"/>
      <c r="D4740" s="6"/>
      <c r="E4740" s="6"/>
      <c r="F4740" s="6"/>
      <c r="G4740" s="6"/>
    </row>
    <row r="4741" spans="1:7" x14ac:dyDescent="0.25">
      <c r="A4741" s="6" t="s">
        <v>2862</v>
      </c>
      <c r="B4741" s="6"/>
      <c r="C4741" s="6"/>
      <c r="D4741" s="6"/>
      <c r="E4741" s="6"/>
      <c r="F4741" s="6"/>
      <c r="G4741" s="6"/>
    </row>
    <row r="4742" spans="1:7" x14ac:dyDescent="0.25">
      <c r="A4742" s="6" t="s">
        <v>957</v>
      </c>
      <c r="B4742" s="6"/>
      <c r="C4742" s="6"/>
      <c r="D4742" s="6"/>
      <c r="E4742" s="6"/>
      <c r="F4742" s="6"/>
      <c r="G4742" s="6"/>
    </row>
    <row r="4743" spans="1:7" x14ac:dyDescent="0.25">
      <c r="A4743" s="6" t="s">
        <v>2858</v>
      </c>
      <c r="B4743" s="6"/>
      <c r="C4743" s="6"/>
      <c r="D4743" s="6"/>
      <c r="E4743" s="6"/>
      <c r="F4743" s="6"/>
      <c r="G4743" s="6"/>
    </row>
    <row r="4744" spans="1:7" x14ac:dyDescent="0.25">
      <c r="A4744" s="6" t="s">
        <v>2855</v>
      </c>
      <c r="B4744" s="6"/>
      <c r="C4744" s="6"/>
      <c r="D4744" s="6"/>
      <c r="E4744" s="6"/>
      <c r="F4744" s="6"/>
      <c r="G4744" s="6"/>
    </row>
    <row r="4745" spans="1:7" x14ac:dyDescent="0.25">
      <c r="A4745" s="6" t="s">
        <v>957</v>
      </c>
      <c r="B4745" s="6"/>
      <c r="C4745" s="6"/>
      <c r="D4745" s="6"/>
      <c r="E4745" s="6"/>
      <c r="F4745" s="6"/>
      <c r="G4745" s="6"/>
    </row>
    <row r="4746" spans="1:7" x14ac:dyDescent="0.25">
      <c r="A4746" s="6" t="s">
        <v>957</v>
      </c>
      <c r="B4746" s="6"/>
      <c r="C4746" s="6"/>
      <c r="D4746" s="6"/>
      <c r="E4746" s="6"/>
      <c r="F4746" s="6"/>
      <c r="G4746" s="6"/>
    </row>
    <row r="4747" spans="1:7" x14ac:dyDescent="0.25">
      <c r="A4747" s="6" t="s">
        <v>2850</v>
      </c>
      <c r="B4747" s="6"/>
      <c r="C4747" s="6"/>
      <c r="D4747" s="6"/>
      <c r="E4747" s="6"/>
      <c r="F4747" s="6"/>
      <c r="G4747" s="6"/>
    </row>
    <row r="4748" spans="1:7" x14ac:dyDescent="0.25">
      <c r="A4748" s="6" t="s">
        <v>2847</v>
      </c>
      <c r="B4748" s="6"/>
      <c r="C4748" s="6"/>
      <c r="D4748" s="6"/>
      <c r="E4748" s="6"/>
      <c r="F4748" s="6"/>
      <c r="G4748" s="6"/>
    </row>
    <row r="4749" spans="1:7" x14ac:dyDescent="0.25">
      <c r="A4749" s="6" t="s">
        <v>2844</v>
      </c>
      <c r="B4749" s="6"/>
      <c r="C4749" s="6"/>
      <c r="D4749" s="6"/>
      <c r="E4749" s="6"/>
      <c r="F4749" s="6"/>
      <c r="G4749" s="6"/>
    </row>
    <row r="4750" spans="1:7" x14ac:dyDescent="0.25">
      <c r="A4750" s="6" t="s">
        <v>2841</v>
      </c>
      <c r="B4750" s="6"/>
      <c r="C4750" s="6"/>
      <c r="D4750" s="6"/>
      <c r="E4750" s="6"/>
      <c r="F4750" s="6"/>
      <c r="G4750" s="6"/>
    </row>
    <row r="4751" spans="1:7" x14ac:dyDescent="0.25">
      <c r="A4751" s="6" t="s">
        <v>2838</v>
      </c>
      <c r="B4751" s="6"/>
      <c r="C4751" s="6"/>
      <c r="D4751" s="6"/>
      <c r="E4751" s="6"/>
      <c r="F4751" s="6"/>
      <c r="G4751" s="6"/>
    </row>
    <row r="4752" spans="1:7" x14ac:dyDescent="0.25">
      <c r="A4752" s="6" t="s">
        <v>2835</v>
      </c>
      <c r="B4752" s="6"/>
      <c r="C4752" s="6"/>
      <c r="D4752" s="6"/>
      <c r="E4752" s="6"/>
      <c r="F4752" s="6"/>
      <c r="G4752" s="6"/>
    </row>
    <row r="4753" spans="1:7" x14ac:dyDescent="0.25">
      <c r="A4753" s="6" t="s">
        <v>2832</v>
      </c>
      <c r="B4753" s="6"/>
      <c r="C4753" s="6"/>
      <c r="D4753" s="6"/>
      <c r="E4753" s="6"/>
      <c r="F4753" s="6"/>
      <c r="G4753" s="6"/>
    </row>
    <row r="4754" spans="1:7" x14ac:dyDescent="0.25">
      <c r="A4754" s="6" t="s">
        <v>2829</v>
      </c>
      <c r="B4754" s="6"/>
      <c r="C4754" s="6"/>
      <c r="D4754" s="6"/>
      <c r="E4754" s="6"/>
      <c r="F4754" s="6"/>
      <c r="G4754" s="6"/>
    </row>
    <row r="4755" spans="1:7" x14ac:dyDescent="0.25">
      <c r="A4755" s="6" t="s">
        <v>957</v>
      </c>
      <c r="B4755" s="6"/>
      <c r="C4755" s="6"/>
      <c r="D4755" s="6"/>
      <c r="E4755" s="6"/>
      <c r="F4755" s="6"/>
      <c r="G4755" s="6"/>
    </row>
    <row r="4756" spans="1:7" x14ac:dyDescent="0.25">
      <c r="A4756" s="6" t="s">
        <v>957</v>
      </c>
      <c r="B4756" s="6"/>
      <c r="C4756" s="6"/>
      <c r="D4756" s="6"/>
      <c r="E4756" s="6"/>
      <c r="F4756" s="6"/>
      <c r="G4756" s="6"/>
    </row>
    <row r="4757" spans="1:7" x14ac:dyDescent="0.25">
      <c r="A4757" s="6" t="s">
        <v>2824</v>
      </c>
      <c r="B4757" s="6"/>
      <c r="C4757" s="6"/>
      <c r="D4757" s="6"/>
      <c r="E4757" s="6"/>
      <c r="F4757" s="6"/>
      <c r="G4757" s="6"/>
    </row>
    <row r="4758" spans="1:7" x14ac:dyDescent="0.25">
      <c r="A4758" s="6" t="s">
        <v>2302</v>
      </c>
      <c r="B4758" s="6"/>
      <c r="C4758" s="6"/>
      <c r="D4758" s="6"/>
      <c r="E4758" s="6"/>
      <c r="F4758" s="6"/>
      <c r="G4758" s="6"/>
    </row>
    <row r="4759" spans="1:7" x14ac:dyDescent="0.25">
      <c r="A4759" s="6" t="s">
        <v>2299</v>
      </c>
      <c r="B4759" s="6"/>
      <c r="C4759" s="6"/>
      <c r="D4759" s="6"/>
      <c r="E4759" s="6"/>
      <c r="F4759" s="6"/>
      <c r="G4759" s="6"/>
    </row>
    <row r="4760" spans="1:7" x14ac:dyDescent="0.25">
      <c r="A4760" s="6" t="s">
        <v>2296</v>
      </c>
      <c r="B4760" s="6"/>
      <c r="C4760" s="6"/>
      <c r="D4760" s="6"/>
      <c r="E4760" s="6"/>
      <c r="F4760" s="6"/>
      <c r="G4760" s="6"/>
    </row>
    <row r="4761" spans="1:7" x14ac:dyDescent="0.25">
      <c r="A4761" s="6" t="s">
        <v>957</v>
      </c>
      <c r="B4761" s="6"/>
      <c r="C4761" s="6"/>
      <c r="D4761" s="6"/>
      <c r="E4761" s="6"/>
      <c r="F4761" s="6"/>
      <c r="G4761" s="6"/>
    </row>
    <row r="4762" spans="1:7" x14ac:dyDescent="0.25">
      <c r="A4762" s="6" t="s">
        <v>957</v>
      </c>
      <c r="B4762" s="6"/>
      <c r="C4762" s="6"/>
      <c r="D4762" s="6"/>
      <c r="E4762" s="6"/>
      <c r="F4762" s="6"/>
      <c r="G4762" s="6"/>
    </row>
    <row r="4763" spans="1:7" x14ac:dyDescent="0.25">
      <c r="A4763" s="6" t="s">
        <v>2117</v>
      </c>
      <c r="B4763" s="6"/>
      <c r="C4763" s="6"/>
      <c r="D4763" s="6"/>
      <c r="E4763" s="6"/>
      <c r="F4763" s="6"/>
      <c r="G4763" s="6"/>
    </row>
    <row r="4764" spans="1:7" x14ac:dyDescent="0.25">
      <c r="A4764" s="6" t="s">
        <v>2114</v>
      </c>
      <c r="B4764" s="6"/>
      <c r="C4764" s="6"/>
      <c r="D4764" s="6"/>
      <c r="E4764" s="6"/>
      <c r="F4764" s="6"/>
      <c r="G4764" s="6"/>
    </row>
    <row r="4765" spans="1:7" x14ac:dyDescent="0.25">
      <c r="A4765" s="6" t="s">
        <v>957</v>
      </c>
      <c r="B4765" s="6"/>
      <c r="C4765" s="6"/>
      <c r="D4765" s="6"/>
      <c r="E4765" s="6"/>
      <c r="F4765" s="6"/>
      <c r="G4765" s="6"/>
    </row>
    <row r="4766" spans="1:7" x14ac:dyDescent="0.25">
      <c r="A4766" s="6" t="s">
        <v>2110</v>
      </c>
      <c r="B4766" s="6"/>
      <c r="C4766" s="6"/>
      <c r="D4766" s="6"/>
      <c r="E4766" s="6"/>
      <c r="F4766" s="6"/>
      <c r="G4766" s="6"/>
    </row>
    <row r="4767" spans="1:7" x14ac:dyDescent="0.25">
      <c r="A4767" s="6" t="s">
        <v>2107</v>
      </c>
      <c r="B4767" s="6"/>
      <c r="C4767" s="6"/>
      <c r="D4767" s="6"/>
      <c r="E4767" s="6"/>
      <c r="F4767" s="6"/>
      <c r="G4767" s="6"/>
    </row>
    <row r="4768" spans="1:7" x14ac:dyDescent="0.25">
      <c r="A4768" s="6" t="s">
        <v>2104</v>
      </c>
      <c r="B4768" s="6"/>
      <c r="C4768" s="6"/>
      <c r="D4768" s="6"/>
      <c r="E4768" s="6"/>
      <c r="F4768" s="6"/>
      <c r="G4768" s="6"/>
    </row>
    <row r="4769" spans="1:7" x14ac:dyDescent="0.25">
      <c r="A4769" s="6" t="s">
        <v>2101</v>
      </c>
      <c r="B4769" s="6"/>
      <c r="C4769" s="6"/>
      <c r="D4769" s="6"/>
      <c r="E4769" s="6"/>
      <c r="F4769" s="6"/>
      <c r="G4769" s="6"/>
    </row>
    <row r="4770" spans="1:7" x14ac:dyDescent="0.25">
      <c r="A4770" s="6" t="s">
        <v>2098</v>
      </c>
      <c r="B4770" s="6"/>
      <c r="C4770" s="6"/>
      <c r="D4770" s="6"/>
      <c r="E4770" s="6"/>
      <c r="F4770" s="6"/>
      <c r="G4770" s="6"/>
    </row>
    <row r="4771" spans="1:7" x14ac:dyDescent="0.25">
      <c r="A4771" s="6" t="s">
        <v>957</v>
      </c>
      <c r="B4771" s="6"/>
      <c r="C4771" s="6"/>
      <c r="D4771" s="6"/>
      <c r="E4771" s="6"/>
      <c r="F4771" s="6"/>
      <c r="G4771" s="6"/>
    </row>
    <row r="4772" spans="1:7" x14ac:dyDescent="0.25">
      <c r="A4772" s="6" t="s">
        <v>2093</v>
      </c>
      <c r="B4772" s="6"/>
      <c r="C4772" s="6"/>
      <c r="D4772" s="6"/>
      <c r="E4772" s="6"/>
      <c r="F4772" s="6"/>
      <c r="G4772" s="6"/>
    </row>
    <row r="4773" spans="1:7" x14ac:dyDescent="0.25">
      <c r="A4773" s="6" t="s">
        <v>2090</v>
      </c>
      <c r="B4773" s="6"/>
      <c r="C4773" s="6"/>
      <c r="D4773" s="6"/>
      <c r="E4773" s="6"/>
      <c r="F4773" s="6"/>
      <c r="G4773" s="6"/>
    </row>
    <row r="4774" spans="1:7" x14ac:dyDescent="0.25">
      <c r="A4774" s="6" t="s">
        <v>2087</v>
      </c>
      <c r="B4774" s="6"/>
      <c r="C4774" s="6"/>
      <c r="D4774" s="6"/>
      <c r="E4774" s="6"/>
      <c r="F4774" s="6"/>
      <c r="G4774" s="6"/>
    </row>
    <row r="4775" spans="1:7" x14ac:dyDescent="0.25">
      <c r="A4775" s="6" t="s">
        <v>2084</v>
      </c>
      <c r="B4775" s="6"/>
      <c r="C4775" s="6"/>
      <c r="D4775" s="6"/>
      <c r="E4775" s="6"/>
      <c r="F4775" s="6"/>
      <c r="G4775" s="6"/>
    </row>
    <row r="4776" spans="1:7" x14ac:dyDescent="0.25">
      <c r="A4776" s="6" t="s">
        <v>2081</v>
      </c>
      <c r="B4776" s="6"/>
      <c r="C4776" s="6"/>
      <c r="D4776" s="6"/>
      <c r="E4776" s="6"/>
      <c r="F4776" s="6"/>
      <c r="G4776" s="6"/>
    </row>
    <row r="4777" spans="1:7" x14ac:dyDescent="0.25">
      <c r="A4777" s="6" t="s">
        <v>2078</v>
      </c>
      <c r="B4777" s="6"/>
      <c r="C4777" s="6"/>
      <c r="D4777" s="6"/>
      <c r="E4777" s="6"/>
      <c r="F4777" s="6"/>
      <c r="G4777" s="6"/>
    </row>
    <row r="4778" spans="1:7" x14ac:dyDescent="0.25">
      <c r="A4778" s="6" t="s">
        <v>957</v>
      </c>
      <c r="B4778" s="6"/>
      <c r="C4778" s="6"/>
      <c r="D4778" s="6"/>
      <c r="E4778" s="6"/>
      <c r="F4778" s="6"/>
      <c r="G4778" s="6"/>
    </row>
    <row r="4779" spans="1:7" x14ac:dyDescent="0.25">
      <c r="A4779" s="6" t="s">
        <v>2073</v>
      </c>
      <c r="B4779" s="6"/>
      <c r="C4779" s="6"/>
      <c r="D4779" s="6"/>
      <c r="E4779" s="6"/>
      <c r="F4779" s="6"/>
      <c r="G4779" s="6"/>
    </row>
    <row r="4780" spans="1:7" x14ac:dyDescent="0.25">
      <c r="A4780" s="6" t="s">
        <v>2070</v>
      </c>
      <c r="B4780" s="6"/>
      <c r="C4780" s="6"/>
      <c r="D4780" s="6"/>
      <c r="E4780" s="6"/>
      <c r="F4780" s="6"/>
      <c r="G4780" s="6"/>
    </row>
    <row r="4781" spans="1:7" x14ac:dyDescent="0.25">
      <c r="A4781" s="6" t="s">
        <v>957</v>
      </c>
      <c r="B4781" s="6"/>
      <c r="C4781" s="6"/>
      <c r="D4781" s="6"/>
      <c r="E4781" s="6"/>
      <c r="F4781" s="6"/>
      <c r="G4781" s="6"/>
    </row>
    <row r="4782" spans="1:7" x14ac:dyDescent="0.25">
      <c r="A4782" s="6" t="s">
        <v>957</v>
      </c>
      <c r="B4782" s="6"/>
      <c r="C4782" s="6"/>
      <c r="D4782" s="6"/>
      <c r="E4782" s="6"/>
      <c r="F4782" s="6"/>
      <c r="G4782" s="6"/>
    </row>
    <row r="4783" spans="1:7" x14ac:dyDescent="0.25">
      <c r="A4783" s="6" t="s">
        <v>2065</v>
      </c>
      <c r="B4783" s="6"/>
      <c r="C4783" s="6"/>
      <c r="D4783" s="6"/>
      <c r="E4783" s="6"/>
      <c r="F4783" s="6"/>
      <c r="G4783" s="6"/>
    </row>
    <row r="4784" spans="1:7" x14ac:dyDescent="0.25">
      <c r="A4784" s="6" t="s">
        <v>2062</v>
      </c>
      <c r="B4784" s="6"/>
      <c r="C4784" s="6"/>
      <c r="D4784" s="6"/>
      <c r="E4784" s="6"/>
      <c r="F4784" s="6"/>
      <c r="G4784" s="6"/>
    </row>
    <row r="4785" spans="1:7" x14ac:dyDescent="0.25">
      <c r="A4785" s="6" t="s">
        <v>2059</v>
      </c>
      <c r="B4785" s="6"/>
      <c r="C4785" s="6"/>
      <c r="D4785" s="6"/>
      <c r="E4785" s="6"/>
      <c r="F4785" s="6"/>
      <c r="G4785" s="6"/>
    </row>
    <row r="4786" spans="1:7" x14ac:dyDescent="0.25">
      <c r="A4786" s="6" t="s">
        <v>2056</v>
      </c>
      <c r="B4786" s="6"/>
      <c r="C4786" s="6"/>
      <c r="D4786" s="6"/>
      <c r="E4786" s="6"/>
      <c r="F4786" s="6"/>
      <c r="G4786" s="6"/>
    </row>
    <row r="4787" spans="1:7" x14ac:dyDescent="0.25">
      <c r="A4787" s="6" t="s">
        <v>2053</v>
      </c>
      <c r="B4787" s="6"/>
      <c r="C4787" s="6"/>
      <c r="D4787" s="6"/>
      <c r="E4787" s="6"/>
      <c r="F4787" s="6"/>
      <c r="G4787" s="6"/>
    </row>
    <row r="4788" spans="1:7" x14ac:dyDescent="0.25">
      <c r="A4788" s="6" t="s">
        <v>2050</v>
      </c>
      <c r="B4788" s="6"/>
      <c r="C4788" s="6"/>
      <c r="D4788" s="6"/>
      <c r="E4788" s="6"/>
      <c r="F4788" s="6"/>
      <c r="G4788" s="6"/>
    </row>
    <row r="4789" spans="1:7" x14ac:dyDescent="0.25">
      <c r="A4789" s="6" t="s">
        <v>2047</v>
      </c>
      <c r="B4789" s="6"/>
      <c r="C4789" s="6"/>
      <c r="D4789" s="6"/>
      <c r="E4789" s="6"/>
      <c r="F4789" s="6"/>
      <c r="G4789" s="6"/>
    </row>
    <row r="4790" spans="1:7" x14ac:dyDescent="0.25">
      <c r="A4790" s="6" t="s">
        <v>957</v>
      </c>
      <c r="B4790" s="6"/>
      <c r="C4790" s="6"/>
      <c r="D4790" s="6"/>
      <c r="E4790" s="6"/>
      <c r="F4790" s="6"/>
      <c r="G4790" s="6"/>
    </row>
    <row r="4791" spans="1:7" x14ac:dyDescent="0.25">
      <c r="A4791" s="6" t="s">
        <v>2043</v>
      </c>
      <c r="B4791" s="6"/>
      <c r="C4791" s="6"/>
      <c r="D4791" s="6"/>
      <c r="E4791" s="6"/>
      <c r="F4791" s="6"/>
      <c r="G4791" s="6"/>
    </row>
    <row r="4792" spans="1:7" x14ac:dyDescent="0.25">
      <c r="A4792" s="6" t="s">
        <v>2040</v>
      </c>
      <c r="B4792" s="6"/>
      <c r="C4792" s="6"/>
      <c r="D4792" s="6"/>
      <c r="E4792" s="6"/>
      <c r="F4792" s="6"/>
      <c r="G4792" s="6"/>
    </row>
    <row r="4793" spans="1:7" x14ac:dyDescent="0.25">
      <c r="A4793" s="6" t="s">
        <v>957</v>
      </c>
      <c r="B4793" s="6"/>
      <c r="C4793" s="6"/>
      <c r="D4793" s="6"/>
      <c r="E4793" s="6"/>
      <c r="F4793" s="6"/>
      <c r="G4793" s="6"/>
    </row>
    <row r="4794" spans="1:7" x14ac:dyDescent="0.25">
      <c r="A4794" s="6" t="s">
        <v>957</v>
      </c>
      <c r="B4794" s="6"/>
      <c r="C4794" s="6"/>
      <c r="D4794" s="6"/>
      <c r="E4794" s="6"/>
      <c r="F4794" s="6"/>
      <c r="G4794" s="6"/>
    </row>
    <row r="4795" spans="1:7" x14ac:dyDescent="0.25">
      <c r="A4795" s="6" t="s">
        <v>2035</v>
      </c>
      <c r="B4795" s="6"/>
      <c r="C4795" s="6"/>
      <c r="D4795" s="6"/>
      <c r="E4795" s="6"/>
      <c r="F4795" s="6"/>
      <c r="G4795" s="6"/>
    </row>
    <row r="4796" spans="1:7" x14ac:dyDescent="0.25">
      <c r="A4796" s="6" t="s">
        <v>2032</v>
      </c>
      <c r="B4796" s="6"/>
      <c r="C4796" s="6"/>
      <c r="D4796" s="6"/>
      <c r="E4796" s="6"/>
      <c r="F4796" s="6"/>
      <c r="G4796" s="6"/>
    </row>
    <row r="4797" spans="1:7" x14ac:dyDescent="0.25">
      <c r="A4797" s="6" t="s">
        <v>2029</v>
      </c>
      <c r="B4797" s="6"/>
      <c r="C4797" s="6"/>
      <c r="D4797" s="6"/>
      <c r="E4797" s="6"/>
      <c r="F4797" s="6"/>
      <c r="G4797" s="6"/>
    </row>
    <row r="4798" spans="1:7" x14ac:dyDescent="0.25">
      <c r="A4798" s="6" t="s">
        <v>2026</v>
      </c>
      <c r="B4798" s="6"/>
      <c r="C4798" s="6"/>
      <c r="D4798" s="6"/>
      <c r="E4798" s="6"/>
      <c r="F4798" s="6"/>
      <c r="G4798" s="6"/>
    </row>
    <row r="4799" spans="1:7" x14ac:dyDescent="0.25">
      <c r="A4799" s="6" t="s">
        <v>957</v>
      </c>
      <c r="B4799" s="6"/>
      <c r="C4799" s="6"/>
      <c r="D4799" s="6"/>
      <c r="E4799" s="6"/>
      <c r="F4799" s="6"/>
      <c r="G4799" s="6"/>
    </row>
    <row r="4800" spans="1:7" x14ac:dyDescent="0.25">
      <c r="A4800" s="6" t="s">
        <v>2022</v>
      </c>
      <c r="B4800" s="6"/>
      <c r="C4800" s="6"/>
      <c r="D4800" s="6"/>
      <c r="E4800" s="6"/>
      <c r="F4800" s="6"/>
      <c r="G4800" s="6"/>
    </row>
    <row r="4801" spans="1:7" x14ac:dyDescent="0.25">
      <c r="A4801" s="6" t="s">
        <v>2020</v>
      </c>
      <c r="B4801" s="6"/>
      <c r="C4801" s="6"/>
      <c r="D4801" s="6"/>
      <c r="E4801" s="6"/>
      <c r="F4801" s="6"/>
      <c r="G4801" s="6"/>
    </row>
    <row r="4802" spans="1:7" x14ac:dyDescent="0.25">
      <c r="A4802" s="6" t="s">
        <v>2017</v>
      </c>
      <c r="B4802" s="6"/>
      <c r="C4802" s="6"/>
      <c r="D4802" s="6"/>
      <c r="E4802" s="6"/>
      <c r="F4802" s="6"/>
      <c r="G4802" s="6"/>
    </row>
    <row r="4803" spans="1:7" x14ac:dyDescent="0.25">
      <c r="A4803" s="6" t="s">
        <v>2014</v>
      </c>
      <c r="B4803" s="6"/>
      <c r="C4803" s="6"/>
      <c r="D4803" s="6"/>
      <c r="E4803" s="6"/>
      <c r="F4803" s="6"/>
      <c r="G4803" s="6"/>
    </row>
    <row r="4804" spans="1:7" x14ac:dyDescent="0.25">
      <c r="A4804" s="6" t="s">
        <v>2011</v>
      </c>
      <c r="B4804" s="6"/>
      <c r="C4804" s="6"/>
      <c r="D4804" s="6"/>
      <c r="E4804" s="6"/>
      <c r="F4804" s="6"/>
      <c r="G4804" s="6"/>
    </row>
    <row r="4805" spans="1:7" x14ac:dyDescent="0.25">
      <c r="A4805" s="6" t="s">
        <v>957</v>
      </c>
      <c r="B4805" s="6"/>
      <c r="C4805" s="6"/>
      <c r="D4805" s="6"/>
      <c r="E4805" s="6"/>
      <c r="F4805" s="6"/>
      <c r="G4805" s="6"/>
    </row>
    <row r="4806" spans="1:7" x14ac:dyDescent="0.25">
      <c r="A4806" s="6" t="s">
        <v>957</v>
      </c>
      <c r="B4806" s="6"/>
      <c r="C4806" s="6"/>
      <c r="D4806" s="6"/>
      <c r="E4806" s="6"/>
      <c r="F4806" s="6"/>
      <c r="G4806" s="6"/>
    </row>
    <row r="4807" spans="1:7" x14ac:dyDescent="0.25">
      <c r="A4807" s="6" t="s">
        <v>2686</v>
      </c>
      <c r="B4807" s="6"/>
      <c r="C4807" s="6"/>
      <c r="D4807" s="6"/>
      <c r="E4807" s="6"/>
      <c r="F4807" s="6"/>
      <c r="G4807" s="6"/>
    </row>
    <row r="4808" spans="1:7" x14ac:dyDescent="0.25">
      <c r="A4808" s="6" t="s">
        <v>2683</v>
      </c>
      <c r="B4808" s="6"/>
      <c r="C4808" s="6"/>
      <c r="D4808" s="6"/>
      <c r="E4808" s="6"/>
      <c r="F4808" s="6"/>
      <c r="G4808" s="6"/>
    </row>
    <row r="4809" spans="1:7" x14ac:dyDescent="0.25">
      <c r="A4809" s="6" t="s">
        <v>2680</v>
      </c>
      <c r="B4809" s="6"/>
      <c r="C4809" s="6"/>
      <c r="D4809" s="6"/>
      <c r="E4809" s="6"/>
      <c r="F4809" s="6"/>
      <c r="G4809" s="6"/>
    </row>
    <row r="4810" spans="1:7" x14ac:dyDescent="0.25">
      <c r="A4810" s="6" t="s">
        <v>2677</v>
      </c>
      <c r="B4810" s="6"/>
      <c r="C4810" s="6"/>
      <c r="D4810" s="6"/>
      <c r="E4810" s="6"/>
      <c r="F4810" s="6"/>
      <c r="G4810" s="6"/>
    </row>
    <row r="4811" spans="1:7" x14ac:dyDescent="0.25">
      <c r="A4811" s="6" t="s">
        <v>2674</v>
      </c>
      <c r="B4811" s="6"/>
      <c r="C4811" s="6"/>
      <c r="D4811" s="6"/>
      <c r="E4811" s="6"/>
      <c r="F4811" s="6"/>
      <c r="G4811" s="6"/>
    </row>
    <row r="4812" spans="1:7" x14ac:dyDescent="0.25">
      <c r="A4812" s="6" t="s">
        <v>2671</v>
      </c>
      <c r="B4812" s="6"/>
      <c r="C4812" s="6"/>
      <c r="D4812" s="6"/>
      <c r="E4812" s="6"/>
      <c r="F4812" s="6"/>
      <c r="G4812" s="6"/>
    </row>
    <row r="4813" spans="1:7" x14ac:dyDescent="0.25">
      <c r="A4813" s="6" t="s">
        <v>957</v>
      </c>
      <c r="B4813" s="6"/>
      <c r="C4813" s="6"/>
      <c r="D4813" s="6"/>
      <c r="E4813" s="6"/>
      <c r="F4813" s="6"/>
      <c r="G4813" s="6"/>
    </row>
    <row r="4814" spans="1:7" x14ac:dyDescent="0.25">
      <c r="A4814" s="6" t="s">
        <v>2667</v>
      </c>
      <c r="B4814" s="6"/>
      <c r="C4814" s="6"/>
      <c r="D4814" s="6"/>
      <c r="E4814" s="6"/>
      <c r="F4814" s="6"/>
      <c r="G4814" s="6"/>
    </row>
    <row r="4815" spans="1:7" x14ac:dyDescent="0.25">
      <c r="A4815" s="6" t="s">
        <v>2664</v>
      </c>
      <c r="B4815" s="6"/>
      <c r="C4815" s="6"/>
      <c r="D4815" s="6"/>
      <c r="E4815" s="6"/>
      <c r="F4815" s="6"/>
      <c r="G4815" s="6"/>
    </row>
    <row r="4816" spans="1:7" x14ac:dyDescent="0.25">
      <c r="A4816" s="6" t="s">
        <v>2661</v>
      </c>
      <c r="B4816" s="6"/>
      <c r="C4816" s="6"/>
      <c r="D4816" s="6"/>
      <c r="E4816" s="6"/>
      <c r="F4816" s="6"/>
      <c r="G4816" s="6"/>
    </row>
    <row r="4817" spans="1:7" x14ac:dyDescent="0.25">
      <c r="A4817" s="6" t="s">
        <v>957</v>
      </c>
      <c r="B4817" s="6"/>
      <c r="C4817" s="6"/>
      <c r="D4817" s="6"/>
      <c r="E4817" s="6"/>
      <c r="F4817" s="6"/>
      <c r="G4817" s="6"/>
    </row>
    <row r="4818" spans="1:7" x14ac:dyDescent="0.25">
      <c r="A4818" s="6" t="s">
        <v>2657</v>
      </c>
      <c r="B4818" s="6"/>
      <c r="C4818" s="6"/>
      <c r="D4818" s="6"/>
      <c r="E4818" s="6"/>
      <c r="F4818" s="6"/>
      <c r="G4818" s="6"/>
    </row>
    <row r="4819" spans="1:7" x14ac:dyDescent="0.25">
      <c r="A4819" s="6" t="s">
        <v>2654</v>
      </c>
      <c r="B4819" s="6"/>
      <c r="C4819" s="6"/>
      <c r="D4819" s="6"/>
      <c r="E4819" s="6"/>
      <c r="F4819" s="6"/>
      <c r="G4819" s="6"/>
    </row>
    <row r="4820" spans="1:7" x14ac:dyDescent="0.25">
      <c r="A4820" s="6" t="s">
        <v>957</v>
      </c>
      <c r="B4820" s="6"/>
      <c r="C4820" s="6"/>
      <c r="D4820" s="6"/>
      <c r="E4820" s="6"/>
      <c r="F4820" s="6"/>
      <c r="G4820" s="6"/>
    </row>
    <row r="4821" spans="1:7" x14ac:dyDescent="0.25">
      <c r="A4821" s="6" t="s">
        <v>2650</v>
      </c>
      <c r="B4821" s="6"/>
      <c r="C4821" s="6"/>
      <c r="D4821" s="6"/>
      <c r="E4821" s="6"/>
      <c r="F4821" s="6"/>
      <c r="G4821" s="6"/>
    </row>
    <row r="4822" spans="1:7" x14ac:dyDescent="0.25">
      <c r="A4822" s="6" t="s">
        <v>2647</v>
      </c>
      <c r="B4822" s="6"/>
      <c r="C4822" s="6"/>
      <c r="D4822" s="6"/>
      <c r="E4822" s="6"/>
      <c r="F4822" s="6"/>
      <c r="G4822" s="6"/>
    </row>
    <row r="4823" spans="1:7" x14ac:dyDescent="0.25">
      <c r="A4823" s="6" t="s">
        <v>2644</v>
      </c>
      <c r="B4823" s="6"/>
      <c r="C4823" s="6"/>
      <c r="D4823" s="6"/>
      <c r="E4823" s="6"/>
      <c r="F4823" s="6"/>
      <c r="G4823" s="6"/>
    </row>
    <row r="4824" spans="1:7" x14ac:dyDescent="0.25">
      <c r="A4824" s="6" t="s">
        <v>2642</v>
      </c>
      <c r="B4824" s="6"/>
      <c r="C4824" s="6"/>
      <c r="D4824" s="6"/>
      <c r="E4824" s="6"/>
      <c r="F4824" s="6"/>
      <c r="G4824" s="6"/>
    </row>
    <row r="4825" spans="1:7" x14ac:dyDescent="0.25">
      <c r="A4825" s="6" t="s">
        <v>14245</v>
      </c>
      <c r="B4825" s="6" t="s">
        <v>14246</v>
      </c>
      <c r="C4825" s="6"/>
      <c r="D4825" s="6"/>
      <c r="E4825" s="6"/>
      <c r="F4825" s="6"/>
      <c r="G4825" s="6"/>
    </row>
    <row r="4826" spans="1:7" x14ac:dyDescent="0.25">
      <c r="A4826" s="6" t="s">
        <v>14247</v>
      </c>
      <c r="B4826" s="6" t="s">
        <v>14248</v>
      </c>
      <c r="C4826" s="6"/>
      <c r="D4826" s="6"/>
      <c r="E4826" s="6"/>
      <c r="F4826" s="6"/>
      <c r="G4826" s="6"/>
    </row>
    <row r="4827" spans="1:7" x14ac:dyDescent="0.25">
      <c r="A4827" s="6" t="s">
        <v>1794</v>
      </c>
      <c r="B4827" s="6"/>
      <c r="C4827" s="6"/>
      <c r="D4827" s="6"/>
      <c r="E4827" s="6"/>
      <c r="F4827" s="6"/>
      <c r="G4827" s="6"/>
    </row>
    <row r="4828" spans="1:7" x14ac:dyDescent="0.25">
      <c r="A4828" s="6" t="s">
        <v>1791</v>
      </c>
      <c r="B4828" s="6"/>
      <c r="C4828" s="6"/>
      <c r="D4828" s="6"/>
      <c r="E4828" s="6"/>
      <c r="F4828" s="6"/>
      <c r="G4828" s="6"/>
    </row>
    <row r="4829" spans="1:7" x14ac:dyDescent="0.25">
      <c r="A4829" s="6" t="s">
        <v>1788</v>
      </c>
      <c r="B4829" s="6"/>
      <c r="C4829" s="6"/>
      <c r="D4829" s="6"/>
      <c r="E4829" s="6"/>
      <c r="F4829" s="6"/>
      <c r="G4829" s="6"/>
    </row>
    <row r="4830" spans="1:7" x14ac:dyDescent="0.25">
      <c r="A4830" s="6" t="s">
        <v>957</v>
      </c>
      <c r="B4830" s="6"/>
      <c r="C4830" s="6"/>
      <c r="D4830" s="6"/>
      <c r="E4830" s="6"/>
      <c r="F4830" s="6"/>
      <c r="G4830" s="6"/>
    </row>
    <row r="4831" spans="1:7" x14ac:dyDescent="0.25">
      <c r="A4831" s="6" t="s">
        <v>1784</v>
      </c>
      <c r="B4831" s="6"/>
      <c r="C4831" s="6"/>
      <c r="D4831" s="6"/>
      <c r="E4831" s="6"/>
      <c r="F4831" s="6"/>
      <c r="G4831" s="6"/>
    </row>
    <row r="4832" spans="1:7" x14ac:dyDescent="0.25">
      <c r="A4832" s="6" t="s">
        <v>2623</v>
      </c>
      <c r="B4832" s="6"/>
      <c r="C4832" s="6"/>
      <c r="D4832" s="6"/>
      <c r="E4832" s="6"/>
      <c r="F4832" s="6"/>
      <c r="G4832" s="6"/>
    </row>
    <row r="4833" spans="1:7" x14ac:dyDescent="0.25">
      <c r="A4833" s="6" t="s">
        <v>2620</v>
      </c>
      <c r="B4833" s="6"/>
      <c r="C4833" s="6"/>
      <c r="D4833" s="6"/>
      <c r="E4833" s="6"/>
      <c r="F4833" s="6"/>
      <c r="G4833" s="6"/>
    </row>
    <row r="4834" spans="1:7" x14ac:dyDescent="0.25">
      <c r="A4834" s="6" t="s">
        <v>2617</v>
      </c>
      <c r="B4834" s="6"/>
      <c r="C4834" s="6"/>
      <c r="D4834" s="6"/>
      <c r="E4834" s="6"/>
      <c r="F4834" s="6"/>
      <c r="G4834" s="6"/>
    </row>
    <row r="4835" spans="1:7" x14ac:dyDescent="0.25">
      <c r="A4835" s="6" t="s">
        <v>2614</v>
      </c>
      <c r="B4835" s="6"/>
      <c r="C4835" s="6"/>
      <c r="D4835" s="6"/>
      <c r="E4835" s="6"/>
      <c r="F4835" s="6"/>
      <c r="G4835" s="6"/>
    </row>
    <row r="4836" spans="1:7" x14ac:dyDescent="0.25">
      <c r="A4836" s="6" t="s">
        <v>957</v>
      </c>
      <c r="B4836" s="6"/>
      <c r="C4836" s="6"/>
      <c r="D4836" s="6"/>
      <c r="E4836" s="6"/>
      <c r="F4836" s="6"/>
      <c r="G4836" s="6"/>
    </row>
    <row r="4837" spans="1:7" x14ac:dyDescent="0.25">
      <c r="A4837" s="6" t="s">
        <v>2610</v>
      </c>
      <c r="B4837" s="6"/>
      <c r="C4837" s="6"/>
      <c r="D4837" s="6"/>
      <c r="E4837" s="6"/>
      <c r="F4837" s="6"/>
      <c r="G4837" s="6"/>
    </row>
    <row r="4838" spans="1:7" x14ac:dyDescent="0.25">
      <c r="A4838" s="6" t="s">
        <v>2607</v>
      </c>
      <c r="B4838" s="6"/>
      <c r="C4838" s="6"/>
      <c r="D4838" s="6"/>
      <c r="E4838" s="6"/>
      <c r="F4838" s="6"/>
      <c r="G4838" s="6"/>
    </row>
    <row r="4839" spans="1:7" x14ac:dyDescent="0.25">
      <c r="A4839" s="6" t="s">
        <v>2605</v>
      </c>
      <c r="B4839" s="6"/>
      <c r="C4839" s="6"/>
      <c r="D4839" s="6"/>
      <c r="E4839" s="6"/>
      <c r="F4839" s="6"/>
      <c r="G4839" s="6"/>
    </row>
    <row r="4840" spans="1:7" x14ac:dyDescent="0.25">
      <c r="A4840" s="6" t="s">
        <v>2602</v>
      </c>
      <c r="B4840" s="6"/>
      <c r="C4840" s="6"/>
      <c r="D4840" s="6"/>
      <c r="E4840" s="6"/>
      <c r="F4840" s="6"/>
      <c r="G4840" s="6"/>
    </row>
    <row r="4841" spans="1:7" x14ac:dyDescent="0.25">
      <c r="A4841" s="6" t="s">
        <v>2599</v>
      </c>
      <c r="B4841" s="6"/>
      <c r="C4841" s="6"/>
      <c r="D4841" s="6"/>
      <c r="E4841" s="6"/>
      <c r="F4841" s="6"/>
      <c r="G4841" s="6"/>
    </row>
    <row r="4842" spans="1:7" x14ac:dyDescent="0.25">
      <c r="A4842" s="6" t="s">
        <v>957</v>
      </c>
      <c r="B4842" s="6"/>
      <c r="C4842" s="6"/>
      <c r="D4842" s="6"/>
      <c r="E4842" s="6"/>
      <c r="F4842" s="6"/>
      <c r="G4842" s="6"/>
    </row>
    <row r="4843" spans="1:7" x14ac:dyDescent="0.25">
      <c r="A4843" s="6" t="s">
        <v>2595</v>
      </c>
      <c r="B4843" s="6"/>
      <c r="C4843" s="6"/>
      <c r="D4843" s="6"/>
      <c r="E4843" s="6"/>
      <c r="F4843" s="6"/>
      <c r="G4843" s="6"/>
    </row>
    <row r="4844" spans="1:7" x14ac:dyDescent="0.25">
      <c r="A4844" s="6" t="s">
        <v>2592</v>
      </c>
      <c r="B4844" s="6"/>
      <c r="C4844" s="6"/>
      <c r="D4844" s="6"/>
      <c r="E4844" s="6"/>
      <c r="F4844" s="6"/>
      <c r="G4844" s="6"/>
    </row>
    <row r="4845" spans="1:7" x14ac:dyDescent="0.25">
      <c r="A4845" s="6" t="s">
        <v>2589</v>
      </c>
      <c r="B4845" s="6"/>
      <c r="C4845" s="6"/>
      <c r="D4845" s="6"/>
      <c r="E4845" s="6"/>
      <c r="F4845" s="6"/>
      <c r="G4845" s="6"/>
    </row>
    <row r="4846" spans="1:7" x14ac:dyDescent="0.25">
      <c r="A4846" s="6" t="s">
        <v>2586</v>
      </c>
      <c r="B4846" s="6"/>
      <c r="C4846" s="6"/>
      <c r="D4846" s="6"/>
      <c r="E4846" s="6"/>
      <c r="F4846" s="6"/>
      <c r="G4846" s="6"/>
    </row>
    <row r="4847" spans="1:7" x14ac:dyDescent="0.25">
      <c r="A4847" s="6" t="s">
        <v>2583</v>
      </c>
      <c r="B4847" s="6"/>
      <c r="C4847" s="6"/>
      <c r="D4847" s="6"/>
      <c r="E4847" s="6"/>
      <c r="F4847" s="6"/>
      <c r="G4847" s="6"/>
    </row>
    <row r="4848" spans="1:7" x14ac:dyDescent="0.25">
      <c r="A4848" s="6" t="s">
        <v>2580</v>
      </c>
      <c r="B4848" s="6"/>
      <c r="C4848" s="6"/>
      <c r="D4848" s="6"/>
      <c r="E4848" s="6"/>
      <c r="F4848" s="6"/>
      <c r="G4848" s="6"/>
    </row>
    <row r="4849" spans="1:7" x14ac:dyDescent="0.25">
      <c r="A4849" s="6" t="s">
        <v>2005</v>
      </c>
      <c r="B4849" s="6"/>
      <c r="C4849" s="6"/>
      <c r="D4849" s="6"/>
      <c r="E4849" s="6"/>
      <c r="F4849" s="6"/>
      <c r="G4849" s="6"/>
    </row>
    <row r="4850" spans="1:7" x14ac:dyDescent="0.25">
      <c r="A4850" s="6" t="s">
        <v>2002</v>
      </c>
      <c r="B4850" s="6"/>
      <c r="C4850" s="6"/>
      <c r="D4850" s="6"/>
      <c r="E4850" s="6"/>
      <c r="F4850" s="6"/>
      <c r="G4850" s="6"/>
    </row>
    <row r="4851" spans="1:7" x14ac:dyDescent="0.25">
      <c r="A4851" s="6" t="s">
        <v>1999</v>
      </c>
      <c r="B4851" s="6"/>
      <c r="C4851" s="6"/>
      <c r="D4851" s="6"/>
      <c r="E4851" s="6"/>
      <c r="F4851" s="6"/>
      <c r="G4851" s="6"/>
    </row>
    <row r="4852" spans="1:7" x14ac:dyDescent="0.25">
      <c r="A4852" s="6" t="s">
        <v>1996</v>
      </c>
      <c r="B4852" s="6"/>
      <c r="C4852" s="6"/>
      <c r="D4852" s="6"/>
      <c r="E4852" s="6"/>
      <c r="F4852" s="6"/>
      <c r="G4852" s="6"/>
    </row>
    <row r="4853" spans="1:7" x14ac:dyDescent="0.25">
      <c r="A4853" s="6" t="s">
        <v>1993</v>
      </c>
      <c r="B4853" s="6"/>
      <c r="C4853" s="6"/>
      <c r="D4853" s="6"/>
      <c r="E4853" s="6"/>
      <c r="F4853" s="6"/>
      <c r="G4853" s="6"/>
    </row>
    <row r="4854" spans="1:7" x14ac:dyDescent="0.25">
      <c r="A4854" s="6" t="s">
        <v>1990</v>
      </c>
      <c r="B4854" s="6"/>
      <c r="C4854" s="6"/>
      <c r="D4854" s="6"/>
      <c r="E4854" s="6"/>
      <c r="F4854" s="6"/>
      <c r="G4854" s="6"/>
    </row>
    <row r="4855" spans="1:7" x14ac:dyDescent="0.25">
      <c r="A4855" s="6" t="s">
        <v>1987</v>
      </c>
      <c r="B4855" s="6"/>
      <c r="C4855" s="6"/>
      <c r="D4855" s="6"/>
      <c r="E4855" s="6"/>
      <c r="F4855" s="6"/>
      <c r="G4855" s="6"/>
    </row>
    <row r="4856" spans="1:7" x14ac:dyDescent="0.25">
      <c r="A4856" s="6" t="s">
        <v>1984</v>
      </c>
      <c r="B4856" s="6"/>
      <c r="C4856" s="6"/>
      <c r="D4856" s="6"/>
      <c r="E4856" s="6"/>
      <c r="F4856" s="6"/>
      <c r="G4856" s="6"/>
    </row>
    <row r="4857" spans="1:7" x14ac:dyDescent="0.25">
      <c r="A4857" s="6" t="s">
        <v>957</v>
      </c>
      <c r="B4857" s="6"/>
      <c r="C4857" s="6"/>
      <c r="D4857" s="6"/>
      <c r="E4857" s="6"/>
      <c r="F4857" s="6"/>
      <c r="G4857" s="6"/>
    </row>
    <row r="4858" spans="1:7" x14ac:dyDescent="0.25">
      <c r="A4858" s="6" t="s">
        <v>957</v>
      </c>
      <c r="B4858" s="6"/>
      <c r="C4858" s="6"/>
      <c r="D4858" s="6"/>
      <c r="E4858" s="6"/>
      <c r="F4858" s="6"/>
      <c r="G4858" s="6"/>
    </row>
    <row r="4859" spans="1:7" x14ac:dyDescent="0.25">
      <c r="A4859" s="6" t="s">
        <v>14223</v>
      </c>
      <c r="B4859" s="6" t="s">
        <v>14224</v>
      </c>
      <c r="C4859" s="6" t="s">
        <v>14225</v>
      </c>
      <c r="D4859" s="6"/>
      <c r="E4859" s="6"/>
      <c r="F4859" s="6"/>
      <c r="G4859" s="6"/>
    </row>
    <row r="4860" spans="1:7" x14ac:dyDescent="0.25">
      <c r="A4860" s="6" t="s">
        <v>1976</v>
      </c>
      <c r="B4860" s="6"/>
      <c r="C4860" s="6"/>
      <c r="D4860" s="6"/>
      <c r="E4860" s="6"/>
      <c r="F4860" s="6"/>
      <c r="G4860" s="6"/>
    </row>
    <row r="4861" spans="1:7" x14ac:dyDescent="0.25">
      <c r="A4861" s="6" t="s">
        <v>957</v>
      </c>
      <c r="B4861" s="6"/>
      <c r="C4861" s="6"/>
      <c r="D4861" s="6"/>
      <c r="E4861" s="6"/>
      <c r="F4861" s="6"/>
      <c r="G4861" s="6"/>
    </row>
    <row r="4862" spans="1:7" x14ac:dyDescent="0.25">
      <c r="A4862" s="6" t="s">
        <v>957</v>
      </c>
      <c r="B4862" s="6"/>
      <c r="C4862" s="6"/>
      <c r="D4862" s="6"/>
      <c r="E4862" s="6"/>
      <c r="F4862" s="6"/>
      <c r="G4862" s="6"/>
    </row>
    <row r="4863" spans="1:7" x14ac:dyDescent="0.25">
      <c r="A4863" s="6" t="s">
        <v>957</v>
      </c>
      <c r="B4863" s="6"/>
      <c r="C4863" s="6"/>
      <c r="D4863" s="6"/>
      <c r="E4863" s="6"/>
      <c r="F4863" s="6"/>
      <c r="G4863" s="6"/>
    </row>
    <row r="4864" spans="1:7" x14ac:dyDescent="0.25">
      <c r="A4864" s="6" t="s">
        <v>957</v>
      </c>
      <c r="B4864" s="6"/>
      <c r="C4864" s="6"/>
      <c r="D4864" s="6"/>
      <c r="E4864" s="6"/>
      <c r="F4864" s="6"/>
      <c r="G4864" s="6"/>
    </row>
    <row r="4865" spans="1:7" x14ac:dyDescent="0.25">
      <c r="A4865" s="6" t="s">
        <v>957</v>
      </c>
      <c r="B4865" s="6"/>
      <c r="C4865" s="6"/>
      <c r="D4865" s="6"/>
      <c r="E4865" s="6"/>
      <c r="F4865" s="6"/>
      <c r="G4865" s="6"/>
    </row>
    <row r="4866" spans="1:7" x14ac:dyDescent="0.25">
      <c r="A4866" s="6" t="s">
        <v>957</v>
      </c>
      <c r="B4866" s="6"/>
      <c r="C4866" s="6"/>
      <c r="D4866" s="6"/>
      <c r="E4866" s="6"/>
      <c r="F4866" s="6"/>
      <c r="G4866" s="6"/>
    </row>
    <row r="4867" spans="1:7" x14ac:dyDescent="0.25">
      <c r="A4867" s="6" t="s">
        <v>957</v>
      </c>
      <c r="B4867" s="6"/>
      <c r="C4867" s="6"/>
      <c r="D4867" s="6"/>
      <c r="E4867" s="6"/>
      <c r="F4867" s="6"/>
      <c r="G4867" s="6"/>
    </row>
    <row r="4868" spans="1:7" x14ac:dyDescent="0.25">
      <c r="A4868" s="6" t="s">
        <v>1963</v>
      </c>
      <c r="B4868" s="6"/>
      <c r="C4868" s="6"/>
      <c r="D4868" s="6"/>
      <c r="E4868" s="6"/>
      <c r="F4868" s="6"/>
      <c r="G4868" s="6"/>
    </row>
    <row r="4869" spans="1:7" x14ac:dyDescent="0.25">
      <c r="A4869" s="6" t="s">
        <v>1960</v>
      </c>
      <c r="B4869" s="6"/>
      <c r="C4869" s="6"/>
      <c r="D4869" s="6"/>
      <c r="E4869" s="6"/>
      <c r="F4869" s="6"/>
      <c r="G4869" s="6"/>
    </row>
    <row r="4870" spans="1:7" x14ac:dyDescent="0.25">
      <c r="A4870" s="6" t="s">
        <v>1957</v>
      </c>
      <c r="B4870" s="6"/>
      <c r="C4870" s="6"/>
      <c r="D4870" s="6"/>
      <c r="E4870" s="6"/>
      <c r="F4870" s="6"/>
      <c r="G4870" s="6"/>
    </row>
    <row r="4871" spans="1:7" x14ac:dyDescent="0.25">
      <c r="A4871" s="6" t="s">
        <v>957</v>
      </c>
      <c r="B4871" s="6"/>
      <c r="C4871" s="6"/>
      <c r="D4871" s="6"/>
      <c r="E4871" s="6"/>
      <c r="F4871" s="6"/>
      <c r="G4871" s="6"/>
    </row>
    <row r="4872" spans="1:7" x14ac:dyDescent="0.25">
      <c r="A4872" s="6" t="s">
        <v>1953</v>
      </c>
      <c r="B4872" s="6"/>
      <c r="C4872" s="6"/>
      <c r="D4872" s="6"/>
      <c r="E4872" s="6"/>
      <c r="F4872" s="6"/>
      <c r="G4872" s="6"/>
    </row>
    <row r="4873" spans="1:7" x14ac:dyDescent="0.25">
      <c r="A4873" s="6" t="s">
        <v>957</v>
      </c>
      <c r="B4873" s="6"/>
      <c r="C4873" s="6"/>
      <c r="D4873" s="6"/>
      <c r="E4873" s="6"/>
      <c r="F4873" s="6"/>
      <c r="G4873" s="6"/>
    </row>
    <row r="4874" spans="1:7" x14ac:dyDescent="0.25">
      <c r="A4874" s="6" t="s">
        <v>2791</v>
      </c>
      <c r="B4874" s="6"/>
      <c r="C4874" s="6"/>
      <c r="D4874" s="6"/>
      <c r="E4874" s="6"/>
      <c r="F4874" s="6"/>
      <c r="G4874" s="6"/>
    </row>
    <row r="4875" spans="1:7" x14ac:dyDescent="0.25">
      <c r="A4875" s="6" t="s">
        <v>2788</v>
      </c>
      <c r="B4875" s="6"/>
      <c r="C4875" s="6"/>
      <c r="D4875" s="6"/>
      <c r="E4875" s="6"/>
      <c r="F4875" s="6"/>
      <c r="G4875" s="6"/>
    </row>
    <row r="4876" spans="1:7" x14ac:dyDescent="0.25">
      <c r="A4876" s="6" t="s">
        <v>957</v>
      </c>
      <c r="B4876" s="6"/>
      <c r="C4876" s="6"/>
      <c r="D4876" s="6"/>
      <c r="E4876" s="6"/>
      <c r="F4876" s="6"/>
      <c r="G4876" s="6"/>
    </row>
    <row r="4877" spans="1:7" x14ac:dyDescent="0.25">
      <c r="A4877" s="6" t="s">
        <v>1947</v>
      </c>
      <c r="B4877" s="6"/>
      <c r="C4877" s="6"/>
      <c r="D4877" s="6"/>
      <c r="E4877" s="6"/>
      <c r="F4877" s="6"/>
      <c r="G4877" s="6"/>
    </row>
    <row r="4878" spans="1:7" x14ac:dyDescent="0.25">
      <c r="A4878" s="6" t="s">
        <v>1944</v>
      </c>
      <c r="B4878" s="6"/>
      <c r="C4878" s="6"/>
      <c r="D4878" s="6"/>
      <c r="E4878" s="6"/>
      <c r="F4878" s="6"/>
      <c r="G4878" s="6"/>
    </row>
    <row r="4879" spans="1:7" x14ac:dyDescent="0.25">
      <c r="A4879" s="6" t="s">
        <v>1941</v>
      </c>
      <c r="B4879" s="6"/>
      <c r="C4879" s="6"/>
      <c r="D4879" s="6"/>
      <c r="E4879" s="6"/>
      <c r="F4879" s="6"/>
      <c r="G4879" s="6"/>
    </row>
    <row r="4880" spans="1:7" x14ac:dyDescent="0.25">
      <c r="A4880" s="6" t="s">
        <v>957</v>
      </c>
      <c r="B4880" s="6"/>
      <c r="C4880" s="6"/>
      <c r="D4880" s="6"/>
      <c r="E4880" s="6"/>
      <c r="F4880" s="6"/>
      <c r="G4880" s="6"/>
    </row>
    <row r="4881" spans="1:7" x14ac:dyDescent="0.25">
      <c r="A4881" s="6" t="s">
        <v>957</v>
      </c>
      <c r="B4881" s="6"/>
      <c r="C4881" s="6"/>
      <c r="D4881" s="6"/>
      <c r="E4881" s="6"/>
      <c r="F4881" s="6"/>
      <c r="G4881" s="6"/>
    </row>
    <row r="4882" spans="1:7" x14ac:dyDescent="0.25">
      <c r="A4882" s="6" t="s">
        <v>1936</v>
      </c>
      <c r="B4882" s="6"/>
      <c r="C4882" s="6"/>
      <c r="D4882" s="6"/>
      <c r="E4882" s="6"/>
      <c r="F4882" s="6"/>
      <c r="G4882" s="6"/>
    </row>
    <row r="4883" spans="1:7" x14ac:dyDescent="0.25">
      <c r="A4883" s="6" t="s">
        <v>1933</v>
      </c>
      <c r="B4883" s="6"/>
      <c r="C4883" s="6"/>
      <c r="D4883" s="6"/>
      <c r="E4883" s="6"/>
      <c r="F4883" s="6"/>
      <c r="G4883" s="6"/>
    </row>
    <row r="4884" spans="1:7" x14ac:dyDescent="0.25">
      <c r="A4884" s="6" t="s">
        <v>1930</v>
      </c>
      <c r="B4884" s="6"/>
      <c r="C4884" s="6"/>
      <c r="D4884" s="6"/>
      <c r="E4884" s="6"/>
      <c r="F4884" s="6"/>
      <c r="G4884" s="6"/>
    </row>
    <row r="4885" spans="1:7" x14ac:dyDescent="0.25">
      <c r="A4885" s="6" t="s">
        <v>1927</v>
      </c>
      <c r="B4885" s="6"/>
      <c r="C4885" s="6"/>
      <c r="D4885" s="6"/>
      <c r="E4885" s="6"/>
      <c r="F4885" s="6"/>
      <c r="G4885" s="6"/>
    </row>
    <row r="4886" spans="1:7" x14ac:dyDescent="0.25">
      <c r="A4886" s="6" t="s">
        <v>957</v>
      </c>
      <c r="B4886" s="6"/>
      <c r="C4886" s="6"/>
      <c r="D4886" s="6"/>
      <c r="E4886" s="6"/>
      <c r="F4886" s="6"/>
      <c r="G4886" s="6"/>
    </row>
    <row r="4887" spans="1:7" x14ac:dyDescent="0.25">
      <c r="A4887" s="6" t="s">
        <v>1923</v>
      </c>
      <c r="B4887" s="6"/>
      <c r="C4887" s="6"/>
      <c r="D4887" s="6"/>
      <c r="E4887" s="6"/>
      <c r="F4887" s="6"/>
      <c r="G4887" s="6"/>
    </row>
    <row r="4888" spans="1:7" x14ac:dyDescent="0.25">
      <c r="A4888" s="6" t="s">
        <v>957</v>
      </c>
      <c r="B4888" s="6"/>
      <c r="C4888" s="6"/>
      <c r="D4888" s="6"/>
      <c r="E4888" s="6"/>
      <c r="F4888" s="6"/>
      <c r="G4888" s="6"/>
    </row>
    <row r="4889" spans="1:7" x14ac:dyDescent="0.25">
      <c r="A4889" s="6" t="s">
        <v>957</v>
      </c>
      <c r="B4889" s="6"/>
      <c r="C4889" s="6"/>
      <c r="D4889" s="6"/>
      <c r="E4889" s="6"/>
      <c r="F4889" s="6"/>
      <c r="G4889" s="6"/>
    </row>
    <row r="4890" spans="1:7" x14ac:dyDescent="0.25">
      <c r="A4890" s="6" t="s">
        <v>957</v>
      </c>
      <c r="B4890" s="6"/>
      <c r="C4890" s="6"/>
      <c r="D4890" s="6"/>
      <c r="E4890" s="6"/>
      <c r="F4890" s="6"/>
      <c r="G4890" s="6"/>
    </row>
    <row r="4891" spans="1:7" x14ac:dyDescent="0.25">
      <c r="A4891" s="6" t="s">
        <v>1917</v>
      </c>
      <c r="B4891" s="6"/>
      <c r="C4891" s="6"/>
      <c r="D4891" s="6"/>
      <c r="E4891" s="6"/>
      <c r="F4891" s="6"/>
      <c r="G4891" s="6"/>
    </row>
    <row r="4892" spans="1:7" x14ac:dyDescent="0.25">
      <c r="A4892" s="6" t="s">
        <v>1914</v>
      </c>
      <c r="B4892" s="6"/>
      <c r="C4892" s="6"/>
      <c r="D4892" s="6"/>
      <c r="E4892" s="6"/>
      <c r="F4892" s="6"/>
      <c r="G4892" s="6"/>
    </row>
    <row r="4893" spans="1:7" x14ac:dyDescent="0.25">
      <c r="A4893" s="6" t="s">
        <v>1911</v>
      </c>
      <c r="B4893" s="6"/>
      <c r="C4893" s="6"/>
      <c r="D4893" s="6"/>
      <c r="E4893" s="6"/>
      <c r="F4893" s="6"/>
      <c r="G4893" s="6"/>
    </row>
    <row r="4894" spans="1:7" x14ac:dyDescent="0.25">
      <c r="A4894" s="6" t="s">
        <v>1908</v>
      </c>
      <c r="B4894" s="6"/>
      <c r="C4894" s="6"/>
      <c r="D4894" s="6"/>
      <c r="E4894" s="6"/>
      <c r="F4894" s="6"/>
      <c r="G4894" s="6"/>
    </row>
    <row r="4895" spans="1:7" x14ac:dyDescent="0.25">
      <c r="A4895" s="6" t="s">
        <v>1905</v>
      </c>
      <c r="B4895" s="6"/>
      <c r="C4895" s="6"/>
      <c r="D4895" s="6"/>
      <c r="E4895" s="6"/>
      <c r="F4895" s="6"/>
      <c r="G4895" s="6"/>
    </row>
    <row r="4896" spans="1:7" x14ac:dyDescent="0.25">
      <c r="A4896" s="6" t="s">
        <v>1902</v>
      </c>
      <c r="B4896" s="6"/>
      <c r="C4896" s="6"/>
      <c r="D4896" s="6"/>
      <c r="E4896" s="6"/>
      <c r="F4896" s="6"/>
      <c r="G4896" s="6"/>
    </row>
    <row r="4897" spans="1:7" x14ac:dyDescent="0.25">
      <c r="A4897" s="6" t="s">
        <v>1899</v>
      </c>
      <c r="B4897" s="6"/>
      <c r="C4897" s="6"/>
      <c r="D4897" s="6"/>
      <c r="E4897" s="6"/>
      <c r="F4897" s="6"/>
      <c r="G4897" s="6"/>
    </row>
    <row r="4898" spans="1:7" x14ac:dyDescent="0.25">
      <c r="A4898" s="6" t="s">
        <v>1896</v>
      </c>
      <c r="B4898" s="6"/>
      <c r="C4898" s="6"/>
      <c r="D4898" s="6"/>
      <c r="E4898" s="6"/>
      <c r="F4898" s="6"/>
      <c r="G4898" s="6"/>
    </row>
    <row r="4899" spans="1:7" x14ac:dyDescent="0.25">
      <c r="A4899" s="6" t="s">
        <v>957</v>
      </c>
      <c r="B4899" s="6"/>
      <c r="C4899" s="6"/>
      <c r="D4899" s="6"/>
      <c r="E4899" s="6"/>
      <c r="F4899" s="6"/>
      <c r="G4899" s="6"/>
    </row>
    <row r="4900" spans="1:7" x14ac:dyDescent="0.25">
      <c r="A4900" s="6" t="s">
        <v>1892</v>
      </c>
      <c r="B4900" s="6"/>
      <c r="C4900" s="6"/>
      <c r="D4900" s="6"/>
      <c r="E4900" s="6"/>
      <c r="F4900" s="6"/>
      <c r="G4900" s="6"/>
    </row>
    <row r="4901" spans="1:7" x14ac:dyDescent="0.25">
      <c r="A4901" s="6" t="s">
        <v>1889</v>
      </c>
      <c r="B4901" s="6"/>
      <c r="C4901" s="6"/>
      <c r="D4901" s="6"/>
      <c r="E4901" s="6"/>
      <c r="F4901" s="6"/>
      <c r="G4901" s="6"/>
    </row>
    <row r="4902" spans="1:7" x14ac:dyDescent="0.25">
      <c r="A4902" s="6" t="s">
        <v>957</v>
      </c>
      <c r="B4902" s="6"/>
      <c r="C4902" s="6"/>
      <c r="D4902" s="6"/>
      <c r="E4902" s="6"/>
      <c r="F4902" s="6"/>
      <c r="G4902" s="6"/>
    </row>
    <row r="4903" spans="1:7" x14ac:dyDescent="0.25">
      <c r="A4903" s="6" t="s">
        <v>1885</v>
      </c>
      <c r="B4903" s="6"/>
      <c r="C4903" s="6"/>
      <c r="D4903" s="6"/>
      <c r="E4903" s="6"/>
      <c r="F4903" s="6"/>
      <c r="G4903" s="6"/>
    </row>
    <row r="4904" spans="1:7" x14ac:dyDescent="0.25">
      <c r="A4904" s="6" t="s">
        <v>1882</v>
      </c>
      <c r="B4904" s="6"/>
      <c r="C4904" s="6"/>
      <c r="D4904" s="6"/>
      <c r="E4904" s="6"/>
      <c r="F4904" s="6"/>
      <c r="G4904" s="6"/>
    </row>
    <row r="4905" spans="1:7" x14ac:dyDescent="0.25">
      <c r="A4905" s="6" t="s">
        <v>1879</v>
      </c>
      <c r="B4905" s="6"/>
      <c r="C4905" s="6"/>
      <c r="D4905" s="6"/>
      <c r="E4905" s="6"/>
      <c r="F4905" s="6"/>
      <c r="G4905" s="6"/>
    </row>
    <row r="4906" spans="1:7" x14ac:dyDescent="0.25">
      <c r="A4906" s="6" t="s">
        <v>1876</v>
      </c>
      <c r="B4906" s="6"/>
      <c r="C4906" s="6"/>
      <c r="D4906" s="6"/>
      <c r="E4906" s="6"/>
      <c r="F4906" s="6"/>
      <c r="G4906" s="6"/>
    </row>
    <row r="4907" spans="1:7" x14ac:dyDescent="0.25">
      <c r="A4907" s="6" t="s">
        <v>1873</v>
      </c>
      <c r="B4907" s="6"/>
      <c r="C4907" s="6"/>
      <c r="D4907" s="6"/>
      <c r="E4907" s="6"/>
      <c r="F4907" s="6"/>
      <c r="G4907" s="6"/>
    </row>
    <row r="4908" spans="1:7" x14ac:dyDescent="0.25">
      <c r="A4908" s="6" t="s">
        <v>1870</v>
      </c>
      <c r="B4908" s="6"/>
      <c r="C4908" s="6"/>
      <c r="D4908" s="6"/>
      <c r="E4908" s="6"/>
      <c r="F4908" s="6"/>
      <c r="G4908" s="6"/>
    </row>
    <row r="4909" spans="1:7" x14ac:dyDescent="0.25">
      <c r="A4909" s="6" t="s">
        <v>1867</v>
      </c>
      <c r="B4909" s="6"/>
      <c r="C4909" s="6"/>
      <c r="D4909" s="6"/>
      <c r="E4909" s="6"/>
      <c r="F4909" s="6"/>
      <c r="G4909" s="6"/>
    </row>
    <row r="4910" spans="1:7" x14ac:dyDescent="0.25">
      <c r="A4910" s="6" t="s">
        <v>1864</v>
      </c>
      <c r="B4910" s="6"/>
      <c r="C4910" s="6"/>
      <c r="D4910" s="6"/>
      <c r="E4910" s="6"/>
      <c r="F4910" s="6"/>
      <c r="G4910" s="6"/>
    </row>
    <row r="4911" spans="1:7" x14ac:dyDescent="0.25">
      <c r="A4911" s="6" t="s">
        <v>957</v>
      </c>
      <c r="B4911" s="6"/>
      <c r="C4911" s="6"/>
      <c r="D4911" s="6"/>
      <c r="E4911" s="6"/>
      <c r="F4911" s="6"/>
      <c r="G4911" s="6"/>
    </row>
    <row r="4912" spans="1:7" x14ac:dyDescent="0.25">
      <c r="A4912" s="6" t="s">
        <v>1860</v>
      </c>
      <c r="B4912" s="6"/>
      <c r="C4912" s="6"/>
      <c r="D4912" s="6"/>
      <c r="E4912" s="6"/>
      <c r="F4912" s="6"/>
      <c r="G4912" s="6"/>
    </row>
    <row r="4913" spans="1:7" x14ac:dyDescent="0.25">
      <c r="A4913" s="6" t="s">
        <v>1857</v>
      </c>
      <c r="B4913" s="6"/>
      <c r="C4913" s="6"/>
      <c r="D4913" s="6"/>
      <c r="E4913" s="6"/>
      <c r="F4913" s="6"/>
      <c r="G4913" s="6"/>
    </row>
    <row r="4914" spans="1:7" x14ac:dyDescent="0.25">
      <c r="A4914" s="6" t="s">
        <v>1854</v>
      </c>
      <c r="B4914" s="6"/>
      <c r="C4914" s="6"/>
      <c r="D4914" s="6"/>
      <c r="E4914" s="6"/>
      <c r="F4914" s="6"/>
      <c r="G4914" s="6"/>
    </row>
    <row r="4915" spans="1:7" x14ac:dyDescent="0.25">
      <c r="A4915" s="6" t="s">
        <v>1851</v>
      </c>
      <c r="B4915" s="6"/>
      <c r="C4915" s="6"/>
      <c r="D4915" s="6"/>
      <c r="E4915" s="6"/>
      <c r="F4915" s="6"/>
      <c r="G4915" s="6"/>
    </row>
    <row r="4916" spans="1:7" x14ac:dyDescent="0.25">
      <c r="A4916" s="6" t="s">
        <v>1848</v>
      </c>
      <c r="B4916" s="6"/>
      <c r="C4916" s="6"/>
      <c r="D4916" s="6"/>
      <c r="E4916" s="6"/>
      <c r="F4916" s="6"/>
      <c r="G4916" s="6"/>
    </row>
    <row r="4917" spans="1:7" x14ac:dyDescent="0.25">
      <c r="A4917" s="6" t="s">
        <v>957</v>
      </c>
      <c r="B4917" s="6"/>
      <c r="C4917" s="6"/>
      <c r="D4917" s="6"/>
      <c r="E4917" s="6"/>
      <c r="F4917" s="6"/>
      <c r="G4917" s="6"/>
    </row>
    <row r="4918" spans="1:7" x14ac:dyDescent="0.25">
      <c r="A4918" s="6" t="s">
        <v>957</v>
      </c>
      <c r="B4918" s="6"/>
      <c r="C4918" s="6"/>
      <c r="D4918" s="6"/>
      <c r="E4918" s="6"/>
      <c r="F4918" s="6"/>
      <c r="G4918" s="6"/>
    </row>
    <row r="4919" spans="1:7" x14ac:dyDescent="0.25">
      <c r="A4919" s="6" t="s">
        <v>1842</v>
      </c>
      <c r="B4919" s="6"/>
      <c r="C4919" s="6"/>
      <c r="D4919" s="6"/>
      <c r="E4919" s="6"/>
      <c r="F4919" s="6"/>
      <c r="G4919" s="6"/>
    </row>
    <row r="4920" spans="1:7" x14ac:dyDescent="0.25">
      <c r="A4920" s="6" t="s">
        <v>1839</v>
      </c>
      <c r="B4920" s="6"/>
      <c r="C4920" s="6"/>
      <c r="D4920" s="6"/>
      <c r="E4920" s="6"/>
      <c r="F4920" s="6"/>
      <c r="G4920" s="6"/>
    </row>
    <row r="4921" spans="1:7" x14ac:dyDescent="0.25">
      <c r="A4921" s="6" t="s">
        <v>1836</v>
      </c>
      <c r="B4921" s="6"/>
      <c r="C4921" s="6"/>
      <c r="D4921" s="6"/>
      <c r="E4921" s="6"/>
      <c r="F4921" s="6"/>
      <c r="G4921" s="6"/>
    </row>
    <row r="4922" spans="1:7" x14ac:dyDescent="0.25">
      <c r="A4922" s="6" t="s">
        <v>1833</v>
      </c>
      <c r="B4922" s="6"/>
      <c r="C4922" s="6"/>
      <c r="D4922" s="6"/>
      <c r="E4922" s="6"/>
      <c r="F4922" s="6"/>
      <c r="G4922" s="6"/>
    </row>
    <row r="4923" spans="1:7" x14ac:dyDescent="0.25">
      <c r="A4923" s="6" t="s">
        <v>957</v>
      </c>
      <c r="B4923" s="6"/>
      <c r="C4923" s="6"/>
      <c r="D4923" s="6"/>
      <c r="E4923" s="6"/>
      <c r="F4923" s="6"/>
      <c r="G4923" s="6"/>
    </row>
    <row r="4924" spans="1:7" x14ac:dyDescent="0.25">
      <c r="A4924" s="6" t="s">
        <v>957</v>
      </c>
      <c r="B4924" s="6"/>
      <c r="C4924" s="6"/>
      <c r="D4924" s="6"/>
      <c r="E4924" s="6"/>
      <c r="F4924" s="6"/>
      <c r="G4924" s="6"/>
    </row>
    <row r="4925" spans="1:7" x14ac:dyDescent="0.25">
      <c r="A4925" s="6" t="s">
        <v>1828</v>
      </c>
      <c r="B4925" s="6"/>
      <c r="C4925" s="6"/>
      <c r="D4925" s="6"/>
      <c r="E4925" s="6"/>
      <c r="F4925" s="6"/>
      <c r="G4925" s="6"/>
    </row>
    <row r="4926" spans="1:7" x14ac:dyDescent="0.25">
      <c r="A4926" s="6" t="s">
        <v>957</v>
      </c>
      <c r="B4926" s="6"/>
      <c r="C4926" s="6"/>
      <c r="D4926" s="6"/>
      <c r="E4926" s="6"/>
      <c r="F4926" s="6"/>
      <c r="G4926" s="6"/>
    </row>
    <row r="4927" spans="1:7" x14ac:dyDescent="0.25">
      <c r="A4927" s="6" t="s">
        <v>1823</v>
      </c>
      <c r="B4927" s="6"/>
      <c r="C4927" s="6"/>
      <c r="D4927" s="6"/>
      <c r="E4927" s="6"/>
      <c r="F4927" s="6"/>
      <c r="G4927" s="6"/>
    </row>
    <row r="4928" spans="1:7" x14ac:dyDescent="0.25">
      <c r="A4928" s="6" t="s">
        <v>1820</v>
      </c>
      <c r="B4928" s="6"/>
      <c r="C4928" s="6"/>
      <c r="D4928" s="6"/>
      <c r="E4928" s="6"/>
      <c r="F4928" s="6"/>
      <c r="G4928" s="6"/>
    </row>
    <row r="4929" spans="1:7" x14ac:dyDescent="0.25">
      <c r="A4929" s="6" t="s">
        <v>1817</v>
      </c>
      <c r="B4929" s="6"/>
      <c r="C4929" s="6"/>
      <c r="D4929" s="6"/>
      <c r="E4929" s="6"/>
      <c r="F4929" s="6"/>
      <c r="G4929" s="6"/>
    </row>
    <row r="4930" spans="1:7" x14ac:dyDescent="0.25">
      <c r="A4930" s="6" t="s">
        <v>957</v>
      </c>
      <c r="B4930" s="6"/>
      <c r="C4930" s="6"/>
      <c r="D4930" s="6"/>
      <c r="E4930" s="6"/>
      <c r="F4930" s="6"/>
      <c r="G4930" s="6"/>
    </row>
    <row r="4931" spans="1:7" x14ac:dyDescent="0.25">
      <c r="A4931" s="6" t="s">
        <v>1813</v>
      </c>
      <c r="B4931" s="6"/>
      <c r="C4931" s="6"/>
      <c r="D4931" s="6"/>
      <c r="E4931" s="6"/>
      <c r="F4931" s="6"/>
      <c r="G4931" s="6"/>
    </row>
    <row r="4932" spans="1:7" x14ac:dyDescent="0.25">
      <c r="A4932" s="6" t="s">
        <v>1810</v>
      </c>
      <c r="B4932" s="6"/>
      <c r="C4932" s="6"/>
      <c r="D4932" s="6"/>
      <c r="E4932" s="6"/>
      <c r="F4932" s="6"/>
      <c r="G4932" s="6"/>
    </row>
    <row r="4933" spans="1:7" x14ac:dyDescent="0.25">
      <c r="A4933" s="6" t="s">
        <v>1807</v>
      </c>
      <c r="B4933" s="6"/>
      <c r="C4933" s="6"/>
      <c r="D4933" s="6"/>
      <c r="E4933" s="6"/>
      <c r="F4933" s="6"/>
      <c r="G4933" s="6"/>
    </row>
    <row r="4934" spans="1:7" x14ac:dyDescent="0.25">
      <c r="A4934" s="6" t="s">
        <v>1804</v>
      </c>
      <c r="B4934" s="6"/>
      <c r="C4934" s="6"/>
      <c r="D4934" s="6"/>
      <c r="E4934" s="6"/>
      <c r="F4934" s="6"/>
      <c r="G4934" s="6"/>
    </row>
    <row r="4935" spans="1:7" x14ac:dyDescent="0.25">
      <c r="A4935" s="6" t="s">
        <v>957</v>
      </c>
      <c r="B4935" s="6"/>
      <c r="C4935" s="6"/>
      <c r="D4935" s="6"/>
      <c r="E4935" s="6"/>
      <c r="F4935" s="6"/>
      <c r="G4935" s="6"/>
    </row>
    <row r="4936" spans="1:7" x14ac:dyDescent="0.25">
      <c r="A4936" s="6" t="s">
        <v>957</v>
      </c>
      <c r="B4936" s="6"/>
      <c r="C4936" s="6"/>
      <c r="D4936" s="6"/>
      <c r="E4936" s="6"/>
      <c r="F4936" s="6"/>
      <c r="G4936" s="6"/>
    </row>
    <row r="4937" spans="1:7" x14ac:dyDescent="0.25">
      <c r="A4937" s="6" t="s">
        <v>1798</v>
      </c>
      <c r="B4937" s="6"/>
      <c r="C4937" s="6"/>
      <c r="D4937" s="6"/>
      <c r="E4937" s="6"/>
      <c r="F4937" s="6"/>
      <c r="G4937" s="6"/>
    </row>
    <row r="4938" spans="1:7" x14ac:dyDescent="0.25">
      <c r="A4938" s="6" t="s">
        <v>2469</v>
      </c>
      <c r="B4938" s="6"/>
      <c r="C4938" s="6"/>
      <c r="D4938" s="6"/>
      <c r="E4938" s="6"/>
      <c r="F4938" s="6"/>
      <c r="G4938" s="6"/>
    </row>
    <row r="4939" spans="1:7" x14ac:dyDescent="0.25">
      <c r="A4939" s="6" t="s">
        <v>2466</v>
      </c>
      <c r="B4939" s="6"/>
      <c r="C4939" s="6"/>
      <c r="D4939" s="6"/>
      <c r="E4939" s="6"/>
      <c r="F4939" s="6"/>
      <c r="G4939" s="6"/>
    </row>
    <row r="4940" spans="1:7" x14ac:dyDescent="0.25">
      <c r="A4940" s="6" t="s">
        <v>2463</v>
      </c>
      <c r="B4940" s="6"/>
      <c r="C4940" s="6"/>
      <c r="D4940" s="6"/>
      <c r="E4940" s="6"/>
      <c r="F4940" s="6"/>
      <c r="G4940" s="6"/>
    </row>
    <row r="4941" spans="1:7" x14ac:dyDescent="0.25">
      <c r="A4941" s="6" t="s">
        <v>2460</v>
      </c>
      <c r="B4941" s="6"/>
      <c r="C4941" s="6"/>
      <c r="D4941" s="6"/>
      <c r="E4941" s="6"/>
      <c r="F4941" s="6"/>
      <c r="G4941" s="6"/>
    </row>
    <row r="4942" spans="1:7" x14ac:dyDescent="0.25">
      <c r="A4942" s="6" t="s">
        <v>2457</v>
      </c>
      <c r="B4942" s="6"/>
      <c r="C4942" s="6"/>
      <c r="D4942" s="6"/>
      <c r="E4942" s="6"/>
      <c r="F4942" s="6"/>
      <c r="G4942" s="6"/>
    </row>
    <row r="4943" spans="1:7" x14ac:dyDescent="0.25">
      <c r="A4943" s="6" t="s">
        <v>2454</v>
      </c>
      <c r="B4943" s="6"/>
      <c r="C4943" s="6"/>
      <c r="D4943" s="6"/>
      <c r="E4943" s="6"/>
      <c r="F4943" s="6"/>
      <c r="G4943" s="6"/>
    </row>
    <row r="4944" spans="1:7" x14ac:dyDescent="0.25">
      <c r="A4944" s="6" t="s">
        <v>2451</v>
      </c>
      <c r="B4944" s="6"/>
      <c r="C4944" s="6"/>
      <c r="D4944" s="6"/>
      <c r="E4944" s="6"/>
      <c r="F4944" s="6"/>
      <c r="G4944" s="6"/>
    </row>
    <row r="4945" spans="1:7" x14ac:dyDescent="0.25">
      <c r="A4945" s="6" t="s">
        <v>957</v>
      </c>
      <c r="B4945" s="6"/>
      <c r="C4945" s="6"/>
      <c r="D4945" s="6"/>
      <c r="E4945" s="6"/>
      <c r="F4945" s="6"/>
      <c r="G4945" s="6"/>
    </row>
    <row r="4946" spans="1:7" x14ac:dyDescent="0.25">
      <c r="A4946" s="6" t="s">
        <v>2446</v>
      </c>
      <c r="B4946" s="6"/>
      <c r="C4946" s="6"/>
      <c r="D4946" s="6"/>
      <c r="E4946" s="6"/>
      <c r="F4946" s="6"/>
      <c r="G4946" s="6"/>
    </row>
    <row r="4947" spans="1:7" x14ac:dyDescent="0.25">
      <c r="A4947" s="6" t="s">
        <v>957</v>
      </c>
      <c r="B4947" s="6"/>
      <c r="C4947" s="6"/>
      <c r="D4947" s="6"/>
      <c r="E4947" s="6"/>
      <c r="F4947" s="6"/>
      <c r="G4947" s="6"/>
    </row>
    <row r="4948" spans="1:7" x14ac:dyDescent="0.25">
      <c r="A4948" s="6" t="s">
        <v>3482</v>
      </c>
      <c r="B4948" s="6"/>
      <c r="C4948" s="6"/>
      <c r="D4948" s="6"/>
      <c r="E4948" s="6"/>
      <c r="F4948" s="6"/>
      <c r="G4948" s="6"/>
    </row>
    <row r="4949" spans="1:7" x14ac:dyDescent="0.25">
      <c r="A4949" s="6" t="s">
        <v>1780</v>
      </c>
      <c r="B4949" s="6"/>
      <c r="C4949" s="6"/>
      <c r="D4949" s="6"/>
      <c r="E4949" s="6"/>
      <c r="F4949" s="6"/>
      <c r="G4949" s="6"/>
    </row>
    <row r="4950" spans="1:7" x14ac:dyDescent="0.25">
      <c r="A4950" s="6" t="s">
        <v>1777</v>
      </c>
      <c r="B4950" s="6"/>
      <c r="C4950" s="6"/>
      <c r="D4950" s="6"/>
      <c r="E4950" s="6"/>
      <c r="F4950" s="6"/>
      <c r="G4950" s="6"/>
    </row>
    <row r="4951" spans="1:7" x14ac:dyDescent="0.25">
      <c r="A4951" s="6" t="s">
        <v>1774</v>
      </c>
      <c r="B4951" s="6"/>
      <c r="C4951" s="6"/>
      <c r="D4951" s="6"/>
      <c r="E4951" s="6"/>
      <c r="F4951" s="6"/>
      <c r="G4951" s="6"/>
    </row>
    <row r="4952" spans="1:7" x14ac:dyDescent="0.25">
      <c r="A4952" s="6" t="s">
        <v>1771</v>
      </c>
      <c r="B4952" s="6"/>
      <c r="C4952" s="6"/>
      <c r="D4952" s="6"/>
      <c r="E4952" s="6"/>
      <c r="F4952" s="6"/>
      <c r="G4952" s="6"/>
    </row>
    <row r="4953" spans="1:7" x14ac:dyDescent="0.25">
      <c r="A4953" s="6" t="s">
        <v>957</v>
      </c>
      <c r="B4953" s="6"/>
      <c r="C4953" s="6"/>
      <c r="D4953" s="6"/>
      <c r="E4953" s="6"/>
      <c r="F4953" s="6"/>
      <c r="G4953" s="6"/>
    </row>
    <row r="4954" spans="1:7" x14ac:dyDescent="0.25">
      <c r="A4954" s="6" t="s">
        <v>1767</v>
      </c>
      <c r="B4954" s="6"/>
      <c r="C4954" s="6"/>
      <c r="D4954" s="6"/>
      <c r="E4954" s="6"/>
      <c r="F4954" s="6"/>
      <c r="G4954" s="6"/>
    </row>
    <row r="4955" spans="1:7" x14ac:dyDescent="0.25">
      <c r="A4955" s="6" t="s">
        <v>957</v>
      </c>
      <c r="B4955" s="6"/>
      <c r="C4955" s="6"/>
      <c r="D4955" s="6"/>
      <c r="E4955" s="6"/>
      <c r="F4955" s="6"/>
      <c r="G4955" s="6"/>
    </row>
    <row r="4956" spans="1:7" x14ac:dyDescent="0.25">
      <c r="A4956" s="6" t="s">
        <v>1763</v>
      </c>
      <c r="B4956" s="6"/>
      <c r="C4956" s="6"/>
      <c r="D4956" s="6"/>
      <c r="E4956" s="6"/>
      <c r="F4956" s="6"/>
      <c r="G4956" s="6"/>
    </row>
    <row r="4957" spans="1:7" x14ac:dyDescent="0.25">
      <c r="A4957" s="6" t="s">
        <v>1760</v>
      </c>
      <c r="B4957" s="6"/>
      <c r="C4957" s="6"/>
      <c r="D4957" s="6"/>
      <c r="E4957" s="6"/>
      <c r="F4957" s="6"/>
      <c r="G4957" s="6"/>
    </row>
    <row r="4958" spans="1:7" x14ac:dyDescent="0.25">
      <c r="A4958" s="6" t="s">
        <v>1757</v>
      </c>
      <c r="B4958" s="6"/>
      <c r="C4958" s="6"/>
      <c r="D4958" s="6"/>
      <c r="E4958" s="6"/>
      <c r="F4958" s="6"/>
      <c r="G4958" s="6"/>
    </row>
    <row r="4959" spans="1:7" x14ac:dyDescent="0.25">
      <c r="A4959" s="6" t="s">
        <v>957</v>
      </c>
      <c r="B4959" s="6"/>
      <c r="C4959" s="6"/>
      <c r="D4959" s="6"/>
      <c r="E4959" s="6"/>
      <c r="F4959" s="6"/>
      <c r="G4959" s="6"/>
    </row>
    <row r="4960" spans="1:7" x14ac:dyDescent="0.25">
      <c r="A4960" s="6" t="s">
        <v>1753</v>
      </c>
      <c r="B4960" s="6"/>
      <c r="C4960" s="6"/>
      <c r="D4960" s="6"/>
      <c r="E4960" s="6"/>
      <c r="F4960" s="6"/>
      <c r="G4960" s="6"/>
    </row>
    <row r="4961" spans="1:7" x14ac:dyDescent="0.25">
      <c r="A4961" s="6" t="s">
        <v>1750</v>
      </c>
      <c r="B4961" s="6"/>
      <c r="C4961" s="6"/>
      <c r="D4961" s="6"/>
      <c r="E4961" s="6"/>
      <c r="F4961" s="6"/>
      <c r="G4961" s="6"/>
    </row>
    <row r="4962" spans="1:7" x14ac:dyDescent="0.25">
      <c r="A4962" s="6" t="s">
        <v>1747</v>
      </c>
      <c r="B4962" s="6"/>
      <c r="C4962" s="6"/>
      <c r="D4962" s="6"/>
      <c r="E4962" s="6"/>
      <c r="F4962" s="6"/>
      <c r="G4962" s="6"/>
    </row>
    <row r="4963" spans="1:7" x14ac:dyDescent="0.25">
      <c r="A4963" s="6" t="s">
        <v>1744</v>
      </c>
      <c r="B4963" s="6"/>
      <c r="C4963" s="6"/>
      <c r="D4963" s="6"/>
      <c r="E4963" s="6"/>
      <c r="F4963" s="6"/>
      <c r="G4963" s="6"/>
    </row>
    <row r="4964" spans="1:7" x14ac:dyDescent="0.25">
      <c r="A4964" s="6" t="s">
        <v>1741</v>
      </c>
      <c r="B4964" s="6"/>
      <c r="C4964" s="6"/>
      <c r="D4964" s="6"/>
      <c r="E4964" s="6"/>
      <c r="F4964" s="6"/>
      <c r="G4964" s="6"/>
    </row>
    <row r="4965" spans="1:7" x14ac:dyDescent="0.25">
      <c r="A4965" s="6" t="s">
        <v>1739</v>
      </c>
      <c r="B4965" s="6"/>
      <c r="C4965" s="6"/>
      <c r="D4965" s="6"/>
      <c r="E4965" s="6"/>
      <c r="F4965" s="6"/>
      <c r="G4965" s="6"/>
    </row>
    <row r="4966" spans="1:7" x14ac:dyDescent="0.25">
      <c r="A4966" s="6" t="s">
        <v>1736</v>
      </c>
      <c r="B4966" s="6"/>
      <c r="C4966" s="6"/>
      <c r="D4966" s="6"/>
      <c r="E4966" s="6"/>
      <c r="F4966" s="6"/>
      <c r="G4966" s="6"/>
    </row>
    <row r="4967" spans="1:7" x14ac:dyDescent="0.25">
      <c r="A4967" s="6" t="s">
        <v>1733</v>
      </c>
      <c r="B4967" s="6"/>
      <c r="C4967" s="6"/>
      <c r="D4967" s="6"/>
      <c r="E4967" s="6"/>
      <c r="F4967" s="6"/>
      <c r="G4967" s="6"/>
    </row>
    <row r="4968" spans="1:7" x14ac:dyDescent="0.25">
      <c r="A4968" s="6" t="s">
        <v>1730</v>
      </c>
      <c r="B4968" s="6"/>
      <c r="C4968" s="6"/>
      <c r="D4968" s="6"/>
      <c r="E4968" s="6"/>
      <c r="F4968" s="6"/>
      <c r="G4968" s="6"/>
    </row>
    <row r="4969" spans="1:7" x14ac:dyDescent="0.25">
      <c r="A4969" s="6" t="s">
        <v>1727</v>
      </c>
      <c r="B4969" s="6"/>
      <c r="C4969" s="6"/>
      <c r="D4969" s="6"/>
      <c r="E4969" s="6"/>
      <c r="F4969" s="6"/>
      <c r="G4969" s="6"/>
    </row>
    <row r="4970" spans="1:7" x14ac:dyDescent="0.25">
      <c r="A4970" s="6" t="s">
        <v>1724</v>
      </c>
      <c r="B4970" s="6"/>
      <c r="C4970" s="6"/>
      <c r="D4970" s="6"/>
      <c r="E4970" s="6"/>
      <c r="F4970" s="6"/>
      <c r="G4970" s="6"/>
    </row>
    <row r="4971" spans="1:7" x14ac:dyDescent="0.25">
      <c r="A4971" s="6" t="s">
        <v>957</v>
      </c>
      <c r="B4971" s="6"/>
      <c r="C4971" s="6"/>
      <c r="D4971" s="6"/>
      <c r="E4971" s="6"/>
      <c r="F4971" s="6"/>
      <c r="G4971" s="6"/>
    </row>
    <row r="4972" spans="1:7" x14ac:dyDescent="0.25">
      <c r="A4972" s="6" t="s">
        <v>957</v>
      </c>
      <c r="B4972" s="6"/>
      <c r="C4972" s="6"/>
      <c r="D4972" s="6"/>
      <c r="E4972" s="6"/>
      <c r="F4972" s="6"/>
      <c r="G4972" s="6"/>
    </row>
    <row r="4973" spans="1:7" x14ac:dyDescent="0.25">
      <c r="A4973" s="6" t="s">
        <v>1719</v>
      </c>
      <c r="B4973" s="6"/>
      <c r="C4973" s="6"/>
      <c r="D4973" s="6"/>
      <c r="E4973" s="6"/>
      <c r="F4973" s="6"/>
      <c r="G4973" s="6"/>
    </row>
    <row r="4974" spans="1:7" x14ac:dyDescent="0.25">
      <c r="A4974" s="6" t="s">
        <v>957</v>
      </c>
      <c r="B4974" s="6"/>
      <c r="C4974" s="6"/>
      <c r="D4974" s="6"/>
      <c r="E4974" s="6"/>
      <c r="F4974" s="6"/>
      <c r="G4974" s="6"/>
    </row>
    <row r="4975" spans="1:7" x14ac:dyDescent="0.25">
      <c r="A4975" s="6" t="s">
        <v>1715</v>
      </c>
      <c r="B4975" s="6"/>
      <c r="C4975" s="6"/>
      <c r="D4975" s="6"/>
      <c r="E4975" s="6"/>
      <c r="F4975" s="6"/>
      <c r="G4975" s="6"/>
    </row>
    <row r="4976" spans="1:7" x14ac:dyDescent="0.25">
      <c r="A4976" s="6" t="s">
        <v>1712</v>
      </c>
      <c r="B4976" s="6"/>
      <c r="C4976" s="6"/>
      <c r="D4976" s="6"/>
      <c r="E4976" s="6"/>
      <c r="F4976" s="6"/>
      <c r="G4976" s="6"/>
    </row>
    <row r="4977" spans="1:7" x14ac:dyDescent="0.25">
      <c r="A4977" s="6" t="s">
        <v>1709</v>
      </c>
      <c r="B4977" s="6"/>
      <c r="C4977" s="6"/>
      <c r="D4977" s="6"/>
      <c r="E4977" s="6"/>
      <c r="F4977" s="6"/>
      <c r="G4977" s="6"/>
    </row>
    <row r="4978" spans="1:7" x14ac:dyDescent="0.25">
      <c r="A4978" s="6" t="s">
        <v>957</v>
      </c>
      <c r="B4978" s="6"/>
      <c r="C4978" s="6"/>
      <c r="D4978" s="6"/>
      <c r="E4978" s="6"/>
      <c r="F4978" s="6"/>
      <c r="G4978" s="6"/>
    </row>
    <row r="4979" spans="1:7" x14ac:dyDescent="0.25">
      <c r="A4979" s="6" t="s">
        <v>1705</v>
      </c>
      <c r="B4979" s="6"/>
      <c r="C4979" s="6"/>
      <c r="D4979" s="6"/>
      <c r="E4979" s="6"/>
      <c r="F4979" s="6"/>
      <c r="G4979" s="6"/>
    </row>
    <row r="4980" spans="1:7" x14ac:dyDescent="0.25">
      <c r="A4980" s="6" t="s">
        <v>1702</v>
      </c>
      <c r="B4980" s="6"/>
      <c r="C4980" s="6"/>
      <c r="D4980" s="6"/>
      <c r="E4980" s="6"/>
      <c r="F4980" s="6"/>
      <c r="G4980" s="6"/>
    </row>
    <row r="4981" spans="1:7" x14ac:dyDescent="0.25">
      <c r="A4981" s="6" t="s">
        <v>1699</v>
      </c>
      <c r="B4981" s="6"/>
      <c r="C4981" s="6"/>
      <c r="D4981" s="6"/>
      <c r="E4981" s="6"/>
      <c r="F4981" s="6"/>
      <c r="G4981" s="6"/>
    </row>
    <row r="4982" spans="1:7" x14ac:dyDescent="0.25">
      <c r="A4982" s="6" t="s">
        <v>1696</v>
      </c>
      <c r="B4982" s="6"/>
      <c r="C4982" s="6"/>
      <c r="D4982" s="6"/>
      <c r="E4982" s="6"/>
      <c r="F4982" s="6"/>
      <c r="G4982" s="6"/>
    </row>
    <row r="4983" spans="1:7" x14ac:dyDescent="0.25">
      <c r="A4983" s="6" t="s">
        <v>1693</v>
      </c>
      <c r="B4983" s="6"/>
      <c r="C4983" s="6"/>
      <c r="D4983" s="6"/>
      <c r="E4983" s="6"/>
      <c r="F4983" s="6"/>
      <c r="G4983" s="6"/>
    </row>
    <row r="4984" spans="1:7" x14ac:dyDescent="0.25">
      <c r="A4984" s="6" t="s">
        <v>1690</v>
      </c>
      <c r="B4984" s="6"/>
      <c r="C4984" s="6"/>
      <c r="D4984" s="6"/>
      <c r="E4984" s="6"/>
      <c r="F4984" s="6"/>
      <c r="G4984" s="6"/>
    </row>
    <row r="4985" spans="1:7" x14ac:dyDescent="0.25">
      <c r="A4985" s="6" t="s">
        <v>1687</v>
      </c>
      <c r="B4985" s="6"/>
      <c r="C4985" s="6"/>
      <c r="D4985" s="6"/>
      <c r="E4985" s="6"/>
      <c r="F4985" s="6"/>
      <c r="G4985" s="6"/>
    </row>
    <row r="4986" spans="1:7" x14ac:dyDescent="0.25">
      <c r="A4986" s="6" t="s">
        <v>1684</v>
      </c>
      <c r="B4986" s="6"/>
      <c r="C4986" s="6"/>
      <c r="D4986" s="6"/>
      <c r="E4986" s="6"/>
      <c r="F4986" s="6"/>
      <c r="G4986" s="6"/>
    </row>
    <row r="4987" spans="1:7" x14ac:dyDescent="0.25">
      <c r="A4987" s="6" t="s">
        <v>1681</v>
      </c>
      <c r="B4987" s="6"/>
      <c r="C4987" s="6"/>
      <c r="D4987" s="6"/>
      <c r="E4987" s="6"/>
      <c r="F4987" s="6"/>
      <c r="G4987" s="6"/>
    </row>
    <row r="4988" spans="1:7" x14ac:dyDescent="0.25">
      <c r="A4988" s="6" t="s">
        <v>957</v>
      </c>
      <c r="B4988" s="6"/>
      <c r="C4988" s="6"/>
      <c r="D4988" s="6"/>
      <c r="E4988" s="6"/>
      <c r="F4988" s="6"/>
      <c r="G4988" s="6"/>
    </row>
    <row r="4989" spans="1:7" x14ac:dyDescent="0.25">
      <c r="A4989" s="6" t="s">
        <v>1676</v>
      </c>
      <c r="B4989" s="6"/>
      <c r="C4989" s="6"/>
      <c r="D4989" s="6"/>
      <c r="E4989" s="6"/>
      <c r="F4989" s="6"/>
      <c r="G4989" s="6"/>
    </row>
    <row r="4990" spans="1:7" x14ac:dyDescent="0.25">
      <c r="A4990" s="6" t="s">
        <v>957</v>
      </c>
      <c r="B4990" s="6"/>
      <c r="C4990" s="6"/>
      <c r="D4990" s="6"/>
      <c r="E4990" s="6"/>
      <c r="F4990" s="6"/>
      <c r="G4990" s="6"/>
    </row>
    <row r="4991" spans="1:7" x14ac:dyDescent="0.25">
      <c r="A4991" s="6" t="s">
        <v>1672</v>
      </c>
      <c r="B4991" s="6"/>
      <c r="C4991" s="6"/>
      <c r="D4991" s="6"/>
      <c r="E4991" s="6"/>
      <c r="F4991" s="6"/>
      <c r="G4991" s="6"/>
    </row>
    <row r="4992" spans="1:7" x14ac:dyDescent="0.25">
      <c r="A4992" s="6" t="s">
        <v>1669</v>
      </c>
      <c r="B4992" s="6"/>
      <c r="C4992" s="6"/>
      <c r="D4992" s="6"/>
      <c r="E4992" s="6"/>
      <c r="F4992" s="6"/>
      <c r="G4992" s="6"/>
    </row>
    <row r="4993" spans="1:7" x14ac:dyDescent="0.25">
      <c r="A4993" s="6" t="s">
        <v>1666</v>
      </c>
      <c r="B4993" s="6"/>
      <c r="C4993" s="6"/>
      <c r="D4993" s="6"/>
      <c r="E4993" s="6"/>
      <c r="F4993" s="6"/>
      <c r="G4993" s="6"/>
    </row>
    <row r="4994" spans="1:7" x14ac:dyDescent="0.25">
      <c r="A4994" s="6" t="s">
        <v>1663</v>
      </c>
      <c r="B4994" s="6"/>
      <c r="C4994" s="6"/>
      <c r="D4994" s="6"/>
      <c r="E4994" s="6"/>
      <c r="F4994" s="6"/>
      <c r="G4994" s="6"/>
    </row>
    <row r="4995" spans="1:7" x14ac:dyDescent="0.25">
      <c r="A4995" s="6" t="s">
        <v>957</v>
      </c>
      <c r="B4995" s="6"/>
      <c r="C4995" s="6"/>
      <c r="D4995" s="6"/>
      <c r="E4995" s="6"/>
      <c r="F4995" s="6"/>
      <c r="G4995" s="6"/>
    </row>
    <row r="4996" spans="1:7" x14ac:dyDescent="0.25">
      <c r="A4996" s="6" t="s">
        <v>1659</v>
      </c>
      <c r="B4996" s="6"/>
      <c r="C4996" s="6"/>
      <c r="D4996" s="6"/>
      <c r="E4996" s="6"/>
      <c r="F4996" s="6"/>
      <c r="G4996" s="6"/>
    </row>
    <row r="4997" spans="1:7" x14ac:dyDescent="0.25">
      <c r="A4997" s="6" t="s">
        <v>1656</v>
      </c>
      <c r="B4997" s="6"/>
      <c r="C4997" s="6"/>
      <c r="D4997" s="6"/>
      <c r="E4997" s="6"/>
      <c r="F4997" s="6"/>
      <c r="G4997" s="6"/>
    </row>
    <row r="4998" spans="1:7" x14ac:dyDescent="0.25">
      <c r="A4998" s="6" t="s">
        <v>2194</v>
      </c>
      <c r="B4998" s="6"/>
      <c r="C4998" s="6"/>
      <c r="D4998" s="6"/>
      <c r="E4998" s="6"/>
      <c r="F4998" s="6"/>
      <c r="G4998" s="6"/>
    </row>
    <row r="4999" spans="1:7" x14ac:dyDescent="0.25">
      <c r="A4999" s="6" t="s">
        <v>2191</v>
      </c>
      <c r="B4999" s="6"/>
      <c r="C4999" s="6"/>
      <c r="D4999" s="6"/>
      <c r="E4999" s="6"/>
      <c r="F4999" s="6"/>
      <c r="G4999" s="6"/>
    </row>
    <row r="5000" spans="1:7" x14ac:dyDescent="0.25">
      <c r="A5000" s="6" t="s">
        <v>2188</v>
      </c>
      <c r="B5000" s="6"/>
      <c r="C5000" s="6"/>
      <c r="D5000" s="6"/>
      <c r="E5000" s="6"/>
      <c r="F5000" s="6"/>
      <c r="G5000" s="6"/>
    </row>
    <row r="5001" spans="1:7" x14ac:dyDescent="0.25">
      <c r="A5001" s="6" t="s">
        <v>2185</v>
      </c>
      <c r="B5001" s="6"/>
      <c r="C5001" s="6"/>
      <c r="D5001" s="6"/>
      <c r="E5001" s="6"/>
      <c r="F5001" s="6"/>
      <c r="G5001" s="6"/>
    </row>
    <row r="5002" spans="1:7" x14ac:dyDescent="0.25">
      <c r="A5002" s="6" t="s">
        <v>2182</v>
      </c>
      <c r="B5002" s="6"/>
      <c r="C5002" s="6"/>
      <c r="D5002" s="6"/>
      <c r="E5002" s="6"/>
      <c r="F5002" s="6"/>
      <c r="G5002" s="6"/>
    </row>
    <row r="5003" spans="1:7" x14ac:dyDescent="0.25">
      <c r="A5003" s="6" t="s">
        <v>2179</v>
      </c>
      <c r="B5003" s="6"/>
      <c r="C5003" s="6"/>
      <c r="D5003" s="6"/>
      <c r="E5003" s="6"/>
      <c r="F5003" s="6"/>
      <c r="G5003" s="6"/>
    </row>
    <row r="5004" spans="1:7" x14ac:dyDescent="0.25">
      <c r="A5004" s="6" t="s">
        <v>2176</v>
      </c>
      <c r="B5004" s="6"/>
      <c r="C5004" s="6"/>
      <c r="D5004" s="6"/>
      <c r="E5004" s="6"/>
      <c r="F5004" s="6"/>
      <c r="G5004" s="6"/>
    </row>
    <row r="5005" spans="1:7" x14ac:dyDescent="0.25">
      <c r="A5005" s="6" t="s">
        <v>2174</v>
      </c>
      <c r="B5005" s="6"/>
      <c r="C5005" s="6"/>
      <c r="D5005" s="6"/>
      <c r="E5005" s="6"/>
      <c r="F5005" s="6"/>
      <c r="G5005" s="6"/>
    </row>
    <row r="5006" spans="1:7" x14ac:dyDescent="0.25">
      <c r="A5006" s="6" t="s">
        <v>2171</v>
      </c>
      <c r="B5006" s="6"/>
      <c r="C5006" s="6"/>
      <c r="D5006" s="6"/>
      <c r="E5006" s="6"/>
      <c r="F5006" s="6"/>
      <c r="G5006" s="6"/>
    </row>
    <row r="5007" spans="1:7" x14ac:dyDescent="0.25">
      <c r="A5007" s="6" t="s">
        <v>957</v>
      </c>
      <c r="B5007" s="6"/>
      <c r="C5007" s="6"/>
      <c r="D5007" s="6"/>
      <c r="E5007" s="6"/>
      <c r="F5007" s="6"/>
      <c r="G5007" s="6"/>
    </row>
    <row r="5008" spans="1:7" x14ac:dyDescent="0.25">
      <c r="A5008" s="6" t="s">
        <v>2167</v>
      </c>
      <c r="B5008" s="6"/>
      <c r="C5008" s="6"/>
      <c r="D5008" s="6"/>
      <c r="E5008" s="6"/>
      <c r="F5008" s="6"/>
      <c r="G5008" s="6"/>
    </row>
    <row r="5009" spans="1:7" x14ac:dyDescent="0.25">
      <c r="A5009" s="6" t="s">
        <v>957</v>
      </c>
      <c r="B5009" s="6"/>
      <c r="C5009" s="6"/>
      <c r="D5009" s="6"/>
      <c r="E5009" s="6"/>
      <c r="F5009" s="6"/>
      <c r="G5009" s="6"/>
    </row>
    <row r="5010" spans="1:7" x14ac:dyDescent="0.25">
      <c r="A5010" s="6" t="s">
        <v>2163</v>
      </c>
      <c r="B5010" s="6"/>
      <c r="C5010" s="6"/>
      <c r="D5010" s="6"/>
      <c r="E5010" s="6"/>
      <c r="F5010" s="6"/>
      <c r="G5010" s="6"/>
    </row>
    <row r="5011" spans="1:7" x14ac:dyDescent="0.25">
      <c r="A5011" s="6" t="s">
        <v>2160</v>
      </c>
      <c r="B5011" s="6"/>
      <c r="C5011" s="6"/>
      <c r="D5011" s="6"/>
      <c r="E5011" s="6"/>
      <c r="F5011" s="6"/>
      <c r="G5011" s="6"/>
    </row>
    <row r="5012" spans="1:7" x14ac:dyDescent="0.25">
      <c r="A5012" s="6" t="s">
        <v>2157</v>
      </c>
      <c r="B5012" s="6"/>
      <c r="C5012" s="6"/>
      <c r="D5012" s="6"/>
      <c r="E5012" s="6"/>
      <c r="F5012" s="6"/>
      <c r="G5012" s="6"/>
    </row>
    <row r="5013" spans="1:7" x14ac:dyDescent="0.25">
      <c r="A5013" s="6" t="s">
        <v>2154</v>
      </c>
      <c r="B5013" s="6"/>
      <c r="C5013" s="6"/>
      <c r="D5013" s="6"/>
      <c r="E5013" s="6"/>
      <c r="F5013" s="6"/>
      <c r="G5013" s="6"/>
    </row>
    <row r="5014" spans="1:7" x14ac:dyDescent="0.25">
      <c r="A5014" s="6" t="s">
        <v>2151</v>
      </c>
      <c r="B5014" s="6"/>
      <c r="C5014" s="6"/>
      <c r="D5014" s="6"/>
      <c r="E5014" s="6"/>
      <c r="F5014" s="6"/>
      <c r="G5014" s="6"/>
    </row>
    <row r="5015" spans="1:7" x14ac:dyDescent="0.25">
      <c r="A5015" s="6" t="s">
        <v>2148</v>
      </c>
      <c r="B5015" s="6"/>
      <c r="C5015" s="6"/>
      <c r="D5015" s="6"/>
      <c r="E5015" s="6"/>
      <c r="F5015" s="6"/>
      <c r="G5015" s="6"/>
    </row>
    <row r="5016" spans="1:7" x14ac:dyDescent="0.25">
      <c r="A5016" s="6" t="s">
        <v>2145</v>
      </c>
      <c r="B5016" s="6"/>
      <c r="C5016" s="6"/>
      <c r="D5016" s="6"/>
      <c r="E5016" s="6"/>
      <c r="F5016" s="6"/>
      <c r="G5016" s="6"/>
    </row>
    <row r="5017" spans="1:7" x14ac:dyDescent="0.25">
      <c r="A5017" s="6" t="s">
        <v>957</v>
      </c>
      <c r="B5017" s="6"/>
      <c r="C5017" s="6"/>
      <c r="D5017" s="6"/>
      <c r="E5017" s="6"/>
      <c r="F5017" s="6"/>
      <c r="G5017" s="6"/>
    </row>
    <row r="5018" spans="1:7" x14ac:dyDescent="0.25">
      <c r="A5018" s="6" t="s">
        <v>2141</v>
      </c>
      <c r="B5018" s="6"/>
      <c r="C5018" s="6"/>
      <c r="D5018" s="6"/>
      <c r="E5018" s="6"/>
      <c r="F5018" s="6"/>
      <c r="G5018" s="6"/>
    </row>
    <row r="5019" spans="1:7" x14ac:dyDescent="0.25">
      <c r="A5019" s="6" t="s">
        <v>2138</v>
      </c>
      <c r="B5019" s="6"/>
      <c r="C5019" s="6"/>
      <c r="D5019" s="6"/>
      <c r="E5019" s="6"/>
      <c r="F5019" s="6"/>
      <c r="G5019" s="6"/>
    </row>
    <row r="5020" spans="1:7" x14ac:dyDescent="0.25">
      <c r="A5020" s="6" t="s">
        <v>957</v>
      </c>
      <c r="B5020" s="6"/>
      <c r="C5020" s="6"/>
      <c r="D5020" s="6"/>
      <c r="E5020" s="6"/>
      <c r="F5020" s="6"/>
      <c r="G5020" s="6"/>
    </row>
    <row r="5021" spans="1:7" x14ac:dyDescent="0.25">
      <c r="A5021" s="6" t="s">
        <v>2134</v>
      </c>
      <c r="B5021" s="6"/>
      <c r="C5021" s="6"/>
      <c r="D5021" s="6"/>
      <c r="E5021" s="6"/>
      <c r="F5021" s="6"/>
      <c r="G5021" s="6"/>
    </row>
    <row r="5022" spans="1:7" x14ac:dyDescent="0.25">
      <c r="A5022" s="6" t="s">
        <v>957</v>
      </c>
      <c r="B5022" s="6"/>
      <c r="C5022" s="6"/>
      <c r="D5022" s="6"/>
      <c r="E5022" s="6"/>
      <c r="F5022" s="6"/>
      <c r="G5022" s="6"/>
    </row>
    <row r="5023" spans="1:7" x14ac:dyDescent="0.25">
      <c r="A5023" s="6" t="s">
        <v>1613</v>
      </c>
      <c r="B5023" s="6"/>
      <c r="C5023" s="6"/>
      <c r="D5023" s="6"/>
      <c r="E5023" s="6"/>
      <c r="F5023" s="6"/>
      <c r="G5023" s="6"/>
    </row>
    <row r="5024" spans="1:7" x14ac:dyDescent="0.25">
      <c r="A5024" s="6" t="s">
        <v>1610</v>
      </c>
      <c r="B5024" s="6"/>
      <c r="C5024" s="6"/>
      <c r="D5024" s="6"/>
      <c r="E5024" s="6"/>
      <c r="F5024" s="6"/>
      <c r="G5024" s="6"/>
    </row>
    <row r="5025" spans="1:7" x14ac:dyDescent="0.25">
      <c r="A5025" s="6" t="s">
        <v>1607</v>
      </c>
      <c r="B5025" s="6"/>
      <c r="C5025" s="6"/>
      <c r="D5025" s="6"/>
      <c r="E5025" s="6"/>
      <c r="F5025" s="6"/>
      <c r="G5025" s="6"/>
    </row>
    <row r="5026" spans="1:7" x14ac:dyDescent="0.25">
      <c r="A5026" s="6" t="s">
        <v>1604</v>
      </c>
      <c r="B5026" s="6"/>
      <c r="C5026" s="6"/>
      <c r="D5026" s="6"/>
      <c r="E5026" s="6"/>
      <c r="F5026" s="6"/>
      <c r="G5026" s="6"/>
    </row>
    <row r="5027" spans="1:7" x14ac:dyDescent="0.25">
      <c r="A5027" s="6" t="s">
        <v>2443</v>
      </c>
      <c r="B5027" s="6"/>
      <c r="C5027" s="6"/>
      <c r="D5027" s="6"/>
      <c r="E5027" s="6"/>
      <c r="F5027" s="6"/>
      <c r="G5027" s="6"/>
    </row>
    <row r="5028" spans="1:7" x14ac:dyDescent="0.25">
      <c r="A5028" s="6" t="s">
        <v>2440</v>
      </c>
      <c r="B5028" s="6"/>
      <c r="C5028" s="6"/>
      <c r="D5028" s="6"/>
      <c r="E5028" s="6"/>
      <c r="F5028" s="6"/>
      <c r="G5028" s="6"/>
    </row>
    <row r="5029" spans="1:7" x14ac:dyDescent="0.25">
      <c r="A5029" s="6" t="s">
        <v>957</v>
      </c>
      <c r="B5029" s="6"/>
      <c r="C5029" s="6"/>
      <c r="D5029" s="6"/>
      <c r="E5029" s="6"/>
      <c r="F5029" s="6"/>
      <c r="G5029" s="6"/>
    </row>
    <row r="5030" spans="1:7" x14ac:dyDescent="0.25">
      <c r="A5030" s="6" t="s">
        <v>2435</v>
      </c>
      <c r="B5030" s="6"/>
      <c r="C5030" s="6"/>
      <c r="D5030" s="6"/>
      <c r="E5030" s="6"/>
      <c r="F5030" s="6"/>
      <c r="G5030" s="6"/>
    </row>
    <row r="5031" spans="1:7" x14ac:dyDescent="0.25">
      <c r="A5031" s="6" t="s">
        <v>2432</v>
      </c>
      <c r="B5031" s="6"/>
      <c r="C5031" s="6"/>
      <c r="D5031" s="6"/>
      <c r="E5031" s="6"/>
      <c r="F5031" s="6"/>
      <c r="G5031" s="6"/>
    </row>
    <row r="5032" spans="1:7" x14ac:dyDescent="0.25">
      <c r="A5032" s="6" t="s">
        <v>2429</v>
      </c>
      <c r="B5032" s="6"/>
      <c r="C5032" s="6"/>
      <c r="D5032" s="6"/>
      <c r="E5032" s="6"/>
      <c r="F5032" s="6"/>
      <c r="G5032" s="6"/>
    </row>
    <row r="5033" spans="1:7" x14ac:dyDescent="0.25">
      <c r="A5033" s="6" t="s">
        <v>2426</v>
      </c>
      <c r="B5033" s="6"/>
      <c r="C5033" s="6"/>
      <c r="D5033" s="6"/>
      <c r="E5033" s="6"/>
      <c r="F5033" s="6"/>
      <c r="G5033" s="6"/>
    </row>
    <row r="5034" spans="1:7" x14ac:dyDescent="0.25">
      <c r="A5034" s="6" t="s">
        <v>2423</v>
      </c>
      <c r="B5034" s="6"/>
      <c r="C5034" s="6"/>
      <c r="D5034" s="6"/>
      <c r="E5034" s="6"/>
      <c r="F5034" s="6"/>
      <c r="G5034" s="6"/>
    </row>
    <row r="5035" spans="1:7" x14ac:dyDescent="0.25">
      <c r="A5035" s="6" t="s">
        <v>2420</v>
      </c>
      <c r="B5035" s="6"/>
      <c r="C5035" s="6"/>
      <c r="D5035" s="6"/>
      <c r="E5035" s="6"/>
      <c r="F5035" s="6"/>
      <c r="G5035" s="6"/>
    </row>
    <row r="5036" spans="1:7" x14ac:dyDescent="0.25">
      <c r="A5036" s="6" t="s">
        <v>2417</v>
      </c>
      <c r="B5036" s="6"/>
      <c r="C5036" s="6"/>
      <c r="D5036" s="6"/>
      <c r="E5036" s="6"/>
      <c r="F5036" s="6"/>
      <c r="G5036" s="6"/>
    </row>
    <row r="5037" spans="1:7" x14ac:dyDescent="0.25">
      <c r="A5037" s="6" t="s">
        <v>2414</v>
      </c>
      <c r="B5037" s="6"/>
      <c r="C5037" s="6"/>
      <c r="D5037" s="6"/>
      <c r="E5037" s="6"/>
      <c r="F5037" s="6"/>
      <c r="G5037" s="6"/>
    </row>
    <row r="5038" spans="1:7" x14ac:dyDescent="0.25">
      <c r="A5038" s="6" t="s">
        <v>2411</v>
      </c>
      <c r="B5038" s="6"/>
      <c r="C5038" s="6"/>
      <c r="D5038" s="6"/>
      <c r="E5038" s="6"/>
      <c r="F5038" s="6"/>
      <c r="G5038" s="6"/>
    </row>
    <row r="5039" spans="1:7" x14ac:dyDescent="0.25">
      <c r="A5039" s="6" t="s">
        <v>957</v>
      </c>
      <c r="B5039" s="6"/>
      <c r="C5039" s="6"/>
      <c r="D5039" s="6"/>
      <c r="E5039" s="6"/>
      <c r="F5039" s="6"/>
      <c r="G5039" s="6"/>
    </row>
    <row r="5040" spans="1:7" x14ac:dyDescent="0.25">
      <c r="A5040" s="6" t="s">
        <v>2407</v>
      </c>
      <c r="B5040" s="6"/>
      <c r="C5040" s="6"/>
      <c r="D5040" s="6"/>
      <c r="E5040" s="6"/>
      <c r="F5040" s="6"/>
      <c r="G5040" s="6"/>
    </row>
    <row r="5041" spans="1:7" x14ac:dyDescent="0.25">
      <c r="A5041" s="6" t="s">
        <v>2404</v>
      </c>
      <c r="B5041" s="6"/>
      <c r="C5041" s="6"/>
      <c r="D5041" s="6"/>
      <c r="E5041" s="6"/>
      <c r="F5041" s="6"/>
      <c r="G5041" s="6"/>
    </row>
    <row r="5042" spans="1:7" x14ac:dyDescent="0.25">
      <c r="A5042" s="6" t="s">
        <v>2401</v>
      </c>
      <c r="B5042" s="6"/>
      <c r="C5042" s="6"/>
      <c r="D5042" s="6"/>
      <c r="E5042" s="6"/>
      <c r="F5042" s="6"/>
      <c r="G5042" s="6"/>
    </row>
    <row r="5043" spans="1:7" x14ac:dyDescent="0.25">
      <c r="A5043" s="6" t="s">
        <v>2398</v>
      </c>
      <c r="B5043" s="6"/>
      <c r="C5043" s="6"/>
      <c r="D5043" s="6"/>
      <c r="E5043" s="6"/>
      <c r="F5043" s="6"/>
      <c r="G5043" s="6"/>
    </row>
    <row r="5044" spans="1:7" x14ac:dyDescent="0.25">
      <c r="A5044" s="6" t="s">
        <v>2395</v>
      </c>
      <c r="B5044" s="6"/>
      <c r="C5044" s="6"/>
      <c r="D5044" s="6"/>
      <c r="E5044" s="6"/>
      <c r="F5044" s="6"/>
      <c r="G5044" s="6"/>
    </row>
    <row r="5045" spans="1:7" x14ac:dyDescent="0.25">
      <c r="A5045" s="6" t="s">
        <v>957</v>
      </c>
      <c r="B5045" s="6"/>
      <c r="C5045" s="6"/>
      <c r="D5045" s="6"/>
      <c r="E5045" s="6"/>
      <c r="F5045" s="6"/>
      <c r="G5045" s="6"/>
    </row>
    <row r="5046" spans="1:7" x14ac:dyDescent="0.25">
      <c r="A5046" s="6" t="s">
        <v>1375</v>
      </c>
      <c r="B5046" s="6"/>
      <c r="C5046" s="6"/>
      <c r="D5046" s="6"/>
      <c r="E5046" s="6"/>
      <c r="F5046" s="6"/>
      <c r="G5046" s="6"/>
    </row>
    <row r="5047" spans="1:7" x14ac:dyDescent="0.25">
      <c r="A5047" s="6" t="s">
        <v>1372</v>
      </c>
      <c r="B5047" s="6"/>
      <c r="C5047" s="6"/>
      <c r="D5047" s="6"/>
      <c r="E5047" s="6"/>
      <c r="F5047" s="6"/>
      <c r="G5047" s="6"/>
    </row>
    <row r="5048" spans="1:7" x14ac:dyDescent="0.25">
      <c r="A5048" s="6" t="s">
        <v>1369</v>
      </c>
      <c r="B5048" s="6"/>
      <c r="C5048" s="6"/>
      <c r="D5048" s="6"/>
      <c r="E5048" s="6"/>
      <c r="F5048" s="6"/>
      <c r="G5048" s="6"/>
    </row>
    <row r="5049" spans="1:7" x14ac:dyDescent="0.25">
      <c r="A5049" s="6" t="s">
        <v>1366</v>
      </c>
      <c r="B5049" s="6"/>
      <c r="C5049" s="6"/>
      <c r="D5049" s="6"/>
      <c r="E5049" s="6"/>
      <c r="F5049" s="6"/>
      <c r="G5049" s="6"/>
    </row>
    <row r="5050" spans="1:7" x14ac:dyDescent="0.25">
      <c r="A5050" s="6" t="s">
        <v>1363</v>
      </c>
      <c r="B5050" s="6"/>
      <c r="C5050" s="6"/>
      <c r="D5050" s="6"/>
      <c r="E5050" s="6"/>
      <c r="F5050" s="6"/>
      <c r="G5050" s="6"/>
    </row>
    <row r="5051" spans="1:7" x14ac:dyDescent="0.25">
      <c r="A5051" s="6" t="s">
        <v>1360</v>
      </c>
      <c r="B5051" s="6"/>
      <c r="C5051" s="6"/>
      <c r="D5051" s="6"/>
      <c r="E5051" s="6"/>
      <c r="F5051" s="6"/>
      <c r="G5051" s="6"/>
    </row>
    <row r="5052" spans="1:7" x14ac:dyDescent="0.25">
      <c r="A5052" s="6" t="s">
        <v>1357</v>
      </c>
      <c r="B5052" s="6"/>
      <c r="C5052" s="6"/>
      <c r="D5052" s="6"/>
      <c r="E5052" s="6"/>
      <c r="F5052" s="6"/>
      <c r="G5052" s="6"/>
    </row>
    <row r="5053" spans="1:7" x14ac:dyDescent="0.25">
      <c r="A5053" s="6" t="s">
        <v>957</v>
      </c>
      <c r="B5053" s="6"/>
      <c r="C5053" s="6"/>
      <c r="D5053" s="6"/>
      <c r="E5053" s="6"/>
      <c r="F5053" s="6"/>
      <c r="G5053" s="6"/>
    </row>
    <row r="5054" spans="1:7" x14ac:dyDescent="0.25">
      <c r="A5054" s="6" t="s">
        <v>1352</v>
      </c>
      <c r="B5054" s="6"/>
      <c r="C5054" s="6"/>
      <c r="D5054" s="6"/>
      <c r="E5054" s="6"/>
      <c r="F5054" s="6"/>
      <c r="G5054" s="6"/>
    </row>
    <row r="5055" spans="1:7" x14ac:dyDescent="0.25">
      <c r="A5055" s="6" t="s">
        <v>1349</v>
      </c>
      <c r="B5055" s="6"/>
      <c r="C5055" s="6"/>
      <c r="D5055" s="6"/>
      <c r="E5055" s="6"/>
      <c r="F5055" s="6"/>
      <c r="G5055" s="6"/>
    </row>
    <row r="5056" spans="1:7" x14ac:dyDescent="0.25">
      <c r="A5056" s="6" t="s">
        <v>957</v>
      </c>
      <c r="B5056" s="6"/>
      <c r="C5056" s="6"/>
      <c r="D5056" s="6"/>
      <c r="E5056" s="6"/>
      <c r="F5056" s="6"/>
      <c r="G5056" s="6"/>
    </row>
    <row r="5057" spans="1:7" x14ac:dyDescent="0.25">
      <c r="A5057" s="6" t="s">
        <v>1345</v>
      </c>
      <c r="B5057" s="6"/>
      <c r="C5057" s="6"/>
      <c r="D5057" s="6"/>
      <c r="E5057" s="6"/>
      <c r="F5057" s="6"/>
      <c r="G5057" s="6"/>
    </row>
    <row r="5058" spans="1:7" x14ac:dyDescent="0.25">
      <c r="A5058" s="6" t="s">
        <v>1342</v>
      </c>
      <c r="B5058" s="6"/>
      <c r="C5058" s="6"/>
      <c r="D5058" s="6"/>
      <c r="E5058" s="6"/>
      <c r="F5058" s="6"/>
      <c r="G5058" s="6"/>
    </row>
    <row r="5059" spans="1:7" x14ac:dyDescent="0.25">
      <c r="A5059" s="6" t="s">
        <v>1339</v>
      </c>
      <c r="B5059" s="6"/>
      <c r="C5059" s="6"/>
      <c r="D5059" s="6"/>
      <c r="E5059" s="6"/>
      <c r="F5059" s="6"/>
      <c r="G5059" s="6"/>
    </row>
    <row r="5060" spans="1:7" x14ac:dyDescent="0.25">
      <c r="A5060" s="6" t="s">
        <v>1336</v>
      </c>
      <c r="B5060" s="6"/>
      <c r="C5060" s="6"/>
      <c r="D5060" s="6"/>
      <c r="E5060" s="6"/>
      <c r="F5060" s="6"/>
      <c r="G5060" s="6"/>
    </row>
    <row r="5061" spans="1:7" x14ac:dyDescent="0.25">
      <c r="A5061" s="6" t="s">
        <v>1333</v>
      </c>
      <c r="B5061" s="6"/>
      <c r="C5061" s="6"/>
      <c r="D5061" s="6"/>
      <c r="E5061" s="6"/>
      <c r="F5061" s="6"/>
      <c r="G5061" s="6"/>
    </row>
    <row r="5062" spans="1:7" x14ac:dyDescent="0.25">
      <c r="A5062" s="6" t="s">
        <v>1330</v>
      </c>
      <c r="B5062" s="6"/>
      <c r="C5062" s="6"/>
      <c r="D5062" s="6"/>
      <c r="E5062" s="6"/>
      <c r="F5062" s="6"/>
      <c r="G5062" s="6"/>
    </row>
    <row r="5063" spans="1:7" x14ac:dyDescent="0.25">
      <c r="A5063" s="6" t="s">
        <v>1327</v>
      </c>
      <c r="B5063" s="6"/>
      <c r="C5063" s="6"/>
      <c r="D5063" s="6"/>
      <c r="E5063" s="6"/>
      <c r="F5063" s="6"/>
      <c r="G5063" s="6"/>
    </row>
    <row r="5064" spans="1:7" x14ac:dyDescent="0.25">
      <c r="A5064" s="6" t="s">
        <v>1324</v>
      </c>
      <c r="B5064" s="6"/>
      <c r="C5064" s="6"/>
      <c r="D5064" s="6"/>
      <c r="E5064" s="6"/>
      <c r="F5064" s="6"/>
      <c r="G5064" s="6"/>
    </row>
    <row r="5065" spans="1:7" x14ac:dyDescent="0.25">
      <c r="A5065" s="6" t="s">
        <v>957</v>
      </c>
      <c r="B5065" s="6"/>
      <c r="C5065" s="6"/>
      <c r="D5065" s="6"/>
      <c r="E5065" s="6"/>
      <c r="F5065" s="6"/>
      <c r="G5065" s="6"/>
    </row>
    <row r="5066" spans="1:7" x14ac:dyDescent="0.25">
      <c r="A5066" s="6" t="s">
        <v>957</v>
      </c>
      <c r="B5066" s="6"/>
      <c r="C5066" s="6"/>
      <c r="D5066" s="6"/>
      <c r="E5066" s="6"/>
      <c r="F5066" s="6"/>
      <c r="G5066" s="6"/>
    </row>
    <row r="5067" spans="1:7" x14ac:dyDescent="0.25">
      <c r="A5067" s="6" t="s">
        <v>1319</v>
      </c>
      <c r="B5067" s="6"/>
      <c r="C5067" s="6"/>
      <c r="D5067" s="6"/>
      <c r="E5067" s="6"/>
      <c r="F5067" s="6"/>
      <c r="G5067" s="6"/>
    </row>
    <row r="5068" spans="1:7" x14ac:dyDescent="0.25">
      <c r="A5068" s="6" t="s">
        <v>1316</v>
      </c>
      <c r="B5068" s="6"/>
      <c r="C5068" s="6"/>
      <c r="D5068" s="6"/>
      <c r="E5068" s="6"/>
      <c r="F5068" s="6"/>
      <c r="G5068" s="6"/>
    </row>
    <row r="5069" spans="1:7" x14ac:dyDescent="0.25">
      <c r="A5069" s="6" t="s">
        <v>1313</v>
      </c>
      <c r="B5069" s="6"/>
      <c r="C5069" s="6"/>
      <c r="D5069" s="6"/>
      <c r="E5069" s="6"/>
      <c r="F5069" s="6"/>
      <c r="G5069" s="6"/>
    </row>
    <row r="5070" spans="1:7" x14ac:dyDescent="0.25">
      <c r="A5070" s="6" t="s">
        <v>957</v>
      </c>
      <c r="B5070" s="6"/>
      <c r="C5070" s="6"/>
      <c r="D5070" s="6"/>
      <c r="E5070" s="6"/>
      <c r="F5070" s="6"/>
      <c r="G5070" s="6"/>
    </row>
    <row r="5071" spans="1:7" x14ac:dyDescent="0.25">
      <c r="A5071" s="6" t="s">
        <v>888</v>
      </c>
      <c r="B5071" s="6"/>
      <c r="C5071" s="6"/>
      <c r="D5071" s="6"/>
      <c r="E5071" s="6"/>
      <c r="F5071" s="6"/>
      <c r="G5071" s="6"/>
    </row>
    <row r="5072" spans="1:7" x14ac:dyDescent="0.25">
      <c r="A5072" s="6" t="s">
        <v>886</v>
      </c>
      <c r="B5072" s="6"/>
      <c r="C5072" s="6"/>
      <c r="D5072" s="6"/>
      <c r="E5072" s="6"/>
      <c r="F5072" s="6"/>
      <c r="G5072" s="6"/>
    </row>
    <row r="5073" spans="1:7" x14ac:dyDescent="0.25">
      <c r="A5073" s="6" t="s">
        <v>957</v>
      </c>
      <c r="B5073" s="6"/>
      <c r="C5073" s="6"/>
      <c r="D5073" s="6"/>
      <c r="E5073" s="6"/>
      <c r="F5073" s="6"/>
      <c r="G5073" s="6"/>
    </row>
    <row r="5074" spans="1:7" x14ac:dyDescent="0.25">
      <c r="A5074" s="6" t="s">
        <v>882</v>
      </c>
      <c r="B5074" s="6"/>
      <c r="C5074" s="6"/>
      <c r="D5074" s="6"/>
      <c r="E5074" s="6"/>
      <c r="F5074" s="6"/>
      <c r="G5074" s="6"/>
    </row>
    <row r="5075" spans="1:7" x14ac:dyDescent="0.25">
      <c r="A5075" s="6" t="s">
        <v>879</v>
      </c>
      <c r="B5075" s="6"/>
      <c r="C5075" s="6"/>
      <c r="D5075" s="6"/>
      <c r="E5075" s="6"/>
      <c r="F5075" s="6"/>
      <c r="G5075" s="6"/>
    </row>
    <row r="5076" spans="1:7" x14ac:dyDescent="0.25">
      <c r="A5076" s="6" t="s">
        <v>957</v>
      </c>
      <c r="B5076" s="6"/>
      <c r="C5076" s="6"/>
      <c r="D5076" s="6"/>
      <c r="E5076" s="6"/>
      <c r="F5076" s="6"/>
      <c r="G5076" s="6"/>
    </row>
    <row r="5077" spans="1:7" x14ac:dyDescent="0.25">
      <c r="A5077" s="6" t="s">
        <v>957</v>
      </c>
      <c r="B5077" s="6"/>
      <c r="C5077" s="6"/>
      <c r="D5077" s="6"/>
      <c r="E5077" s="6"/>
      <c r="F5077" s="6"/>
      <c r="G5077" s="6"/>
    </row>
    <row r="5078" spans="1:7" x14ac:dyDescent="0.25">
      <c r="A5078" s="6" t="s">
        <v>875</v>
      </c>
      <c r="B5078" s="6"/>
      <c r="C5078" s="6"/>
      <c r="D5078" s="6"/>
      <c r="E5078" s="6"/>
      <c r="F5078" s="6"/>
      <c r="G5078" s="6"/>
    </row>
    <row r="5079" spans="1:7" x14ac:dyDescent="0.25">
      <c r="A5079" s="6" t="s">
        <v>872</v>
      </c>
      <c r="B5079" s="6"/>
      <c r="C5079" s="6"/>
      <c r="D5079" s="6"/>
      <c r="E5079" s="6"/>
      <c r="F5079" s="6"/>
      <c r="G5079" s="6"/>
    </row>
    <row r="5080" spans="1:7" x14ac:dyDescent="0.25">
      <c r="A5080" s="6" t="s">
        <v>869</v>
      </c>
      <c r="B5080" s="6"/>
      <c r="C5080" s="6"/>
      <c r="D5080" s="6"/>
      <c r="E5080" s="6"/>
      <c r="F5080" s="6"/>
      <c r="G5080" s="6"/>
    </row>
    <row r="5081" spans="1:7" x14ac:dyDescent="0.25">
      <c r="A5081" s="6" t="s">
        <v>866</v>
      </c>
      <c r="B5081" s="6"/>
      <c r="C5081" s="6"/>
      <c r="D5081" s="6"/>
      <c r="E5081" s="6"/>
      <c r="F5081" s="6"/>
      <c r="G5081" s="6"/>
    </row>
    <row r="5082" spans="1:7" x14ac:dyDescent="0.25">
      <c r="A5082" s="6" t="s">
        <v>863</v>
      </c>
      <c r="B5082" s="6"/>
      <c r="C5082" s="6"/>
      <c r="D5082" s="6"/>
      <c r="E5082" s="6"/>
      <c r="F5082" s="6"/>
      <c r="G5082" s="6"/>
    </row>
    <row r="5083" spans="1:7" x14ac:dyDescent="0.25">
      <c r="A5083" s="6" t="s">
        <v>860</v>
      </c>
      <c r="B5083" s="6"/>
      <c r="C5083" s="6"/>
      <c r="D5083" s="6"/>
      <c r="E5083" s="6"/>
      <c r="F5083" s="6"/>
      <c r="G5083" s="6"/>
    </row>
    <row r="5084" spans="1:7" x14ac:dyDescent="0.25">
      <c r="A5084" s="6" t="s">
        <v>857</v>
      </c>
      <c r="B5084" s="6"/>
      <c r="C5084" s="6"/>
      <c r="D5084" s="6"/>
      <c r="E5084" s="6"/>
      <c r="F5084" s="6"/>
      <c r="G5084" s="6"/>
    </row>
    <row r="5085" spans="1:7" x14ac:dyDescent="0.25">
      <c r="A5085" s="6" t="s">
        <v>854</v>
      </c>
      <c r="B5085" s="6"/>
      <c r="C5085" s="6"/>
      <c r="D5085" s="6"/>
      <c r="E5085" s="6"/>
      <c r="F5085" s="6"/>
      <c r="G5085" s="6"/>
    </row>
    <row r="5086" spans="1:7" x14ac:dyDescent="0.25">
      <c r="A5086" s="6" t="s">
        <v>957</v>
      </c>
      <c r="B5086" s="6"/>
      <c r="C5086" s="6"/>
      <c r="D5086" s="6"/>
      <c r="E5086" s="6"/>
      <c r="F5086" s="6"/>
      <c r="G5086" s="6"/>
    </row>
    <row r="5087" spans="1:7" x14ac:dyDescent="0.25">
      <c r="A5087" s="6" t="s">
        <v>1447</v>
      </c>
      <c r="B5087" s="6"/>
      <c r="C5087" s="6"/>
      <c r="D5087" s="6"/>
      <c r="E5087" s="6"/>
      <c r="F5087" s="6"/>
      <c r="G5087" s="6"/>
    </row>
    <row r="5088" spans="1:7" x14ac:dyDescent="0.25">
      <c r="A5088" s="6" t="s">
        <v>1444</v>
      </c>
      <c r="B5088" s="6"/>
      <c r="C5088" s="6"/>
      <c r="D5088" s="6"/>
      <c r="E5088" s="6"/>
      <c r="F5088" s="6"/>
      <c r="G5088" s="6"/>
    </row>
    <row r="5089" spans="1:7" x14ac:dyDescent="0.25">
      <c r="A5089" s="6" t="s">
        <v>1441</v>
      </c>
      <c r="B5089" s="6"/>
      <c r="C5089" s="6"/>
      <c r="D5089" s="6"/>
      <c r="E5089" s="6"/>
      <c r="F5089" s="6"/>
      <c r="G5089" s="6"/>
    </row>
    <row r="5090" spans="1:7" x14ac:dyDescent="0.25">
      <c r="A5090" s="6" t="s">
        <v>1438</v>
      </c>
      <c r="B5090" s="6"/>
      <c r="C5090" s="6"/>
      <c r="D5090" s="6"/>
      <c r="E5090" s="6"/>
      <c r="F5090" s="6"/>
      <c r="G5090" s="6"/>
    </row>
    <row r="5091" spans="1:7" x14ac:dyDescent="0.25">
      <c r="A5091" s="6" t="s">
        <v>1435</v>
      </c>
      <c r="B5091" s="6"/>
      <c r="C5091" s="6"/>
      <c r="D5091" s="6"/>
      <c r="E5091" s="6"/>
      <c r="F5091" s="6"/>
      <c r="G5091" s="6"/>
    </row>
    <row r="5092" spans="1:7" x14ac:dyDescent="0.25">
      <c r="A5092" s="6" t="s">
        <v>1432</v>
      </c>
      <c r="B5092" s="6"/>
      <c r="C5092" s="6"/>
      <c r="D5092" s="6"/>
      <c r="E5092" s="6"/>
      <c r="F5092" s="6"/>
      <c r="G5092" s="6"/>
    </row>
    <row r="5093" spans="1:7" x14ac:dyDescent="0.25">
      <c r="A5093" s="6" t="s">
        <v>957</v>
      </c>
      <c r="B5093" s="6"/>
      <c r="C5093" s="6"/>
      <c r="D5093" s="6"/>
      <c r="E5093" s="6"/>
      <c r="F5093" s="6"/>
      <c r="G5093" s="6"/>
    </row>
    <row r="5094" spans="1:7" x14ac:dyDescent="0.25">
      <c r="A5094" s="6" t="s">
        <v>1427</v>
      </c>
      <c r="B5094" s="6"/>
      <c r="C5094" s="6"/>
      <c r="D5094" s="6"/>
      <c r="E5094" s="6"/>
      <c r="F5094" s="6"/>
      <c r="G5094" s="6"/>
    </row>
    <row r="5095" spans="1:7" x14ac:dyDescent="0.25">
      <c r="A5095" s="6" t="s">
        <v>1424</v>
      </c>
      <c r="B5095" s="6"/>
      <c r="C5095" s="6"/>
      <c r="D5095" s="6"/>
      <c r="E5095" s="6"/>
      <c r="F5095" s="6"/>
      <c r="G5095" s="6"/>
    </row>
    <row r="5096" spans="1:7" x14ac:dyDescent="0.25">
      <c r="A5096" s="6" t="s">
        <v>1421</v>
      </c>
      <c r="B5096" s="6"/>
      <c r="C5096" s="6"/>
      <c r="D5096" s="6"/>
      <c r="E5096" s="6"/>
      <c r="F5096" s="6"/>
      <c r="G5096" s="6"/>
    </row>
    <row r="5097" spans="1:7" x14ac:dyDescent="0.25">
      <c r="A5097" s="6" t="s">
        <v>957</v>
      </c>
      <c r="B5097" s="6"/>
      <c r="C5097" s="6"/>
      <c r="D5097" s="6"/>
      <c r="E5097" s="6"/>
      <c r="F5097" s="6"/>
      <c r="G5097" s="6"/>
    </row>
    <row r="5098" spans="1:7" x14ac:dyDescent="0.25">
      <c r="A5098" s="6" t="s">
        <v>957</v>
      </c>
      <c r="B5098" s="6"/>
      <c r="C5098" s="6"/>
      <c r="D5098" s="6"/>
      <c r="E5098" s="6"/>
      <c r="F5098" s="6"/>
      <c r="G5098" s="6"/>
    </row>
    <row r="5099" spans="1:7" x14ac:dyDescent="0.25">
      <c r="A5099" s="6" t="s">
        <v>1415</v>
      </c>
      <c r="B5099" s="6"/>
      <c r="C5099" s="6"/>
      <c r="D5099" s="6"/>
      <c r="E5099" s="6"/>
      <c r="F5099" s="6"/>
      <c r="G5099" s="6"/>
    </row>
    <row r="5100" spans="1:7" x14ac:dyDescent="0.25">
      <c r="A5100" s="6" t="s">
        <v>1413</v>
      </c>
      <c r="B5100" s="6"/>
      <c r="C5100" s="6"/>
      <c r="D5100" s="6"/>
      <c r="E5100" s="6"/>
      <c r="F5100" s="6"/>
      <c r="G5100" s="6"/>
    </row>
    <row r="5101" spans="1:7" x14ac:dyDescent="0.25">
      <c r="A5101" s="6" t="s">
        <v>1410</v>
      </c>
      <c r="B5101" s="6"/>
      <c r="C5101" s="6"/>
      <c r="D5101" s="6"/>
      <c r="E5101" s="6"/>
      <c r="F5101" s="6"/>
      <c r="G5101" s="6"/>
    </row>
    <row r="5102" spans="1:7" x14ac:dyDescent="0.25">
      <c r="A5102" s="6" t="s">
        <v>957</v>
      </c>
      <c r="B5102" s="6"/>
      <c r="C5102" s="6"/>
      <c r="D5102" s="6"/>
      <c r="E5102" s="6"/>
      <c r="F5102" s="6"/>
      <c r="G5102" s="6"/>
    </row>
    <row r="5103" spans="1:7" x14ac:dyDescent="0.25">
      <c r="A5103" s="6" t="s">
        <v>1405</v>
      </c>
      <c r="B5103" s="6"/>
      <c r="C5103" s="6"/>
      <c r="D5103" s="6"/>
      <c r="E5103" s="6"/>
      <c r="F5103" s="6"/>
      <c r="G5103" s="6"/>
    </row>
    <row r="5104" spans="1:7" x14ac:dyDescent="0.25">
      <c r="A5104" s="6" t="s">
        <v>1402</v>
      </c>
      <c r="B5104" s="6"/>
      <c r="C5104" s="6"/>
      <c r="D5104" s="6"/>
      <c r="E5104" s="6"/>
      <c r="F5104" s="6"/>
      <c r="G5104" s="6"/>
    </row>
    <row r="5105" spans="1:7" x14ac:dyDescent="0.25">
      <c r="A5105" s="6" t="s">
        <v>1399</v>
      </c>
      <c r="B5105" s="6"/>
      <c r="C5105" s="6"/>
      <c r="D5105" s="6"/>
      <c r="E5105" s="6"/>
      <c r="F5105" s="6"/>
      <c r="G5105" s="6"/>
    </row>
    <row r="5106" spans="1:7" x14ac:dyDescent="0.25">
      <c r="A5106" s="6" t="s">
        <v>387</v>
      </c>
      <c r="B5106" s="6"/>
      <c r="C5106" s="6"/>
      <c r="D5106" s="6"/>
      <c r="E5106" s="6"/>
      <c r="F5106" s="6"/>
      <c r="G5106" s="6"/>
    </row>
    <row r="5107" spans="1:7" x14ac:dyDescent="0.25">
      <c r="A5107" s="6" t="s">
        <v>384</v>
      </c>
      <c r="B5107" s="6"/>
      <c r="C5107" s="6"/>
      <c r="D5107" s="6"/>
      <c r="E5107" s="6"/>
      <c r="F5107" s="6"/>
      <c r="G5107" s="6"/>
    </row>
    <row r="5108" spans="1:7" x14ac:dyDescent="0.25">
      <c r="A5108" s="6" t="s">
        <v>957</v>
      </c>
      <c r="B5108" s="6"/>
      <c r="C5108" s="6"/>
      <c r="D5108" s="6"/>
      <c r="E5108" s="6"/>
      <c r="F5108" s="6"/>
      <c r="G5108" s="6"/>
    </row>
    <row r="5109" spans="1:7" x14ac:dyDescent="0.25">
      <c r="A5109" s="6" t="s">
        <v>380</v>
      </c>
      <c r="B5109" s="6"/>
      <c r="C5109" s="6"/>
      <c r="D5109" s="6"/>
      <c r="E5109" s="6"/>
      <c r="F5109" s="6"/>
      <c r="G5109" s="6"/>
    </row>
    <row r="5110" spans="1:7" x14ac:dyDescent="0.25">
      <c r="A5110" s="6" t="s">
        <v>377</v>
      </c>
      <c r="B5110" s="6"/>
      <c r="C5110" s="6"/>
      <c r="D5110" s="6"/>
      <c r="E5110" s="6"/>
      <c r="F5110" s="6"/>
      <c r="G5110" s="6"/>
    </row>
    <row r="5111" spans="1:7" x14ac:dyDescent="0.25">
      <c r="A5111" s="6" t="s">
        <v>374</v>
      </c>
      <c r="B5111" s="6"/>
      <c r="C5111" s="6"/>
      <c r="D5111" s="6"/>
      <c r="E5111" s="6"/>
      <c r="F5111" s="6"/>
      <c r="G5111" s="6"/>
    </row>
    <row r="5112" spans="1:7" x14ac:dyDescent="0.25">
      <c r="A5112" s="6" t="s">
        <v>371</v>
      </c>
      <c r="B5112" s="6"/>
      <c r="C5112" s="6"/>
      <c r="D5112" s="6"/>
      <c r="E5112" s="6"/>
      <c r="F5112" s="6"/>
      <c r="G5112" s="6"/>
    </row>
    <row r="5113" spans="1:7" x14ac:dyDescent="0.25">
      <c r="A5113" s="6" t="s">
        <v>957</v>
      </c>
      <c r="B5113" s="6"/>
      <c r="C5113" s="6"/>
      <c r="D5113" s="6"/>
      <c r="E5113" s="6"/>
      <c r="F5113" s="6"/>
      <c r="G5113" s="6"/>
    </row>
    <row r="5114" spans="1:7" x14ac:dyDescent="0.25">
      <c r="A5114" s="6" t="s">
        <v>367</v>
      </c>
      <c r="B5114" s="6"/>
      <c r="C5114" s="6"/>
      <c r="D5114" s="6"/>
      <c r="E5114" s="6"/>
      <c r="F5114" s="6"/>
      <c r="G5114" s="6"/>
    </row>
    <row r="5115" spans="1:7" x14ac:dyDescent="0.25">
      <c r="A5115" s="6" t="s">
        <v>364</v>
      </c>
      <c r="B5115" s="6"/>
      <c r="C5115" s="6"/>
      <c r="D5115" s="6"/>
      <c r="E5115" s="6"/>
      <c r="F5115" s="6"/>
      <c r="G5115" s="6"/>
    </row>
    <row r="5116" spans="1:7" x14ac:dyDescent="0.25">
      <c r="A5116" s="6" t="s">
        <v>957</v>
      </c>
      <c r="B5116" s="6"/>
      <c r="C5116" s="6"/>
      <c r="D5116" s="6"/>
      <c r="E5116" s="6"/>
      <c r="F5116" s="6"/>
      <c r="G5116" s="6"/>
    </row>
    <row r="5117" spans="1:7" x14ac:dyDescent="0.25">
      <c r="A5117" s="6" t="s">
        <v>360</v>
      </c>
      <c r="B5117" s="6"/>
      <c r="C5117" s="6"/>
      <c r="D5117" s="6"/>
      <c r="E5117" s="6"/>
      <c r="F5117" s="6"/>
      <c r="G5117" s="6"/>
    </row>
    <row r="5118" spans="1:7" x14ac:dyDescent="0.25">
      <c r="A5118" s="6" t="s">
        <v>357</v>
      </c>
      <c r="B5118" s="6"/>
      <c r="C5118" s="6"/>
      <c r="D5118" s="6"/>
      <c r="E5118" s="6"/>
      <c r="F5118" s="6"/>
      <c r="G5118" s="6"/>
    </row>
    <row r="5119" spans="1:7" x14ac:dyDescent="0.25">
      <c r="A5119" s="6" t="s">
        <v>354</v>
      </c>
      <c r="B5119" s="6"/>
      <c r="C5119" s="6"/>
      <c r="D5119" s="6"/>
      <c r="E5119" s="6"/>
      <c r="F5119" s="6"/>
      <c r="G5119" s="6"/>
    </row>
    <row r="5120" spans="1:7" x14ac:dyDescent="0.25">
      <c r="A5120" s="6" t="s">
        <v>1177</v>
      </c>
      <c r="B5120" s="6"/>
      <c r="C5120" s="6"/>
      <c r="D5120" s="6"/>
      <c r="E5120" s="6"/>
      <c r="F5120" s="6"/>
      <c r="G5120" s="6"/>
    </row>
    <row r="5121" spans="1:7" x14ac:dyDescent="0.25">
      <c r="A5121" s="6" t="s">
        <v>1174</v>
      </c>
      <c r="B5121" s="6"/>
      <c r="C5121" s="6"/>
      <c r="D5121" s="6"/>
      <c r="E5121" s="6"/>
      <c r="F5121" s="6"/>
      <c r="G5121" s="6"/>
    </row>
    <row r="5122" spans="1:7" x14ac:dyDescent="0.25">
      <c r="A5122" s="6" t="s">
        <v>1171</v>
      </c>
      <c r="B5122" s="6"/>
      <c r="C5122" s="6"/>
      <c r="D5122" s="6"/>
      <c r="E5122" s="6"/>
      <c r="F5122" s="6"/>
      <c r="G5122" s="6"/>
    </row>
    <row r="5123" spans="1:7" x14ac:dyDescent="0.25">
      <c r="A5123" s="6" t="s">
        <v>1168</v>
      </c>
      <c r="B5123" s="6"/>
      <c r="C5123" s="6"/>
      <c r="D5123" s="6"/>
      <c r="E5123" s="6"/>
      <c r="F5123" s="6"/>
      <c r="G5123" s="6"/>
    </row>
    <row r="5124" spans="1:7" x14ac:dyDescent="0.25">
      <c r="A5124" s="6" t="s">
        <v>1165</v>
      </c>
      <c r="B5124" s="6"/>
      <c r="C5124" s="6"/>
      <c r="D5124" s="6"/>
      <c r="E5124" s="6"/>
      <c r="F5124" s="6"/>
      <c r="G5124" s="6"/>
    </row>
    <row r="5125" spans="1:7" x14ac:dyDescent="0.25">
      <c r="A5125" s="6" t="s">
        <v>1162</v>
      </c>
      <c r="B5125" s="6"/>
      <c r="C5125" s="6"/>
      <c r="D5125" s="6"/>
      <c r="E5125" s="6"/>
      <c r="F5125" s="6"/>
      <c r="G5125" s="6"/>
    </row>
    <row r="5126" spans="1:7" x14ac:dyDescent="0.25">
      <c r="A5126" s="6" t="s">
        <v>957</v>
      </c>
      <c r="B5126" s="6"/>
      <c r="C5126" s="6"/>
      <c r="D5126" s="6"/>
      <c r="E5126" s="6"/>
      <c r="F5126" s="6"/>
      <c r="G5126" s="6"/>
    </row>
    <row r="5127" spans="1:7" x14ac:dyDescent="0.25">
      <c r="A5127" s="6" t="s">
        <v>1158</v>
      </c>
      <c r="B5127" s="6"/>
      <c r="C5127" s="6"/>
      <c r="D5127" s="6"/>
      <c r="E5127" s="6"/>
      <c r="F5127" s="6"/>
      <c r="G5127" s="6"/>
    </row>
    <row r="5128" spans="1:7" x14ac:dyDescent="0.25">
      <c r="A5128" s="6" t="s">
        <v>957</v>
      </c>
      <c r="B5128" s="6"/>
      <c r="C5128" s="6"/>
      <c r="D5128" s="6"/>
      <c r="E5128" s="6"/>
      <c r="F5128" s="6"/>
      <c r="G5128" s="6"/>
    </row>
    <row r="5129" spans="1:7" x14ac:dyDescent="0.25">
      <c r="A5129" s="6" t="s">
        <v>957</v>
      </c>
      <c r="B5129" s="6"/>
      <c r="C5129" s="6"/>
      <c r="D5129" s="6"/>
      <c r="E5129" s="6"/>
      <c r="F5129" s="6"/>
      <c r="G5129" s="6"/>
    </row>
    <row r="5130" spans="1:7" x14ac:dyDescent="0.25">
      <c r="A5130" s="6" t="s">
        <v>957</v>
      </c>
      <c r="B5130" s="6"/>
      <c r="C5130" s="6"/>
      <c r="D5130" s="6"/>
      <c r="E5130" s="6"/>
      <c r="F5130" s="6"/>
      <c r="G5130" s="6"/>
    </row>
    <row r="5131" spans="1:7" x14ac:dyDescent="0.25">
      <c r="A5131" s="6" t="s">
        <v>1152</v>
      </c>
      <c r="B5131" s="6"/>
      <c r="C5131" s="6"/>
      <c r="D5131" s="6"/>
      <c r="E5131" s="6"/>
      <c r="F5131" s="6"/>
      <c r="G5131" s="6"/>
    </row>
    <row r="5132" spans="1:7" x14ac:dyDescent="0.25">
      <c r="A5132" s="6" t="s">
        <v>957</v>
      </c>
      <c r="B5132" s="6"/>
      <c r="C5132" s="6"/>
      <c r="D5132" s="6"/>
      <c r="E5132" s="6"/>
      <c r="F5132" s="6"/>
      <c r="G5132" s="6"/>
    </row>
    <row r="5133" spans="1:7" x14ac:dyDescent="0.25">
      <c r="A5133" s="6" t="s">
        <v>1148</v>
      </c>
      <c r="B5133" s="6"/>
      <c r="C5133" s="6"/>
      <c r="D5133" s="6"/>
      <c r="E5133" s="6"/>
      <c r="F5133" s="6"/>
      <c r="G5133" s="6"/>
    </row>
    <row r="5134" spans="1:7" x14ac:dyDescent="0.25">
      <c r="A5134" s="6" t="s">
        <v>957</v>
      </c>
      <c r="B5134" s="6"/>
      <c r="C5134" s="6"/>
      <c r="D5134" s="6"/>
      <c r="E5134" s="6"/>
      <c r="F5134" s="6"/>
      <c r="G5134" s="6"/>
    </row>
    <row r="5135" spans="1:7" x14ac:dyDescent="0.25">
      <c r="A5135" s="6" t="s">
        <v>957</v>
      </c>
      <c r="B5135" s="6"/>
      <c r="C5135" s="6"/>
      <c r="D5135" s="6"/>
      <c r="E5135" s="6"/>
      <c r="F5135" s="6"/>
      <c r="G5135" s="6"/>
    </row>
    <row r="5136" spans="1:7" x14ac:dyDescent="0.25">
      <c r="A5136" s="6" t="s">
        <v>957</v>
      </c>
      <c r="B5136" s="6"/>
      <c r="C5136" s="6"/>
      <c r="D5136" s="6"/>
      <c r="E5136" s="6"/>
      <c r="F5136" s="6"/>
      <c r="G5136" s="6"/>
    </row>
    <row r="5137" spans="1:7" x14ac:dyDescent="0.25">
      <c r="A5137" s="6" t="s">
        <v>14236</v>
      </c>
      <c r="B5137" s="6" t="s">
        <v>14237</v>
      </c>
      <c r="C5137" s="6"/>
      <c r="D5137" s="6"/>
      <c r="E5137" s="6"/>
      <c r="F5137" s="6"/>
      <c r="G5137" s="6"/>
    </row>
    <row r="5138" spans="1:7" x14ac:dyDescent="0.25">
      <c r="A5138" s="6" t="s">
        <v>1140</v>
      </c>
      <c r="B5138" s="6"/>
      <c r="C5138" s="6"/>
      <c r="D5138" s="6"/>
      <c r="E5138" s="6"/>
      <c r="F5138" s="6"/>
      <c r="G5138" s="6"/>
    </row>
    <row r="5139" spans="1:7" x14ac:dyDescent="0.25">
      <c r="A5139" s="6" t="s">
        <v>1137</v>
      </c>
      <c r="B5139" s="6"/>
      <c r="C5139" s="6"/>
      <c r="D5139" s="6"/>
      <c r="E5139" s="6"/>
      <c r="F5139" s="6"/>
      <c r="G5139" s="6"/>
    </row>
    <row r="5140" spans="1:7" x14ac:dyDescent="0.25">
      <c r="A5140" s="6" t="s">
        <v>957</v>
      </c>
      <c r="B5140" s="6"/>
      <c r="C5140" s="6"/>
      <c r="D5140" s="6"/>
      <c r="E5140" s="6"/>
      <c r="F5140" s="6"/>
      <c r="G5140" s="6"/>
    </row>
    <row r="5141" spans="1:7" x14ac:dyDescent="0.25">
      <c r="A5141" s="6" t="s">
        <v>1133</v>
      </c>
      <c r="B5141" s="6"/>
      <c r="C5141" s="6"/>
      <c r="D5141" s="6"/>
      <c r="E5141" s="6"/>
      <c r="F5141" s="6"/>
      <c r="G5141" s="6"/>
    </row>
    <row r="5142" spans="1:7" x14ac:dyDescent="0.25">
      <c r="A5142" s="6" t="s">
        <v>1130</v>
      </c>
      <c r="B5142" s="6"/>
      <c r="C5142" s="6"/>
      <c r="D5142" s="6"/>
      <c r="E5142" s="6"/>
      <c r="F5142" s="6"/>
      <c r="G5142" s="6"/>
    </row>
    <row r="5143" spans="1:7" x14ac:dyDescent="0.25">
      <c r="A5143" s="6" t="s">
        <v>1127</v>
      </c>
      <c r="B5143" s="6"/>
      <c r="C5143" s="6"/>
      <c r="D5143" s="6"/>
      <c r="E5143" s="6"/>
      <c r="F5143" s="6"/>
      <c r="G5143" s="6"/>
    </row>
    <row r="5144" spans="1:7" x14ac:dyDescent="0.25">
      <c r="A5144" s="6" t="s">
        <v>1124</v>
      </c>
      <c r="B5144" s="6"/>
      <c r="C5144" s="6"/>
      <c r="D5144" s="6"/>
      <c r="E5144" s="6"/>
      <c r="F5144" s="6"/>
      <c r="G5144" s="6"/>
    </row>
    <row r="5145" spans="1:7" x14ac:dyDescent="0.25">
      <c r="A5145" s="6" t="s">
        <v>1121</v>
      </c>
      <c r="B5145" s="6"/>
      <c r="C5145" s="6"/>
      <c r="D5145" s="6"/>
      <c r="E5145" s="6"/>
      <c r="F5145" s="6"/>
      <c r="G5145" s="6"/>
    </row>
    <row r="5146" spans="1:7" x14ac:dyDescent="0.25">
      <c r="A5146" s="6" t="s">
        <v>957</v>
      </c>
      <c r="B5146" s="6"/>
      <c r="C5146" s="6"/>
      <c r="D5146" s="6"/>
      <c r="E5146" s="6"/>
      <c r="F5146" s="6"/>
      <c r="G5146" s="6"/>
    </row>
    <row r="5147" spans="1:7" x14ac:dyDescent="0.25">
      <c r="A5147" s="6" t="s">
        <v>1116</v>
      </c>
      <c r="B5147" s="6"/>
      <c r="C5147" s="6"/>
      <c r="D5147" s="6"/>
      <c r="E5147" s="6"/>
      <c r="F5147" s="6"/>
      <c r="G5147" s="6"/>
    </row>
    <row r="5148" spans="1:7" x14ac:dyDescent="0.25">
      <c r="A5148" s="6" t="s">
        <v>957</v>
      </c>
      <c r="B5148" s="6"/>
      <c r="C5148" s="6"/>
      <c r="D5148" s="6"/>
      <c r="E5148" s="6"/>
      <c r="F5148" s="6"/>
      <c r="G5148" s="6"/>
    </row>
    <row r="5149" spans="1:7" x14ac:dyDescent="0.25">
      <c r="A5149" s="6" t="s">
        <v>705</v>
      </c>
      <c r="B5149" s="6"/>
      <c r="C5149" s="6"/>
      <c r="D5149" s="6"/>
      <c r="E5149" s="6"/>
      <c r="F5149" s="6"/>
      <c r="G5149" s="6"/>
    </row>
    <row r="5150" spans="1:7" x14ac:dyDescent="0.25">
      <c r="A5150" s="6" t="s">
        <v>957</v>
      </c>
      <c r="B5150" s="6"/>
      <c r="C5150" s="6"/>
      <c r="D5150" s="6"/>
      <c r="E5150" s="6"/>
      <c r="F5150" s="6"/>
      <c r="G5150" s="6"/>
    </row>
    <row r="5151" spans="1:7" x14ac:dyDescent="0.25">
      <c r="A5151" s="6" t="s">
        <v>701</v>
      </c>
      <c r="B5151" s="6"/>
      <c r="C5151" s="6"/>
      <c r="D5151" s="6"/>
      <c r="E5151" s="6"/>
      <c r="F5151" s="6"/>
      <c r="G5151" s="6"/>
    </row>
    <row r="5152" spans="1:7" x14ac:dyDescent="0.25">
      <c r="A5152" s="6" t="s">
        <v>698</v>
      </c>
      <c r="B5152" s="6"/>
      <c r="C5152" s="6"/>
      <c r="D5152" s="6"/>
      <c r="E5152" s="6"/>
      <c r="F5152" s="6"/>
      <c r="G5152" s="6"/>
    </row>
    <row r="5153" spans="1:7" x14ac:dyDescent="0.25">
      <c r="A5153" s="6" t="s">
        <v>695</v>
      </c>
      <c r="B5153" s="6"/>
      <c r="C5153" s="6"/>
      <c r="D5153" s="6"/>
      <c r="E5153" s="6"/>
      <c r="F5153" s="6"/>
      <c r="G5153" s="6"/>
    </row>
    <row r="5154" spans="1:7" x14ac:dyDescent="0.25">
      <c r="A5154" s="6" t="s">
        <v>692</v>
      </c>
      <c r="B5154" s="6"/>
      <c r="C5154" s="6"/>
      <c r="D5154" s="6"/>
      <c r="E5154" s="6"/>
      <c r="F5154" s="6"/>
      <c r="G5154" s="6"/>
    </row>
    <row r="5155" spans="1:7" x14ac:dyDescent="0.25">
      <c r="A5155" s="6" t="s">
        <v>689</v>
      </c>
      <c r="B5155" s="6"/>
      <c r="C5155" s="6"/>
      <c r="D5155" s="6"/>
      <c r="E5155" s="6"/>
      <c r="F5155" s="6"/>
      <c r="G5155" s="6"/>
    </row>
    <row r="5156" spans="1:7" x14ac:dyDescent="0.25">
      <c r="A5156" s="6" t="s">
        <v>686</v>
      </c>
      <c r="B5156" s="6"/>
      <c r="C5156" s="6"/>
      <c r="D5156" s="6"/>
      <c r="E5156" s="6"/>
      <c r="F5156" s="6"/>
      <c r="G5156" s="6"/>
    </row>
    <row r="5157" spans="1:7" x14ac:dyDescent="0.25">
      <c r="A5157" s="6" t="s">
        <v>683</v>
      </c>
      <c r="B5157" s="6"/>
      <c r="C5157" s="6"/>
      <c r="D5157" s="6"/>
      <c r="E5157" s="6"/>
      <c r="F5157" s="6"/>
      <c r="G5157" s="6"/>
    </row>
    <row r="5158" spans="1:7" x14ac:dyDescent="0.25">
      <c r="A5158" s="6" t="s">
        <v>957</v>
      </c>
      <c r="B5158" s="6"/>
      <c r="C5158" s="6"/>
      <c r="D5158" s="6"/>
      <c r="E5158" s="6"/>
      <c r="F5158" s="6"/>
      <c r="G5158" s="6"/>
    </row>
    <row r="5159" spans="1:7" x14ac:dyDescent="0.25">
      <c r="A5159" s="6" t="s">
        <v>678</v>
      </c>
      <c r="B5159" s="6"/>
      <c r="C5159" s="6"/>
      <c r="D5159" s="6"/>
      <c r="E5159" s="6"/>
      <c r="F5159" s="6"/>
      <c r="G5159" s="6"/>
    </row>
    <row r="5160" spans="1:7" x14ac:dyDescent="0.25">
      <c r="A5160" s="6" t="s">
        <v>957</v>
      </c>
      <c r="B5160" s="6"/>
      <c r="C5160" s="6"/>
      <c r="D5160" s="6"/>
      <c r="E5160" s="6"/>
      <c r="F5160" s="6"/>
      <c r="G5160" s="6"/>
    </row>
    <row r="5161" spans="1:7" x14ac:dyDescent="0.25">
      <c r="A5161" s="6" t="s">
        <v>674</v>
      </c>
      <c r="B5161" s="6"/>
      <c r="C5161" s="6"/>
      <c r="D5161" s="6"/>
      <c r="E5161" s="6"/>
      <c r="F5161" s="6"/>
      <c r="G5161" s="6"/>
    </row>
    <row r="5162" spans="1:7" x14ac:dyDescent="0.25">
      <c r="A5162" s="6" t="s">
        <v>1272</v>
      </c>
      <c r="B5162" s="6"/>
      <c r="C5162" s="6"/>
      <c r="D5162" s="6"/>
      <c r="E5162" s="6"/>
      <c r="F5162" s="6"/>
      <c r="G5162" s="6"/>
    </row>
    <row r="5163" spans="1:7" x14ac:dyDescent="0.25">
      <c r="A5163" s="6" t="s">
        <v>1269</v>
      </c>
      <c r="B5163" s="6"/>
      <c r="C5163" s="6"/>
      <c r="D5163" s="6"/>
      <c r="E5163" s="6"/>
      <c r="F5163" s="6"/>
      <c r="G5163" s="6"/>
    </row>
    <row r="5164" spans="1:7" x14ac:dyDescent="0.25">
      <c r="A5164" s="6" t="s">
        <v>1266</v>
      </c>
      <c r="B5164" s="6"/>
      <c r="C5164" s="6"/>
      <c r="D5164" s="6"/>
      <c r="E5164" s="6"/>
      <c r="F5164" s="6"/>
      <c r="G5164" s="6"/>
    </row>
    <row r="5165" spans="1:7" x14ac:dyDescent="0.25">
      <c r="A5165" s="6" t="s">
        <v>957</v>
      </c>
      <c r="B5165" s="6"/>
      <c r="C5165" s="6"/>
      <c r="D5165" s="6"/>
      <c r="E5165" s="6"/>
      <c r="F5165" s="6"/>
      <c r="G5165" s="6"/>
    </row>
    <row r="5166" spans="1:7" x14ac:dyDescent="0.25">
      <c r="A5166" s="6" t="s">
        <v>1262</v>
      </c>
      <c r="B5166" s="6"/>
      <c r="C5166" s="6"/>
      <c r="D5166" s="6"/>
      <c r="E5166" s="6"/>
      <c r="F5166" s="6"/>
      <c r="G5166" s="6"/>
    </row>
    <row r="5167" spans="1:7" x14ac:dyDescent="0.25">
      <c r="A5167" s="6" t="s">
        <v>1259</v>
      </c>
      <c r="B5167" s="6"/>
      <c r="C5167" s="6"/>
      <c r="D5167" s="6"/>
      <c r="E5167" s="6"/>
      <c r="F5167" s="6"/>
      <c r="G5167" s="6"/>
    </row>
    <row r="5168" spans="1:7" x14ac:dyDescent="0.25">
      <c r="A5168" s="6" t="s">
        <v>1256</v>
      </c>
      <c r="B5168" s="6"/>
      <c r="C5168" s="6"/>
      <c r="D5168" s="6"/>
      <c r="E5168" s="6"/>
      <c r="F5168" s="6"/>
      <c r="G5168" s="6"/>
    </row>
    <row r="5169" spans="1:7" x14ac:dyDescent="0.25">
      <c r="A5169" s="6" t="s">
        <v>1253</v>
      </c>
      <c r="B5169" s="6"/>
      <c r="C5169" s="6"/>
      <c r="D5169" s="6"/>
      <c r="E5169" s="6"/>
      <c r="F5169" s="6"/>
      <c r="G5169" s="6"/>
    </row>
    <row r="5170" spans="1:7" x14ac:dyDescent="0.25">
      <c r="A5170" s="6" t="s">
        <v>1250</v>
      </c>
      <c r="B5170" s="6"/>
      <c r="C5170" s="6"/>
      <c r="D5170" s="6"/>
      <c r="E5170" s="6"/>
      <c r="F5170" s="6"/>
      <c r="G5170" s="6"/>
    </row>
    <row r="5171" spans="1:7" x14ac:dyDescent="0.25">
      <c r="A5171" s="6" t="s">
        <v>1247</v>
      </c>
      <c r="B5171" s="6"/>
      <c r="C5171" s="6"/>
      <c r="D5171" s="6"/>
      <c r="E5171" s="6"/>
      <c r="F5171" s="6"/>
      <c r="G5171" s="6"/>
    </row>
    <row r="5172" spans="1:7" x14ac:dyDescent="0.25">
      <c r="A5172" s="6" t="s">
        <v>1244</v>
      </c>
      <c r="B5172" s="6"/>
      <c r="C5172" s="6"/>
      <c r="D5172" s="6"/>
      <c r="E5172" s="6"/>
      <c r="F5172" s="6"/>
      <c r="G5172" s="6"/>
    </row>
    <row r="5173" spans="1:7" x14ac:dyDescent="0.25">
      <c r="A5173" s="6" t="s">
        <v>1241</v>
      </c>
      <c r="B5173" s="6"/>
      <c r="C5173" s="6"/>
      <c r="D5173" s="6"/>
      <c r="E5173" s="6"/>
      <c r="F5173" s="6"/>
      <c r="G5173" s="6"/>
    </row>
    <row r="5174" spans="1:7" x14ac:dyDescent="0.25">
      <c r="A5174" s="6" t="s">
        <v>1238</v>
      </c>
      <c r="B5174" s="6"/>
      <c r="C5174" s="6"/>
      <c r="D5174" s="6"/>
      <c r="E5174" s="6"/>
      <c r="F5174" s="6"/>
      <c r="G5174" s="6"/>
    </row>
    <row r="5175" spans="1:7" x14ac:dyDescent="0.25">
      <c r="A5175" s="6" t="s">
        <v>1235</v>
      </c>
      <c r="B5175" s="6"/>
      <c r="C5175" s="6"/>
      <c r="D5175" s="6"/>
      <c r="E5175" s="6"/>
      <c r="F5175" s="6"/>
      <c r="G5175" s="6"/>
    </row>
    <row r="5176" spans="1:7" x14ac:dyDescent="0.25">
      <c r="A5176" s="6" t="s">
        <v>1232</v>
      </c>
      <c r="B5176" s="6"/>
      <c r="C5176" s="6"/>
      <c r="D5176" s="6"/>
      <c r="E5176" s="6"/>
      <c r="F5176" s="6"/>
      <c r="G5176" s="6"/>
    </row>
    <row r="5177" spans="1:7" x14ac:dyDescent="0.25">
      <c r="A5177" s="6" t="s">
        <v>1229</v>
      </c>
      <c r="B5177" s="6"/>
      <c r="C5177" s="6"/>
      <c r="D5177" s="6"/>
      <c r="E5177" s="6"/>
      <c r="F5177" s="6"/>
      <c r="G5177" s="6"/>
    </row>
    <row r="5178" spans="1:7" x14ac:dyDescent="0.25">
      <c r="A5178" s="6" t="s">
        <v>957</v>
      </c>
      <c r="B5178" s="6"/>
      <c r="C5178" s="6"/>
      <c r="D5178" s="6"/>
      <c r="E5178" s="6"/>
      <c r="F5178" s="6"/>
      <c r="G5178" s="6"/>
    </row>
    <row r="5179" spans="1:7" x14ac:dyDescent="0.25">
      <c r="A5179" s="6" t="s">
        <v>1225</v>
      </c>
      <c r="B5179" s="6"/>
      <c r="C5179" s="6"/>
      <c r="D5179" s="6"/>
      <c r="E5179" s="6"/>
      <c r="F5179" s="6"/>
      <c r="G5179" s="6"/>
    </row>
    <row r="5180" spans="1:7" x14ac:dyDescent="0.25">
      <c r="A5180" s="6" t="s">
        <v>1222</v>
      </c>
      <c r="B5180" s="6"/>
      <c r="C5180" s="6"/>
      <c r="D5180" s="6"/>
      <c r="E5180" s="6"/>
      <c r="F5180" s="6"/>
      <c r="G5180" s="6"/>
    </row>
    <row r="5181" spans="1:7" x14ac:dyDescent="0.25">
      <c r="A5181" s="6" t="s">
        <v>1219</v>
      </c>
      <c r="B5181" s="6"/>
      <c r="C5181" s="6"/>
      <c r="D5181" s="6"/>
      <c r="E5181" s="6"/>
      <c r="F5181" s="6"/>
      <c r="G5181" s="6"/>
    </row>
    <row r="5182" spans="1:7" x14ac:dyDescent="0.25">
      <c r="A5182" s="6" t="s">
        <v>957</v>
      </c>
      <c r="B5182" s="6"/>
      <c r="C5182" s="6"/>
      <c r="D5182" s="6"/>
      <c r="E5182" s="6"/>
      <c r="F5182" s="6"/>
      <c r="G5182" s="6"/>
    </row>
    <row r="5183" spans="1:7" x14ac:dyDescent="0.25">
      <c r="A5183" s="6" t="s">
        <v>1215</v>
      </c>
      <c r="B5183" s="6"/>
      <c r="C5183" s="6"/>
      <c r="D5183" s="6"/>
      <c r="E5183" s="6"/>
      <c r="F5183" s="6"/>
      <c r="G5183" s="6"/>
    </row>
    <row r="5184" spans="1:7" x14ac:dyDescent="0.25">
      <c r="A5184" s="6" t="s">
        <v>1212</v>
      </c>
      <c r="B5184" s="6"/>
      <c r="C5184" s="6"/>
      <c r="D5184" s="6"/>
      <c r="E5184" s="6"/>
      <c r="F5184" s="6"/>
      <c r="G5184" s="6"/>
    </row>
    <row r="5185" spans="1:7" x14ac:dyDescent="0.25">
      <c r="A5185" s="6" t="s">
        <v>202</v>
      </c>
      <c r="B5185" s="6"/>
      <c r="C5185" s="6"/>
      <c r="D5185" s="6"/>
      <c r="E5185" s="6"/>
      <c r="F5185" s="6"/>
      <c r="G5185" s="6"/>
    </row>
    <row r="5186" spans="1:7" x14ac:dyDescent="0.25">
      <c r="A5186" s="6" t="s">
        <v>199</v>
      </c>
      <c r="B5186" s="6"/>
      <c r="C5186" s="6"/>
      <c r="D5186" s="6"/>
      <c r="E5186" s="6"/>
      <c r="F5186" s="6"/>
      <c r="G5186" s="6"/>
    </row>
    <row r="5187" spans="1:7" x14ac:dyDescent="0.25">
      <c r="A5187" s="6" t="s">
        <v>196</v>
      </c>
      <c r="B5187" s="6"/>
      <c r="C5187" s="6"/>
      <c r="D5187" s="6"/>
      <c r="E5187" s="6"/>
      <c r="F5187" s="6"/>
      <c r="G5187" s="6"/>
    </row>
    <row r="5188" spans="1:7" x14ac:dyDescent="0.25">
      <c r="A5188" s="6" t="s">
        <v>193</v>
      </c>
      <c r="B5188" s="6"/>
      <c r="C5188" s="6"/>
      <c r="D5188" s="6"/>
      <c r="E5188" s="6"/>
      <c r="F5188" s="6"/>
      <c r="G5188" s="6"/>
    </row>
    <row r="5189" spans="1:7" x14ac:dyDescent="0.25">
      <c r="A5189" s="6" t="s">
        <v>190</v>
      </c>
      <c r="B5189" s="6"/>
      <c r="C5189" s="6"/>
      <c r="D5189" s="6"/>
      <c r="E5189" s="6"/>
      <c r="F5189" s="6"/>
      <c r="G5189" s="6"/>
    </row>
    <row r="5190" spans="1:7" x14ac:dyDescent="0.25">
      <c r="A5190" s="6" t="s">
        <v>957</v>
      </c>
      <c r="B5190" s="6"/>
      <c r="C5190" s="6"/>
      <c r="D5190" s="6"/>
      <c r="E5190" s="6"/>
      <c r="F5190" s="6"/>
      <c r="G5190" s="6"/>
    </row>
    <row r="5191" spans="1:7" x14ac:dyDescent="0.25">
      <c r="A5191" s="6" t="s">
        <v>186</v>
      </c>
      <c r="B5191" s="6"/>
      <c r="C5191" s="6"/>
      <c r="D5191" s="6"/>
      <c r="E5191" s="6"/>
      <c r="F5191" s="6"/>
      <c r="G5191" s="6"/>
    </row>
    <row r="5192" spans="1:7" x14ac:dyDescent="0.25">
      <c r="A5192" s="6" t="s">
        <v>183</v>
      </c>
      <c r="B5192" s="6"/>
      <c r="C5192" s="6"/>
      <c r="D5192" s="6"/>
      <c r="E5192" s="6"/>
      <c r="F5192" s="6"/>
      <c r="G5192" s="6"/>
    </row>
    <row r="5193" spans="1:7" x14ac:dyDescent="0.25">
      <c r="A5193" s="6" t="s">
        <v>180</v>
      </c>
      <c r="B5193" s="6"/>
      <c r="C5193" s="6"/>
      <c r="D5193" s="6"/>
      <c r="E5193" s="6"/>
      <c r="F5193" s="6"/>
      <c r="G5193" s="6"/>
    </row>
    <row r="5194" spans="1:7" x14ac:dyDescent="0.25">
      <c r="A5194" s="6" t="s">
        <v>957</v>
      </c>
      <c r="B5194" s="6"/>
      <c r="C5194" s="6"/>
      <c r="D5194" s="6"/>
      <c r="E5194" s="6"/>
      <c r="F5194" s="6"/>
      <c r="G5194" s="6"/>
    </row>
    <row r="5195" spans="1:7" x14ac:dyDescent="0.25">
      <c r="A5195" s="6" t="s">
        <v>176</v>
      </c>
      <c r="B5195" s="6"/>
      <c r="C5195" s="6"/>
      <c r="D5195" s="6"/>
      <c r="E5195" s="6"/>
      <c r="F5195" s="6"/>
      <c r="G5195" s="6"/>
    </row>
    <row r="5196" spans="1:7" x14ac:dyDescent="0.25">
      <c r="A5196" s="6" t="s">
        <v>173</v>
      </c>
      <c r="B5196" s="6"/>
      <c r="C5196" s="6"/>
      <c r="D5196" s="6"/>
      <c r="E5196" s="6"/>
      <c r="F5196" s="6"/>
      <c r="G5196" s="6"/>
    </row>
    <row r="5197" spans="1:7" x14ac:dyDescent="0.25">
      <c r="A5197" s="6" t="s">
        <v>170</v>
      </c>
      <c r="B5197" s="6"/>
      <c r="C5197" s="6"/>
      <c r="D5197" s="6"/>
      <c r="E5197" s="6"/>
      <c r="F5197" s="6"/>
      <c r="G5197" s="6"/>
    </row>
    <row r="5198" spans="1:7" x14ac:dyDescent="0.25">
      <c r="A5198" s="6" t="s">
        <v>167</v>
      </c>
      <c r="B5198" s="6"/>
      <c r="C5198" s="6"/>
      <c r="D5198" s="6"/>
      <c r="E5198" s="6"/>
      <c r="F5198" s="6"/>
      <c r="G5198" s="6"/>
    </row>
    <row r="5199" spans="1:7" x14ac:dyDescent="0.25">
      <c r="A5199" s="6" t="s">
        <v>1567</v>
      </c>
      <c r="B5199" s="6"/>
      <c r="C5199" s="6"/>
      <c r="D5199" s="6"/>
      <c r="E5199" s="6"/>
      <c r="F5199" s="6"/>
      <c r="G5199" s="6"/>
    </row>
    <row r="5200" spans="1:7" x14ac:dyDescent="0.25">
      <c r="A5200" s="6" t="s">
        <v>1564</v>
      </c>
      <c r="B5200" s="6"/>
      <c r="C5200" s="6"/>
      <c r="D5200" s="6"/>
      <c r="E5200" s="6"/>
      <c r="F5200" s="6"/>
      <c r="G5200" s="6"/>
    </row>
    <row r="5201" spans="1:7" x14ac:dyDescent="0.25">
      <c r="A5201" s="6" t="s">
        <v>1561</v>
      </c>
      <c r="B5201" s="6"/>
      <c r="C5201" s="6"/>
      <c r="D5201" s="6"/>
      <c r="E5201" s="6"/>
      <c r="F5201" s="6"/>
      <c r="G5201" s="6"/>
    </row>
    <row r="5202" spans="1:7" x14ac:dyDescent="0.25">
      <c r="A5202" s="6" t="s">
        <v>957</v>
      </c>
      <c r="B5202" s="6"/>
      <c r="C5202" s="6"/>
      <c r="D5202" s="6"/>
      <c r="E5202" s="6"/>
      <c r="F5202" s="6"/>
      <c r="G5202" s="6"/>
    </row>
    <row r="5203" spans="1:7" x14ac:dyDescent="0.25">
      <c r="A5203" s="6" t="s">
        <v>1557</v>
      </c>
      <c r="B5203" s="6"/>
      <c r="C5203" s="6"/>
      <c r="D5203" s="6"/>
      <c r="E5203" s="6"/>
      <c r="F5203" s="6"/>
      <c r="G5203" s="6"/>
    </row>
    <row r="5204" spans="1:7" x14ac:dyDescent="0.25">
      <c r="A5204" s="6" t="s">
        <v>1554</v>
      </c>
      <c r="B5204" s="6"/>
      <c r="C5204" s="6"/>
      <c r="D5204" s="6"/>
      <c r="E5204" s="6"/>
      <c r="F5204" s="6"/>
      <c r="G5204" s="6"/>
    </row>
    <row r="5205" spans="1:7" x14ac:dyDescent="0.25">
      <c r="A5205" s="6" t="s">
        <v>1551</v>
      </c>
      <c r="B5205" s="6"/>
      <c r="C5205" s="6"/>
      <c r="D5205" s="6"/>
      <c r="E5205" s="6"/>
      <c r="F5205" s="6"/>
      <c r="G5205" s="6"/>
    </row>
    <row r="5206" spans="1:7" x14ac:dyDescent="0.25">
      <c r="A5206" s="6" t="s">
        <v>1548</v>
      </c>
      <c r="B5206" s="6"/>
      <c r="C5206" s="6"/>
      <c r="D5206" s="6"/>
      <c r="E5206" s="6"/>
      <c r="F5206" s="6"/>
      <c r="G5206" s="6"/>
    </row>
    <row r="5207" spans="1:7" x14ac:dyDescent="0.25">
      <c r="A5207" s="6" t="s">
        <v>1545</v>
      </c>
      <c r="B5207" s="6"/>
      <c r="C5207" s="6"/>
      <c r="D5207" s="6"/>
      <c r="E5207" s="6"/>
      <c r="F5207" s="6"/>
      <c r="G5207" s="6"/>
    </row>
    <row r="5208" spans="1:7" x14ac:dyDescent="0.25">
      <c r="A5208" s="6" t="s">
        <v>1542</v>
      </c>
      <c r="B5208" s="6"/>
      <c r="C5208" s="6"/>
      <c r="D5208" s="6"/>
      <c r="E5208" s="6"/>
      <c r="F5208" s="6"/>
      <c r="G5208" s="6"/>
    </row>
    <row r="5209" spans="1:7" x14ac:dyDescent="0.25">
      <c r="A5209" s="6" t="s">
        <v>1539</v>
      </c>
      <c r="B5209" s="6"/>
      <c r="C5209" s="6"/>
      <c r="D5209" s="6"/>
      <c r="E5209" s="6"/>
      <c r="F5209" s="6"/>
      <c r="G5209" s="6"/>
    </row>
    <row r="5210" spans="1:7" x14ac:dyDescent="0.25">
      <c r="A5210" s="6" t="s">
        <v>1536</v>
      </c>
      <c r="B5210" s="6"/>
      <c r="C5210" s="6"/>
      <c r="D5210" s="6"/>
      <c r="E5210" s="6"/>
      <c r="F5210" s="6"/>
      <c r="G5210" s="6"/>
    </row>
    <row r="5211" spans="1:7" x14ac:dyDescent="0.25">
      <c r="A5211" s="6" t="s">
        <v>1533</v>
      </c>
      <c r="B5211" s="6"/>
      <c r="C5211" s="6"/>
      <c r="D5211" s="6"/>
      <c r="E5211" s="6"/>
      <c r="F5211" s="6"/>
      <c r="G5211" s="6"/>
    </row>
    <row r="5212" spans="1:7" x14ac:dyDescent="0.25">
      <c r="A5212" s="6" t="s">
        <v>957</v>
      </c>
      <c r="B5212" s="6"/>
      <c r="C5212" s="6"/>
      <c r="D5212" s="6"/>
      <c r="E5212" s="6"/>
      <c r="F5212" s="6"/>
      <c r="G5212" s="6"/>
    </row>
    <row r="5213" spans="1:7" x14ac:dyDescent="0.25">
      <c r="A5213" s="6" t="s">
        <v>1529</v>
      </c>
      <c r="B5213" s="6"/>
      <c r="C5213" s="6"/>
      <c r="D5213" s="6"/>
      <c r="E5213" s="6"/>
      <c r="F5213" s="6"/>
      <c r="G5213" s="6"/>
    </row>
    <row r="5214" spans="1:7" x14ac:dyDescent="0.25">
      <c r="A5214" s="6" t="s">
        <v>957</v>
      </c>
      <c r="B5214" s="6"/>
      <c r="C5214" s="6"/>
      <c r="D5214" s="6"/>
      <c r="E5214" s="6"/>
      <c r="F5214" s="6"/>
      <c r="G5214" s="6"/>
    </row>
    <row r="5215" spans="1:7" x14ac:dyDescent="0.25">
      <c r="A5215" s="6" t="s">
        <v>1525</v>
      </c>
      <c r="B5215" s="6"/>
      <c r="C5215" s="6"/>
      <c r="D5215" s="6"/>
      <c r="E5215" s="6"/>
      <c r="F5215" s="6"/>
      <c r="G5215" s="6"/>
    </row>
    <row r="5216" spans="1:7" x14ac:dyDescent="0.25">
      <c r="A5216" s="6" t="s">
        <v>1522</v>
      </c>
      <c r="B5216" s="6"/>
      <c r="C5216" s="6"/>
      <c r="D5216" s="6"/>
      <c r="E5216" s="6"/>
      <c r="F5216" s="6"/>
      <c r="G5216" s="6"/>
    </row>
    <row r="5217" spans="1:7" x14ac:dyDescent="0.25">
      <c r="A5217" s="6" t="s">
        <v>957</v>
      </c>
      <c r="B5217" s="6"/>
      <c r="C5217" s="6"/>
      <c r="D5217" s="6"/>
      <c r="E5217" s="6"/>
      <c r="F5217" s="6"/>
      <c r="G5217" s="6"/>
    </row>
    <row r="5218" spans="1:7" x14ac:dyDescent="0.25">
      <c r="A5218" s="6" t="s">
        <v>1519</v>
      </c>
      <c r="B5218" s="6"/>
      <c r="C5218" s="6"/>
      <c r="D5218" s="6"/>
      <c r="E5218" s="6"/>
      <c r="F5218" s="6"/>
      <c r="G5218" s="6"/>
    </row>
    <row r="5219" spans="1:7" x14ac:dyDescent="0.25">
      <c r="A5219" s="6" t="s">
        <v>1516</v>
      </c>
      <c r="B5219" s="6"/>
      <c r="C5219" s="6"/>
      <c r="D5219" s="6"/>
      <c r="E5219" s="6"/>
      <c r="F5219" s="6"/>
      <c r="G5219" s="6"/>
    </row>
    <row r="5220" spans="1:7" x14ac:dyDescent="0.25">
      <c r="A5220" s="6" t="s">
        <v>1513</v>
      </c>
      <c r="B5220" s="6"/>
      <c r="C5220" s="6"/>
      <c r="D5220" s="6"/>
      <c r="E5220" s="6"/>
      <c r="F5220" s="6"/>
      <c r="G5220" s="6"/>
    </row>
    <row r="5221" spans="1:7" x14ac:dyDescent="0.25">
      <c r="A5221" s="6" t="s">
        <v>957</v>
      </c>
      <c r="B5221" s="6"/>
      <c r="C5221" s="6"/>
      <c r="D5221" s="6"/>
      <c r="E5221" s="6"/>
      <c r="F5221" s="6"/>
      <c r="G5221" s="6"/>
    </row>
    <row r="5222" spans="1:7" x14ac:dyDescent="0.25">
      <c r="A5222" s="6" t="s">
        <v>1509</v>
      </c>
      <c r="B5222" s="6"/>
      <c r="C5222" s="6"/>
      <c r="D5222" s="6"/>
      <c r="E5222" s="6"/>
      <c r="F5222" s="6"/>
      <c r="G5222" s="6"/>
    </row>
    <row r="5223" spans="1:7" x14ac:dyDescent="0.25">
      <c r="A5223" s="6" t="s">
        <v>957</v>
      </c>
      <c r="B5223" s="6"/>
      <c r="C5223" s="6"/>
      <c r="D5223" s="6"/>
      <c r="E5223" s="6"/>
      <c r="F5223" s="6"/>
      <c r="G5223" s="6"/>
    </row>
    <row r="5224" spans="1:7" x14ac:dyDescent="0.25">
      <c r="A5224" s="6" t="s">
        <v>14249</v>
      </c>
      <c r="B5224" s="6" t="s">
        <v>14250</v>
      </c>
      <c r="C5224" s="6"/>
      <c r="D5224" s="6"/>
      <c r="E5224" s="6"/>
      <c r="F5224" s="6"/>
      <c r="G5224" s="6"/>
    </row>
    <row r="5225" spans="1:7" x14ac:dyDescent="0.25">
      <c r="A5225" s="6" t="s">
        <v>957</v>
      </c>
      <c r="B5225" s="6"/>
      <c r="C5225" s="6"/>
      <c r="D5225" s="6"/>
      <c r="E5225" s="6"/>
      <c r="F5225" s="6"/>
      <c r="G5225" s="6"/>
    </row>
    <row r="5226" spans="1:7" x14ac:dyDescent="0.25">
      <c r="A5226" s="6" t="s">
        <v>957</v>
      </c>
      <c r="B5226" s="6"/>
      <c r="C5226" s="6"/>
      <c r="D5226" s="6"/>
      <c r="E5226" s="6"/>
      <c r="F5226" s="6"/>
      <c r="G5226" s="6"/>
    </row>
    <row r="5227" spans="1:7" x14ac:dyDescent="0.25">
      <c r="A5227" s="6" t="s">
        <v>957</v>
      </c>
      <c r="B5227" s="6"/>
      <c r="C5227" s="6"/>
      <c r="D5227" s="6"/>
      <c r="E5227" s="6"/>
      <c r="F5227" s="6"/>
      <c r="G5227" s="6"/>
    </row>
    <row r="5228" spans="1:7" x14ac:dyDescent="0.25">
      <c r="A5228" s="6" t="s">
        <v>1498</v>
      </c>
      <c r="B5228" s="6"/>
      <c r="C5228" s="6"/>
      <c r="D5228" s="6"/>
      <c r="E5228" s="6"/>
      <c r="F5228" s="6"/>
      <c r="G5228" s="6"/>
    </row>
    <row r="5229" spans="1:7" x14ac:dyDescent="0.25">
      <c r="A5229" s="6" t="s">
        <v>1495</v>
      </c>
      <c r="B5229" s="6"/>
      <c r="C5229" s="6"/>
      <c r="D5229" s="6"/>
      <c r="E5229" s="6"/>
      <c r="F5229" s="6"/>
      <c r="G5229" s="6"/>
    </row>
    <row r="5230" spans="1:7" x14ac:dyDescent="0.25">
      <c r="A5230" s="6" t="s">
        <v>1492</v>
      </c>
      <c r="B5230" s="6"/>
      <c r="C5230" s="6"/>
      <c r="D5230" s="6"/>
      <c r="E5230" s="6"/>
      <c r="F5230" s="6"/>
      <c r="G5230" s="6"/>
    </row>
    <row r="5231" spans="1:7" x14ac:dyDescent="0.25">
      <c r="A5231" s="6" t="s">
        <v>1489</v>
      </c>
      <c r="B5231" s="6"/>
      <c r="C5231" s="6"/>
      <c r="D5231" s="6"/>
      <c r="E5231" s="6"/>
      <c r="F5231" s="6"/>
      <c r="G5231" s="6"/>
    </row>
    <row r="5232" spans="1:7" x14ac:dyDescent="0.25">
      <c r="A5232" s="6" t="s">
        <v>1486</v>
      </c>
      <c r="B5232" s="6"/>
      <c r="C5232" s="6"/>
      <c r="D5232" s="6"/>
      <c r="E5232" s="6"/>
      <c r="F5232" s="6"/>
      <c r="G5232" s="6"/>
    </row>
    <row r="5233" spans="1:7" x14ac:dyDescent="0.25">
      <c r="A5233" s="6" t="s">
        <v>1483</v>
      </c>
      <c r="B5233" s="6"/>
      <c r="C5233" s="6"/>
      <c r="D5233" s="6"/>
      <c r="E5233" s="6"/>
      <c r="F5233" s="6"/>
      <c r="G5233" s="6"/>
    </row>
    <row r="5234" spans="1:7" x14ac:dyDescent="0.25">
      <c r="A5234" s="6" t="s">
        <v>1480</v>
      </c>
      <c r="B5234" s="6"/>
      <c r="C5234" s="6"/>
      <c r="D5234" s="6"/>
      <c r="E5234" s="6"/>
      <c r="F5234" s="6"/>
      <c r="G5234" s="6"/>
    </row>
    <row r="5235" spans="1:7" x14ac:dyDescent="0.25">
      <c r="A5235" s="6" t="s">
        <v>1083</v>
      </c>
      <c r="B5235" s="6"/>
      <c r="C5235" s="6"/>
      <c r="D5235" s="6"/>
      <c r="E5235" s="6"/>
      <c r="F5235" s="6"/>
      <c r="G5235" s="6"/>
    </row>
    <row r="5236" spans="1:7" x14ac:dyDescent="0.25">
      <c r="A5236" s="6" t="s">
        <v>1080</v>
      </c>
      <c r="B5236" s="6"/>
      <c r="C5236" s="6"/>
      <c r="D5236" s="6"/>
      <c r="E5236" s="6"/>
      <c r="F5236" s="6"/>
      <c r="G5236" s="6"/>
    </row>
    <row r="5237" spans="1:7" x14ac:dyDescent="0.25">
      <c r="A5237" s="6" t="s">
        <v>957</v>
      </c>
      <c r="B5237" s="6"/>
      <c r="C5237" s="6"/>
      <c r="D5237" s="6"/>
      <c r="E5237" s="6"/>
      <c r="F5237" s="6"/>
      <c r="G5237" s="6"/>
    </row>
    <row r="5238" spans="1:7" x14ac:dyDescent="0.25">
      <c r="A5238" s="6" t="s">
        <v>1076</v>
      </c>
      <c r="B5238" s="6"/>
      <c r="C5238" s="6"/>
      <c r="D5238" s="6"/>
      <c r="E5238" s="6"/>
      <c r="F5238" s="6"/>
      <c r="G5238" s="6"/>
    </row>
    <row r="5239" spans="1:7" x14ac:dyDescent="0.25">
      <c r="A5239" s="6" t="s">
        <v>1073</v>
      </c>
      <c r="B5239" s="6"/>
      <c r="C5239" s="6"/>
      <c r="D5239" s="6"/>
      <c r="E5239" s="6"/>
      <c r="F5239" s="6"/>
      <c r="G5239" s="6"/>
    </row>
    <row r="5240" spans="1:7" x14ac:dyDescent="0.25">
      <c r="A5240" s="6" t="s">
        <v>1070</v>
      </c>
      <c r="B5240" s="6"/>
      <c r="C5240" s="6"/>
      <c r="D5240" s="6"/>
      <c r="E5240" s="6"/>
      <c r="F5240" s="6"/>
      <c r="G5240" s="6"/>
    </row>
    <row r="5241" spans="1:7" x14ac:dyDescent="0.25">
      <c r="A5241" s="6" t="s">
        <v>1068</v>
      </c>
      <c r="B5241" s="6"/>
      <c r="C5241" s="6"/>
      <c r="D5241" s="6"/>
      <c r="E5241" s="6"/>
      <c r="F5241" s="6"/>
      <c r="G5241" s="6"/>
    </row>
    <row r="5242" spans="1:7" x14ac:dyDescent="0.25">
      <c r="A5242" s="6" t="s">
        <v>957</v>
      </c>
      <c r="B5242" s="6"/>
      <c r="C5242" s="6"/>
      <c r="D5242" s="6"/>
      <c r="E5242" s="6"/>
      <c r="F5242" s="6"/>
      <c r="G5242" s="6"/>
    </row>
    <row r="5243" spans="1:7" x14ac:dyDescent="0.25">
      <c r="A5243" s="6" t="s">
        <v>1064</v>
      </c>
      <c r="B5243" s="6"/>
      <c r="C5243" s="6"/>
      <c r="D5243" s="6"/>
      <c r="E5243" s="6"/>
      <c r="F5243" s="6"/>
      <c r="G5243" s="6"/>
    </row>
    <row r="5244" spans="1:7" x14ac:dyDescent="0.25">
      <c r="A5244" s="6" t="s">
        <v>1061</v>
      </c>
      <c r="B5244" s="6"/>
      <c r="C5244" s="6"/>
      <c r="D5244" s="6"/>
      <c r="E5244" s="6"/>
      <c r="F5244" s="6"/>
      <c r="G5244" s="6"/>
    </row>
    <row r="5245" spans="1:7" x14ac:dyDescent="0.25">
      <c r="A5245" s="6" t="s">
        <v>957</v>
      </c>
      <c r="B5245" s="6"/>
      <c r="C5245" s="6"/>
      <c r="D5245" s="6"/>
      <c r="E5245" s="6"/>
      <c r="F5245" s="6"/>
      <c r="G5245" s="6"/>
    </row>
    <row r="5246" spans="1:7" x14ac:dyDescent="0.25">
      <c r="A5246" s="6" t="s">
        <v>1056</v>
      </c>
      <c r="B5246" s="6"/>
      <c r="C5246" s="6"/>
      <c r="D5246" s="6"/>
      <c r="E5246" s="6"/>
      <c r="F5246" s="6"/>
      <c r="G5246" s="6"/>
    </row>
    <row r="5247" spans="1:7" x14ac:dyDescent="0.25">
      <c r="A5247" s="6" t="s">
        <v>1053</v>
      </c>
      <c r="B5247" s="6"/>
      <c r="C5247" s="6"/>
      <c r="D5247" s="6"/>
      <c r="E5247" s="6"/>
      <c r="F5247" s="6"/>
      <c r="G5247" s="6"/>
    </row>
    <row r="5248" spans="1:7" x14ac:dyDescent="0.25">
      <c r="A5248" s="6" t="s">
        <v>1050</v>
      </c>
      <c r="B5248" s="6"/>
      <c r="C5248" s="6"/>
      <c r="D5248" s="6"/>
      <c r="E5248" s="6"/>
      <c r="F5248" s="6"/>
      <c r="G5248" s="6"/>
    </row>
    <row r="5249" spans="1:7" x14ac:dyDescent="0.25">
      <c r="A5249" s="6" t="s">
        <v>1047</v>
      </c>
      <c r="B5249" s="6"/>
      <c r="C5249" s="6"/>
      <c r="D5249" s="6"/>
      <c r="E5249" s="6"/>
      <c r="F5249" s="6"/>
      <c r="G5249" s="6"/>
    </row>
    <row r="5250" spans="1:7" x14ac:dyDescent="0.25">
      <c r="A5250" s="6" t="s">
        <v>1044</v>
      </c>
      <c r="B5250" s="6"/>
      <c r="C5250" s="6"/>
      <c r="D5250" s="6"/>
      <c r="E5250" s="6"/>
      <c r="F5250" s="6"/>
      <c r="G5250" s="6"/>
    </row>
    <row r="5251" spans="1:7" x14ac:dyDescent="0.25">
      <c r="A5251" s="6" t="s">
        <v>1041</v>
      </c>
      <c r="B5251" s="6"/>
      <c r="C5251" s="6"/>
      <c r="D5251" s="6"/>
      <c r="E5251" s="6"/>
      <c r="F5251" s="6"/>
      <c r="G5251" s="6"/>
    </row>
    <row r="5252" spans="1:7" x14ac:dyDescent="0.25">
      <c r="A5252" s="6" t="s">
        <v>1038</v>
      </c>
      <c r="B5252" s="6"/>
      <c r="C5252" s="6"/>
      <c r="D5252" s="6"/>
      <c r="E5252" s="6"/>
      <c r="F5252" s="6"/>
      <c r="G5252" s="6"/>
    </row>
    <row r="5253" spans="1:7" x14ac:dyDescent="0.25">
      <c r="A5253" s="6" t="s">
        <v>1035</v>
      </c>
      <c r="B5253" s="6"/>
      <c r="C5253" s="6"/>
      <c r="D5253" s="6"/>
      <c r="E5253" s="6"/>
      <c r="F5253" s="6"/>
      <c r="G5253" s="6"/>
    </row>
    <row r="5254" spans="1:7" x14ac:dyDescent="0.25">
      <c r="A5254" s="6" t="s">
        <v>1032</v>
      </c>
      <c r="B5254" s="6"/>
      <c r="C5254" s="6"/>
      <c r="D5254" s="6"/>
      <c r="E5254" s="6"/>
      <c r="F5254" s="6"/>
      <c r="G5254" s="6"/>
    </row>
    <row r="5255" spans="1:7" x14ac:dyDescent="0.25">
      <c r="A5255" s="6" t="s">
        <v>1029</v>
      </c>
      <c r="B5255" s="6"/>
      <c r="C5255" s="6"/>
      <c r="D5255" s="6"/>
      <c r="E5255" s="6"/>
      <c r="F5255" s="6"/>
      <c r="G5255" s="6"/>
    </row>
    <row r="5256" spans="1:7" x14ac:dyDescent="0.25">
      <c r="A5256" s="6" t="s">
        <v>1026</v>
      </c>
      <c r="B5256" s="6"/>
      <c r="C5256" s="6"/>
      <c r="D5256" s="6"/>
      <c r="E5256" s="6"/>
      <c r="F5256" s="6"/>
      <c r="G5256" s="6"/>
    </row>
    <row r="5257" spans="1:7" x14ac:dyDescent="0.25">
      <c r="A5257" s="6" t="s">
        <v>957</v>
      </c>
      <c r="B5257" s="6"/>
      <c r="C5257" s="6"/>
      <c r="D5257" s="6"/>
      <c r="E5257" s="6"/>
      <c r="F5257" s="6"/>
      <c r="G5257" s="6"/>
    </row>
    <row r="5258" spans="1:7" x14ac:dyDescent="0.25">
      <c r="A5258" s="6" t="s">
        <v>1022</v>
      </c>
      <c r="B5258" s="6"/>
      <c r="C5258" s="6"/>
      <c r="D5258" s="6"/>
      <c r="E5258" s="6"/>
      <c r="F5258" s="6"/>
      <c r="G5258" s="6"/>
    </row>
    <row r="5259" spans="1:7" x14ac:dyDescent="0.25">
      <c r="A5259" s="6" t="s">
        <v>1019</v>
      </c>
      <c r="B5259" s="6"/>
      <c r="C5259" s="6"/>
      <c r="D5259" s="6"/>
      <c r="E5259" s="6"/>
      <c r="F5259" s="6"/>
      <c r="G5259" s="6"/>
    </row>
    <row r="5260" spans="1:7" x14ac:dyDescent="0.25">
      <c r="A5260" s="6" t="s">
        <v>957</v>
      </c>
      <c r="B5260" s="6"/>
      <c r="C5260" s="6"/>
      <c r="D5260" s="6"/>
      <c r="E5260" s="6"/>
      <c r="F5260" s="6"/>
      <c r="G5260" s="6"/>
    </row>
    <row r="5261" spans="1:7" x14ac:dyDescent="0.25">
      <c r="A5261" s="6" t="s">
        <v>957</v>
      </c>
      <c r="B5261" s="6"/>
      <c r="C5261" s="6"/>
      <c r="D5261" s="6"/>
      <c r="E5261" s="6"/>
      <c r="F5261" s="6"/>
      <c r="G5261" s="6"/>
    </row>
    <row r="5262" spans="1:7" x14ac:dyDescent="0.25">
      <c r="A5262" s="6" t="s">
        <v>1014</v>
      </c>
      <c r="B5262" s="6"/>
      <c r="C5262" s="6"/>
      <c r="D5262" s="6"/>
      <c r="E5262" s="6"/>
      <c r="F5262" s="6"/>
      <c r="G5262" s="6"/>
    </row>
    <row r="5263" spans="1:7" x14ac:dyDescent="0.25">
      <c r="A5263" s="6" t="s">
        <v>1011</v>
      </c>
      <c r="B5263" s="6"/>
      <c r="C5263" s="6"/>
      <c r="D5263" s="6"/>
      <c r="E5263" s="6"/>
      <c r="F5263" s="6"/>
      <c r="G5263" s="6"/>
    </row>
    <row r="5264" spans="1:7" x14ac:dyDescent="0.25">
      <c r="A5264" s="6" t="s">
        <v>1008</v>
      </c>
      <c r="B5264" s="6"/>
      <c r="C5264" s="6"/>
      <c r="D5264" s="6"/>
      <c r="E5264" s="6"/>
      <c r="F5264" s="6"/>
      <c r="G5264" s="6"/>
    </row>
    <row r="5265" spans="1:7" x14ac:dyDescent="0.25">
      <c r="A5265" s="6" t="s">
        <v>957</v>
      </c>
      <c r="B5265" s="6"/>
      <c r="C5265" s="6"/>
      <c r="D5265" s="6"/>
      <c r="E5265" s="6"/>
      <c r="F5265" s="6"/>
      <c r="G5265" s="6"/>
    </row>
    <row r="5266" spans="1:7" x14ac:dyDescent="0.25">
      <c r="A5266" s="6" t="s">
        <v>957</v>
      </c>
      <c r="B5266" s="6"/>
      <c r="C5266" s="6"/>
      <c r="D5266" s="6"/>
      <c r="E5266" s="6"/>
      <c r="F5266" s="6"/>
      <c r="G5266" s="6"/>
    </row>
    <row r="5267" spans="1:7" x14ac:dyDescent="0.25">
      <c r="A5267" s="6" t="s">
        <v>1003</v>
      </c>
      <c r="B5267" s="6"/>
      <c r="C5267" s="6"/>
      <c r="D5267" s="6"/>
      <c r="E5267" s="6"/>
      <c r="F5267" s="6"/>
      <c r="G5267" s="6"/>
    </row>
    <row r="5268" spans="1:7" x14ac:dyDescent="0.25">
      <c r="A5268" s="6" t="s">
        <v>957</v>
      </c>
      <c r="B5268" s="6"/>
      <c r="C5268" s="6"/>
      <c r="D5268" s="6"/>
      <c r="E5268" s="6"/>
      <c r="F5268" s="6"/>
      <c r="G5268" s="6"/>
    </row>
    <row r="5269" spans="1:7" x14ac:dyDescent="0.25">
      <c r="A5269" s="6" t="s">
        <v>999</v>
      </c>
      <c r="B5269" s="6"/>
      <c r="C5269" s="6"/>
      <c r="D5269" s="6"/>
      <c r="E5269" s="6"/>
      <c r="F5269" s="6"/>
      <c r="G5269" s="6"/>
    </row>
    <row r="5270" spans="1:7" x14ac:dyDescent="0.25">
      <c r="A5270" s="6" t="s">
        <v>996</v>
      </c>
      <c r="B5270" s="6"/>
      <c r="C5270" s="6"/>
      <c r="D5270" s="6"/>
      <c r="E5270" s="6"/>
      <c r="F5270" s="6"/>
      <c r="G5270" s="6"/>
    </row>
    <row r="5271" spans="1:7" x14ac:dyDescent="0.25">
      <c r="A5271" s="6" t="s">
        <v>1396</v>
      </c>
      <c r="B5271" s="6"/>
      <c r="C5271" s="6"/>
      <c r="D5271" s="6"/>
      <c r="E5271" s="6"/>
      <c r="F5271" s="6"/>
      <c r="G5271" s="6"/>
    </row>
    <row r="5272" spans="1:7" x14ac:dyDescent="0.25">
      <c r="A5272" s="6" t="s">
        <v>1393</v>
      </c>
      <c r="B5272" s="6"/>
      <c r="C5272" s="6"/>
      <c r="D5272" s="6"/>
      <c r="E5272" s="6"/>
      <c r="F5272" s="6"/>
      <c r="G5272" s="6"/>
    </row>
    <row r="5273" spans="1:7" x14ac:dyDescent="0.25">
      <c r="A5273" s="6" t="s">
        <v>1390</v>
      </c>
      <c r="B5273" s="6"/>
      <c r="C5273" s="6"/>
      <c r="D5273" s="6"/>
      <c r="E5273" s="6"/>
      <c r="F5273" s="6"/>
      <c r="G5273" s="6"/>
    </row>
    <row r="5274" spans="1:7" x14ac:dyDescent="0.25">
      <c r="A5274" s="6" t="s">
        <v>1387</v>
      </c>
      <c r="B5274" s="6"/>
      <c r="C5274" s="6"/>
      <c r="D5274" s="6"/>
      <c r="E5274" s="6"/>
      <c r="F5274" s="6"/>
      <c r="G5274" s="6"/>
    </row>
    <row r="5275" spans="1:7" x14ac:dyDescent="0.25">
      <c r="A5275" s="6" t="s">
        <v>1384</v>
      </c>
      <c r="B5275" s="6"/>
      <c r="C5275" s="6"/>
      <c r="D5275" s="6"/>
      <c r="E5275" s="6"/>
      <c r="F5275" s="6"/>
      <c r="G5275" s="6"/>
    </row>
    <row r="5276" spans="1:7" x14ac:dyDescent="0.25">
      <c r="A5276" s="6" t="s">
        <v>1381</v>
      </c>
      <c r="B5276" s="6"/>
      <c r="C5276" s="6"/>
      <c r="D5276" s="6"/>
      <c r="E5276" s="6"/>
      <c r="F5276" s="6"/>
      <c r="G5276" s="6"/>
    </row>
    <row r="5277" spans="1:7" x14ac:dyDescent="0.25">
      <c r="A5277" s="6" t="s">
        <v>1378</v>
      </c>
      <c r="B5277" s="6"/>
      <c r="C5277" s="6"/>
      <c r="D5277" s="6"/>
      <c r="E5277" s="6"/>
      <c r="F5277" s="6"/>
      <c r="G5277" s="6"/>
    </row>
    <row r="5278" spans="1:7" x14ac:dyDescent="0.25">
      <c r="A5278" s="6" t="s">
        <v>941</v>
      </c>
      <c r="B5278" s="6"/>
      <c r="C5278" s="6"/>
      <c r="D5278" s="6"/>
      <c r="E5278" s="6"/>
      <c r="F5278" s="6"/>
      <c r="G5278" s="6"/>
    </row>
    <row r="5279" spans="1:7" x14ac:dyDescent="0.25">
      <c r="A5279" s="6" t="s">
        <v>938</v>
      </c>
      <c r="B5279" s="6"/>
      <c r="C5279" s="6"/>
      <c r="D5279" s="6"/>
      <c r="E5279" s="6"/>
      <c r="F5279" s="6"/>
      <c r="G5279" s="6"/>
    </row>
    <row r="5280" spans="1:7" x14ac:dyDescent="0.25">
      <c r="A5280" s="6" t="s">
        <v>935</v>
      </c>
      <c r="B5280" s="6"/>
      <c r="C5280" s="6"/>
      <c r="D5280" s="6"/>
      <c r="E5280" s="6"/>
      <c r="F5280" s="6"/>
      <c r="G5280" s="6"/>
    </row>
    <row r="5281" spans="1:7" x14ac:dyDescent="0.25">
      <c r="A5281" s="6" t="s">
        <v>932</v>
      </c>
      <c r="B5281" s="6"/>
      <c r="C5281" s="6"/>
      <c r="D5281" s="6"/>
      <c r="E5281" s="6"/>
      <c r="F5281" s="6"/>
      <c r="G5281" s="6"/>
    </row>
    <row r="5282" spans="1:7" x14ac:dyDescent="0.25">
      <c r="A5282" s="6" t="s">
        <v>957</v>
      </c>
      <c r="B5282" s="6"/>
      <c r="C5282" s="6"/>
      <c r="D5282" s="6"/>
      <c r="E5282" s="6"/>
      <c r="F5282" s="6"/>
      <c r="G5282" s="6"/>
    </row>
    <row r="5283" spans="1:7" x14ac:dyDescent="0.25">
      <c r="A5283" s="6" t="s">
        <v>928</v>
      </c>
      <c r="B5283" s="6"/>
      <c r="C5283" s="6"/>
      <c r="D5283" s="6"/>
      <c r="E5283" s="6"/>
      <c r="F5283" s="6"/>
      <c r="G5283" s="6"/>
    </row>
    <row r="5284" spans="1:7" x14ac:dyDescent="0.25">
      <c r="A5284" s="6" t="s">
        <v>925</v>
      </c>
      <c r="B5284" s="6"/>
      <c r="C5284" s="6"/>
      <c r="D5284" s="6"/>
      <c r="E5284" s="6"/>
      <c r="F5284" s="6"/>
      <c r="G5284" s="6"/>
    </row>
    <row r="5285" spans="1:7" x14ac:dyDescent="0.25">
      <c r="A5285" s="6" t="s">
        <v>922</v>
      </c>
      <c r="B5285" s="6"/>
      <c r="C5285" s="6"/>
      <c r="D5285" s="6"/>
      <c r="E5285" s="6"/>
      <c r="F5285" s="6"/>
      <c r="G5285" s="6"/>
    </row>
    <row r="5286" spans="1:7" x14ac:dyDescent="0.25">
      <c r="A5286" s="6" t="s">
        <v>919</v>
      </c>
      <c r="B5286" s="6"/>
      <c r="C5286" s="6"/>
      <c r="D5286" s="6"/>
      <c r="E5286" s="6"/>
      <c r="F5286" s="6"/>
      <c r="G5286" s="6"/>
    </row>
    <row r="5287" spans="1:7" x14ac:dyDescent="0.25">
      <c r="A5287" s="6" t="s">
        <v>916</v>
      </c>
      <c r="B5287" s="6"/>
      <c r="C5287" s="6"/>
      <c r="D5287" s="6"/>
      <c r="E5287" s="6"/>
      <c r="F5287" s="6"/>
      <c r="G5287" s="6"/>
    </row>
    <row r="5288" spans="1:7" x14ac:dyDescent="0.25">
      <c r="A5288" s="6" t="s">
        <v>913</v>
      </c>
      <c r="B5288" s="6"/>
      <c r="C5288" s="6"/>
      <c r="D5288" s="6"/>
      <c r="E5288" s="6"/>
      <c r="F5288" s="6"/>
      <c r="G5288" s="6"/>
    </row>
    <row r="5289" spans="1:7" x14ac:dyDescent="0.25">
      <c r="A5289" s="6" t="s">
        <v>910</v>
      </c>
      <c r="B5289" s="6"/>
      <c r="C5289" s="6"/>
      <c r="D5289" s="6"/>
      <c r="E5289" s="6"/>
      <c r="F5289" s="6"/>
      <c r="G5289" s="6"/>
    </row>
    <row r="5290" spans="1:7" x14ac:dyDescent="0.25">
      <c r="A5290" s="6" t="s">
        <v>907</v>
      </c>
      <c r="B5290" s="6"/>
      <c r="C5290" s="6"/>
      <c r="D5290" s="6"/>
      <c r="E5290" s="6"/>
      <c r="F5290" s="6"/>
      <c r="G5290" s="6"/>
    </row>
    <row r="5291" spans="1:7" x14ac:dyDescent="0.25">
      <c r="A5291" s="6" t="s">
        <v>957</v>
      </c>
      <c r="B5291" s="6"/>
      <c r="C5291" s="6"/>
      <c r="D5291" s="6"/>
      <c r="E5291" s="6"/>
      <c r="F5291" s="6"/>
      <c r="G5291" s="6"/>
    </row>
    <row r="5292" spans="1:7" x14ac:dyDescent="0.25">
      <c r="A5292" s="6" t="s">
        <v>957</v>
      </c>
      <c r="B5292" s="6"/>
      <c r="C5292" s="6"/>
      <c r="D5292" s="6"/>
      <c r="E5292" s="6"/>
      <c r="F5292" s="6"/>
      <c r="G5292" s="6"/>
    </row>
    <row r="5293" spans="1:7" x14ac:dyDescent="0.25">
      <c r="A5293" s="6" t="s">
        <v>957</v>
      </c>
      <c r="B5293" s="6"/>
      <c r="C5293" s="6"/>
      <c r="D5293" s="6"/>
      <c r="E5293" s="6"/>
      <c r="F5293" s="6"/>
      <c r="G5293" s="6"/>
    </row>
    <row r="5294" spans="1:7" x14ac:dyDescent="0.25">
      <c r="A5294" s="6" t="s">
        <v>901</v>
      </c>
      <c r="B5294" s="6"/>
      <c r="C5294" s="6"/>
      <c r="D5294" s="6"/>
      <c r="E5294" s="6"/>
      <c r="F5294" s="6"/>
      <c r="G5294" s="6"/>
    </row>
    <row r="5295" spans="1:7" x14ac:dyDescent="0.25">
      <c r="A5295" s="6" t="s">
        <v>898</v>
      </c>
      <c r="B5295" s="6"/>
      <c r="C5295" s="6"/>
      <c r="D5295" s="6"/>
      <c r="E5295" s="6"/>
      <c r="F5295" s="6"/>
      <c r="G5295" s="6"/>
    </row>
    <row r="5296" spans="1:7" x14ac:dyDescent="0.25">
      <c r="A5296" s="6" t="s">
        <v>957</v>
      </c>
      <c r="B5296" s="6"/>
      <c r="C5296" s="6"/>
      <c r="D5296" s="6"/>
      <c r="E5296" s="6"/>
      <c r="F5296" s="6"/>
      <c r="G5296" s="6"/>
    </row>
    <row r="5297" spans="1:7" x14ac:dyDescent="0.25">
      <c r="A5297" s="6" t="s">
        <v>894</v>
      </c>
      <c r="B5297" s="6"/>
      <c r="C5297" s="6"/>
      <c r="D5297" s="6"/>
      <c r="E5297" s="6"/>
      <c r="F5297" s="6"/>
      <c r="G5297" s="6"/>
    </row>
    <row r="5298" spans="1:7" x14ac:dyDescent="0.25">
      <c r="A5298" s="6" t="s">
        <v>891</v>
      </c>
      <c r="B5298" s="6"/>
      <c r="C5298" s="6"/>
      <c r="D5298" s="6"/>
      <c r="E5298" s="6"/>
      <c r="F5298" s="6"/>
      <c r="G5298" s="6"/>
    </row>
    <row r="5299" spans="1:7" x14ac:dyDescent="0.25">
      <c r="A5299" s="6" t="s">
        <v>295</v>
      </c>
      <c r="B5299" s="6"/>
      <c r="C5299" s="6"/>
      <c r="D5299" s="6"/>
      <c r="E5299" s="6"/>
      <c r="F5299" s="6"/>
      <c r="G5299" s="6"/>
    </row>
    <row r="5300" spans="1:7" x14ac:dyDescent="0.25">
      <c r="A5300" s="6" t="s">
        <v>292</v>
      </c>
      <c r="B5300" s="6"/>
      <c r="C5300" s="6"/>
      <c r="D5300" s="6"/>
      <c r="E5300" s="6"/>
      <c r="F5300" s="6"/>
      <c r="G5300" s="6"/>
    </row>
    <row r="5301" spans="1:7" x14ac:dyDescent="0.25">
      <c r="A5301" s="6" t="s">
        <v>957</v>
      </c>
      <c r="B5301" s="6"/>
      <c r="C5301" s="6"/>
      <c r="D5301" s="6"/>
      <c r="E5301" s="6"/>
      <c r="F5301" s="6"/>
      <c r="G5301" s="6"/>
    </row>
    <row r="5302" spans="1:7" x14ac:dyDescent="0.25">
      <c r="A5302" s="6" t="s">
        <v>288</v>
      </c>
      <c r="B5302" s="6"/>
      <c r="C5302" s="6"/>
      <c r="D5302" s="6"/>
      <c r="E5302" s="6"/>
      <c r="F5302" s="6"/>
      <c r="G5302" s="6"/>
    </row>
    <row r="5303" spans="1:7" x14ac:dyDescent="0.25">
      <c r="A5303" s="6" t="s">
        <v>14120</v>
      </c>
      <c r="B5303" s="6" t="s">
        <v>14121</v>
      </c>
      <c r="C5303" s="6"/>
      <c r="D5303" s="6"/>
      <c r="E5303" s="6"/>
      <c r="F5303" s="6"/>
      <c r="G5303" s="6"/>
    </row>
    <row r="5304" spans="1:7" x14ac:dyDescent="0.25">
      <c r="A5304" s="6" t="s">
        <v>283</v>
      </c>
      <c r="B5304" s="6"/>
      <c r="C5304" s="6"/>
      <c r="D5304" s="6"/>
      <c r="E5304" s="6"/>
      <c r="F5304" s="6"/>
      <c r="G5304" s="6"/>
    </row>
    <row r="5305" spans="1:7" x14ac:dyDescent="0.25">
      <c r="A5305" s="6" t="s">
        <v>280</v>
      </c>
      <c r="B5305" s="6"/>
      <c r="C5305" s="6"/>
      <c r="D5305" s="6"/>
      <c r="E5305" s="6"/>
      <c r="F5305" s="6"/>
      <c r="G5305" s="6"/>
    </row>
    <row r="5306" spans="1:7" x14ac:dyDescent="0.25">
      <c r="A5306" s="6" t="s">
        <v>277</v>
      </c>
      <c r="B5306" s="6"/>
      <c r="C5306" s="6"/>
      <c r="D5306" s="6"/>
      <c r="E5306" s="6"/>
      <c r="F5306" s="6"/>
      <c r="G5306" s="6"/>
    </row>
    <row r="5307" spans="1:7" x14ac:dyDescent="0.25">
      <c r="A5307" s="6" t="s">
        <v>274</v>
      </c>
      <c r="B5307" s="6"/>
      <c r="C5307" s="6"/>
      <c r="D5307" s="6"/>
      <c r="E5307" s="6"/>
      <c r="F5307" s="6"/>
      <c r="G5307" s="6"/>
    </row>
    <row r="5308" spans="1:7" x14ac:dyDescent="0.25">
      <c r="A5308" s="6" t="s">
        <v>271</v>
      </c>
      <c r="B5308" s="6"/>
      <c r="C5308" s="6"/>
      <c r="D5308" s="6"/>
      <c r="E5308" s="6"/>
      <c r="F5308" s="6"/>
      <c r="G5308" s="6"/>
    </row>
    <row r="5309" spans="1:7" x14ac:dyDescent="0.25">
      <c r="A5309" s="6" t="s">
        <v>268</v>
      </c>
      <c r="B5309" s="6"/>
      <c r="C5309" s="6"/>
      <c r="D5309" s="6"/>
      <c r="E5309" s="6"/>
      <c r="F5309" s="6"/>
      <c r="G5309" s="6"/>
    </row>
    <row r="5310" spans="1:7" x14ac:dyDescent="0.25">
      <c r="A5310" s="6" t="s">
        <v>265</v>
      </c>
      <c r="B5310" s="6"/>
      <c r="C5310" s="6"/>
      <c r="D5310" s="6"/>
      <c r="E5310" s="6"/>
      <c r="F5310" s="6"/>
      <c r="G5310" s="6"/>
    </row>
    <row r="5311" spans="1:7" x14ac:dyDescent="0.25">
      <c r="A5311" s="6" t="s">
        <v>957</v>
      </c>
      <c r="B5311" s="6"/>
      <c r="C5311" s="6"/>
      <c r="D5311" s="6"/>
      <c r="E5311" s="6"/>
      <c r="F5311" s="6"/>
      <c r="G5311" s="6"/>
    </row>
    <row r="5312" spans="1:7" x14ac:dyDescent="0.25">
      <c r="A5312" s="6" t="s">
        <v>260</v>
      </c>
      <c r="B5312" s="6"/>
      <c r="C5312" s="6"/>
      <c r="D5312" s="6"/>
      <c r="E5312" s="6"/>
      <c r="F5312" s="6"/>
      <c r="G5312" s="6"/>
    </row>
    <row r="5313" spans="1:7" x14ac:dyDescent="0.25">
      <c r="A5313" s="6" t="s">
        <v>257</v>
      </c>
      <c r="B5313" s="6"/>
      <c r="C5313" s="6"/>
      <c r="D5313" s="6"/>
      <c r="E5313" s="6"/>
      <c r="F5313" s="6"/>
      <c r="G5313" s="6"/>
    </row>
    <row r="5314" spans="1:7" x14ac:dyDescent="0.25">
      <c r="A5314" s="6" t="s">
        <v>850</v>
      </c>
      <c r="B5314" s="6"/>
      <c r="C5314" s="6"/>
      <c r="D5314" s="6"/>
      <c r="E5314" s="6"/>
      <c r="F5314" s="6"/>
      <c r="G5314" s="6"/>
    </row>
    <row r="5315" spans="1:7" x14ac:dyDescent="0.25">
      <c r="A5315" s="6" t="s">
        <v>847</v>
      </c>
      <c r="B5315" s="6"/>
      <c r="C5315" s="6"/>
      <c r="D5315" s="6"/>
      <c r="E5315" s="6"/>
      <c r="F5315" s="6"/>
      <c r="G5315" s="6"/>
    </row>
    <row r="5316" spans="1:7" x14ac:dyDescent="0.25">
      <c r="A5316" s="6" t="s">
        <v>844</v>
      </c>
      <c r="B5316" s="6"/>
      <c r="C5316" s="6"/>
      <c r="D5316" s="6"/>
      <c r="E5316" s="6"/>
      <c r="F5316" s="6"/>
      <c r="G5316" s="6"/>
    </row>
    <row r="5317" spans="1:7" x14ac:dyDescent="0.25">
      <c r="A5317" s="6" t="s">
        <v>957</v>
      </c>
      <c r="B5317" s="6"/>
      <c r="C5317" s="6"/>
      <c r="D5317" s="6"/>
      <c r="E5317" s="6"/>
      <c r="F5317" s="6"/>
      <c r="G5317" s="6"/>
    </row>
    <row r="5318" spans="1:7" x14ac:dyDescent="0.25">
      <c r="A5318" s="6" t="s">
        <v>839</v>
      </c>
      <c r="B5318" s="6"/>
      <c r="C5318" s="6"/>
      <c r="D5318" s="6"/>
      <c r="E5318" s="6"/>
      <c r="F5318" s="6"/>
      <c r="G5318" s="6"/>
    </row>
    <row r="5319" spans="1:7" x14ac:dyDescent="0.25">
      <c r="A5319" s="6" t="s">
        <v>836</v>
      </c>
      <c r="B5319" s="6"/>
      <c r="C5319" s="6"/>
      <c r="D5319" s="6"/>
      <c r="E5319" s="6"/>
      <c r="F5319" s="6"/>
      <c r="G5319" s="6"/>
    </row>
    <row r="5320" spans="1:7" x14ac:dyDescent="0.25">
      <c r="A5320" s="6" t="s">
        <v>833</v>
      </c>
      <c r="B5320" s="6"/>
      <c r="C5320" s="6"/>
      <c r="D5320" s="6"/>
      <c r="E5320" s="6"/>
      <c r="F5320" s="6"/>
      <c r="G5320" s="6"/>
    </row>
    <row r="5321" spans="1:7" x14ac:dyDescent="0.25">
      <c r="A5321" s="6" t="s">
        <v>957</v>
      </c>
      <c r="B5321" s="6"/>
      <c r="C5321" s="6"/>
      <c r="D5321" s="6"/>
      <c r="E5321" s="6"/>
      <c r="F5321" s="6"/>
      <c r="G5321" s="6"/>
    </row>
    <row r="5322" spans="1:7" x14ac:dyDescent="0.25">
      <c r="A5322" s="6" t="s">
        <v>957</v>
      </c>
      <c r="B5322" s="6"/>
      <c r="C5322" s="6"/>
      <c r="D5322" s="6"/>
      <c r="E5322" s="6"/>
      <c r="F5322" s="6"/>
      <c r="G5322" s="6"/>
    </row>
    <row r="5323" spans="1:7" x14ac:dyDescent="0.25">
      <c r="A5323" s="6" t="s">
        <v>828</v>
      </c>
      <c r="B5323" s="6"/>
      <c r="C5323" s="6"/>
      <c r="D5323" s="6"/>
      <c r="E5323" s="6"/>
      <c r="F5323" s="6"/>
      <c r="G5323" s="6"/>
    </row>
    <row r="5324" spans="1:7" x14ac:dyDescent="0.25">
      <c r="A5324" s="6" t="s">
        <v>825</v>
      </c>
      <c r="B5324" s="6"/>
      <c r="C5324" s="6"/>
      <c r="D5324" s="6"/>
      <c r="E5324" s="6"/>
      <c r="F5324" s="6"/>
      <c r="G5324" s="6"/>
    </row>
    <row r="5325" spans="1:7" x14ac:dyDescent="0.25">
      <c r="A5325" s="6" t="s">
        <v>957</v>
      </c>
      <c r="B5325" s="6"/>
      <c r="C5325" s="6"/>
      <c r="D5325" s="6"/>
      <c r="E5325" s="6"/>
      <c r="F5325" s="6"/>
      <c r="G5325" s="6"/>
    </row>
    <row r="5326" spans="1:7" x14ac:dyDescent="0.25">
      <c r="A5326" s="6" t="s">
        <v>820</v>
      </c>
      <c r="B5326" s="6"/>
      <c r="C5326" s="6"/>
      <c r="D5326" s="6"/>
      <c r="E5326" s="6"/>
      <c r="F5326" s="6"/>
      <c r="G5326" s="6"/>
    </row>
    <row r="5327" spans="1:7" x14ac:dyDescent="0.25">
      <c r="A5327" s="6" t="s">
        <v>957</v>
      </c>
      <c r="B5327" s="6"/>
      <c r="C5327" s="6"/>
      <c r="D5327" s="6"/>
      <c r="E5327" s="6"/>
      <c r="F5327" s="6"/>
      <c r="G5327" s="6"/>
    </row>
    <row r="5328" spans="1:7" x14ac:dyDescent="0.25">
      <c r="A5328" s="6" t="s">
        <v>816</v>
      </c>
      <c r="B5328" s="6"/>
      <c r="C5328" s="6"/>
      <c r="D5328" s="6"/>
      <c r="E5328" s="6"/>
      <c r="F5328" s="6"/>
      <c r="G5328" s="6"/>
    </row>
    <row r="5329" spans="1:7" x14ac:dyDescent="0.25">
      <c r="A5329" s="6" t="s">
        <v>957</v>
      </c>
      <c r="B5329" s="6"/>
      <c r="C5329" s="6"/>
      <c r="D5329" s="6"/>
      <c r="E5329" s="6"/>
      <c r="F5329" s="6"/>
      <c r="G5329" s="6"/>
    </row>
    <row r="5330" spans="1:7" x14ac:dyDescent="0.25">
      <c r="A5330" s="6" t="s">
        <v>957</v>
      </c>
      <c r="B5330" s="6"/>
      <c r="C5330" s="6"/>
      <c r="D5330" s="6"/>
      <c r="E5330" s="6"/>
      <c r="F5330" s="6"/>
      <c r="G5330" s="6"/>
    </row>
    <row r="5331" spans="1:7" x14ac:dyDescent="0.25">
      <c r="A5331" s="6" t="s">
        <v>957</v>
      </c>
      <c r="B5331" s="6"/>
      <c r="C5331" s="6"/>
      <c r="D5331" s="6"/>
      <c r="E5331" s="6"/>
      <c r="F5331" s="6"/>
      <c r="G5331" s="6"/>
    </row>
    <row r="5332" spans="1:7" x14ac:dyDescent="0.25">
      <c r="A5332" s="6" t="s">
        <v>957</v>
      </c>
      <c r="B5332" s="6"/>
      <c r="C5332" s="6"/>
      <c r="D5332" s="6"/>
      <c r="E5332" s="6"/>
      <c r="F5332" s="6"/>
      <c r="G5332" s="6"/>
    </row>
    <row r="5333" spans="1:7" x14ac:dyDescent="0.25">
      <c r="A5333" s="6" t="s">
        <v>809</v>
      </c>
      <c r="B5333" s="6"/>
      <c r="C5333" s="6"/>
      <c r="D5333" s="6"/>
      <c r="E5333" s="6"/>
      <c r="F5333" s="6"/>
      <c r="G5333" s="6"/>
    </row>
    <row r="5334" spans="1:7" x14ac:dyDescent="0.25">
      <c r="A5334" s="6" t="s">
        <v>806</v>
      </c>
      <c r="B5334" s="6"/>
      <c r="C5334" s="6"/>
      <c r="D5334" s="6"/>
      <c r="E5334" s="6"/>
      <c r="F5334" s="6"/>
      <c r="G5334" s="6"/>
    </row>
    <row r="5335" spans="1:7" x14ac:dyDescent="0.25">
      <c r="A5335" s="6" t="s">
        <v>957</v>
      </c>
      <c r="B5335" s="6"/>
      <c r="C5335" s="6"/>
      <c r="D5335" s="6"/>
      <c r="E5335" s="6"/>
      <c r="F5335" s="6"/>
      <c r="G5335" s="6"/>
    </row>
    <row r="5336" spans="1:7" x14ac:dyDescent="0.25">
      <c r="A5336" s="6" t="s">
        <v>801</v>
      </c>
      <c r="B5336" s="6"/>
      <c r="C5336" s="6"/>
      <c r="D5336" s="6"/>
      <c r="E5336" s="6"/>
      <c r="F5336" s="6"/>
      <c r="G5336" s="6"/>
    </row>
    <row r="5337" spans="1:7" x14ac:dyDescent="0.25">
      <c r="A5337" s="6" t="s">
        <v>798</v>
      </c>
      <c r="B5337" s="6"/>
      <c r="C5337" s="6"/>
      <c r="D5337" s="6"/>
      <c r="E5337" s="6"/>
      <c r="F5337" s="6"/>
      <c r="G5337" s="6"/>
    </row>
    <row r="5338" spans="1:7" x14ac:dyDescent="0.25">
      <c r="A5338" s="6" t="s">
        <v>795</v>
      </c>
      <c r="B5338" s="6"/>
      <c r="C5338" s="6"/>
      <c r="D5338" s="6"/>
      <c r="E5338" s="6"/>
      <c r="F5338" s="6"/>
      <c r="G5338" s="6"/>
    </row>
    <row r="5339" spans="1:7" x14ac:dyDescent="0.25">
      <c r="A5339" s="6" t="s">
        <v>792</v>
      </c>
      <c r="B5339" s="6"/>
      <c r="C5339" s="6"/>
      <c r="D5339" s="6"/>
      <c r="E5339" s="6"/>
      <c r="F5339" s="6"/>
      <c r="G5339" s="6"/>
    </row>
    <row r="5340" spans="1:7" x14ac:dyDescent="0.25">
      <c r="A5340" s="6" t="s">
        <v>1209</v>
      </c>
      <c r="B5340" s="6"/>
      <c r="C5340" s="6"/>
      <c r="D5340" s="6"/>
      <c r="E5340" s="6"/>
      <c r="F5340" s="6"/>
      <c r="G5340" s="6"/>
    </row>
    <row r="5341" spans="1:7" x14ac:dyDescent="0.25">
      <c r="A5341" s="6" t="s">
        <v>957</v>
      </c>
      <c r="B5341" s="6"/>
      <c r="C5341" s="6"/>
      <c r="D5341" s="6"/>
      <c r="E5341" s="6"/>
      <c r="F5341" s="6"/>
      <c r="G5341" s="6"/>
    </row>
    <row r="5342" spans="1:7" x14ac:dyDescent="0.25">
      <c r="A5342" s="6" t="s">
        <v>1204</v>
      </c>
      <c r="B5342" s="6"/>
      <c r="C5342" s="6"/>
      <c r="D5342" s="6"/>
      <c r="E5342" s="6"/>
      <c r="F5342" s="6"/>
      <c r="G5342" s="6"/>
    </row>
    <row r="5343" spans="1:7" x14ac:dyDescent="0.25">
      <c r="A5343" s="6" t="s">
        <v>1201</v>
      </c>
      <c r="B5343" s="6"/>
      <c r="C5343" s="6"/>
      <c r="D5343" s="6"/>
      <c r="E5343" s="6"/>
      <c r="F5343" s="6"/>
      <c r="G5343" s="6"/>
    </row>
    <row r="5344" spans="1:7" x14ac:dyDescent="0.25">
      <c r="A5344" s="6" t="s">
        <v>1198</v>
      </c>
      <c r="B5344" s="6"/>
      <c r="C5344" s="6"/>
      <c r="D5344" s="6"/>
      <c r="E5344" s="6"/>
      <c r="F5344" s="6"/>
      <c r="G5344" s="6"/>
    </row>
    <row r="5345" spans="1:7" x14ac:dyDescent="0.25">
      <c r="A5345" s="6" t="s">
        <v>1195</v>
      </c>
      <c r="B5345" s="6"/>
      <c r="C5345" s="6"/>
      <c r="D5345" s="6"/>
      <c r="E5345" s="6"/>
      <c r="F5345" s="6"/>
      <c r="G5345" s="6"/>
    </row>
    <row r="5346" spans="1:7" x14ac:dyDescent="0.25">
      <c r="A5346" s="6" t="s">
        <v>1192</v>
      </c>
      <c r="B5346" s="6"/>
      <c r="C5346" s="6"/>
      <c r="D5346" s="6"/>
      <c r="E5346" s="6"/>
      <c r="F5346" s="6"/>
      <c r="G5346" s="6"/>
    </row>
    <row r="5347" spans="1:7" x14ac:dyDescent="0.25">
      <c r="A5347" s="6" t="s">
        <v>1189</v>
      </c>
      <c r="B5347" s="6"/>
      <c r="C5347" s="6"/>
      <c r="D5347" s="6"/>
      <c r="E5347" s="6"/>
      <c r="F5347" s="6"/>
      <c r="G5347" s="6"/>
    </row>
    <row r="5348" spans="1:7" x14ac:dyDescent="0.25">
      <c r="A5348" s="6" t="s">
        <v>1186</v>
      </c>
      <c r="B5348" s="6"/>
      <c r="C5348" s="6"/>
      <c r="D5348" s="6"/>
      <c r="E5348" s="6"/>
      <c r="F5348" s="6"/>
      <c r="G5348" s="6"/>
    </row>
    <row r="5349" spans="1:7" x14ac:dyDescent="0.25">
      <c r="A5349" s="6" t="s">
        <v>1183</v>
      </c>
      <c r="B5349" s="6"/>
      <c r="C5349" s="6"/>
      <c r="D5349" s="6"/>
      <c r="E5349" s="6"/>
      <c r="F5349" s="6"/>
      <c r="G5349" s="6"/>
    </row>
    <row r="5350" spans="1:7" x14ac:dyDescent="0.25">
      <c r="A5350" s="6" t="s">
        <v>1180</v>
      </c>
      <c r="B5350" s="6"/>
      <c r="C5350" s="6"/>
      <c r="D5350" s="6"/>
      <c r="E5350" s="6"/>
      <c r="F5350" s="6"/>
      <c r="G5350" s="6"/>
    </row>
    <row r="5351" spans="1:7" x14ac:dyDescent="0.25">
      <c r="A5351" s="6" t="s">
        <v>748</v>
      </c>
      <c r="B5351" s="6"/>
      <c r="C5351" s="6"/>
      <c r="D5351" s="6"/>
      <c r="E5351" s="6"/>
      <c r="F5351" s="6"/>
      <c r="G5351" s="6"/>
    </row>
    <row r="5352" spans="1:7" x14ac:dyDescent="0.25">
      <c r="A5352" s="6" t="s">
        <v>745</v>
      </c>
      <c r="B5352" s="6"/>
      <c r="C5352" s="6"/>
      <c r="D5352" s="6"/>
      <c r="E5352" s="6"/>
      <c r="F5352" s="6"/>
      <c r="G5352" s="6"/>
    </row>
    <row r="5353" spans="1:7" x14ac:dyDescent="0.25">
      <c r="A5353" s="6" t="s">
        <v>742</v>
      </c>
      <c r="B5353" s="6"/>
      <c r="C5353" s="6"/>
      <c r="D5353" s="6"/>
      <c r="E5353" s="6"/>
      <c r="F5353" s="6"/>
      <c r="G5353" s="6"/>
    </row>
    <row r="5354" spans="1:7" x14ac:dyDescent="0.25">
      <c r="A5354" s="6" t="s">
        <v>739</v>
      </c>
      <c r="B5354" s="6"/>
      <c r="C5354" s="6"/>
      <c r="D5354" s="6"/>
      <c r="E5354" s="6"/>
      <c r="F5354" s="6"/>
      <c r="G5354" s="6"/>
    </row>
    <row r="5355" spans="1:7" x14ac:dyDescent="0.25">
      <c r="A5355" s="6" t="s">
        <v>736</v>
      </c>
      <c r="B5355" s="6"/>
      <c r="C5355" s="6"/>
      <c r="D5355" s="6"/>
      <c r="E5355" s="6"/>
      <c r="F5355" s="6"/>
      <c r="G5355" s="6"/>
    </row>
    <row r="5356" spans="1:7" x14ac:dyDescent="0.25">
      <c r="A5356" s="6" t="s">
        <v>733</v>
      </c>
      <c r="B5356" s="6"/>
      <c r="C5356" s="6"/>
      <c r="D5356" s="6"/>
      <c r="E5356" s="6"/>
      <c r="F5356" s="6"/>
      <c r="G5356" s="6"/>
    </row>
    <row r="5357" spans="1:7" x14ac:dyDescent="0.25">
      <c r="A5357" s="6" t="s">
        <v>730</v>
      </c>
      <c r="B5357" s="6"/>
      <c r="C5357" s="6"/>
      <c r="D5357" s="6"/>
      <c r="E5357" s="6"/>
      <c r="F5357" s="6"/>
      <c r="G5357" s="6"/>
    </row>
    <row r="5358" spans="1:7" x14ac:dyDescent="0.25">
      <c r="A5358" s="6" t="s">
        <v>957</v>
      </c>
      <c r="B5358" s="6"/>
      <c r="C5358" s="6"/>
      <c r="D5358" s="6"/>
      <c r="E5358" s="6"/>
      <c r="F5358" s="6"/>
      <c r="G5358" s="6"/>
    </row>
    <row r="5359" spans="1:7" x14ac:dyDescent="0.25">
      <c r="A5359" s="6" t="s">
        <v>725</v>
      </c>
      <c r="B5359" s="6"/>
      <c r="C5359" s="6"/>
      <c r="D5359" s="6"/>
      <c r="E5359" s="6"/>
      <c r="F5359" s="6"/>
      <c r="G5359" s="6"/>
    </row>
    <row r="5360" spans="1:7" x14ac:dyDescent="0.25">
      <c r="A5360" s="6" t="s">
        <v>722</v>
      </c>
      <c r="B5360" s="6"/>
      <c r="C5360" s="6"/>
      <c r="D5360" s="6"/>
      <c r="E5360" s="6"/>
      <c r="F5360" s="6"/>
      <c r="G5360" s="6"/>
    </row>
    <row r="5361" spans="1:7" x14ac:dyDescent="0.25">
      <c r="A5361" s="6" t="s">
        <v>719</v>
      </c>
      <c r="B5361" s="6"/>
      <c r="C5361" s="6"/>
      <c r="D5361" s="6"/>
      <c r="E5361" s="6"/>
      <c r="F5361" s="6"/>
      <c r="G5361" s="6"/>
    </row>
    <row r="5362" spans="1:7" x14ac:dyDescent="0.25">
      <c r="A5362" s="6" t="s">
        <v>957</v>
      </c>
      <c r="B5362" s="6"/>
      <c r="C5362" s="6"/>
      <c r="D5362" s="6"/>
      <c r="E5362" s="6"/>
      <c r="F5362" s="6"/>
      <c r="G5362" s="6"/>
    </row>
    <row r="5363" spans="1:7" x14ac:dyDescent="0.25">
      <c r="A5363" s="6" t="s">
        <v>715</v>
      </c>
      <c r="B5363" s="6"/>
      <c r="C5363" s="6"/>
      <c r="D5363" s="6"/>
      <c r="E5363" s="6"/>
      <c r="F5363" s="6"/>
      <c r="G5363" s="6"/>
    </row>
    <row r="5364" spans="1:7" x14ac:dyDescent="0.25">
      <c r="A5364" s="6" t="s">
        <v>957</v>
      </c>
      <c r="B5364" s="6"/>
      <c r="C5364" s="6"/>
      <c r="D5364" s="6"/>
      <c r="E5364" s="6"/>
      <c r="F5364" s="6"/>
      <c r="G5364" s="6"/>
    </row>
    <row r="5365" spans="1:7" x14ac:dyDescent="0.25">
      <c r="A5365" s="6" t="s">
        <v>711</v>
      </c>
      <c r="B5365" s="6"/>
      <c r="C5365" s="6"/>
      <c r="D5365" s="6"/>
      <c r="E5365" s="6"/>
      <c r="F5365" s="6"/>
      <c r="G5365" s="6"/>
    </row>
    <row r="5366" spans="1:7" x14ac:dyDescent="0.25">
      <c r="A5366" s="6" t="s">
        <v>708</v>
      </c>
      <c r="B5366" s="6"/>
      <c r="C5366" s="6"/>
      <c r="D5366" s="6"/>
      <c r="E5366" s="6"/>
      <c r="F5366" s="6"/>
      <c r="G5366" s="6"/>
    </row>
    <row r="5367" spans="1:7" x14ac:dyDescent="0.25">
      <c r="A5367" s="6" t="s">
        <v>108</v>
      </c>
      <c r="B5367" s="6"/>
      <c r="C5367" s="6"/>
      <c r="D5367" s="6"/>
      <c r="E5367" s="6"/>
      <c r="F5367" s="6"/>
      <c r="G5367" s="6"/>
    </row>
    <row r="5368" spans="1:7" x14ac:dyDescent="0.25">
      <c r="A5368" s="6" t="s">
        <v>105</v>
      </c>
      <c r="B5368" s="6"/>
      <c r="C5368" s="6"/>
      <c r="D5368" s="6"/>
      <c r="E5368" s="6"/>
      <c r="F5368" s="6"/>
      <c r="G5368" s="6"/>
    </row>
    <row r="5369" spans="1:7" x14ac:dyDescent="0.25">
      <c r="A5369" s="6" t="s">
        <v>102</v>
      </c>
      <c r="B5369" s="6"/>
      <c r="C5369" s="6"/>
      <c r="D5369" s="6"/>
      <c r="E5369" s="6"/>
      <c r="F5369" s="6"/>
      <c r="G5369" s="6"/>
    </row>
    <row r="5370" spans="1:7" x14ac:dyDescent="0.25">
      <c r="A5370" s="6" t="s">
        <v>957</v>
      </c>
      <c r="B5370" s="6"/>
      <c r="C5370" s="6"/>
      <c r="D5370" s="6"/>
      <c r="E5370" s="6"/>
      <c r="F5370" s="6"/>
      <c r="G5370" s="6"/>
    </row>
    <row r="5371" spans="1:7" x14ac:dyDescent="0.25">
      <c r="A5371" s="6" t="s">
        <v>98</v>
      </c>
      <c r="B5371" s="6"/>
      <c r="C5371" s="6"/>
      <c r="D5371" s="6"/>
      <c r="E5371" s="6"/>
      <c r="F5371" s="6"/>
      <c r="G5371" s="6"/>
    </row>
    <row r="5372" spans="1:7" x14ac:dyDescent="0.25">
      <c r="A5372" s="6" t="s">
        <v>95</v>
      </c>
      <c r="B5372" s="6"/>
      <c r="C5372" s="6"/>
      <c r="D5372" s="6"/>
      <c r="E5372" s="6"/>
      <c r="F5372" s="6"/>
      <c r="G5372" s="6"/>
    </row>
    <row r="5373" spans="1:7" x14ac:dyDescent="0.25">
      <c r="A5373" s="6" t="s">
        <v>957</v>
      </c>
      <c r="B5373" s="6"/>
      <c r="C5373" s="6"/>
      <c r="D5373" s="6"/>
      <c r="E5373" s="6"/>
      <c r="F5373" s="6"/>
      <c r="G5373" s="6"/>
    </row>
    <row r="5374" spans="1:7" x14ac:dyDescent="0.25">
      <c r="A5374" s="6" t="s">
        <v>91</v>
      </c>
      <c r="B5374" s="6"/>
      <c r="C5374" s="6"/>
      <c r="D5374" s="6"/>
      <c r="E5374" s="6"/>
      <c r="F5374" s="6"/>
      <c r="G5374" s="6"/>
    </row>
    <row r="5375" spans="1:7" x14ac:dyDescent="0.25">
      <c r="A5375" s="6" t="s">
        <v>88</v>
      </c>
      <c r="B5375" s="6"/>
      <c r="C5375" s="6"/>
      <c r="D5375" s="6"/>
      <c r="E5375" s="6"/>
      <c r="F5375" s="6"/>
      <c r="G5375" s="6"/>
    </row>
    <row r="5376" spans="1:7" x14ac:dyDescent="0.25">
      <c r="A5376" s="6" t="s">
        <v>85</v>
      </c>
      <c r="B5376" s="6"/>
      <c r="C5376" s="6"/>
      <c r="D5376" s="6"/>
      <c r="E5376" s="6"/>
      <c r="F5376" s="6"/>
      <c r="G5376" s="6"/>
    </row>
    <row r="5377" spans="1:7" x14ac:dyDescent="0.25">
      <c r="A5377" s="6" t="s">
        <v>82</v>
      </c>
      <c r="B5377" s="6"/>
      <c r="C5377" s="6"/>
      <c r="D5377" s="6"/>
      <c r="E5377" s="6"/>
      <c r="F5377" s="6"/>
      <c r="G5377" s="6"/>
    </row>
    <row r="5378" spans="1:7" x14ac:dyDescent="0.25">
      <c r="A5378" s="6" t="s">
        <v>79</v>
      </c>
      <c r="B5378" s="6"/>
      <c r="C5378" s="6"/>
      <c r="D5378" s="6"/>
      <c r="E5378" s="6"/>
      <c r="F5378" s="6"/>
      <c r="G5378" s="6"/>
    </row>
    <row r="5379" spans="1:7" x14ac:dyDescent="0.25">
      <c r="A5379" s="6" t="s">
        <v>957</v>
      </c>
      <c r="B5379" s="6"/>
      <c r="C5379" s="6"/>
      <c r="D5379" s="6"/>
      <c r="E5379" s="6"/>
      <c r="F5379" s="6"/>
      <c r="G5379" s="6"/>
    </row>
    <row r="5380" spans="1:7" x14ac:dyDescent="0.25">
      <c r="A5380" s="6" t="s">
        <v>75</v>
      </c>
      <c r="B5380" s="6"/>
      <c r="C5380" s="6"/>
      <c r="D5380" s="6"/>
      <c r="E5380" s="6"/>
      <c r="F5380" s="6"/>
      <c r="G5380" s="6"/>
    </row>
    <row r="5381" spans="1:7" x14ac:dyDescent="0.25">
      <c r="A5381" s="6" t="s">
        <v>72</v>
      </c>
      <c r="B5381" s="6"/>
      <c r="C5381" s="6"/>
      <c r="D5381" s="6"/>
      <c r="E5381" s="6"/>
      <c r="F5381" s="6"/>
      <c r="G5381" s="6"/>
    </row>
    <row r="5382" spans="1:7" x14ac:dyDescent="0.25">
      <c r="A5382" s="6" t="s">
        <v>69</v>
      </c>
      <c r="B5382" s="6"/>
      <c r="C5382" s="6"/>
      <c r="D5382" s="6"/>
      <c r="E5382" s="6"/>
      <c r="F5382" s="6"/>
      <c r="G5382" s="6"/>
    </row>
    <row r="5383" spans="1:7" x14ac:dyDescent="0.25">
      <c r="A5383" s="6" t="s">
        <v>957</v>
      </c>
      <c r="B5383" s="6"/>
      <c r="C5383" s="6"/>
      <c r="D5383" s="6"/>
      <c r="E5383" s="6"/>
      <c r="F5383" s="6"/>
      <c r="G5383" s="6"/>
    </row>
    <row r="5384" spans="1:7" x14ac:dyDescent="0.25">
      <c r="A5384" s="6" t="s">
        <v>65</v>
      </c>
      <c r="B5384" s="6"/>
      <c r="C5384" s="6"/>
      <c r="D5384" s="6"/>
      <c r="E5384" s="6"/>
      <c r="F5384" s="6"/>
      <c r="G5384" s="6"/>
    </row>
    <row r="5385" spans="1:7" x14ac:dyDescent="0.25">
      <c r="A5385" s="6" t="s">
        <v>62</v>
      </c>
      <c r="B5385" s="6"/>
      <c r="C5385" s="6"/>
      <c r="D5385" s="6"/>
      <c r="E5385" s="6"/>
      <c r="F5385" s="6"/>
      <c r="G5385" s="6"/>
    </row>
    <row r="5386" spans="1:7" x14ac:dyDescent="0.25">
      <c r="A5386" s="6" t="s">
        <v>671</v>
      </c>
      <c r="B5386" s="6"/>
      <c r="C5386" s="6"/>
      <c r="D5386" s="6"/>
      <c r="E5386" s="6"/>
      <c r="F5386" s="6"/>
      <c r="G5386" s="6"/>
    </row>
    <row r="5387" spans="1:7" x14ac:dyDescent="0.25">
      <c r="A5387" s="6" t="s">
        <v>957</v>
      </c>
      <c r="B5387" s="6"/>
      <c r="C5387" s="6"/>
      <c r="D5387" s="6"/>
      <c r="E5387" s="6"/>
      <c r="F5387" s="6"/>
      <c r="G5387" s="6"/>
    </row>
    <row r="5388" spans="1:7" x14ac:dyDescent="0.25">
      <c r="A5388" s="6" t="s">
        <v>667</v>
      </c>
      <c r="B5388" s="6"/>
      <c r="C5388" s="6"/>
      <c r="D5388" s="6"/>
      <c r="E5388" s="6"/>
      <c r="F5388" s="6"/>
      <c r="G5388" s="6"/>
    </row>
    <row r="5389" spans="1:7" x14ac:dyDescent="0.25">
      <c r="A5389" s="6" t="s">
        <v>957</v>
      </c>
      <c r="B5389" s="6"/>
      <c r="C5389" s="6"/>
      <c r="D5389" s="6"/>
      <c r="E5389" s="6"/>
      <c r="F5389" s="6"/>
      <c r="G5389" s="6"/>
    </row>
    <row r="5390" spans="1:7" x14ac:dyDescent="0.25">
      <c r="A5390" s="6" t="s">
        <v>663</v>
      </c>
      <c r="B5390" s="6"/>
      <c r="C5390" s="6"/>
      <c r="D5390" s="6"/>
      <c r="E5390" s="6"/>
      <c r="F5390" s="6"/>
      <c r="G5390" s="6"/>
    </row>
    <row r="5391" spans="1:7" x14ac:dyDescent="0.25">
      <c r="A5391" s="6" t="s">
        <v>660</v>
      </c>
      <c r="B5391" s="6"/>
      <c r="C5391" s="6"/>
      <c r="D5391" s="6"/>
      <c r="E5391" s="6"/>
      <c r="F5391" s="6"/>
      <c r="G5391" s="6"/>
    </row>
    <row r="5392" spans="1:7" x14ac:dyDescent="0.25">
      <c r="A5392" s="6" t="s">
        <v>657</v>
      </c>
      <c r="B5392" s="6"/>
      <c r="C5392" s="6"/>
      <c r="D5392" s="6"/>
      <c r="E5392" s="6"/>
      <c r="F5392" s="6"/>
      <c r="G5392" s="6"/>
    </row>
    <row r="5393" spans="1:7" x14ac:dyDescent="0.25">
      <c r="A5393" s="6" t="s">
        <v>654</v>
      </c>
      <c r="B5393" s="6"/>
      <c r="C5393" s="6"/>
      <c r="D5393" s="6"/>
      <c r="E5393" s="6"/>
      <c r="F5393" s="6"/>
      <c r="G5393" s="6"/>
    </row>
    <row r="5394" spans="1:7" x14ac:dyDescent="0.25">
      <c r="A5394" s="6" t="s">
        <v>652</v>
      </c>
      <c r="B5394" s="6"/>
      <c r="C5394" s="6"/>
      <c r="D5394" s="6"/>
      <c r="E5394" s="6"/>
      <c r="F5394" s="6"/>
      <c r="G5394" s="6"/>
    </row>
    <row r="5395" spans="1:7" x14ac:dyDescent="0.25">
      <c r="A5395" s="6" t="s">
        <v>649</v>
      </c>
      <c r="B5395" s="6"/>
      <c r="C5395" s="6"/>
      <c r="D5395" s="6"/>
      <c r="E5395" s="6"/>
      <c r="F5395" s="6"/>
      <c r="G5395" s="6"/>
    </row>
    <row r="5396" spans="1:7" x14ac:dyDescent="0.25">
      <c r="A5396" s="6" t="s">
        <v>646</v>
      </c>
      <c r="B5396" s="6"/>
      <c r="C5396" s="6"/>
      <c r="D5396" s="6"/>
      <c r="E5396" s="6"/>
      <c r="F5396" s="6"/>
      <c r="G5396" s="6"/>
    </row>
    <row r="5397" spans="1:7" x14ac:dyDescent="0.25">
      <c r="A5397" s="6" t="s">
        <v>957</v>
      </c>
      <c r="B5397" s="6"/>
      <c r="C5397" s="6"/>
      <c r="D5397" s="6"/>
      <c r="E5397" s="6"/>
      <c r="F5397" s="6"/>
      <c r="G5397" s="6"/>
    </row>
    <row r="5398" spans="1:7" x14ac:dyDescent="0.25">
      <c r="A5398" s="6" t="s">
        <v>641</v>
      </c>
      <c r="B5398" s="6"/>
      <c r="C5398" s="6"/>
      <c r="D5398" s="6"/>
      <c r="E5398" s="6"/>
      <c r="F5398" s="6"/>
      <c r="G5398" s="6"/>
    </row>
    <row r="5399" spans="1:7" x14ac:dyDescent="0.25">
      <c r="A5399" s="6" t="s">
        <v>638</v>
      </c>
      <c r="B5399" s="6"/>
      <c r="C5399" s="6"/>
      <c r="D5399" s="6"/>
      <c r="E5399" s="6"/>
      <c r="F5399" s="6"/>
      <c r="G5399" s="6"/>
    </row>
    <row r="5400" spans="1:7" x14ac:dyDescent="0.25">
      <c r="A5400" s="6" t="s">
        <v>635</v>
      </c>
      <c r="B5400" s="6"/>
      <c r="C5400" s="6"/>
      <c r="D5400" s="6"/>
      <c r="E5400" s="6"/>
      <c r="F5400" s="6"/>
      <c r="G5400" s="6"/>
    </row>
    <row r="5401" spans="1:7" x14ac:dyDescent="0.25">
      <c r="A5401" s="6" t="s">
        <v>632</v>
      </c>
      <c r="B5401" s="6"/>
      <c r="C5401" s="6"/>
      <c r="D5401" s="6"/>
      <c r="E5401" s="6"/>
      <c r="F5401" s="6"/>
      <c r="G5401" s="6"/>
    </row>
    <row r="5402" spans="1:7" x14ac:dyDescent="0.25">
      <c r="A5402" s="6" t="s">
        <v>629</v>
      </c>
      <c r="B5402" s="6"/>
      <c r="C5402" s="6"/>
      <c r="D5402" s="6"/>
      <c r="E5402" s="6"/>
      <c r="F5402" s="6"/>
      <c r="G5402" s="6"/>
    </row>
    <row r="5403" spans="1:7" x14ac:dyDescent="0.25">
      <c r="A5403" s="6" t="s">
        <v>957</v>
      </c>
      <c r="B5403" s="6"/>
      <c r="C5403" s="6"/>
      <c r="D5403" s="6"/>
      <c r="E5403" s="6"/>
      <c r="F5403" s="6"/>
      <c r="G5403" s="6"/>
    </row>
    <row r="5404" spans="1:7" x14ac:dyDescent="0.25">
      <c r="A5404" s="6" t="s">
        <v>957</v>
      </c>
      <c r="B5404" s="6"/>
      <c r="C5404" s="6"/>
      <c r="D5404" s="6"/>
      <c r="E5404" s="6"/>
      <c r="F5404" s="6"/>
      <c r="G5404" s="6"/>
    </row>
    <row r="5405" spans="1:7" x14ac:dyDescent="0.25">
      <c r="A5405" s="6" t="s">
        <v>957</v>
      </c>
      <c r="B5405" s="6"/>
      <c r="C5405" s="6"/>
      <c r="D5405" s="6"/>
      <c r="E5405" s="6"/>
      <c r="F5405" s="6"/>
      <c r="G5405" s="6"/>
    </row>
    <row r="5406" spans="1:7" x14ac:dyDescent="0.25">
      <c r="A5406" s="6" t="s">
        <v>622</v>
      </c>
      <c r="B5406" s="6"/>
      <c r="C5406" s="6"/>
      <c r="D5406" s="6"/>
      <c r="E5406" s="6"/>
      <c r="F5406" s="6"/>
      <c r="G5406" s="6"/>
    </row>
    <row r="5407" spans="1:7" x14ac:dyDescent="0.25">
      <c r="A5407" s="6" t="s">
        <v>619</v>
      </c>
      <c r="B5407" s="6"/>
      <c r="C5407" s="6"/>
      <c r="D5407" s="6"/>
      <c r="E5407" s="6"/>
      <c r="F5407" s="6"/>
      <c r="G5407" s="6"/>
    </row>
    <row r="5408" spans="1:7" x14ac:dyDescent="0.25">
      <c r="A5408" s="6" t="s">
        <v>616</v>
      </c>
      <c r="B5408" s="6"/>
      <c r="C5408" s="6"/>
      <c r="D5408" s="6"/>
      <c r="E5408" s="6"/>
      <c r="F5408" s="6"/>
      <c r="G5408" s="6"/>
    </row>
    <row r="5409" spans="1:7" x14ac:dyDescent="0.25">
      <c r="A5409" s="6" t="s">
        <v>957</v>
      </c>
      <c r="B5409" s="6"/>
      <c r="C5409" s="6"/>
      <c r="D5409" s="6"/>
      <c r="E5409" s="6"/>
      <c r="F5409" s="6"/>
      <c r="G5409" s="6"/>
    </row>
    <row r="5410" spans="1:7" x14ac:dyDescent="0.25">
      <c r="A5410" s="6" t="s">
        <v>1600</v>
      </c>
      <c r="B5410" s="6"/>
      <c r="C5410" s="6"/>
      <c r="D5410" s="6"/>
      <c r="E5410" s="6"/>
      <c r="F5410" s="6"/>
      <c r="G5410" s="6"/>
    </row>
    <row r="5411" spans="1:7" x14ac:dyDescent="0.25">
      <c r="A5411" s="6" t="s">
        <v>1597</v>
      </c>
      <c r="B5411" s="6"/>
      <c r="C5411" s="6"/>
      <c r="D5411" s="6"/>
      <c r="E5411" s="6"/>
      <c r="F5411" s="6"/>
      <c r="G5411" s="6"/>
    </row>
    <row r="5412" spans="1:7" x14ac:dyDescent="0.25">
      <c r="A5412" s="6" t="s">
        <v>957</v>
      </c>
      <c r="B5412" s="6"/>
      <c r="C5412" s="6"/>
      <c r="D5412" s="6"/>
      <c r="E5412" s="6"/>
      <c r="F5412" s="6"/>
      <c r="G5412" s="6"/>
    </row>
    <row r="5413" spans="1:7" x14ac:dyDescent="0.25">
      <c r="A5413" s="6" t="s">
        <v>1593</v>
      </c>
      <c r="B5413" s="6"/>
      <c r="C5413" s="6"/>
      <c r="D5413" s="6"/>
      <c r="E5413" s="6"/>
      <c r="F5413" s="6"/>
      <c r="G5413" s="6"/>
    </row>
    <row r="5414" spans="1:7" x14ac:dyDescent="0.25">
      <c r="A5414" s="6" t="s">
        <v>1590</v>
      </c>
      <c r="B5414" s="6"/>
      <c r="C5414" s="6"/>
      <c r="D5414" s="6"/>
      <c r="E5414" s="6"/>
      <c r="F5414" s="6"/>
      <c r="G5414" s="6"/>
    </row>
    <row r="5415" spans="1:7" x14ac:dyDescent="0.25">
      <c r="A5415" s="6" t="s">
        <v>1587</v>
      </c>
      <c r="B5415" s="6"/>
      <c r="C5415" s="6"/>
      <c r="D5415" s="6"/>
      <c r="E5415" s="6"/>
      <c r="F5415" s="6"/>
      <c r="G5415" s="6"/>
    </row>
    <row r="5416" spans="1:7" x14ac:dyDescent="0.25">
      <c r="A5416" s="6" t="s">
        <v>1584</v>
      </c>
      <c r="B5416" s="6"/>
      <c r="C5416" s="6"/>
      <c r="D5416" s="6"/>
      <c r="E5416" s="6"/>
      <c r="F5416" s="6"/>
      <c r="G5416" s="6"/>
    </row>
    <row r="5417" spans="1:7" x14ac:dyDescent="0.25">
      <c r="A5417" s="6" t="s">
        <v>1581</v>
      </c>
      <c r="B5417" s="6"/>
      <c r="C5417" s="6"/>
      <c r="D5417" s="6"/>
      <c r="E5417" s="6"/>
      <c r="F5417" s="6"/>
      <c r="G5417" s="6"/>
    </row>
    <row r="5418" spans="1:7" x14ac:dyDescent="0.25">
      <c r="A5418" s="6" t="s">
        <v>957</v>
      </c>
      <c r="B5418" s="6"/>
      <c r="C5418" s="6"/>
      <c r="D5418" s="6"/>
      <c r="E5418" s="6"/>
      <c r="F5418" s="6"/>
      <c r="G5418" s="6"/>
    </row>
    <row r="5419" spans="1:7" x14ac:dyDescent="0.25">
      <c r="A5419" s="6" t="s">
        <v>1577</v>
      </c>
      <c r="B5419" s="6"/>
      <c r="C5419" s="6"/>
      <c r="D5419" s="6"/>
      <c r="E5419" s="6"/>
      <c r="F5419" s="6"/>
      <c r="G5419" s="6"/>
    </row>
    <row r="5420" spans="1:7" x14ac:dyDescent="0.25">
      <c r="A5420" s="6" t="s">
        <v>957</v>
      </c>
      <c r="B5420" s="6"/>
      <c r="C5420" s="6"/>
      <c r="D5420" s="6"/>
      <c r="E5420" s="6"/>
      <c r="F5420" s="6"/>
      <c r="G5420" s="6"/>
    </row>
    <row r="5421" spans="1:7" x14ac:dyDescent="0.25">
      <c r="A5421" s="6" t="s">
        <v>1573</v>
      </c>
      <c r="B5421" s="6"/>
      <c r="C5421" s="6"/>
      <c r="D5421" s="6"/>
      <c r="E5421" s="6"/>
      <c r="F5421" s="6"/>
      <c r="G5421" s="6"/>
    </row>
    <row r="5422" spans="1:7" x14ac:dyDescent="0.25">
      <c r="A5422" s="6" t="s">
        <v>1570</v>
      </c>
      <c r="B5422" s="6"/>
      <c r="C5422" s="6"/>
      <c r="D5422" s="6"/>
      <c r="E5422" s="6"/>
      <c r="F5422" s="6"/>
      <c r="G5422" s="6"/>
    </row>
    <row r="5423" spans="1:7" x14ac:dyDescent="0.25">
      <c r="A5423" s="6" t="s">
        <v>575</v>
      </c>
      <c r="B5423" s="6"/>
      <c r="C5423" s="6"/>
      <c r="D5423" s="6"/>
      <c r="E5423" s="6"/>
      <c r="F5423" s="6"/>
      <c r="G5423" s="6"/>
    </row>
    <row r="5424" spans="1:7" x14ac:dyDescent="0.25">
      <c r="A5424" s="6" t="s">
        <v>957</v>
      </c>
      <c r="B5424" s="6"/>
      <c r="C5424" s="6"/>
      <c r="D5424" s="6"/>
      <c r="E5424" s="6"/>
      <c r="F5424" s="6"/>
      <c r="G5424" s="6"/>
    </row>
    <row r="5425" spans="1:7" x14ac:dyDescent="0.25">
      <c r="A5425" s="6" t="s">
        <v>957</v>
      </c>
      <c r="B5425" s="6"/>
      <c r="C5425" s="6"/>
      <c r="D5425" s="6"/>
      <c r="E5425" s="6"/>
      <c r="F5425" s="6"/>
      <c r="G5425" s="6"/>
    </row>
    <row r="5426" spans="1:7" x14ac:dyDescent="0.25">
      <c r="A5426" s="6" t="s">
        <v>957</v>
      </c>
      <c r="B5426" s="6"/>
      <c r="C5426" s="6"/>
      <c r="D5426" s="6"/>
      <c r="E5426" s="6"/>
      <c r="F5426" s="6"/>
      <c r="G5426" s="6"/>
    </row>
    <row r="5427" spans="1:7" x14ac:dyDescent="0.25">
      <c r="A5427" s="6" t="s">
        <v>567</v>
      </c>
      <c r="B5427" s="6"/>
      <c r="C5427" s="6"/>
      <c r="D5427" s="6"/>
      <c r="E5427" s="6"/>
      <c r="F5427" s="6"/>
      <c r="G5427" s="6"/>
    </row>
    <row r="5428" spans="1:7" x14ac:dyDescent="0.25">
      <c r="A5428" s="6" t="s">
        <v>565</v>
      </c>
      <c r="B5428" s="6"/>
      <c r="C5428" s="6"/>
      <c r="D5428" s="6"/>
      <c r="E5428" s="6"/>
      <c r="F5428" s="6"/>
      <c r="G5428" s="6"/>
    </row>
    <row r="5429" spans="1:7" x14ac:dyDescent="0.25">
      <c r="A5429" s="6" t="s">
        <v>562</v>
      </c>
      <c r="B5429" s="6"/>
      <c r="C5429" s="6"/>
      <c r="D5429" s="6"/>
      <c r="E5429" s="6"/>
      <c r="F5429" s="6"/>
      <c r="G5429" s="6"/>
    </row>
    <row r="5430" spans="1:7" x14ac:dyDescent="0.25">
      <c r="A5430" s="6" t="s">
        <v>559</v>
      </c>
      <c r="B5430" s="6"/>
      <c r="C5430" s="6"/>
      <c r="D5430" s="6"/>
      <c r="E5430" s="6"/>
      <c r="F5430" s="6"/>
      <c r="G5430" s="6"/>
    </row>
    <row r="5431" spans="1:7" x14ac:dyDescent="0.25">
      <c r="A5431" s="6" t="s">
        <v>556</v>
      </c>
      <c r="B5431" s="6"/>
      <c r="C5431" s="6"/>
      <c r="D5431" s="6"/>
      <c r="E5431" s="6"/>
      <c r="F5431" s="6"/>
      <c r="G5431" s="6"/>
    </row>
    <row r="5432" spans="1:7" x14ac:dyDescent="0.25">
      <c r="A5432" s="6" t="s">
        <v>553</v>
      </c>
      <c r="B5432" s="6"/>
      <c r="C5432" s="6"/>
      <c r="D5432" s="6"/>
      <c r="E5432" s="6"/>
      <c r="F5432" s="6"/>
      <c r="G5432" s="6"/>
    </row>
    <row r="5433" spans="1:7" x14ac:dyDescent="0.25">
      <c r="A5433" s="6" t="s">
        <v>550</v>
      </c>
      <c r="B5433" s="6"/>
      <c r="C5433" s="6"/>
      <c r="D5433" s="6"/>
      <c r="E5433" s="6"/>
      <c r="F5433" s="6"/>
      <c r="G5433" s="6"/>
    </row>
    <row r="5434" spans="1:7" x14ac:dyDescent="0.25">
      <c r="A5434" s="6" t="s">
        <v>957</v>
      </c>
      <c r="B5434" s="6"/>
      <c r="C5434" s="6"/>
      <c r="D5434" s="6"/>
      <c r="E5434" s="6"/>
      <c r="F5434" s="6"/>
      <c r="G5434" s="6"/>
    </row>
    <row r="5435" spans="1:7" x14ac:dyDescent="0.25">
      <c r="A5435" s="6" t="s">
        <v>546</v>
      </c>
      <c r="B5435" s="6"/>
      <c r="C5435" s="6"/>
      <c r="D5435" s="6"/>
      <c r="E5435" s="6"/>
      <c r="F5435" s="6"/>
      <c r="G5435" s="6"/>
    </row>
    <row r="5436" spans="1:7" x14ac:dyDescent="0.25">
      <c r="A5436" s="6" t="s">
        <v>543</v>
      </c>
      <c r="B5436" s="6"/>
      <c r="C5436" s="6"/>
      <c r="D5436" s="6"/>
      <c r="E5436" s="6"/>
      <c r="F5436" s="6"/>
      <c r="G5436" s="6"/>
    </row>
    <row r="5437" spans="1:7" x14ac:dyDescent="0.25">
      <c r="A5437" s="6" t="s">
        <v>540</v>
      </c>
      <c r="B5437" s="6"/>
      <c r="C5437" s="6"/>
      <c r="D5437" s="6"/>
      <c r="E5437" s="6"/>
      <c r="F5437" s="6"/>
      <c r="G5437" s="6"/>
    </row>
    <row r="5438" spans="1:7" x14ac:dyDescent="0.25">
      <c r="A5438" s="6" t="s">
        <v>957</v>
      </c>
      <c r="B5438" s="6"/>
      <c r="C5438" s="6"/>
      <c r="D5438" s="6"/>
      <c r="E5438" s="6"/>
      <c r="F5438" s="6"/>
      <c r="G5438" s="6"/>
    </row>
    <row r="5439" spans="1:7" x14ac:dyDescent="0.25">
      <c r="A5439" s="6" t="s">
        <v>957</v>
      </c>
      <c r="B5439" s="6"/>
      <c r="C5439" s="6"/>
      <c r="D5439" s="6"/>
      <c r="E5439" s="6"/>
      <c r="F5439" s="6"/>
      <c r="G5439" s="6"/>
    </row>
    <row r="5440" spans="1:7" x14ac:dyDescent="0.25">
      <c r="A5440" s="6" t="s">
        <v>533</v>
      </c>
      <c r="B5440" s="6"/>
      <c r="C5440" s="6"/>
      <c r="D5440" s="6"/>
      <c r="E5440" s="6"/>
      <c r="F5440" s="6"/>
      <c r="G5440" s="6"/>
    </row>
    <row r="5441" spans="1:7" x14ac:dyDescent="0.25">
      <c r="A5441" s="6" t="s">
        <v>530</v>
      </c>
      <c r="B5441" s="6"/>
      <c r="C5441" s="6"/>
      <c r="D5441" s="6"/>
      <c r="E5441" s="6"/>
      <c r="F5441" s="6"/>
      <c r="G5441" s="6"/>
    </row>
    <row r="5442" spans="1:7" x14ac:dyDescent="0.25">
      <c r="A5442" s="6" t="s">
        <v>957</v>
      </c>
      <c r="B5442" s="6"/>
      <c r="C5442" s="6"/>
      <c r="D5442" s="6"/>
      <c r="E5442" s="6"/>
      <c r="F5442" s="6"/>
      <c r="G5442" s="6"/>
    </row>
    <row r="5443" spans="1:7" x14ac:dyDescent="0.25">
      <c r="A5443" s="6" t="s">
        <v>526</v>
      </c>
      <c r="B5443" s="6"/>
      <c r="C5443" s="6"/>
      <c r="D5443" s="6"/>
      <c r="E5443" s="6"/>
      <c r="F5443" s="6"/>
      <c r="G5443" s="6"/>
    </row>
    <row r="5444" spans="1:7" x14ac:dyDescent="0.25">
      <c r="A5444" s="6" t="s">
        <v>523</v>
      </c>
      <c r="B5444" s="6"/>
      <c r="C5444" s="6"/>
      <c r="D5444" s="6"/>
      <c r="E5444" s="6"/>
      <c r="F5444" s="6"/>
      <c r="G5444" s="6"/>
    </row>
    <row r="5445" spans="1:7" x14ac:dyDescent="0.25">
      <c r="A5445" s="6" t="s">
        <v>520</v>
      </c>
      <c r="B5445" s="6"/>
      <c r="C5445" s="6"/>
      <c r="D5445" s="6"/>
      <c r="E5445" s="6"/>
      <c r="F5445" s="6"/>
      <c r="G5445" s="6"/>
    </row>
    <row r="5446" spans="1:7" x14ac:dyDescent="0.25">
      <c r="A5446" s="6" t="s">
        <v>957</v>
      </c>
      <c r="B5446" s="6"/>
      <c r="C5446" s="6"/>
      <c r="D5446" s="6"/>
      <c r="E5446" s="6"/>
      <c r="F5446" s="6"/>
      <c r="G5446" s="6"/>
    </row>
    <row r="5447" spans="1:7" x14ac:dyDescent="0.25">
      <c r="A5447" s="6" t="s">
        <v>957</v>
      </c>
      <c r="B5447" s="6"/>
      <c r="C5447" s="6"/>
      <c r="D5447" s="6"/>
      <c r="E5447" s="6"/>
      <c r="F5447" s="6"/>
      <c r="G5447" s="6"/>
    </row>
    <row r="5448" spans="1:7" x14ac:dyDescent="0.25">
      <c r="A5448" s="6" t="s">
        <v>514</v>
      </c>
      <c r="B5448" s="6"/>
      <c r="C5448" s="6"/>
      <c r="D5448" s="6"/>
      <c r="E5448" s="6"/>
      <c r="F5448" s="6"/>
      <c r="G5448" s="6"/>
    </row>
    <row r="5449" spans="1:7" x14ac:dyDescent="0.25">
      <c r="A5449" s="6" t="s">
        <v>511</v>
      </c>
      <c r="B5449" s="6"/>
      <c r="C5449" s="6"/>
      <c r="D5449" s="6"/>
      <c r="E5449" s="6"/>
      <c r="F5449" s="6"/>
      <c r="G5449" s="6"/>
    </row>
    <row r="5450" spans="1:7" x14ac:dyDescent="0.25">
      <c r="A5450" s="6" t="s">
        <v>508</v>
      </c>
      <c r="B5450" s="6"/>
      <c r="C5450" s="6"/>
      <c r="D5450" s="6"/>
      <c r="E5450" s="6"/>
      <c r="F5450" s="6"/>
      <c r="G5450" s="6"/>
    </row>
    <row r="5451" spans="1:7" x14ac:dyDescent="0.25">
      <c r="A5451" s="6" t="s">
        <v>505</v>
      </c>
      <c r="B5451" s="6"/>
      <c r="C5451" s="6"/>
      <c r="D5451" s="6"/>
      <c r="E5451" s="6"/>
      <c r="F5451" s="6"/>
      <c r="G5451" s="6"/>
    </row>
    <row r="5452" spans="1:7" x14ac:dyDescent="0.25">
      <c r="A5452" s="6" t="s">
        <v>502</v>
      </c>
      <c r="B5452" s="6"/>
      <c r="C5452" s="6"/>
      <c r="D5452" s="6"/>
      <c r="E5452" s="6"/>
      <c r="F5452" s="6"/>
      <c r="G5452" s="6"/>
    </row>
    <row r="5453" spans="1:7" x14ac:dyDescent="0.25">
      <c r="A5453" s="6" t="s">
        <v>957</v>
      </c>
      <c r="B5453" s="6"/>
      <c r="C5453" s="6"/>
      <c r="D5453" s="6"/>
      <c r="E5453" s="6"/>
      <c r="F5453" s="6"/>
      <c r="G5453" s="6"/>
    </row>
    <row r="5454" spans="1:7" x14ac:dyDescent="0.25">
      <c r="A5454" s="6" t="s">
        <v>498</v>
      </c>
      <c r="B5454" s="6"/>
      <c r="C5454" s="6"/>
      <c r="D5454" s="6"/>
      <c r="E5454" s="6"/>
      <c r="F5454" s="6"/>
      <c r="G5454" s="6"/>
    </row>
    <row r="5455" spans="1:7" x14ac:dyDescent="0.25">
      <c r="A5455" s="6" t="s">
        <v>495</v>
      </c>
      <c r="B5455" s="6"/>
      <c r="C5455" s="6"/>
      <c r="D5455" s="6"/>
      <c r="E5455" s="6"/>
      <c r="F5455" s="6"/>
      <c r="G5455" s="6"/>
    </row>
    <row r="5456" spans="1:7" x14ac:dyDescent="0.25">
      <c r="A5456" s="6" t="s">
        <v>14234</v>
      </c>
      <c r="B5456" s="6" t="s">
        <v>14235</v>
      </c>
      <c r="C5456" s="6"/>
      <c r="D5456" s="6"/>
      <c r="E5456" s="6"/>
      <c r="F5456" s="6"/>
      <c r="G5456" s="6"/>
    </row>
    <row r="5457" spans="1:7" x14ac:dyDescent="0.25">
      <c r="A5457" s="6" t="s">
        <v>490</v>
      </c>
      <c r="B5457" s="6"/>
      <c r="C5457" s="6"/>
      <c r="D5457" s="6"/>
      <c r="E5457" s="6"/>
      <c r="F5457" s="6"/>
      <c r="G5457" s="6"/>
    </row>
    <row r="5458" spans="1:7" x14ac:dyDescent="0.25">
      <c r="A5458" s="6" t="s">
        <v>1479</v>
      </c>
      <c r="B5458" s="6"/>
      <c r="C5458" s="6"/>
      <c r="D5458" s="6"/>
      <c r="E5458" s="6"/>
      <c r="F5458" s="6"/>
      <c r="G5458" s="6"/>
    </row>
    <row r="5459" spans="1:7" x14ac:dyDescent="0.25">
      <c r="A5459" s="6" t="s">
        <v>1476</v>
      </c>
      <c r="B5459" s="6"/>
      <c r="C5459" s="6"/>
      <c r="D5459" s="6"/>
      <c r="E5459" s="6"/>
      <c r="F5459" s="6"/>
      <c r="G5459" s="6"/>
    </row>
    <row r="5460" spans="1:7" x14ac:dyDescent="0.25">
      <c r="A5460" s="6" t="s">
        <v>1473</v>
      </c>
      <c r="B5460" s="6"/>
      <c r="C5460" s="6"/>
      <c r="D5460" s="6"/>
      <c r="E5460" s="6"/>
      <c r="F5460" s="6"/>
      <c r="G5460" s="6"/>
    </row>
    <row r="5461" spans="1:7" x14ac:dyDescent="0.25">
      <c r="A5461" s="6" t="s">
        <v>957</v>
      </c>
      <c r="B5461" s="6"/>
      <c r="C5461" s="6"/>
      <c r="D5461" s="6"/>
      <c r="E5461" s="6"/>
      <c r="F5461" s="6"/>
      <c r="G5461" s="6"/>
    </row>
    <row r="5462" spans="1:7" x14ac:dyDescent="0.25">
      <c r="A5462" s="6" t="s">
        <v>1469</v>
      </c>
      <c r="B5462" s="6"/>
      <c r="C5462" s="6"/>
      <c r="D5462" s="6"/>
      <c r="E5462" s="6"/>
      <c r="F5462" s="6"/>
      <c r="G5462" s="6"/>
    </row>
    <row r="5463" spans="1:7" x14ac:dyDescent="0.25">
      <c r="A5463" s="6" t="s">
        <v>957</v>
      </c>
      <c r="B5463" s="6"/>
      <c r="C5463" s="6"/>
      <c r="D5463" s="6"/>
      <c r="E5463" s="6"/>
      <c r="F5463" s="6"/>
      <c r="G5463" s="6"/>
    </row>
    <row r="5464" spans="1:7" x14ac:dyDescent="0.25">
      <c r="A5464" s="6" t="s">
        <v>1465</v>
      </c>
      <c r="B5464" s="6"/>
      <c r="C5464" s="6"/>
      <c r="D5464" s="6"/>
      <c r="E5464" s="6"/>
      <c r="F5464" s="6"/>
      <c r="G5464" s="6"/>
    </row>
    <row r="5465" spans="1:7" x14ac:dyDescent="0.25">
      <c r="A5465" s="6" t="s">
        <v>1462</v>
      </c>
      <c r="B5465" s="6"/>
      <c r="C5465" s="6"/>
      <c r="D5465" s="6"/>
      <c r="E5465" s="6"/>
      <c r="F5465" s="6"/>
      <c r="G5465" s="6"/>
    </row>
    <row r="5466" spans="1:7" x14ac:dyDescent="0.25">
      <c r="A5466" s="6" t="s">
        <v>1459</v>
      </c>
      <c r="B5466" s="6"/>
      <c r="C5466" s="6"/>
      <c r="D5466" s="6"/>
      <c r="E5466" s="6"/>
      <c r="F5466" s="6"/>
      <c r="G5466" s="6"/>
    </row>
    <row r="5467" spans="1:7" x14ac:dyDescent="0.25">
      <c r="A5467" s="6" t="s">
        <v>1456</v>
      </c>
      <c r="B5467" s="6"/>
      <c r="C5467" s="6"/>
      <c r="D5467" s="6"/>
      <c r="E5467" s="6"/>
      <c r="F5467" s="6"/>
      <c r="G5467" s="6"/>
    </row>
    <row r="5468" spans="1:7" x14ac:dyDescent="0.25">
      <c r="A5468" s="6" t="s">
        <v>1453</v>
      </c>
      <c r="B5468" s="6"/>
      <c r="C5468" s="6"/>
      <c r="D5468" s="6"/>
      <c r="E5468" s="6"/>
      <c r="F5468" s="6"/>
      <c r="G5468" s="6"/>
    </row>
    <row r="5469" spans="1:7" x14ac:dyDescent="0.25">
      <c r="A5469" s="6" t="s">
        <v>1450</v>
      </c>
      <c r="B5469" s="6"/>
      <c r="C5469" s="6"/>
      <c r="D5469" s="6"/>
      <c r="E5469" s="6"/>
      <c r="F5469" s="6"/>
      <c r="G5469" s="6"/>
    </row>
    <row r="5470" spans="1:7" x14ac:dyDescent="0.25">
      <c r="A5470" s="6" t="s">
        <v>254</v>
      </c>
      <c r="B5470" s="6"/>
      <c r="C5470" s="6"/>
      <c r="D5470" s="6"/>
      <c r="E5470" s="6"/>
      <c r="F5470" s="6"/>
      <c r="G5470" s="6"/>
    </row>
    <row r="5471" spans="1:7" x14ac:dyDescent="0.25">
      <c r="A5471" s="6" t="s">
        <v>251</v>
      </c>
      <c r="B5471" s="6"/>
      <c r="C5471" s="6"/>
      <c r="D5471" s="6"/>
      <c r="E5471" s="6"/>
      <c r="F5471" s="6"/>
      <c r="G5471" s="6"/>
    </row>
    <row r="5472" spans="1:7" x14ac:dyDescent="0.25">
      <c r="A5472" s="6" t="s">
        <v>957</v>
      </c>
      <c r="B5472" s="6"/>
      <c r="C5472" s="6"/>
      <c r="D5472" s="6"/>
      <c r="E5472" s="6"/>
      <c r="F5472" s="6"/>
      <c r="G5472" s="6"/>
    </row>
    <row r="5473" spans="1:7" x14ac:dyDescent="0.25">
      <c r="A5473" s="6" t="s">
        <v>247</v>
      </c>
      <c r="B5473" s="6"/>
      <c r="C5473" s="6"/>
      <c r="D5473" s="6"/>
      <c r="E5473" s="6"/>
      <c r="F5473" s="6"/>
      <c r="G5473" s="6"/>
    </row>
    <row r="5474" spans="1:7" x14ac:dyDescent="0.25">
      <c r="A5474" s="6" t="s">
        <v>244</v>
      </c>
      <c r="B5474" s="6"/>
      <c r="C5474" s="6"/>
      <c r="D5474" s="6"/>
      <c r="E5474" s="6"/>
      <c r="F5474" s="6"/>
      <c r="G5474" s="6"/>
    </row>
    <row r="5475" spans="1:7" x14ac:dyDescent="0.25">
      <c r="A5475" s="6" t="s">
        <v>957</v>
      </c>
      <c r="B5475" s="6"/>
      <c r="C5475" s="6"/>
      <c r="D5475" s="6"/>
      <c r="E5475" s="6"/>
      <c r="F5475" s="6"/>
      <c r="G5475" s="6"/>
    </row>
    <row r="5476" spans="1:7" x14ac:dyDescent="0.25">
      <c r="A5476" s="6" t="s">
        <v>240</v>
      </c>
      <c r="B5476" s="6"/>
      <c r="C5476" s="6"/>
      <c r="D5476" s="6"/>
      <c r="E5476" s="6"/>
      <c r="F5476" s="6"/>
      <c r="G5476" s="6"/>
    </row>
    <row r="5477" spans="1:7" x14ac:dyDescent="0.25">
      <c r="A5477" s="6" t="s">
        <v>237</v>
      </c>
      <c r="B5477" s="6"/>
      <c r="C5477" s="6"/>
      <c r="D5477" s="6"/>
      <c r="E5477" s="6"/>
      <c r="F5477" s="6"/>
      <c r="G5477" s="6"/>
    </row>
    <row r="5478" spans="1:7" x14ac:dyDescent="0.25">
      <c r="A5478" s="6" t="s">
        <v>957</v>
      </c>
      <c r="B5478" s="6"/>
      <c r="C5478" s="6"/>
      <c r="D5478" s="6"/>
      <c r="E5478" s="6"/>
      <c r="F5478" s="6"/>
      <c r="G5478" s="6"/>
    </row>
    <row r="5479" spans="1:7" x14ac:dyDescent="0.25">
      <c r="A5479" s="6" t="s">
        <v>233</v>
      </c>
      <c r="B5479" s="6"/>
      <c r="C5479" s="6"/>
      <c r="D5479" s="6"/>
      <c r="E5479" s="6"/>
      <c r="F5479" s="6"/>
      <c r="G5479" s="6"/>
    </row>
    <row r="5480" spans="1:7" x14ac:dyDescent="0.25">
      <c r="A5480" s="6" t="s">
        <v>230</v>
      </c>
      <c r="B5480" s="6"/>
      <c r="C5480" s="6"/>
      <c r="D5480" s="6"/>
      <c r="E5480" s="6"/>
      <c r="F5480" s="6"/>
      <c r="G5480" s="6"/>
    </row>
    <row r="5481" spans="1:7" x14ac:dyDescent="0.25">
      <c r="A5481" s="6" t="s">
        <v>957</v>
      </c>
      <c r="B5481" s="6"/>
      <c r="C5481" s="6"/>
      <c r="D5481" s="6"/>
      <c r="E5481" s="6"/>
      <c r="F5481" s="6"/>
      <c r="G5481" s="6"/>
    </row>
    <row r="5482" spans="1:7" x14ac:dyDescent="0.25">
      <c r="A5482" s="6" t="s">
        <v>225</v>
      </c>
      <c r="B5482" s="6"/>
      <c r="C5482" s="6"/>
      <c r="D5482" s="6"/>
      <c r="E5482" s="6"/>
      <c r="F5482" s="6"/>
      <c r="G5482" s="6"/>
    </row>
    <row r="5483" spans="1:7" x14ac:dyDescent="0.25">
      <c r="A5483" s="6" t="s">
        <v>222</v>
      </c>
      <c r="B5483" s="6"/>
      <c r="C5483" s="6"/>
      <c r="D5483" s="6"/>
      <c r="E5483" s="6"/>
      <c r="F5483" s="6"/>
      <c r="G5483" s="6"/>
    </row>
    <row r="5484" spans="1:7" x14ac:dyDescent="0.25">
      <c r="A5484" s="6" t="s">
        <v>219</v>
      </c>
      <c r="B5484" s="6"/>
      <c r="C5484" s="6"/>
      <c r="D5484" s="6"/>
      <c r="E5484" s="6"/>
      <c r="F5484" s="6"/>
      <c r="G5484" s="6"/>
    </row>
    <row r="5485" spans="1:7" x14ac:dyDescent="0.25">
      <c r="A5485" s="6" t="s">
        <v>216</v>
      </c>
      <c r="B5485" s="6"/>
      <c r="C5485" s="6"/>
      <c r="D5485" s="6"/>
      <c r="E5485" s="6"/>
      <c r="F5485" s="6"/>
      <c r="G5485" s="6"/>
    </row>
    <row r="5486" spans="1:7" x14ac:dyDescent="0.25">
      <c r="A5486" s="6" t="s">
        <v>957</v>
      </c>
      <c r="B5486" s="6"/>
      <c r="C5486" s="6"/>
      <c r="D5486" s="6"/>
      <c r="E5486" s="6"/>
      <c r="F5486" s="6"/>
      <c r="G5486" s="6"/>
    </row>
    <row r="5487" spans="1:7" x14ac:dyDescent="0.25">
      <c r="A5487" s="6" t="s">
        <v>212</v>
      </c>
      <c r="B5487" s="6"/>
      <c r="C5487" s="6"/>
      <c r="D5487" s="6"/>
      <c r="E5487" s="6"/>
      <c r="F5487" s="6"/>
      <c r="G5487" s="6"/>
    </row>
    <row r="5488" spans="1:7" x14ac:dyDescent="0.25">
      <c r="A5488" s="6" t="s">
        <v>209</v>
      </c>
      <c r="B5488" s="6"/>
      <c r="C5488" s="6"/>
      <c r="D5488" s="6"/>
      <c r="E5488" s="6"/>
      <c r="F5488" s="6"/>
      <c r="G5488" s="6"/>
    </row>
    <row r="5489" spans="1:7" x14ac:dyDescent="0.25">
      <c r="A5489" s="6" t="s">
        <v>957</v>
      </c>
      <c r="B5489" s="6"/>
      <c r="C5489" s="6"/>
      <c r="D5489" s="6"/>
      <c r="E5489" s="6"/>
      <c r="F5489" s="6"/>
      <c r="G5489" s="6"/>
    </row>
    <row r="5490" spans="1:7" x14ac:dyDescent="0.25">
      <c r="A5490" s="6" t="s">
        <v>957</v>
      </c>
      <c r="B5490" s="6"/>
      <c r="C5490" s="6"/>
      <c r="D5490" s="6"/>
      <c r="E5490" s="6"/>
      <c r="F5490" s="6"/>
      <c r="G5490" s="6"/>
    </row>
    <row r="5491" spans="1:7" x14ac:dyDescent="0.25">
      <c r="A5491" s="6" t="s">
        <v>957</v>
      </c>
      <c r="B5491" s="6"/>
      <c r="C5491" s="6"/>
      <c r="D5491" s="6"/>
      <c r="E5491" s="6"/>
      <c r="F5491" s="6"/>
      <c r="G5491" s="6"/>
    </row>
    <row r="5492" spans="1:7" x14ac:dyDescent="0.25">
      <c r="A5492" s="6" t="s">
        <v>789</v>
      </c>
      <c r="B5492" s="6"/>
      <c r="C5492" s="6"/>
      <c r="D5492" s="6"/>
      <c r="E5492" s="6"/>
      <c r="F5492" s="6"/>
      <c r="G5492" s="6"/>
    </row>
    <row r="5493" spans="1:7" x14ac:dyDescent="0.25">
      <c r="A5493" s="6" t="s">
        <v>786</v>
      </c>
      <c r="B5493" s="6"/>
      <c r="C5493" s="6"/>
      <c r="D5493" s="6"/>
      <c r="E5493" s="6"/>
      <c r="F5493" s="6"/>
      <c r="G5493" s="6"/>
    </row>
    <row r="5494" spans="1:7" x14ac:dyDescent="0.25">
      <c r="A5494" s="6" t="s">
        <v>957</v>
      </c>
      <c r="B5494" s="6"/>
      <c r="C5494" s="6"/>
      <c r="D5494" s="6"/>
      <c r="E5494" s="6"/>
      <c r="F5494" s="6"/>
      <c r="G5494" s="6"/>
    </row>
    <row r="5495" spans="1:7" x14ac:dyDescent="0.25">
      <c r="A5495" s="6" t="s">
        <v>957</v>
      </c>
      <c r="B5495" s="6"/>
      <c r="C5495" s="6"/>
      <c r="D5495" s="6"/>
      <c r="E5495" s="6"/>
      <c r="F5495" s="6"/>
      <c r="G5495" s="6"/>
    </row>
    <row r="5496" spans="1:7" x14ac:dyDescent="0.25">
      <c r="A5496" s="6" t="s">
        <v>781</v>
      </c>
      <c r="B5496" s="6"/>
      <c r="C5496" s="6"/>
      <c r="D5496" s="6"/>
      <c r="E5496" s="6"/>
      <c r="F5496" s="6"/>
      <c r="G5496" s="6"/>
    </row>
    <row r="5497" spans="1:7" x14ac:dyDescent="0.25">
      <c r="A5497" s="6" t="s">
        <v>778</v>
      </c>
      <c r="B5497" s="6"/>
      <c r="C5497" s="6"/>
      <c r="D5497" s="6"/>
      <c r="E5497" s="6"/>
      <c r="F5497" s="6"/>
      <c r="G5497" s="6"/>
    </row>
    <row r="5498" spans="1:7" x14ac:dyDescent="0.25">
      <c r="A5498" s="6" t="s">
        <v>775</v>
      </c>
      <c r="B5498" s="6"/>
      <c r="C5498" s="6"/>
      <c r="D5498" s="6"/>
      <c r="E5498" s="6"/>
      <c r="F5498" s="6"/>
      <c r="G5498" s="6"/>
    </row>
    <row r="5499" spans="1:7" x14ac:dyDescent="0.25">
      <c r="A5499" s="6" t="s">
        <v>772</v>
      </c>
      <c r="B5499" s="6"/>
      <c r="C5499" s="6"/>
      <c r="D5499" s="6"/>
      <c r="E5499" s="6"/>
      <c r="F5499" s="6"/>
      <c r="G5499" s="6"/>
    </row>
    <row r="5500" spans="1:7" x14ac:dyDescent="0.25">
      <c r="A5500" s="6" t="s">
        <v>769</v>
      </c>
      <c r="B5500" s="6"/>
      <c r="C5500" s="6"/>
      <c r="D5500" s="6"/>
      <c r="E5500" s="6"/>
      <c r="F5500" s="6"/>
      <c r="G5500" s="6"/>
    </row>
    <row r="5501" spans="1:7" x14ac:dyDescent="0.25">
      <c r="A5501" s="6" t="s">
        <v>766</v>
      </c>
      <c r="B5501" s="6"/>
      <c r="C5501" s="6"/>
      <c r="D5501" s="6"/>
      <c r="E5501" s="6"/>
      <c r="F5501" s="6"/>
      <c r="G5501" s="6"/>
    </row>
    <row r="5502" spans="1:7" x14ac:dyDescent="0.25">
      <c r="A5502" s="6" t="s">
        <v>957</v>
      </c>
      <c r="B5502" s="6"/>
      <c r="C5502" s="6"/>
      <c r="D5502" s="6"/>
      <c r="E5502" s="6"/>
      <c r="F5502" s="6"/>
      <c r="G5502" s="6"/>
    </row>
    <row r="5503" spans="1:7" x14ac:dyDescent="0.25">
      <c r="A5503" s="6" t="s">
        <v>957</v>
      </c>
      <c r="B5503" s="6"/>
      <c r="C5503" s="6"/>
      <c r="D5503" s="6"/>
      <c r="E5503" s="6"/>
      <c r="F5503" s="6"/>
      <c r="G5503" s="6"/>
    </row>
    <row r="5504" spans="1:7" x14ac:dyDescent="0.25">
      <c r="A5504" s="6" t="s">
        <v>957</v>
      </c>
      <c r="B5504" s="6"/>
      <c r="C5504" s="6"/>
      <c r="D5504" s="6"/>
      <c r="E5504" s="6"/>
      <c r="F5504" s="6"/>
      <c r="G5504" s="6"/>
    </row>
    <row r="5505" spans="1:7" x14ac:dyDescent="0.25">
      <c r="A5505" s="6" t="s">
        <v>760</v>
      </c>
      <c r="B5505" s="6"/>
      <c r="C5505" s="6"/>
      <c r="D5505" s="6"/>
      <c r="E5505" s="6"/>
      <c r="F5505" s="6"/>
      <c r="G5505" s="6"/>
    </row>
    <row r="5506" spans="1:7" x14ac:dyDescent="0.25">
      <c r="A5506" s="6" t="s">
        <v>757</v>
      </c>
      <c r="B5506" s="6"/>
      <c r="C5506" s="6"/>
      <c r="D5506" s="6"/>
      <c r="E5506" s="6"/>
      <c r="F5506" s="6"/>
      <c r="G5506" s="6"/>
    </row>
    <row r="5507" spans="1:7" x14ac:dyDescent="0.25">
      <c r="A5507" s="6" t="s">
        <v>754</v>
      </c>
      <c r="B5507" s="6"/>
      <c r="C5507" s="6"/>
      <c r="D5507" s="6"/>
      <c r="E5507" s="6"/>
      <c r="F5507" s="6"/>
      <c r="G5507" s="6"/>
    </row>
    <row r="5508" spans="1:7" x14ac:dyDescent="0.25">
      <c r="A5508" s="6" t="s">
        <v>751</v>
      </c>
      <c r="B5508" s="6"/>
      <c r="C5508" s="6"/>
      <c r="D5508" s="6"/>
      <c r="E5508" s="6"/>
      <c r="F5508" s="6"/>
      <c r="G5508" s="6"/>
    </row>
    <row r="5509" spans="1:7" x14ac:dyDescent="0.25">
      <c r="A5509" s="6" t="s">
        <v>351</v>
      </c>
      <c r="B5509" s="6"/>
      <c r="C5509" s="6"/>
      <c r="D5509" s="6"/>
      <c r="E5509" s="6"/>
      <c r="F5509" s="6"/>
      <c r="G5509" s="6"/>
    </row>
    <row r="5510" spans="1:7" x14ac:dyDescent="0.25">
      <c r="A5510" s="6" t="s">
        <v>348</v>
      </c>
      <c r="B5510" s="6"/>
      <c r="C5510" s="6"/>
      <c r="D5510" s="6"/>
      <c r="E5510" s="6"/>
      <c r="F5510" s="6"/>
      <c r="G5510" s="6"/>
    </row>
    <row r="5511" spans="1:7" x14ac:dyDescent="0.25">
      <c r="A5511" s="6" t="s">
        <v>957</v>
      </c>
      <c r="B5511" s="6"/>
      <c r="C5511" s="6"/>
      <c r="D5511" s="6"/>
      <c r="E5511" s="6"/>
      <c r="F5511" s="6"/>
      <c r="G5511" s="6"/>
    </row>
    <row r="5512" spans="1:7" x14ac:dyDescent="0.25">
      <c r="A5512" s="6" t="s">
        <v>344</v>
      </c>
      <c r="B5512" s="6"/>
      <c r="C5512" s="6"/>
      <c r="D5512" s="6"/>
      <c r="E5512" s="6"/>
      <c r="F5512" s="6"/>
      <c r="G5512" s="6"/>
    </row>
    <row r="5513" spans="1:7" x14ac:dyDescent="0.25">
      <c r="A5513" s="6" t="s">
        <v>341</v>
      </c>
      <c r="B5513" s="6"/>
      <c r="C5513" s="6"/>
      <c r="D5513" s="6"/>
      <c r="E5513" s="6"/>
      <c r="F5513" s="6"/>
      <c r="G5513" s="6"/>
    </row>
    <row r="5514" spans="1:7" x14ac:dyDescent="0.25">
      <c r="A5514" s="6" t="s">
        <v>338</v>
      </c>
      <c r="B5514" s="6"/>
      <c r="C5514" s="6"/>
      <c r="D5514" s="6"/>
      <c r="E5514" s="6"/>
      <c r="F5514" s="6"/>
      <c r="G5514" s="6"/>
    </row>
    <row r="5515" spans="1:7" x14ac:dyDescent="0.25">
      <c r="A5515" s="6" t="s">
        <v>335</v>
      </c>
      <c r="B5515" s="6"/>
      <c r="C5515" s="6"/>
      <c r="D5515" s="6"/>
      <c r="E5515" s="6"/>
      <c r="F5515" s="6"/>
      <c r="G5515" s="6"/>
    </row>
    <row r="5516" spans="1:7" x14ac:dyDescent="0.25">
      <c r="A5516" s="6" t="s">
        <v>957</v>
      </c>
      <c r="B5516" s="6"/>
      <c r="C5516" s="6"/>
      <c r="D5516" s="6"/>
      <c r="E5516" s="6"/>
      <c r="F5516" s="6"/>
      <c r="G5516" s="6"/>
    </row>
    <row r="5517" spans="1:7" x14ac:dyDescent="0.25">
      <c r="A5517" s="6" t="s">
        <v>331</v>
      </c>
      <c r="B5517" s="6"/>
      <c r="C5517" s="6"/>
      <c r="D5517" s="6"/>
      <c r="E5517" s="6"/>
      <c r="F5517" s="6"/>
      <c r="G5517" s="6"/>
    </row>
    <row r="5518" spans="1:7" x14ac:dyDescent="0.25">
      <c r="A5518" s="6" t="s">
        <v>328</v>
      </c>
      <c r="B5518" s="6"/>
      <c r="C5518" s="6"/>
      <c r="D5518" s="6"/>
      <c r="E5518" s="6"/>
      <c r="F5518" s="6"/>
      <c r="G5518" s="6"/>
    </row>
    <row r="5519" spans="1:7" x14ac:dyDescent="0.25">
      <c r="A5519" s="6" t="s">
        <v>325</v>
      </c>
      <c r="B5519" s="6"/>
      <c r="C5519" s="6"/>
      <c r="D5519" s="6"/>
      <c r="E5519" s="6"/>
      <c r="F5519" s="6"/>
      <c r="G5519" s="6"/>
    </row>
    <row r="5520" spans="1:7" x14ac:dyDescent="0.25">
      <c r="A5520" s="6" t="s">
        <v>957</v>
      </c>
      <c r="B5520" s="6"/>
      <c r="C5520" s="6"/>
      <c r="D5520" s="6"/>
      <c r="E5520" s="6"/>
      <c r="F5520" s="6"/>
      <c r="G5520" s="6"/>
    </row>
    <row r="5521" spans="1:7" x14ac:dyDescent="0.25">
      <c r="A5521" s="6" t="s">
        <v>320</v>
      </c>
      <c r="B5521" s="6"/>
      <c r="C5521" s="6"/>
      <c r="D5521" s="6"/>
      <c r="E5521" s="6"/>
      <c r="F5521" s="6"/>
      <c r="G5521" s="6"/>
    </row>
    <row r="5522" spans="1:7" x14ac:dyDescent="0.25">
      <c r="A5522" s="6" t="s">
        <v>317</v>
      </c>
      <c r="B5522" s="6"/>
      <c r="C5522" s="6"/>
      <c r="D5522" s="6"/>
      <c r="E5522" s="6"/>
      <c r="F5522" s="6"/>
      <c r="G5522" s="6"/>
    </row>
    <row r="5523" spans="1:7" x14ac:dyDescent="0.25">
      <c r="A5523" s="6" t="s">
        <v>314</v>
      </c>
      <c r="B5523" s="6"/>
      <c r="C5523" s="6"/>
      <c r="D5523" s="6"/>
      <c r="E5523" s="6"/>
      <c r="F5523" s="6"/>
      <c r="G5523" s="6"/>
    </row>
    <row r="5524" spans="1:7" x14ac:dyDescent="0.25">
      <c r="A5524" s="6" t="s">
        <v>311</v>
      </c>
      <c r="B5524" s="6"/>
      <c r="C5524" s="6"/>
      <c r="D5524" s="6"/>
      <c r="E5524" s="6"/>
      <c r="F5524" s="6"/>
      <c r="G5524" s="6"/>
    </row>
    <row r="5525" spans="1:7" x14ac:dyDescent="0.25">
      <c r="A5525" s="6" t="s">
        <v>308</v>
      </c>
      <c r="B5525" s="6"/>
      <c r="C5525" s="6"/>
      <c r="D5525" s="6"/>
      <c r="E5525" s="6"/>
      <c r="F5525" s="6"/>
      <c r="G5525" s="6"/>
    </row>
    <row r="5526" spans="1:7" x14ac:dyDescent="0.25">
      <c r="A5526" s="6" t="s">
        <v>957</v>
      </c>
      <c r="B5526" s="6"/>
      <c r="C5526" s="6"/>
      <c r="D5526" s="6"/>
      <c r="E5526" s="6"/>
      <c r="F5526" s="6"/>
      <c r="G5526" s="6"/>
    </row>
    <row r="5527" spans="1:7" x14ac:dyDescent="0.25">
      <c r="A5527" s="6" t="s">
        <v>304</v>
      </c>
      <c r="B5527" s="6"/>
      <c r="C5527" s="6"/>
      <c r="D5527" s="6"/>
      <c r="E5527" s="6"/>
      <c r="F5527" s="6"/>
      <c r="G5527" s="6"/>
    </row>
    <row r="5528" spans="1:7" x14ac:dyDescent="0.25">
      <c r="A5528" s="6" t="s">
        <v>301</v>
      </c>
      <c r="B5528" s="6"/>
      <c r="C5528" s="6"/>
      <c r="D5528" s="6"/>
      <c r="E5528" s="6"/>
      <c r="F5528" s="6"/>
      <c r="G5528" s="6"/>
    </row>
    <row r="5529" spans="1:7" x14ac:dyDescent="0.25">
      <c r="A5529" s="6" t="s">
        <v>298</v>
      </c>
      <c r="B5529" s="6"/>
      <c r="C5529" s="6"/>
      <c r="D5529" s="6"/>
      <c r="E5529" s="6"/>
      <c r="F5529" s="6"/>
      <c r="G5529" s="6"/>
    </row>
    <row r="5530" spans="1:7" x14ac:dyDescent="0.25">
      <c r="A5530" s="6" t="s">
        <v>1309</v>
      </c>
      <c r="B5530" s="6"/>
      <c r="C5530" s="6"/>
      <c r="D5530" s="6"/>
      <c r="E5530" s="6"/>
      <c r="F5530" s="6"/>
      <c r="G5530" s="6"/>
    </row>
    <row r="5531" spans="1:7" x14ac:dyDescent="0.25">
      <c r="A5531" s="6" t="s">
        <v>1306</v>
      </c>
      <c r="B5531" s="6"/>
      <c r="C5531" s="6"/>
      <c r="D5531" s="6"/>
      <c r="E5531" s="6"/>
      <c r="F5531" s="6"/>
      <c r="G5531" s="6"/>
    </row>
    <row r="5532" spans="1:7" x14ac:dyDescent="0.25">
      <c r="A5532" s="6" t="s">
        <v>957</v>
      </c>
      <c r="B5532" s="6"/>
      <c r="C5532" s="6"/>
      <c r="D5532" s="6"/>
      <c r="E5532" s="6"/>
      <c r="F5532" s="6"/>
      <c r="G5532" s="6"/>
    </row>
    <row r="5533" spans="1:7" x14ac:dyDescent="0.25">
      <c r="A5533" s="6" t="s">
        <v>1302</v>
      </c>
      <c r="B5533" s="6"/>
      <c r="C5533" s="6"/>
      <c r="D5533" s="6"/>
      <c r="E5533" s="6"/>
      <c r="F5533" s="6"/>
      <c r="G5533" s="6"/>
    </row>
    <row r="5534" spans="1:7" x14ac:dyDescent="0.25">
      <c r="A5534" s="6" t="s">
        <v>1299</v>
      </c>
      <c r="B5534" s="6"/>
      <c r="C5534" s="6"/>
      <c r="D5534" s="6"/>
      <c r="E5534" s="6"/>
      <c r="F5534" s="6"/>
      <c r="G5534" s="6"/>
    </row>
    <row r="5535" spans="1:7" x14ac:dyDescent="0.25">
      <c r="A5535" s="6" t="s">
        <v>1296</v>
      </c>
      <c r="B5535" s="6"/>
      <c r="C5535" s="6"/>
      <c r="D5535" s="6"/>
      <c r="E5535" s="6"/>
      <c r="F5535" s="6"/>
      <c r="G5535" s="6"/>
    </row>
    <row r="5536" spans="1:7" x14ac:dyDescent="0.25">
      <c r="A5536" s="6" t="s">
        <v>1293</v>
      </c>
      <c r="B5536" s="6"/>
      <c r="C5536" s="6"/>
      <c r="D5536" s="6"/>
      <c r="E5536" s="6"/>
      <c r="F5536" s="6"/>
      <c r="G5536" s="6"/>
    </row>
    <row r="5537" spans="1:7" x14ac:dyDescent="0.25">
      <c r="A5537" s="6" t="s">
        <v>1290</v>
      </c>
      <c r="B5537" s="6"/>
      <c r="C5537" s="6"/>
      <c r="D5537" s="6"/>
      <c r="E5537" s="6"/>
      <c r="F5537" s="6"/>
      <c r="G5537" s="6"/>
    </row>
    <row r="5538" spans="1:7" x14ac:dyDescent="0.25">
      <c r="A5538" s="6" t="s">
        <v>1287</v>
      </c>
      <c r="B5538" s="6"/>
      <c r="C5538" s="6"/>
      <c r="D5538" s="6"/>
      <c r="E5538" s="6"/>
      <c r="F5538" s="6"/>
      <c r="G5538" s="6"/>
    </row>
    <row r="5539" spans="1:7" x14ac:dyDescent="0.25">
      <c r="A5539" s="6" t="s">
        <v>1284</v>
      </c>
      <c r="B5539" s="6"/>
      <c r="C5539" s="6"/>
      <c r="D5539" s="6"/>
      <c r="E5539" s="6"/>
      <c r="F5539" s="6"/>
      <c r="G5539" s="6"/>
    </row>
    <row r="5540" spans="1:7" x14ac:dyDescent="0.25">
      <c r="A5540" s="6" t="s">
        <v>1281</v>
      </c>
      <c r="B5540" s="6"/>
      <c r="C5540" s="6"/>
      <c r="D5540" s="6"/>
      <c r="E5540" s="6"/>
      <c r="F5540" s="6"/>
      <c r="G5540" s="6"/>
    </row>
    <row r="5541" spans="1:7" x14ac:dyDescent="0.25">
      <c r="A5541" s="6" t="s">
        <v>1278</v>
      </c>
      <c r="B5541" s="6"/>
      <c r="C5541" s="6"/>
      <c r="D5541" s="6"/>
      <c r="E5541" s="6"/>
      <c r="F5541" s="6"/>
      <c r="G5541" s="6"/>
    </row>
    <row r="5542" spans="1:7" x14ac:dyDescent="0.25">
      <c r="A5542" s="6" t="s">
        <v>1275</v>
      </c>
      <c r="B5542" s="6"/>
      <c r="C5542" s="6"/>
      <c r="D5542" s="6"/>
      <c r="E5542" s="6"/>
      <c r="F5542" s="6"/>
      <c r="G5542" s="6"/>
    </row>
    <row r="5543" spans="1:7" x14ac:dyDescent="0.25">
      <c r="A5543" s="6" t="s">
        <v>59</v>
      </c>
      <c r="B5543" s="6"/>
      <c r="C5543" s="6"/>
      <c r="D5543" s="6"/>
      <c r="E5543" s="6"/>
      <c r="F5543" s="6"/>
      <c r="G5543" s="6"/>
    </row>
    <row r="5544" spans="1:7" x14ac:dyDescent="0.25">
      <c r="A5544" s="6" t="s">
        <v>56</v>
      </c>
      <c r="B5544" s="6"/>
      <c r="C5544" s="6"/>
      <c r="D5544" s="6"/>
      <c r="E5544" s="6"/>
      <c r="F5544" s="6"/>
      <c r="G5544" s="6"/>
    </row>
    <row r="5545" spans="1:7" x14ac:dyDescent="0.25">
      <c r="A5545" s="6" t="s">
        <v>53</v>
      </c>
      <c r="B5545" s="6"/>
      <c r="C5545" s="6"/>
      <c r="D5545" s="6"/>
      <c r="E5545" s="6"/>
      <c r="F5545" s="6"/>
      <c r="G5545" s="6"/>
    </row>
    <row r="5546" spans="1:7" x14ac:dyDescent="0.25">
      <c r="A5546" s="6" t="s">
        <v>50</v>
      </c>
      <c r="B5546" s="6"/>
      <c r="C5546" s="6"/>
      <c r="D5546" s="6"/>
      <c r="E5546" s="6"/>
      <c r="F5546" s="6"/>
      <c r="G5546" s="6"/>
    </row>
    <row r="5547" spans="1:7" x14ac:dyDescent="0.25">
      <c r="A5547" s="6" t="s">
        <v>957</v>
      </c>
      <c r="B5547" s="6"/>
      <c r="C5547" s="6"/>
      <c r="D5547" s="6"/>
      <c r="E5547" s="6"/>
      <c r="F5547" s="6"/>
      <c r="G5547" s="6"/>
    </row>
    <row r="5548" spans="1:7" x14ac:dyDescent="0.25">
      <c r="A5548" s="6" t="s">
        <v>46</v>
      </c>
      <c r="B5548" s="6"/>
      <c r="C5548" s="6"/>
      <c r="D5548" s="6"/>
      <c r="E5548" s="6"/>
      <c r="F5548" s="6"/>
      <c r="G5548" s="6"/>
    </row>
    <row r="5549" spans="1:7" x14ac:dyDescent="0.25">
      <c r="A5549" s="6" t="s">
        <v>43</v>
      </c>
      <c r="B5549" s="6"/>
      <c r="C5549" s="6"/>
      <c r="D5549" s="6"/>
      <c r="E5549" s="6"/>
      <c r="F5549" s="6"/>
      <c r="G5549" s="6"/>
    </row>
    <row r="5550" spans="1:7" x14ac:dyDescent="0.25">
      <c r="A5550" s="6" t="s">
        <v>40</v>
      </c>
      <c r="B5550" s="6"/>
      <c r="C5550" s="6"/>
      <c r="D5550" s="6"/>
      <c r="E5550" s="6"/>
      <c r="F5550" s="6"/>
      <c r="G5550" s="6"/>
    </row>
    <row r="5551" spans="1:7" x14ac:dyDescent="0.25">
      <c r="A5551" s="6" t="s">
        <v>37</v>
      </c>
      <c r="B5551" s="6"/>
      <c r="C5551" s="6"/>
      <c r="D5551" s="6"/>
      <c r="E5551" s="6"/>
      <c r="F5551" s="6"/>
      <c r="G5551" s="6"/>
    </row>
    <row r="5552" spans="1:7" x14ac:dyDescent="0.25">
      <c r="A5552" s="6" t="s">
        <v>34</v>
      </c>
      <c r="B5552" s="6"/>
      <c r="C5552" s="6"/>
      <c r="D5552" s="6"/>
      <c r="E5552" s="6"/>
      <c r="F5552" s="6"/>
      <c r="G5552" s="6"/>
    </row>
    <row r="5553" spans="1:7" x14ac:dyDescent="0.25">
      <c r="A5553" s="6" t="s">
        <v>31</v>
      </c>
      <c r="B5553" s="6"/>
      <c r="C5553" s="6"/>
      <c r="D5553" s="6"/>
      <c r="E5553" s="6"/>
      <c r="F5553" s="6"/>
      <c r="G5553" s="6"/>
    </row>
    <row r="5554" spans="1:7" x14ac:dyDescent="0.25">
      <c r="A5554" s="6" t="s">
        <v>957</v>
      </c>
      <c r="B5554" s="6"/>
      <c r="C5554" s="6"/>
      <c r="D5554" s="6"/>
      <c r="E5554" s="6"/>
      <c r="F5554" s="6"/>
      <c r="G5554" s="6"/>
    </row>
    <row r="5555" spans="1:7" x14ac:dyDescent="0.25">
      <c r="A5555" s="6" t="s">
        <v>27</v>
      </c>
      <c r="B5555" s="6"/>
      <c r="C5555" s="6"/>
      <c r="D5555" s="6"/>
      <c r="E5555" s="6"/>
      <c r="F5555" s="6"/>
      <c r="G5555" s="6"/>
    </row>
    <row r="5556" spans="1:7" x14ac:dyDescent="0.25">
      <c r="A5556" s="6" t="s">
        <v>24</v>
      </c>
      <c r="B5556" s="6"/>
      <c r="C5556" s="6"/>
      <c r="D5556" s="6"/>
      <c r="E5556" s="6"/>
      <c r="F5556" s="6"/>
      <c r="G5556" s="6"/>
    </row>
    <row r="5557" spans="1:7" x14ac:dyDescent="0.25">
      <c r="A5557" s="6" t="s">
        <v>21</v>
      </c>
      <c r="B5557" s="6"/>
      <c r="C5557" s="6"/>
      <c r="D5557" s="6"/>
      <c r="E5557" s="6"/>
      <c r="F5557" s="6"/>
      <c r="G5557" s="6"/>
    </row>
    <row r="5558" spans="1:7" x14ac:dyDescent="0.25">
      <c r="A5558" s="6" t="s">
        <v>18</v>
      </c>
      <c r="B5558" s="6"/>
      <c r="C5558" s="6"/>
      <c r="D5558" s="6"/>
      <c r="E5558" s="6"/>
      <c r="F5558" s="6"/>
      <c r="G5558" s="6"/>
    </row>
    <row r="5559" spans="1:7" x14ac:dyDescent="0.25">
      <c r="A5559" s="6" t="s">
        <v>957</v>
      </c>
      <c r="B5559" s="6"/>
      <c r="C5559" s="6"/>
      <c r="D5559" s="6"/>
      <c r="E5559" s="6"/>
      <c r="F5559" s="6"/>
      <c r="G5559" s="6"/>
    </row>
    <row r="5560" spans="1:7" x14ac:dyDescent="0.25">
      <c r="A5560" s="6" t="s">
        <v>14</v>
      </c>
      <c r="B5560" s="6"/>
      <c r="C5560" s="6"/>
      <c r="D5560" s="6"/>
      <c r="E5560" s="6"/>
      <c r="F5560" s="6"/>
      <c r="G5560" s="6"/>
    </row>
    <row r="5561" spans="1:7" x14ac:dyDescent="0.25">
      <c r="A5561" s="6" t="s">
        <v>11</v>
      </c>
      <c r="B5561" s="6"/>
      <c r="C5561" s="6"/>
      <c r="D5561" s="6"/>
      <c r="E5561" s="6"/>
      <c r="F5561" s="6"/>
      <c r="G5561" s="6"/>
    </row>
    <row r="5562" spans="1:7" x14ac:dyDescent="0.25">
      <c r="A5562" s="6" t="s">
        <v>8</v>
      </c>
      <c r="B5562" s="6"/>
      <c r="C5562" s="6"/>
      <c r="D5562" s="6"/>
      <c r="E5562" s="6"/>
      <c r="F5562" s="6"/>
      <c r="G5562" s="6"/>
    </row>
    <row r="5563" spans="1:7" x14ac:dyDescent="0.25">
      <c r="A5563" s="6" t="s">
        <v>5</v>
      </c>
      <c r="B5563" s="6"/>
      <c r="C5563" s="6"/>
      <c r="D5563" s="6"/>
      <c r="E5563" s="6"/>
      <c r="F5563" s="6"/>
      <c r="G5563" s="6"/>
    </row>
    <row r="5564" spans="1:7" x14ac:dyDescent="0.25">
      <c r="A5564" s="6" t="s">
        <v>957</v>
      </c>
      <c r="B5564" s="6"/>
      <c r="C5564" s="6"/>
      <c r="D5564" s="6"/>
      <c r="E5564" s="6"/>
      <c r="F5564" s="6"/>
      <c r="G5564" s="6"/>
    </row>
    <row r="5565" spans="1:7" x14ac:dyDescent="0.25">
      <c r="A5565" s="6" t="s">
        <v>957</v>
      </c>
      <c r="B5565" s="6"/>
      <c r="C5565" s="6"/>
      <c r="D5565" s="6"/>
      <c r="E5565" s="6"/>
      <c r="F5565" s="6"/>
      <c r="G5565" s="6"/>
    </row>
    <row r="5566" spans="1:7" x14ac:dyDescent="0.25">
      <c r="A5566" s="6" t="s">
        <v>611</v>
      </c>
      <c r="B5566" s="6"/>
      <c r="C5566" s="6"/>
      <c r="D5566" s="6"/>
      <c r="E5566" s="6"/>
      <c r="F5566" s="6"/>
      <c r="G5566" s="6"/>
    </row>
    <row r="5567" spans="1:7" x14ac:dyDescent="0.25">
      <c r="A5567" s="6" t="s">
        <v>608</v>
      </c>
      <c r="B5567" s="6"/>
      <c r="C5567" s="6"/>
      <c r="D5567" s="6"/>
      <c r="E5567" s="6"/>
      <c r="F5567" s="6"/>
      <c r="G5567" s="6"/>
    </row>
    <row r="5568" spans="1:7" x14ac:dyDescent="0.25">
      <c r="A5568" s="6" t="s">
        <v>957</v>
      </c>
      <c r="B5568" s="6"/>
      <c r="C5568" s="6"/>
      <c r="D5568" s="6"/>
      <c r="E5568" s="6"/>
      <c r="F5568" s="6"/>
      <c r="G5568" s="6"/>
    </row>
    <row r="5569" spans="1:7" x14ac:dyDescent="0.25">
      <c r="A5569" s="6" t="s">
        <v>957</v>
      </c>
      <c r="B5569" s="6"/>
      <c r="C5569" s="6"/>
      <c r="D5569" s="6"/>
      <c r="E5569" s="6"/>
      <c r="F5569" s="6"/>
      <c r="G5569" s="6"/>
    </row>
    <row r="5570" spans="1:7" x14ac:dyDescent="0.25">
      <c r="A5570" s="6" t="s">
        <v>603</v>
      </c>
      <c r="B5570" s="6"/>
      <c r="C5570" s="6"/>
      <c r="D5570" s="6"/>
      <c r="E5570" s="6"/>
      <c r="F5570" s="6"/>
      <c r="G5570" s="6"/>
    </row>
    <row r="5571" spans="1:7" x14ac:dyDescent="0.25">
      <c r="A5571" s="6" t="s">
        <v>600</v>
      </c>
      <c r="B5571" s="6"/>
      <c r="C5571" s="6"/>
      <c r="D5571" s="6"/>
      <c r="E5571" s="6"/>
      <c r="F5571" s="6"/>
      <c r="G5571" s="6"/>
    </row>
    <row r="5572" spans="1:7" x14ac:dyDescent="0.25">
      <c r="A5572" s="6" t="s">
        <v>597</v>
      </c>
      <c r="B5572" s="6"/>
      <c r="C5572" s="6"/>
      <c r="D5572" s="6"/>
      <c r="E5572" s="6"/>
      <c r="F5572" s="6"/>
      <c r="G5572" s="6"/>
    </row>
    <row r="5573" spans="1:7" x14ac:dyDescent="0.25">
      <c r="A5573" s="6" t="s">
        <v>957</v>
      </c>
      <c r="B5573" s="6"/>
      <c r="C5573" s="6"/>
      <c r="D5573" s="6"/>
      <c r="E5573" s="6"/>
      <c r="F5573" s="6"/>
      <c r="G5573" s="6"/>
    </row>
    <row r="5574" spans="1:7" x14ac:dyDescent="0.25">
      <c r="A5574" s="6" t="s">
        <v>957</v>
      </c>
      <c r="B5574" s="6"/>
      <c r="C5574" s="6"/>
      <c r="D5574" s="6"/>
      <c r="E5574" s="6"/>
      <c r="F5574" s="6"/>
      <c r="G5574" s="6"/>
    </row>
    <row r="5575" spans="1:7" x14ac:dyDescent="0.25">
      <c r="A5575" s="6" t="s">
        <v>592</v>
      </c>
      <c r="B5575" s="6"/>
      <c r="C5575" s="6"/>
      <c r="D5575" s="6"/>
      <c r="E5575" s="6"/>
      <c r="F5575" s="6"/>
      <c r="G5575" s="6"/>
    </row>
    <row r="5576" spans="1:7" x14ac:dyDescent="0.25">
      <c r="A5576" s="6" t="s">
        <v>589</v>
      </c>
      <c r="B5576" s="6"/>
      <c r="C5576" s="6"/>
      <c r="D5576" s="6"/>
      <c r="E5576" s="6"/>
      <c r="F5576" s="6"/>
      <c r="G5576" s="6"/>
    </row>
    <row r="5577" spans="1:7" x14ac:dyDescent="0.25">
      <c r="A5577" s="6" t="s">
        <v>14195</v>
      </c>
      <c r="B5577" s="6" t="s">
        <v>14196</v>
      </c>
      <c r="C5577" s="6"/>
      <c r="D5577" s="6"/>
      <c r="E5577" s="6"/>
      <c r="F5577" s="6"/>
      <c r="G5577" s="6"/>
    </row>
    <row r="5578" spans="1:7" x14ac:dyDescent="0.25">
      <c r="A5578" s="6" t="s">
        <v>584</v>
      </c>
      <c r="B5578" s="6"/>
      <c r="C5578" s="6"/>
      <c r="D5578" s="6"/>
      <c r="E5578" s="6"/>
      <c r="F5578" s="6"/>
      <c r="G5578" s="6"/>
    </row>
    <row r="5579" spans="1:7" x14ac:dyDescent="0.25">
      <c r="A5579" s="6" t="s">
        <v>581</v>
      </c>
      <c r="B5579" s="6"/>
      <c r="C5579" s="6"/>
      <c r="D5579" s="6"/>
      <c r="E5579" s="6"/>
      <c r="F5579" s="6"/>
      <c r="G5579" s="6"/>
    </row>
    <row r="5580" spans="1:7" x14ac:dyDescent="0.25">
      <c r="A5580" s="6" t="s">
        <v>578</v>
      </c>
      <c r="B5580" s="6"/>
      <c r="C5580" s="6"/>
      <c r="D5580" s="6"/>
      <c r="E5580" s="6"/>
      <c r="F5580" s="6"/>
      <c r="G5580" s="6"/>
    </row>
    <row r="5581" spans="1:7" x14ac:dyDescent="0.25">
      <c r="A5581" s="6" t="s">
        <v>164</v>
      </c>
      <c r="B5581" s="6"/>
      <c r="C5581" s="6"/>
      <c r="D5581" s="6"/>
      <c r="E5581" s="6"/>
      <c r="F5581" s="6"/>
      <c r="G5581" s="6"/>
    </row>
    <row r="5582" spans="1:7" x14ac:dyDescent="0.25">
      <c r="A5582" s="6" t="s">
        <v>161</v>
      </c>
      <c r="B5582" s="6"/>
      <c r="C5582" s="6"/>
      <c r="D5582" s="6"/>
      <c r="E5582" s="6"/>
      <c r="F5582" s="6"/>
      <c r="G5582" s="6"/>
    </row>
    <row r="5583" spans="1:7" x14ac:dyDescent="0.25">
      <c r="A5583" s="6" t="s">
        <v>158</v>
      </c>
      <c r="B5583" s="6"/>
      <c r="C5583" s="6"/>
      <c r="D5583" s="6"/>
      <c r="E5583" s="6"/>
      <c r="F5583" s="6"/>
      <c r="G5583" s="6"/>
    </row>
    <row r="5584" spans="1:7" x14ac:dyDescent="0.25">
      <c r="A5584" s="6" t="s">
        <v>957</v>
      </c>
      <c r="B5584" s="6"/>
      <c r="C5584" s="6"/>
      <c r="D5584" s="6"/>
      <c r="E5584" s="6"/>
      <c r="F5584" s="6"/>
      <c r="G5584" s="6"/>
    </row>
    <row r="5585" spans="1:7" x14ac:dyDescent="0.25">
      <c r="A5585" s="6" t="s">
        <v>957</v>
      </c>
      <c r="B5585" s="6"/>
      <c r="C5585" s="6"/>
      <c r="D5585" s="6"/>
      <c r="E5585" s="6"/>
      <c r="F5585" s="6"/>
      <c r="G5585" s="6"/>
    </row>
    <row r="5586" spans="1:7" x14ac:dyDescent="0.25">
      <c r="A5586" s="6" t="s">
        <v>152</v>
      </c>
      <c r="B5586" s="6"/>
      <c r="C5586" s="6"/>
      <c r="D5586" s="6"/>
      <c r="E5586" s="6"/>
      <c r="F5586" s="6"/>
      <c r="G5586" s="6"/>
    </row>
    <row r="5587" spans="1:7" x14ac:dyDescent="0.25">
      <c r="A5587" s="6" t="s">
        <v>149</v>
      </c>
      <c r="B5587" s="6"/>
      <c r="C5587" s="6"/>
      <c r="D5587" s="6"/>
      <c r="E5587" s="6"/>
      <c r="F5587" s="6"/>
      <c r="G5587" s="6"/>
    </row>
    <row r="5588" spans="1:7" x14ac:dyDescent="0.25">
      <c r="A5588" s="6" t="s">
        <v>146</v>
      </c>
      <c r="B5588" s="6"/>
      <c r="C5588" s="6"/>
      <c r="D5588" s="6"/>
      <c r="E5588" s="6"/>
      <c r="F5588" s="6"/>
      <c r="G5588" s="6"/>
    </row>
    <row r="5589" spans="1:7" x14ac:dyDescent="0.25">
      <c r="A5589" s="6" t="s">
        <v>143</v>
      </c>
      <c r="B5589" s="6"/>
      <c r="C5589" s="6"/>
      <c r="D5589" s="6"/>
      <c r="E5589" s="6"/>
      <c r="F5589" s="6"/>
      <c r="G5589" s="6"/>
    </row>
    <row r="5590" spans="1:7" x14ac:dyDescent="0.25">
      <c r="A5590" s="6" t="s">
        <v>957</v>
      </c>
      <c r="B5590" s="6"/>
      <c r="C5590" s="6"/>
      <c r="D5590" s="6"/>
      <c r="E5590" s="6"/>
      <c r="F5590" s="6"/>
      <c r="G5590" s="6"/>
    </row>
    <row r="5591" spans="1:7" x14ac:dyDescent="0.25">
      <c r="A5591" s="6" t="s">
        <v>957</v>
      </c>
      <c r="B5591" s="6"/>
      <c r="C5591" s="6"/>
      <c r="D5591" s="6"/>
      <c r="E5591" s="6"/>
      <c r="F5591" s="6"/>
      <c r="G5591" s="6"/>
    </row>
    <row r="5592" spans="1:7" x14ac:dyDescent="0.25">
      <c r="A5592" s="6" t="s">
        <v>957</v>
      </c>
      <c r="B5592" s="6"/>
      <c r="C5592" s="6"/>
      <c r="D5592" s="6"/>
      <c r="E5592" s="6"/>
      <c r="F5592" s="6"/>
      <c r="G5592" s="6"/>
    </row>
    <row r="5593" spans="1:7" x14ac:dyDescent="0.25">
      <c r="A5593" s="6" t="s">
        <v>957</v>
      </c>
      <c r="B5593" s="6"/>
      <c r="C5593" s="6"/>
      <c r="D5593" s="6"/>
      <c r="E5593" s="6"/>
      <c r="F5593" s="6"/>
      <c r="G5593" s="6"/>
    </row>
    <row r="5594" spans="1:7" x14ac:dyDescent="0.25">
      <c r="A5594" s="6" t="s">
        <v>957</v>
      </c>
      <c r="B5594" s="6"/>
      <c r="C5594" s="6"/>
      <c r="D5594" s="6"/>
      <c r="E5594" s="6"/>
      <c r="F5594" s="6"/>
      <c r="G5594" s="6"/>
    </row>
    <row r="5595" spans="1:7" x14ac:dyDescent="0.25">
      <c r="A5595" s="6" t="s">
        <v>134</v>
      </c>
      <c r="B5595" s="6"/>
      <c r="C5595" s="6"/>
      <c r="D5595" s="6"/>
      <c r="E5595" s="6"/>
      <c r="F5595" s="6"/>
      <c r="G5595" s="6"/>
    </row>
    <row r="5596" spans="1:7" x14ac:dyDescent="0.25">
      <c r="A5596" s="6" t="s">
        <v>131</v>
      </c>
      <c r="B5596" s="6"/>
      <c r="C5596" s="6"/>
      <c r="D5596" s="6"/>
      <c r="E5596" s="6"/>
      <c r="F5596" s="6"/>
      <c r="G5596" s="6"/>
    </row>
    <row r="5597" spans="1:7" x14ac:dyDescent="0.25">
      <c r="A5597" s="6" t="s">
        <v>128</v>
      </c>
      <c r="B5597" s="6"/>
      <c r="C5597" s="6"/>
      <c r="D5597" s="6"/>
      <c r="E5597" s="6"/>
      <c r="F5597" s="6"/>
      <c r="G5597" s="6"/>
    </row>
    <row r="5598" spans="1:7" x14ac:dyDescent="0.25">
      <c r="A5598" s="6" t="s">
        <v>125</v>
      </c>
      <c r="B5598" s="6"/>
      <c r="C5598" s="6"/>
      <c r="D5598" s="6"/>
      <c r="E5598" s="6"/>
      <c r="F5598" s="6"/>
      <c r="G5598" s="6"/>
    </row>
    <row r="5599" spans="1:7" x14ac:dyDescent="0.25">
      <c r="A5599" s="6" t="s">
        <v>122</v>
      </c>
      <c r="B5599" s="6"/>
      <c r="C5599" s="6"/>
      <c r="D5599" s="6"/>
      <c r="E5599" s="6"/>
      <c r="F5599" s="6"/>
      <c r="G5599" s="6"/>
    </row>
    <row r="5600" spans="1:7" x14ac:dyDescent="0.25">
      <c r="A5600" s="6" t="s">
        <v>957</v>
      </c>
      <c r="B5600" s="6"/>
      <c r="C5600" s="6"/>
      <c r="D5600" s="6"/>
      <c r="E5600" s="6"/>
      <c r="F5600" s="6"/>
      <c r="G5600" s="6"/>
    </row>
    <row r="5601" spans="1:7" x14ac:dyDescent="0.25">
      <c r="A5601" s="6" t="s">
        <v>957</v>
      </c>
      <c r="B5601" s="6"/>
      <c r="C5601" s="6"/>
      <c r="D5601" s="6"/>
      <c r="E5601" s="6"/>
      <c r="F5601" s="6"/>
      <c r="G5601" s="6"/>
    </row>
    <row r="5602" spans="1:7" x14ac:dyDescent="0.25">
      <c r="A5602" s="6" t="s">
        <v>117</v>
      </c>
      <c r="B5602" s="6"/>
      <c r="C5602" s="6"/>
      <c r="D5602" s="6"/>
      <c r="E5602" s="6"/>
      <c r="F5602" s="6"/>
      <c r="G5602" s="6"/>
    </row>
    <row r="5603" spans="1:7" x14ac:dyDescent="0.25">
      <c r="A5603" s="6" t="s">
        <v>114</v>
      </c>
      <c r="B5603" s="6"/>
      <c r="C5603" s="6"/>
      <c r="D5603" s="6"/>
      <c r="E5603" s="6"/>
      <c r="F5603" s="6"/>
      <c r="G5603" s="6"/>
    </row>
    <row r="5604" spans="1:7" x14ac:dyDescent="0.25">
      <c r="A5604" s="6" t="s">
        <v>111</v>
      </c>
      <c r="B5604" s="6"/>
      <c r="C5604" s="6"/>
      <c r="D5604" s="6"/>
      <c r="E5604" s="6"/>
      <c r="F5604" s="6"/>
      <c r="G5604" s="6"/>
    </row>
    <row r="5605" spans="1:7" x14ac:dyDescent="0.25">
      <c r="A5605" s="6" t="s">
        <v>14197</v>
      </c>
      <c r="B5605" s="6" t="s">
        <v>14198</v>
      </c>
      <c r="C5605" s="6"/>
      <c r="D5605" s="6"/>
      <c r="E5605" s="6"/>
      <c r="F5605" s="6"/>
      <c r="G5605" s="6"/>
    </row>
    <row r="5606" spans="1:7" x14ac:dyDescent="0.25">
      <c r="A5606" s="6" t="s">
        <v>1109</v>
      </c>
      <c r="B5606" s="6"/>
      <c r="C5606" s="6"/>
      <c r="D5606" s="6"/>
      <c r="E5606" s="6"/>
      <c r="F5606" s="6"/>
      <c r="G5606" s="6"/>
    </row>
    <row r="5607" spans="1:7" x14ac:dyDescent="0.25">
      <c r="A5607" s="6" t="s">
        <v>1106</v>
      </c>
      <c r="B5607" s="6"/>
      <c r="C5607" s="6"/>
      <c r="D5607" s="6"/>
      <c r="E5607" s="6"/>
      <c r="F5607" s="6"/>
      <c r="G5607" s="6"/>
    </row>
    <row r="5608" spans="1:7" x14ac:dyDescent="0.25">
      <c r="A5608" s="6" t="s">
        <v>1103</v>
      </c>
      <c r="B5608" s="6"/>
      <c r="C5608" s="6"/>
      <c r="D5608" s="6"/>
      <c r="E5608" s="6"/>
      <c r="F5608" s="6"/>
      <c r="G5608" s="6"/>
    </row>
    <row r="5609" spans="1:7" x14ac:dyDescent="0.25">
      <c r="A5609" s="6" t="s">
        <v>1100</v>
      </c>
      <c r="B5609" s="6"/>
      <c r="C5609" s="6"/>
      <c r="D5609" s="6"/>
      <c r="E5609" s="6"/>
      <c r="F5609" s="6"/>
      <c r="G5609" s="6"/>
    </row>
    <row r="5610" spans="1:7" x14ac:dyDescent="0.25">
      <c r="A5610" s="6" t="s">
        <v>1097</v>
      </c>
      <c r="B5610" s="6"/>
      <c r="C5610" s="6"/>
      <c r="D5610" s="6"/>
      <c r="E5610" s="6"/>
      <c r="F5610" s="6"/>
      <c r="G5610" s="6"/>
    </row>
    <row r="5611" spans="1:7" x14ac:dyDescent="0.25">
      <c r="A5611" s="6" t="s">
        <v>1094</v>
      </c>
      <c r="B5611" s="6"/>
      <c r="C5611" s="6"/>
      <c r="D5611" s="6"/>
      <c r="E5611" s="6"/>
      <c r="F5611" s="6"/>
      <c r="G5611" s="6"/>
    </row>
    <row r="5612" spans="1:7" x14ac:dyDescent="0.25">
      <c r="A5612" s="6" t="s">
        <v>1091</v>
      </c>
      <c r="B5612" s="6"/>
      <c r="C5612" s="6"/>
      <c r="D5612" s="6"/>
      <c r="E5612" s="6"/>
      <c r="F5612" s="6"/>
      <c r="G5612" s="6"/>
    </row>
    <row r="5613" spans="1:7" x14ac:dyDescent="0.25">
      <c r="A5613" s="6" t="s">
        <v>1088</v>
      </c>
      <c r="B5613" s="6"/>
      <c r="C5613" s="6"/>
      <c r="D5613" s="6"/>
      <c r="E5613" s="6"/>
      <c r="F5613" s="6"/>
      <c r="G5613" s="6"/>
    </row>
    <row r="5614" spans="1:7" x14ac:dyDescent="0.25">
      <c r="A5614" s="6" t="s">
        <v>487</v>
      </c>
      <c r="B5614" s="6"/>
      <c r="C5614" s="6"/>
      <c r="D5614" s="6"/>
      <c r="E5614" s="6"/>
      <c r="F5614" s="6"/>
      <c r="G5614" s="6"/>
    </row>
    <row r="5615" spans="1:7" x14ac:dyDescent="0.25">
      <c r="A5615" s="6" t="s">
        <v>484</v>
      </c>
      <c r="B5615" s="6"/>
      <c r="C5615" s="6"/>
      <c r="D5615" s="6"/>
      <c r="E5615" s="6"/>
      <c r="F5615" s="6"/>
      <c r="G5615" s="6"/>
    </row>
    <row r="5616" spans="1:7" x14ac:dyDescent="0.25">
      <c r="A5616" s="6" t="s">
        <v>481</v>
      </c>
      <c r="B5616" s="6"/>
      <c r="C5616" s="6"/>
      <c r="D5616" s="6"/>
      <c r="E5616" s="6"/>
      <c r="F5616" s="6"/>
      <c r="G5616" s="6"/>
    </row>
    <row r="5617" spans="1:7" x14ac:dyDescent="0.25">
      <c r="A5617" s="6" t="s">
        <v>478</v>
      </c>
      <c r="B5617" s="6"/>
      <c r="C5617" s="6"/>
      <c r="D5617" s="6"/>
      <c r="E5617" s="6"/>
      <c r="F5617" s="6"/>
      <c r="G5617" s="6"/>
    </row>
    <row r="5618" spans="1:7" x14ac:dyDescent="0.25">
      <c r="A5618" s="6" t="s">
        <v>957</v>
      </c>
      <c r="B5618" s="6"/>
      <c r="C5618" s="6"/>
      <c r="D5618" s="6"/>
      <c r="E5618" s="6"/>
      <c r="F5618" s="6"/>
      <c r="G5618" s="6"/>
    </row>
    <row r="5619" spans="1:7" x14ac:dyDescent="0.25">
      <c r="A5619" s="6" t="s">
        <v>957</v>
      </c>
      <c r="B5619" s="6"/>
      <c r="C5619" s="6"/>
      <c r="D5619" s="6"/>
      <c r="E5619" s="6"/>
      <c r="F5619" s="6"/>
      <c r="G5619" s="6"/>
    </row>
    <row r="5620" spans="1:7" x14ac:dyDescent="0.25">
      <c r="A5620" s="6" t="s">
        <v>472</v>
      </c>
      <c r="B5620" s="6"/>
      <c r="C5620" s="6"/>
      <c r="D5620" s="6"/>
      <c r="E5620" s="6"/>
      <c r="F5620" s="6"/>
      <c r="G5620" s="6"/>
    </row>
    <row r="5621" spans="1:7" x14ac:dyDescent="0.25">
      <c r="A5621" s="6" t="s">
        <v>469</v>
      </c>
      <c r="B5621" s="6"/>
      <c r="C5621" s="6"/>
      <c r="D5621" s="6"/>
      <c r="E5621" s="6"/>
      <c r="F5621" s="6"/>
      <c r="G5621" s="6"/>
    </row>
    <row r="5622" spans="1:7" x14ac:dyDescent="0.25">
      <c r="A5622" s="6" t="s">
        <v>957</v>
      </c>
      <c r="B5622" s="6"/>
      <c r="C5622" s="6"/>
      <c r="D5622" s="6"/>
      <c r="E5622" s="6"/>
      <c r="F5622" s="6"/>
      <c r="G5622" s="6"/>
    </row>
    <row r="5623" spans="1:7" x14ac:dyDescent="0.25">
      <c r="A5623" s="6" t="s">
        <v>957</v>
      </c>
      <c r="B5623" s="6"/>
      <c r="C5623" s="6"/>
      <c r="D5623" s="6"/>
      <c r="E5623" s="6"/>
      <c r="F5623" s="6"/>
      <c r="G5623" s="6"/>
    </row>
    <row r="5624" spans="1:7" x14ac:dyDescent="0.25">
      <c r="A5624" s="6" t="s">
        <v>464</v>
      </c>
      <c r="B5624" s="6"/>
      <c r="C5624" s="6"/>
      <c r="D5624" s="6"/>
      <c r="E5624" s="6"/>
      <c r="F5624" s="6"/>
      <c r="G5624" s="6"/>
    </row>
    <row r="5625" spans="1:7" x14ac:dyDescent="0.25">
      <c r="A5625" s="6" t="s">
        <v>461</v>
      </c>
      <c r="B5625" s="6"/>
      <c r="C5625" s="6"/>
      <c r="D5625" s="6"/>
      <c r="E5625" s="6"/>
      <c r="F5625" s="6"/>
      <c r="G5625" s="6"/>
    </row>
    <row r="5626" spans="1:7" x14ac:dyDescent="0.25">
      <c r="A5626" s="6" t="s">
        <v>458</v>
      </c>
      <c r="B5626" s="6"/>
      <c r="C5626" s="6"/>
      <c r="D5626" s="6"/>
      <c r="E5626" s="6"/>
      <c r="F5626" s="6"/>
      <c r="G5626" s="6"/>
    </row>
    <row r="5627" spans="1:7" x14ac:dyDescent="0.25">
      <c r="A5627" s="6" t="s">
        <v>957</v>
      </c>
      <c r="B5627" s="6"/>
      <c r="C5627" s="6"/>
      <c r="D5627" s="6"/>
      <c r="E5627" s="6"/>
      <c r="F5627" s="6"/>
      <c r="G5627" s="6"/>
    </row>
    <row r="5628" spans="1:7" x14ac:dyDescent="0.25">
      <c r="A5628" s="6" t="s">
        <v>957</v>
      </c>
      <c r="B5628" s="6"/>
      <c r="C5628" s="6"/>
      <c r="D5628" s="6"/>
      <c r="E5628" s="6"/>
      <c r="F5628" s="6"/>
      <c r="G5628" s="6"/>
    </row>
    <row r="5629" spans="1:7" x14ac:dyDescent="0.25">
      <c r="A5629" s="6" t="s">
        <v>957</v>
      </c>
      <c r="B5629" s="6"/>
      <c r="C5629" s="6"/>
      <c r="D5629" s="6"/>
      <c r="E5629" s="6"/>
      <c r="F5629" s="6"/>
      <c r="G5629" s="6"/>
    </row>
    <row r="5630" spans="1:7" x14ac:dyDescent="0.25">
      <c r="A5630" s="6" t="s">
        <v>450</v>
      </c>
      <c r="B5630" s="6"/>
      <c r="C5630" s="6"/>
      <c r="D5630" s="6"/>
      <c r="E5630" s="6"/>
      <c r="F5630" s="6"/>
      <c r="G5630" s="6"/>
    </row>
    <row r="5631" spans="1:7" x14ac:dyDescent="0.25">
      <c r="A5631" s="6" t="s">
        <v>447</v>
      </c>
      <c r="B5631" s="6"/>
      <c r="C5631" s="6"/>
      <c r="D5631" s="6"/>
      <c r="E5631" s="6"/>
      <c r="F5631" s="6"/>
      <c r="G5631" s="6"/>
    </row>
    <row r="5632" spans="1:7" x14ac:dyDescent="0.25">
      <c r="A5632" s="6" t="s">
        <v>444</v>
      </c>
      <c r="B5632" s="6"/>
      <c r="C5632" s="6"/>
      <c r="D5632" s="6"/>
      <c r="E5632" s="6"/>
      <c r="F5632" s="6"/>
      <c r="G5632" s="6"/>
    </row>
    <row r="5633" spans="1:7" x14ac:dyDescent="0.25">
      <c r="A5633" s="6" t="s">
        <v>441</v>
      </c>
      <c r="B5633" s="6"/>
      <c r="C5633" s="6"/>
      <c r="D5633" s="6"/>
      <c r="E5633" s="6"/>
      <c r="F5633" s="6"/>
      <c r="G5633" s="6"/>
    </row>
    <row r="5634" spans="1:7" x14ac:dyDescent="0.25">
      <c r="A5634" s="6" t="s">
        <v>438</v>
      </c>
      <c r="B5634" s="6"/>
      <c r="C5634" s="6"/>
      <c r="D5634" s="6"/>
      <c r="E5634" s="6"/>
      <c r="F5634" s="6"/>
      <c r="G5634" s="6"/>
    </row>
    <row r="5635" spans="1:7" x14ac:dyDescent="0.25">
      <c r="A5635" s="6" t="s">
        <v>435</v>
      </c>
      <c r="B5635" s="6"/>
      <c r="C5635" s="6"/>
      <c r="D5635" s="6"/>
      <c r="E5635" s="6"/>
      <c r="F5635" s="6"/>
      <c r="G5635" s="6"/>
    </row>
    <row r="5636" spans="1:7" x14ac:dyDescent="0.25">
      <c r="A5636" s="6" t="s">
        <v>432</v>
      </c>
      <c r="B5636" s="6"/>
      <c r="C5636" s="6"/>
      <c r="D5636" s="6"/>
      <c r="E5636" s="6"/>
      <c r="F5636" s="6"/>
      <c r="G5636" s="6"/>
    </row>
    <row r="5637" spans="1:7" x14ac:dyDescent="0.25">
      <c r="A5637" s="6" t="s">
        <v>429</v>
      </c>
      <c r="B5637" s="6"/>
      <c r="C5637" s="6"/>
      <c r="D5637" s="6"/>
      <c r="E5637" s="6"/>
      <c r="F5637" s="6"/>
      <c r="G5637" s="6"/>
    </row>
    <row r="5638" spans="1:7" x14ac:dyDescent="0.25">
      <c r="A5638" s="6" t="s">
        <v>426</v>
      </c>
      <c r="B5638" s="6"/>
      <c r="C5638" s="6"/>
      <c r="D5638" s="6"/>
      <c r="E5638" s="6"/>
      <c r="F5638" s="6"/>
      <c r="G5638" s="6"/>
    </row>
    <row r="5639" spans="1:7" x14ac:dyDescent="0.25">
      <c r="A5639" s="6" t="s">
        <v>423</v>
      </c>
      <c r="B5639" s="6"/>
      <c r="C5639" s="6"/>
      <c r="D5639" s="6"/>
      <c r="E5639" s="6"/>
      <c r="F5639" s="6"/>
      <c r="G5639" s="6"/>
    </row>
    <row r="5640" spans="1:7" x14ac:dyDescent="0.25">
      <c r="A5640" s="6" t="s">
        <v>957</v>
      </c>
      <c r="B5640" s="6"/>
      <c r="C5640" s="6"/>
      <c r="D5640" s="6"/>
      <c r="E5640" s="6"/>
      <c r="F5640" s="6"/>
      <c r="G5640" s="6"/>
    </row>
    <row r="5641" spans="1:7" x14ac:dyDescent="0.25">
      <c r="A5641" s="6" t="s">
        <v>418</v>
      </c>
      <c r="B5641" s="6"/>
      <c r="C5641" s="6"/>
      <c r="D5641" s="6"/>
      <c r="E5641" s="6"/>
      <c r="F5641" s="6"/>
      <c r="G5641" s="6"/>
    </row>
    <row r="5642" spans="1:7" x14ac:dyDescent="0.25">
      <c r="A5642" s="6" t="s">
        <v>957</v>
      </c>
      <c r="B5642" s="6"/>
      <c r="C5642" s="6"/>
      <c r="D5642" s="6"/>
      <c r="E5642" s="6"/>
      <c r="F5642" s="6"/>
      <c r="G5642" s="6"/>
    </row>
    <row r="5643" spans="1:7" x14ac:dyDescent="0.25">
      <c r="A5643" s="6" t="s">
        <v>413</v>
      </c>
      <c r="B5643" s="6"/>
      <c r="C5643" s="6"/>
      <c r="D5643" s="6"/>
      <c r="E5643" s="6"/>
      <c r="F5643" s="6"/>
      <c r="G5643" s="6"/>
    </row>
    <row r="5644" spans="1:7" x14ac:dyDescent="0.25">
      <c r="A5644" s="6" t="s">
        <v>957</v>
      </c>
      <c r="B5644" s="6"/>
      <c r="C5644" s="6"/>
      <c r="D5644" s="6"/>
      <c r="E5644" s="6"/>
      <c r="F5644" s="6"/>
      <c r="G5644" s="6"/>
    </row>
    <row r="5645" spans="1:7" x14ac:dyDescent="0.25">
      <c r="A5645" s="6" t="s">
        <v>408</v>
      </c>
      <c r="B5645" s="6"/>
      <c r="C5645" s="6"/>
      <c r="D5645" s="6"/>
      <c r="E5645" s="6"/>
      <c r="F5645" s="6"/>
      <c r="G5645" s="6"/>
    </row>
    <row r="5646" spans="1:7" x14ac:dyDescent="0.25">
      <c r="A5646" s="6" t="s">
        <v>405</v>
      </c>
      <c r="B5646" s="6"/>
      <c r="C5646" s="6"/>
      <c r="D5646" s="6"/>
      <c r="E5646" s="6"/>
      <c r="F5646" s="6"/>
      <c r="G5646" s="6"/>
    </row>
    <row r="5647" spans="1:7" x14ac:dyDescent="0.25">
      <c r="A5647" s="6" t="s">
        <v>402</v>
      </c>
      <c r="B5647" s="6"/>
      <c r="C5647" s="6"/>
      <c r="D5647" s="6"/>
      <c r="E5647" s="6"/>
      <c r="F5647" s="6"/>
      <c r="G5647" s="6"/>
    </row>
    <row r="5648" spans="1:7" x14ac:dyDescent="0.25">
      <c r="A5648" s="6" t="s">
        <v>399</v>
      </c>
      <c r="B5648" s="6"/>
      <c r="C5648" s="6"/>
      <c r="D5648" s="6"/>
      <c r="E5648" s="6"/>
      <c r="F5648" s="6"/>
      <c r="G5648" s="6"/>
    </row>
    <row r="5649" spans="1:7" x14ac:dyDescent="0.25">
      <c r="A5649" s="6" t="s">
        <v>396</v>
      </c>
      <c r="B5649" s="6"/>
      <c r="C5649" s="6"/>
      <c r="D5649" s="6"/>
      <c r="E5649" s="6"/>
      <c r="F5649" s="6"/>
      <c r="G5649" s="6"/>
    </row>
    <row r="5650" spans="1:7" x14ac:dyDescent="0.25">
      <c r="A5650" s="6" t="s">
        <v>393</v>
      </c>
      <c r="B5650" s="6"/>
      <c r="C5650" s="6"/>
      <c r="D5650" s="6"/>
      <c r="E5650" s="6"/>
      <c r="F5650" s="6"/>
      <c r="G5650" s="6"/>
    </row>
    <row r="5651" spans="1:7" x14ac:dyDescent="0.25">
      <c r="A5651" s="6" t="s">
        <v>390</v>
      </c>
      <c r="B5651" s="6"/>
      <c r="C5651" s="6"/>
      <c r="D5651" s="6"/>
      <c r="E5651" s="6"/>
      <c r="F5651" s="6"/>
      <c r="G5651" s="6"/>
    </row>
    <row r="5652" spans="1:7" x14ac:dyDescent="0.25">
      <c r="A5652" s="6" t="s">
        <v>993</v>
      </c>
      <c r="B5652" s="6"/>
      <c r="C5652" s="6"/>
      <c r="D5652" s="6"/>
      <c r="E5652" s="6"/>
      <c r="F5652" s="6"/>
      <c r="G5652" s="6"/>
    </row>
    <row r="5653" spans="1:7" x14ac:dyDescent="0.25">
      <c r="A5653" s="6" t="s">
        <v>990</v>
      </c>
      <c r="B5653" s="6"/>
      <c r="C5653" s="6"/>
      <c r="D5653" s="6"/>
      <c r="E5653" s="6"/>
      <c r="F5653" s="6"/>
      <c r="G5653" s="6"/>
    </row>
    <row r="5654" spans="1:7" x14ac:dyDescent="0.25">
      <c r="A5654" s="6" t="s">
        <v>987</v>
      </c>
      <c r="B5654" s="6"/>
      <c r="C5654" s="6"/>
      <c r="D5654" s="6"/>
      <c r="E5654" s="6"/>
      <c r="F5654" s="6"/>
      <c r="G5654" s="6"/>
    </row>
    <row r="5655" spans="1:7" x14ac:dyDescent="0.25">
      <c r="A5655" s="6" t="s">
        <v>984</v>
      </c>
      <c r="B5655" s="6"/>
      <c r="C5655" s="6"/>
      <c r="D5655" s="6"/>
      <c r="E5655" s="6"/>
      <c r="F5655" s="6"/>
      <c r="G5655" s="6"/>
    </row>
    <row r="5656" spans="1:7" x14ac:dyDescent="0.25">
      <c r="A5656" s="6" t="s">
        <v>981</v>
      </c>
      <c r="B5656" s="6"/>
      <c r="C5656" s="6"/>
      <c r="D5656" s="6"/>
      <c r="E5656" s="6"/>
      <c r="F5656" s="6"/>
      <c r="G5656" s="6"/>
    </row>
    <row r="5657" spans="1:7" x14ac:dyDescent="0.25">
      <c r="A5657" s="6" t="s">
        <v>978</v>
      </c>
      <c r="B5657" s="6"/>
      <c r="C5657" s="6"/>
      <c r="D5657" s="6"/>
      <c r="E5657" s="6"/>
      <c r="F5657" s="6"/>
      <c r="G5657" s="6"/>
    </row>
    <row r="5658" spans="1:7" x14ac:dyDescent="0.25">
      <c r="A5658" s="6" t="s">
        <v>975</v>
      </c>
      <c r="B5658" s="6"/>
      <c r="C5658" s="6"/>
      <c r="D5658" s="6"/>
      <c r="E5658" s="6"/>
      <c r="F5658" s="6"/>
      <c r="G5658" s="6"/>
    </row>
    <row r="5659" spans="1:7" x14ac:dyDescent="0.25">
      <c r="A5659" s="6" t="s">
        <v>972</v>
      </c>
      <c r="B5659" s="6"/>
      <c r="C5659" s="6"/>
      <c r="D5659" s="6"/>
      <c r="E5659" s="6"/>
      <c r="F5659" s="6"/>
      <c r="G5659" s="6"/>
    </row>
    <row r="5660" spans="1:7" x14ac:dyDescent="0.25">
      <c r="A5660" s="6" t="s">
        <v>969</v>
      </c>
      <c r="B5660" s="6"/>
      <c r="C5660" s="6"/>
      <c r="D5660" s="6"/>
      <c r="E5660" s="6"/>
      <c r="F5660" s="6"/>
      <c r="G5660" s="6"/>
    </row>
    <row r="5661" spans="1:7" x14ac:dyDescent="0.25">
      <c r="A5661" s="6" t="s">
        <v>966</v>
      </c>
      <c r="B5661" s="6"/>
      <c r="C5661" s="6"/>
      <c r="D5661" s="6"/>
      <c r="E5661" s="6"/>
      <c r="F5661" s="6"/>
      <c r="G5661" s="6"/>
    </row>
    <row r="5662" spans="1:7" x14ac:dyDescent="0.25">
      <c r="A5662" s="6" t="s">
        <v>963</v>
      </c>
      <c r="B5662" s="6"/>
      <c r="C5662" s="6"/>
      <c r="D5662" s="6"/>
      <c r="E5662" s="6"/>
      <c r="F5662" s="6"/>
      <c r="G5662" s="6"/>
    </row>
    <row r="5663" spans="1:7" x14ac:dyDescent="0.25">
      <c r="A5663" s="6" t="s">
        <v>960</v>
      </c>
      <c r="B5663" s="6"/>
      <c r="C5663" s="6"/>
      <c r="D5663" s="6"/>
      <c r="E5663" s="6"/>
      <c r="F5663" s="6"/>
      <c r="G5663" s="6"/>
    </row>
    <row r="5664" spans="1:7" x14ac:dyDescent="0.25">
      <c r="A5664" s="6" t="s">
        <v>957</v>
      </c>
      <c r="B5664" s="6"/>
      <c r="C5664" s="6"/>
      <c r="D5664" s="6"/>
      <c r="E5664" s="6"/>
      <c r="F5664" s="6"/>
      <c r="G5664" s="6"/>
    </row>
    <row r="5665" spans="1:7" x14ac:dyDescent="0.25">
      <c r="A5665" s="6" t="s">
        <v>954</v>
      </c>
      <c r="B5665" s="6"/>
      <c r="C5665" s="6"/>
      <c r="D5665" s="6"/>
      <c r="E5665" s="6"/>
      <c r="F5665" s="6"/>
      <c r="G5665" s="6"/>
    </row>
    <row r="5666" spans="1:7" x14ac:dyDescent="0.25">
      <c r="A5666" s="6" t="s">
        <v>951</v>
      </c>
      <c r="B5666" s="6"/>
      <c r="C5666" s="6"/>
      <c r="D5666" s="6"/>
      <c r="E5666" s="6"/>
      <c r="F5666" s="6"/>
      <c r="G5666" s="6"/>
    </row>
    <row r="5667" spans="1:7" x14ac:dyDescent="0.25">
      <c r="A5667" s="6" t="s">
        <v>948</v>
      </c>
      <c r="B5667" s="6"/>
      <c r="C5667" s="6"/>
      <c r="D5667" s="6"/>
      <c r="E5667" s="6"/>
      <c r="F5667" s="6"/>
      <c r="G5667" s="6"/>
    </row>
    <row r="5668" spans="1:7" x14ac:dyDescent="0.25">
      <c r="A5668" s="6" t="s">
        <v>945</v>
      </c>
      <c r="B5668" s="6"/>
      <c r="C5668" s="6"/>
      <c r="D5668" s="6"/>
      <c r="E5668" s="6"/>
      <c r="F5668" s="6"/>
      <c r="G5668" s="6"/>
    </row>
  </sheetData>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BC6B1-F5A1-4431-B221-25E3A3BD9981}">
  <dimension ref="A1:E88"/>
  <sheetViews>
    <sheetView topLeftCell="A43" workbookViewId="0">
      <selection activeCell="E1" sqref="E1"/>
    </sheetView>
  </sheetViews>
  <sheetFormatPr defaultRowHeight="13.2" x14ac:dyDescent="0.25"/>
  <sheetData>
    <row r="1" spans="1:5" x14ac:dyDescent="0.25">
      <c r="A1" s="4" t="s">
        <v>14297</v>
      </c>
      <c r="E1" s="4" t="s">
        <v>14298</v>
      </c>
    </row>
    <row r="2" spans="1:5" x14ac:dyDescent="0.25">
      <c r="A2" t="str" cm="1">
        <f t="array" ref="A2:A88">_xlfn._xlws.FILTER(Count!K7:K127,Count!L7:L127 &gt; 0)</f>
        <v>UBP6</v>
      </c>
      <c r="E2" t="str" cm="1">
        <f t="array" ref="E2:E84">_xlfn._xlws.FILTER(Count!P7:P92,Count!Q7:Q92 &gt; 0)</f>
        <v>AGP1</v>
      </c>
    </row>
    <row r="3" spans="1:5" x14ac:dyDescent="0.25">
      <c r="A3" t="str">
        <v>HFI1</v>
      </c>
      <c r="E3" t="str">
        <v>ATP2</v>
      </c>
    </row>
    <row r="4" spans="1:5" x14ac:dyDescent="0.25">
      <c r="A4" t="str">
        <v>HST4</v>
      </c>
      <c r="E4" t="str">
        <v>BCY1</v>
      </c>
    </row>
    <row r="5" spans="1:5" x14ac:dyDescent="0.25">
      <c r="A5" t="str">
        <v>AKR1</v>
      </c>
      <c r="E5" t="str">
        <v>BRE5</v>
      </c>
    </row>
    <row r="6" spans="1:5" x14ac:dyDescent="0.25">
      <c r="A6" t="str">
        <v>ALF1</v>
      </c>
      <c r="E6" t="str">
        <v>CCS1</v>
      </c>
    </row>
    <row r="7" spans="1:5" x14ac:dyDescent="0.25">
      <c r="A7" t="str">
        <v>VPS30</v>
      </c>
      <c r="E7" t="str">
        <v>CDC25</v>
      </c>
    </row>
    <row r="8" spans="1:5" x14ac:dyDescent="0.25">
      <c r="A8" t="str">
        <v>SEC22</v>
      </c>
      <c r="E8" t="str">
        <v>CDC6</v>
      </c>
    </row>
    <row r="9" spans="1:5" x14ac:dyDescent="0.25">
      <c r="A9" t="str">
        <v>PUT3</v>
      </c>
      <c r="E9" t="str">
        <v>CHL1</v>
      </c>
    </row>
    <row r="10" spans="1:5" x14ac:dyDescent="0.25">
      <c r="A10" t="str">
        <v>SRO9</v>
      </c>
      <c r="E10" t="str">
        <v>CLN3</v>
      </c>
    </row>
    <row r="11" spans="1:5" x14ac:dyDescent="0.25">
      <c r="A11" t="str">
        <v>GCN3</v>
      </c>
      <c r="E11" t="str">
        <v>CSR2</v>
      </c>
    </row>
    <row r="12" spans="1:5" x14ac:dyDescent="0.25">
      <c r="A12" t="str">
        <v>HCS1</v>
      </c>
      <c r="E12" t="str">
        <v>CTT1</v>
      </c>
    </row>
    <row r="13" spans="1:5" x14ac:dyDescent="0.25">
      <c r="A13" t="str">
        <v>CDC10</v>
      </c>
      <c r="E13" t="str">
        <v>CYR1</v>
      </c>
    </row>
    <row r="14" spans="1:5" x14ac:dyDescent="0.25">
      <c r="A14" t="str">
        <v>RGD1</v>
      </c>
      <c r="E14" t="str">
        <v>DNA2</v>
      </c>
    </row>
    <row r="15" spans="1:5" x14ac:dyDescent="0.25">
      <c r="A15" t="str">
        <v>NHX1</v>
      </c>
      <c r="E15" t="str">
        <v>DNM1</v>
      </c>
    </row>
    <row r="16" spans="1:5" x14ac:dyDescent="0.25">
      <c r="A16" t="str">
        <v>INO1</v>
      </c>
      <c r="E16" t="str">
        <v>FBP1</v>
      </c>
    </row>
    <row r="17" spans="1:5" x14ac:dyDescent="0.25">
      <c r="A17" t="str">
        <v>BRO1</v>
      </c>
      <c r="E17" t="str">
        <v>FIS1</v>
      </c>
    </row>
    <row r="18" spans="1:5" x14ac:dyDescent="0.25">
      <c r="A18" t="str">
        <v>STE50</v>
      </c>
      <c r="E18" t="str">
        <v>FOB1</v>
      </c>
    </row>
    <row r="19" spans="1:5" x14ac:dyDescent="0.25">
      <c r="A19" t="str">
        <v>IES4</v>
      </c>
      <c r="E19" t="str">
        <v>GCN5</v>
      </c>
    </row>
    <row r="20" spans="1:5" x14ac:dyDescent="0.25">
      <c r="A20" t="str">
        <v>MKK1</v>
      </c>
      <c r="E20" t="str">
        <v>GLN3</v>
      </c>
    </row>
    <row r="21" spans="1:5" x14ac:dyDescent="0.25">
      <c r="A21" t="str">
        <v>RPB9</v>
      </c>
      <c r="E21" t="str">
        <v>GPA2</v>
      </c>
    </row>
    <row r="22" spans="1:5" x14ac:dyDescent="0.25">
      <c r="A22" t="str">
        <v>ALP1</v>
      </c>
      <c r="E22" t="str">
        <v>GPR1</v>
      </c>
    </row>
    <row r="23" spans="1:5" x14ac:dyDescent="0.25">
      <c r="A23" t="str">
        <v>UAF30</v>
      </c>
      <c r="E23" t="str">
        <v>HAP4</v>
      </c>
    </row>
    <row r="24" spans="1:5" x14ac:dyDescent="0.25">
      <c r="A24" t="str">
        <v>VPS75</v>
      </c>
      <c r="E24" t="str">
        <v>HAT2</v>
      </c>
    </row>
    <row r="25" spans="1:5" x14ac:dyDescent="0.25">
      <c r="A25" t="str">
        <v>VPS36</v>
      </c>
      <c r="E25" t="str">
        <v>HPR5</v>
      </c>
    </row>
    <row r="26" spans="1:5" x14ac:dyDescent="0.25">
      <c r="A26" t="str">
        <v>HLJ1</v>
      </c>
      <c r="E26" t="str">
        <v>HSP104</v>
      </c>
    </row>
    <row r="27" spans="1:5" x14ac:dyDescent="0.25">
      <c r="A27" t="str">
        <v>IES2</v>
      </c>
      <c r="E27" t="str">
        <v>HST2</v>
      </c>
    </row>
    <row r="28" spans="1:5" x14ac:dyDescent="0.25">
      <c r="A28" t="str">
        <v>RTS1</v>
      </c>
      <c r="E28" t="str">
        <v>HXK2</v>
      </c>
    </row>
    <row r="29" spans="1:5" x14ac:dyDescent="0.25">
      <c r="A29" t="str">
        <v>GCN1</v>
      </c>
      <c r="E29" t="str">
        <v>IDH2</v>
      </c>
    </row>
    <row r="30" spans="1:5" x14ac:dyDescent="0.25">
      <c r="A30" t="str">
        <v>DNF3</v>
      </c>
      <c r="E30" t="str">
        <v>KSS1</v>
      </c>
    </row>
    <row r="31" spans="1:5" x14ac:dyDescent="0.25">
      <c r="A31" t="str">
        <v>VPS51</v>
      </c>
      <c r="E31" t="str">
        <v>LAG1</v>
      </c>
    </row>
    <row r="32" spans="1:5" x14ac:dyDescent="0.25">
      <c r="A32" t="str">
        <v>SAP155</v>
      </c>
      <c r="E32" t="str">
        <v>LAT1</v>
      </c>
    </row>
    <row r="33" spans="1:5" x14ac:dyDescent="0.25">
      <c r="A33" t="str">
        <v>MON2</v>
      </c>
      <c r="E33" t="str">
        <v>LYS12</v>
      </c>
    </row>
    <row r="34" spans="1:5" x14ac:dyDescent="0.25">
      <c r="A34" t="str">
        <v>VPS28</v>
      </c>
      <c r="E34" t="str">
        <v>MEC1</v>
      </c>
    </row>
    <row r="35" spans="1:5" x14ac:dyDescent="0.25">
      <c r="A35" t="str">
        <v>KRE6</v>
      </c>
      <c r="E35" t="str">
        <v>MEP2</v>
      </c>
    </row>
    <row r="36" spans="1:5" x14ac:dyDescent="0.25">
      <c r="A36" t="str">
        <v>NUP100</v>
      </c>
      <c r="E36" t="str">
        <v>MEP3</v>
      </c>
    </row>
    <row r="37" spans="1:5" x14ac:dyDescent="0.25">
      <c r="A37" t="str">
        <v>VPS41</v>
      </c>
      <c r="E37" t="str">
        <v>MPT5</v>
      </c>
    </row>
    <row r="38" spans="1:5" x14ac:dyDescent="0.25">
      <c r="A38" t="str">
        <v>GCR2</v>
      </c>
      <c r="E38" t="str">
        <v>MXR1</v>
      </c>
    </row>
    <row r="39" spans="1:5" x14ac:dyDescent="0.25">
      <c r="A39" t="str">
        <v>SHP1</v>
      </c>
      <c r="E39" t="str">
        <v>NDE1</v>
      </c>
    </row>
    <row r="40" spans="1:5" x14ac:dyDescent="0.25">
      <c r="A40" t="str">
        <v>PHO85</v>
      </c>
      <c r="E40" t="str">
        <v>NDE2</v>
      </c>
    </row>
    <row r="41" spans="1:5" x14ac:dyDescent="0.25">
      <c r="A41" t="str">
        <v>HSL1</v>
      </c>
      <c r="E41" t="str">
        <v>NDI1</v>
      </c>
    </row>
    <row r="42" spans="1:5" x14ac:dyDescent="0.25">
      <c r="A42" t="str">
        <v>SLA1</v>
      </c>
      <c r="E42" t="str">
        <v>NPT1</v>
      </c>
    </row>
    <row r="43" spans="1:5" x14ac:dyDescent="0.25">
      <c r="A43" t="str">
        <v>PRC1</v>
      </c>
      <c r="E43" t="str">
        <v>PHB1</v>
      </c>
    </row>
    <row r="44" spans="1:5" x14ac:dyDescent="0.25">
      <c r="A44" t="str">
        <v>NGG1</v>
      </c>
      <c r="E44" t="str">
        <v>PHB2</v>
      </c>
    </row>
    <row r="45" spans="1:5" x14ac:dyDescent="0.25">
      <c r="A45" t="str">
        <v>YPT6</v>
      </c>
      <c r="E45" t="str">
        <v>RAD27</v>
      </c>
    </row>
    <row r="46" spans="1:5" x14ac:dyDescent="0.25">
      <c r="A46" t="str">
        <v>GRE3</v>
      </c>
      <c r="E46" t="str">
        <v>RAD50</v>
      </c>
    </row>
    <row r="47" spans="1:5" x14ac:dyDescent="0.25">
      <c r="A47" t="str">
        <v>VPS21</v>
      </c>
      <c r="E47" t="str">
        <v>RAD51</v>
      </c>
    </row>
    <row r="48" spans="1:5" x14ac:dyDescent="0.25">
      <c r="A48" t="str">
        <v>NPT1</v>
      </c>
      <c r="E48" t="str">
        <v>RAD52</v>
      </c>
    </row>
    <row r="49" spans="1:5" x14ac:dyDescent="0.25">
      <c r="A49" t="str">
        <v>FUN26</v>
      </c>
      <c r="E49" t="str">
        <v>RAD57</v>
      </c>
    </row>
    <row r="50" spans="1:5" x14ac:dyDescent="0.25">
      <c r="A50" t="str">
        <v>PEX28</v>
      </c>
      <c r="E50" t="str">
        <v>RAD9</v>
      </c>
    </row>
    <row r="51" spans="1:5" x14ac:dyDescent="0.25">
      <c r="A51" t="str">
        <v>DOA4</v>
      </c>
      <c r="E51" t="str">
        <v>RAS1</v>
      </c>
    </row>
    <row r="52" spans="1:5" x14ac:dyDescent="0.25">
      <c r="A52" t="str">
        <v>AHC1</v>
      </c>
      <c r="E52" t="str">
        <v>RAS2</v>
      </c>
    </row>
    <row r="53" spans="1:5" x14ac:dyDescent="0.25">
      <c r="A53" t="str">
        <v>RRN10</v>
      </c>
      <c r="E53" t="str">
        <v>REI1</v>
      </c>
    </row>
    <row r="54" spans="1:5" x14ac:dyDescent="0.25">
      <c r="A54" t="str">
        <v>DCS1</v>
      </c>
      <c r="E54" t="str">
        <v>RIM15</v>
      </c>
    </row>
    <row r="55" spans="1:5" x14ac:dyDescent="0.25">
      <c r="A55" t="str">
        <v>ATS1</v>
      </c>
      <c r="E55" t="str">
        <v>ROM2</v>
      </c>
    </row>
    <row r="56" spans="1:5" x14ac:dyDescent="0.25">
      <c r="A56" t="str">
        <v>RNP1</v>
      </c>
      <c r="E56" t="str">
        <v>RPD3</v>
      </c>
    </row>
    <row r="57" spans="1:5" x14ac:dyDescent="0.25">
      <c r="A57" t="str">
        <v>GCN2</v>
      </c>
      <c r="E57" t="str">
        <v>RPL10</v>
      </c>
    </row>
    <row r="58" spans="1:5" x14ac:dyDescent="0.25">
      <c r="A58" t="str">
        <v>MCT1</v>
      </c>
      <c r="E58" t="str">
        <v>RPL31A</v>
      </c>
    </row>
    <row r="59" spans="1:5" x14ac:dyDescent="0.25">
      <c r="A59" t="str">
        <v>URE2</v>
      </c>
      <c r="E59" t="str">
        <v>RPL6B</v>
      </c>
    </row>
    <row r="60" spans="1:5" x14ac:dyDescent="0.25">
      <c r="A60" t="str">
        <v>PEX17</v>
      </c>
      <c r="E60" t="str">
        <v>RPO41</v>
      </c>
    </row>
    <row r="61" spans="1:5" x14ac:dyDescent="0.25">
      <c r="A61" t="str">
        <v>RAD6</v>
      </c>
      <c r="E61" t="str">
        <v>RPS18A</v>
      </c>
    </row>
    <row r="62" spans="1:5" x14ac:dyDescent="0.25">
      <c r="A62" t="str">
        <v>NPR1</v>
      </c>
      <c r="E62" t="str">
        <v>RPS18B</v>
      </c>
    </row>
    <row r="63" spans="1:5" x14ac:dyDescent="0.25">
      <c r="A63" t="str">
        <v>BUD16</v>
      </c>
      <c r="E63" t="str">
        <v>RPS6B</v>
      </c>
    </row>
    <row r="64" spans="1:5" x14ac:dyDescent="0.25">
      <c r="A64" t="str">
        <v>SET2</v>
      </c>
      <c r="E64" t="str">
        <v>RTG3</v>
      </c>
    </row>
    <row r="65" spans="1:5" x14ac:dyDescent="0.25">
      <c r="A65" t="str">
        <v>RRP6</v>
      </c>
      <c r="E65" t="str">
        <v>SCH9</v>
      </c>
    </row>
    <row r="66" spans="1:5" x14ac:dyDescent="0.25">
      <c r="A66" t="str">
        <v>RTF1</v>
      </c>
      <c r="E66" t="str">
        <v>SCP1</v>
      </c>
    </row>
    <row r="67" spans="1:5" x14ac:dyDescent="0.25">
      <c r="A67" t="str">
        <v>UPC2</v>
      </c>
      <c r="E67" t="str">
        <v>SGS1</v>
      </c>
    </row>
    <row r="68" spans="1:5" x14ac:dyDescent="0.25">
      <c r="A68" t="str">
        <v>BNI4</v>
      </c>
      <c r="E68" t="str">
        <v>SIP2</v>
      </c>
    </row>
    <row r="69" spans="1:5" x14ac:dyDescent="0.25">
      <c r="A69" t="str">
        <v>EDE1</v>
      </c>
      <c r="E69" t="str">
        <v>sir2</v>
      </c>
    </row>
    <row r="70" spans="1:5" x14ac:dyDescent="0.25">
      <c r="A70" t="str">
        <v>RCY1</v>
      </c>
      <c r="E70" t="str">
        <v>sir3</v>
      </c>
    </row>
    <row r="71" spans="1:5" x14ac:dyDescent="0.25">
      <c r="A71" t="str">
        <v>MRS4</v>
      </c>
      <c r="E71" t="str">
        <v>sir4</v>
      </c>
    </row>
    <row r="72" spans="1:5" x14ac:dyDescent="0.25">
      <c r="A72" t="str">
        <v>TOM6</v>
      </c>
      <c r="E72" t="str">
        <v>SNF1</v>
      </c>
    </row>
    <row r="73" spans="1:5" x14ac:dyDescent="0.25">
      <c r="A73" t="str">
        <v>MMS2</v>
      </c>
      <c r="E73" t="str">
        <v>SNF4</v>
      </c>
    </row>
    <row r="74" spans="1:5" x14ac:dyDescent="0.25">
      <c r="A74" t="str">
        <v>VPS20</v>
      </c>
      <c r="E74" t="str">
        <v>Sod1</v>
      </c>
    </row>
    <row r="75" spans="1:5" x14ac:dyDescent="0.25">
      <c r="A75" t="str">
        <v>WTM2</v>
      </c>
      <c r="E75" t="str">
        <v>Sod2</v>
      </c>
    </row>
    <row r="76" spans="1:5" x14ac:dyDescent="0.25">
      <c r="A76" t="str">
        <v>ARG82</v>
      </c>
      <c r="E76" t="str">
        <v>SSD1</v>
      </c>
    </row>
    <row r="77" spans="1:5" x14ac:dyDescent="0.25">
      <c r="A77" t="str">
        <v>ECM25</v>
      </c>
      <c r="E77" t="str">
        <v>TOR1</v>
      </c>
    </row>
    <row r="78" spans="1:5" x14ac:dyDescent="0.25">
      <c r="A78" t="str">
        <v>LOS1</v>
      </c>
      <c r="E78" t="str">
        <v>TPK2</v>
      </c>
    </row>
    <row r="79" spans="1:5" x14ac:dyDescent="0.25">
      <c r="A79" t="str">
        <v>RIS1</v>
      </c>
      <c r="E79" t="str">
        <v>Ump1</v>
      </c>
    </row>
    <row r="80" spans="1:5" x14ac:dyDescent="0.25">
      <c r="A80" t="str">
        <v>DIG1</v>
      </c>
      <c r="E80" t="str">
        <v>URE2</v>
      </c>
    </row>
    <row r="81" spans="1:5" x14ac:dyDescent="0.25">
      <c r="A81" t="str">
        <v>ALD6</v>
      </c>
      <c r="E81" t="str">
        <v>UTH1</v>
      </c>
    </row>
    <row r="82" spans="1:5" x14ac:dyDescent="0.25">
      <c r="A82" t="str">
        <v>PEX1</v>
      </c>
      <c r="E82" t="str">
        <v>YKU70</v>
      </c>
    </row>
    <row r="83" spans="1:5" x14ac:dyDescent="0.25">
      <c r="A83" t="str">
        <v>NUP170</v>
      </c>
      <c r="E83" t="str">
        <v>YKU80</v>
      </c>
    </row>
    <row r="84" spans="1:5" x14ac:dyDescent="0.25">
      <c r="A84" t="str">
        <v>DUR1,2</v>
      </c>
      <c r="E84" t="str">
        <v>ZDS1</v>
      </c>
    </row>
    <row r="85" spans="1:5" x14ac:dyDescent="0.25">
      <c r="A85" t="str">
        <v>ELP2</v>
      </c>
    </row>
    <row r="86" spans="1:5" x14ac:dyDescent="0.25">
      <c r="A86" t="str">
        <v>MLH1</v>
      </c>
    </row>
    <row r="87" spans="1:5" x14ac:dyDescent="0.25">
      <c r="A87" t="str">
        <v>DSE3</v>
      </c>
    </row>
    <row r="88" spans="1:5" x14ac:dyDescent="0.25">
      <c r="A88" t="str">
        <v>RPD3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6BD52-A48E-4D1E-8C72-0580F6C2C1E4}">
  <dimension ref="A1:H171"/>
  <sheetViews>
    <sheetView topLeftCell="A145" workbookViewId="0">
      <selection activeCell="M24" sqref="M24"/>
    </sheetView>
  </sheetViews>
  <sheetFormatPr defaultRowHeight="13.2" x14ac:dyDescent="0.25"/>
  <cols>
    <col min="1" max="1" width="11" customWidth="1"/>
    <col min="3" max="3" width="19.21875" bestFit="1" customWidth="1"/>
    <col min="4" max="4" width="19.21875" customWidth="1"/>
    <col min="5" max="5" width="7.109375" bestFit="1" customWidth="1"/>
  </cols>
  <sheetData>
    <row r="1" spans="1:8" x14ac:dyDescent="0.25">
      <c r="A1" s="2" t="s">
        <v>942</v>
      </c>
      <c r="B1" s="9" t="s">
        <v>14299</v>
      </c>
      <c r="C1" s="9" t="s">
        <v>14300</v>
      </c>
      <c r="D1" s="9" t="s">
        <v>14303</v>
      </c>
      <c r="E1" s="9" t="s">
        <v>14304</v>
      </c>
      <c r="F1" s="2" t="s">
        <v>14079</v>
      </c>
      <c r="G1" s="2" t="s">
        <v>14077</v>
      </c>
      <c r="H1" s="2" t="s">
        <v>14078</v>
      </c>
    </row>
    <row r="2" spans="1:8" x14ac:dyDescent="0.25">
      <c r="A2" t="str" cm="1">
        <f t="array" ref="A2">INDEX('T. S2 microarray results'!A:A, MATCH(TRUE, ('T. S2 microarray results'!B:B=B2) + ('T. S2 microarray results'!C:C=B2) + ('T. S2 microarray results'!D:D=B2) + ('T. S2 microarray results'!E:E=B2) + ('T. S2 microarray results'!F:F=B2) + ('T. S2 microarray results'!G:G=B2) + ('T. S2 microarray results'!H:H=B2) &gt; 0, 0))</f>
        <v>YFR010W</v>
      </c>
      <c r="B2" s="4" t="s">
        <v>9310</v>
      </c>
      <c r="C2" s="4" t="s">
        <v>14301</v>
      </c>
      <c r="D2" s="4" t="str">
        <f>CONCATENATE(IF(C2="Known Longivity Gene","*",""),A2,"/",B2)</f>
        <v>YFR010W/UBP6</v>
      </c>
      <c r="E2" s="4">
        <f>IF(C2="Known Longivity Gene",1,0)</f>
        <v>0</v>
      </c>
      <c r="F2" cm="1">
        <f t="array" ref="F2">INDEX('T. S2 microarray results'!J:J, MATCH(TRUE, ('T. S2 microarray results'!B:B=B2) + ('T. S2 microarray results'!C:C=B2) + ('T. S2 microarray results'!D:D=B2) + ('T. S2 microarray results'!E:E=B2) + ('T. S2 microarray results'!F:F=B2) + ('T. S2 microarray results'!G:G=B2) + ('T. S2 microarray results'!H:H=B2) &gt; 0, 0))</f>
        <v>0.15564910000000001</v>
      </c>
      <c r="G2" cm="1">
        <f t="array" ref="G2">INDEX('T. S2 microarray results'!K:K, MATCH(TRUE, ('T. S2 microarray results'!B:B=B2) + ('T. S2 microarray results'!C:C=B2) + ('T. S2 microarray results'!D:D=B2) + ('T. S2 microarray results'!E:E=B2) + ('T. S2 microarray results'!F:F=B2) + ('T. S2 microarray results'!G:G=B2) + ('T. S2 microarray results'!H:H=B2) &gt; 0, 0))</f>
        <v>-0.48801850000000002</v>
      </c>
      <c r="H2" cm="1">
        <f t="array" ref="H2">INDEX('T. S2 microarray results'!L:L, MATCH(TRUE, ('T. S2 microarray results'!B:B=B2) + ('T. S2 microarray results'!C:C=B2) + ('T. S2 microarray results'!D:D=B2) + ('T. S2 microarray results'!E:E=B2) + ('T. S2 microarray results'!F:F=B2) + ('T. S2 microarray results'!G:G=B2) + ('T. S2 microarray results'!H:H=B2) &gt; 0, 0))</f>
        <v>7.6984620000000004E-2</v>
      </c>
    </row>
    <row r="3" spans="1:8" x14ac:dyDescent="0.25">
      <c r="A3" t="str" cm="1">
        <f t="array" ref="A3">INDEX('T. S2 microarray results'!A:A, MATCH(TRUE, ('T. S2 microarray results'!B:B=B3) + ('T. S2 microarray results'!C:C=B3) + ('T. S2 microarray results'!D:D=B3) + ('T. S2 microarray results'!E:E=B3) + ('T. S2 microarray results'!F:F=B3) + ('T. S2 microarray results'!G:G=B3) + ('T. S2 microarray results'!H:H=B3) &gt; 0, 0))</f>
        <v>YPL254W</v>
      </c>
      <c r="B3" t="s">
        <v>1450</v>
      </c>
      <c r="C3" s="4" t="s">
        <v>14301</v>
      </c>
      <c r="D3" s="4" t="str">
        <f t="shared" ref="D3:D66" si="0">CONCATENATE(IF(C3="Known Longivity Gene","*",""),A3,"/",B3)</f>
        <v>YPL254W/HFI1</v>
      </c>
      <c r="E3" s="4">
        <f t="shared" ref="E3:E66" si="1">IF(C3="Known Longivity Gene",1,0)</f>
        <v>0</v>
      </c>
      <c r="F3" cm="1">
        <f t="array" ref="F3">INDEX('T. S2 microarray results'!J:J, MATCH(TRUE, ('T. S2 microarray results'!B:B=B3) + ('T. S2 microarray results'!C:C=B3) + ('T. S2 microarray results'!D:D=B3) + ('T. S2 microarray results'!E:E=B3) + ('T. S2 microarray results'!F:F=B3) + ('T. S2 microarray results'!G:G=B3) + ('T. S2 microarray results'!H:H=B3) &gt; 0, 0))</f>
        <v>5.9054910000000002E-2</v>
      </c>
      <c r="G3" cm="1">
        <f t="array" ref="G3">INDEX('T. S2 microarray results'!K:K, MATCH(TRUE, ('T. S2 microarray results'!B:B=B3) + ('T. S2 microarray results'!C:C=B3) + ('T. S2 microarray results'!D:D=B3) + ('T. S2 microarray results'!E:E=B3) + ('T. S2 microarray results'!F:F=B3) + ('T. S2 microarray results'!G:G=B3) + ('T. S2 microarray results'!H:H=B3) &gt; 0, 0))</f>
        <v>0.21014669999999999</v>
      </c>
      <c r="H3" cm="1">
        <f t="array" ref="H3">INDEX('T. S2 microarray results'!L:L, MATCH(TRUE, ('T. S2 microarray results'!B:B=B3) + ('T. S2 microarray results'!C:C=B3) + ('T. S2 microarray results'!D:D=B3) + ('T. S2 microarray results'!E:E=B3) + ('T. S2 microarray results'!F:F=B3) + ('T. S2 microarray results'!G:G=B3) + ('T. S2 microarray results'!H:H=B3) &gt; 0, 0))</f>
        <v>-0.1090477</v>
      </c>
    </row>
    <row r="4" spans="1:8" x14ac:dyDescent="0.25">
      <c r="A4" t="str" cm="1">
        <f t="array" ref="A4">INDEX('T. S2 microarray results'!A:A, MATCH(TRUE, ('T. S2 microarray results'!B:B=B4) + ('T. S2 microarray results'!C:C=B4) + ('T. S2 microarray results'!D:D=B4) + ('T. S2 microarray results'!E:E=B4) + ('T. S2 microarray results'!F:F=B4) + ('T. S2 microarray results'!G:G=B4) + ('T. S2 microarray results'!H:H=B4) &gt; 0, 0))</f>
        <v>YDR191W</v>
      </c>
      <c r="B4" t="s">
        <v>11612</v>
      </c>
      <c r="C4" s="4" t="s">
        <v>14301</v>
      </c>
      <c r="D4" s="4" t="str">
        <f t="shared" si="0"/>
        <v>YDR191W/HST4</v>
      </c>
      <c r="E4" s="4">
        <f t="shared" si="1"/>
        <v>0</v>
      </c>
      <c r="F4" cm="1">
        <f t="array" ref="F4">INDEX('T. S2 microarray results'!J:J, MATCH(TRUE, ('T. S2 microarray results'!B:B=B4) + ('T. S2 microarray results'!C:C=B4) + ('T. S2 microarray results'!D:D=B4) + ('T. S2 microarray results'!E:E=B4) + ('T. S2 microarray results'!F:F=B4) + ('T. S2 microarray results'!G:G=B4) + ('T. S2 microarray results'!H:H=B4) &gt; 0, 0))</f>
        <v>0.54684639999999995</v>
      </c>
      <c r="G4" cm="1">
        <f t="array" ref="G4">INDEX('T. S2 microarray results'!K:K, MATCH(TRUE, ('T. S2 microarray results'!B:B=B4) + ('T. S2 microarray results'!C:C=B4) + ('T. S2 microarray results'!D:D=B4) + ('T. S2 microarray results'!E:E=B4) + ('T. S2 microarray results'!F:F=B4) + ('T. S2 microarray results'!G:G=B4) + ('T. S2 microarray results'!H:H=B4) &gt; 0, 0))</f>
        <v>0.73147410000000002</v>
      </c>
      <c r="H4" cm="1">
        <f t="array" ref="H4">INDEX('T. S2 microarray results'!L:L, MATCH(TRUE, ('T. S2 microarray results'!B:B=B4) + ('T. S2 microarray results'!C:C=B4) + ('T. S2 microarray results'!D:D=B4) + ('T. S2 microarray results'!E:E=B4) + ('T. S2 microarray results'!F:F=B4) + ('T. S2 microarray results'!G:G=B4) + ('T. S2 microarray results'!H:H=B4) &gt; 0, 0))</f>
        <v>0.33879579999999998</v>
      </c>
    </row>
    <row r="5" spans="1:8" x14ac:dyDescent="0.25">
      <c r="A5" t="str" cm="1">
        <f t="array" ref="A5">INDEX('T. S2 microarray results'!A:A, MATCH(TRUE, ('T. S2 microarray results'!B:B=B5) + ('T. S2 microarray results'!C:C=B5) + ('T. S2 microarray results'!D:D=B5) + ('T. S2 microarray results'!E:E=B5) + ('T. S2 microarray results'!F:F=B5) + ('T. S2 microarray results'!G:G=B5) + ('T. S2 microarray results'!H:H=B5) &gt; 0, 0))</f>
        <v>YDR264C</v>
      </c>
      <c r="B5" t="s">
        <v>11320</v>
      </c>
      <c r="C5" s="4" t="s">
        <v>14301</v>
      </c>
      <c r="D5" s="4" t="str">
        <f t="shared" si="0"/>
        <v>YDR264C/AKR1</v>
      </c>
      <c r="E5" s="4">
        <f t="shared" si="1"/>
        <v>0</v>
      </c>
      <c r="F5" cm="1">
        <f t="array" ref="F5">INDEX('T. S2 microarray results'!J:J, MATCH(TRUE, ('T. S2 microarray results'!B:B=B5) + ('T. S2 microarray results'!C:C=B5) + ('T. S2 microarray results'!D:D=B5) + ('T. S2 microarray results'!E:E=B5) + ('T. S2 microarray results'!F:F=B5) + ('T. S2 microarray results'!G:G=B5) + ('T. S2 microarray results'!H:H=B5) &gt; 0, 0))</f>
        <v>0.18978149999999999</v>
      </c>
      <c r="G5" cm="1">
        <f t="array" ref="G5">INDEX('T. S2 microarray results'!K:K, MATCH(TRUE, ('T. S2 microarray results'!B:B=B5) + ('T. S2 microarray results'!C:C=B5) + ('T. S2 microarray results'!D:D=B5) + ('T. S2 microarray results'!E:E=B5) + ('T. S2 microarray results'!F:F=B5) + ('T. S2 microarray results'!G:G=B5) + ('T. S2 microarray results'!H:H=B5) &gt; 0, 0))</f>
        <v>0.16574169999999999</v>
      </c>
      <c r="H5" cm="1">
        <f t="array" ref="H5">INDEX('T. S2 microarray results'!L:L, MATCH(TRUE, ('T. S2 microarray results'!B:B=B5) + ('T. S2 microarray results'!C:C=B5) + ('T. S2 microarray results'!D:D=B5) + ('T. S2 microarray results'!E:E=B5) + ('T. S2 microarray results'!F:F=B5) + ('T. S2 microarray results'!G:G=B5) + ('T. S2 microarray results'!H:H=B5) &gt; 0, 0))</f>
        <v>0.13017020000000001</v>
      </c>
    </row>
    <row r="6" spans="1:8" x14ac:dyDescent="0.25">
      <c r="A6" t="str" cm="1">
        <f t="array" ref="A6">INDEX('T. S2 microarray results'!A:A, MATCH(TRUE, ('T. S2 microarray results'!B:B=B6) + ('T. S2 microarray results'!C:C=B6) + ('T. S2 microarray results'!D:D=B6) + ('T. S2 microarray results'!E:E=B6) + ('T. S2 microarray results'!F:F=B6) + ('T. S2 microarray results'!G:G=B6) + ('T. S2 microarray results'!H:H=B6) &gt; 0, 0))</f>
        <v>YNL148C</v>
      </c>
      <c r="B6" t="s">
        <v>2513</v>
      </c>
      <c r="C6" s="4" t="s">
        <v>14301</v>
      </c>
      <c r="D6" s="4" t="str">
        <f t="shared" si="0"/>
        <v>YNL148C/ALF1</v>
      </c>
      <c r="E6" s="4">
        <f t="shared" si="1"/>
        <v>0</v>
      </c>
      <c r="F6" cm="1">
        <f t="array" ref="F6">INDEX('T. S2 microarray results'!J:J, MATCH(TRUE, ('T. S2 microarray results'!B:B=B6) + ('T. S2 microarray results'!C:C=B6) + ('T. S2 microarray results'!D:D=B6) + ('T. S2 microarray results'!E:E=B6) + ('T. S2 microarray results'!F:F=B6) + ('T. S2 microarray results'!G:G=B6) + ('T. S2 microarray results'!H:H=B6) &gt; 0, 0))</f>
        <v>0.35075529999999999</v>
      </c>
      <c r="G6" cm="1">
        <f t="array" ref="G6">INDEX('T. S2 microarray results'!K:K, MATCH(TRUE, ('T. S2 microarray results'!B:B=B6) + ('T. S2 microarray results'!C:C=B6) + ('T. S2 microarray results'!D:D=B6) + ('T. S2 microarray results'!E:E=B6) + ('T. S2 microarray results'!F:F=B6) + ('T. S2 microarray results'!G:G=B6) + ('T. S2 microarray results'!H:H=B6) &gt; 0, 0))</f>
        <v>0.24539440000000001</v>
      </c>
      <c r="H6" cm="1">
        <f t="array" ref="H6">INDEX('T. S2 microarray results'!L:L, MATCH(TRUE, ('T. S2 microarray results'!B:B=B6) + ('T. S2 microarray results'!C:C=B6) + ('T. S2 microarray results'!D:D=B6) + ('T. S2 microarray results'!E:E=B6) + ('T. S2 microarray results'!F:F=B6) + ('T. S2 microarray results'!G:G=B6) + ('T. S2 microarray results'!H:H=B6) &gt; 0, 0))</f>
        <v>0.33088089999999998</v>
      </c>
    </row>
    <row r="7" spans="1:8" x14ac:dyDescent="0.25">
      <c r="A7" t="str" cm="1">
        <f t="array" ref="A7">INDEX('T. S2 microarray results'!A:A, MATCH(TRUE, ('T. S2 microarray results'!B:B=B7) + ('T. S2 microarray results'!C:C=B7) + ('T. S2 microarray results'!D:D=B7) + ('T. S2 microarray results'!E:E=B7) + ('T. S2 microarray results'!F:F=B7) + ('T. S2 microarray results'!G:G=B7) + ('T. S2 microarray results'!H:H=B7) &gt; 0, 0))</f>
        <v>YPL120W</v>
      </c>
      <c r="B7" t="s">
        <v>1204</v>
      </c>
      <c r="C7" s="4" t="s">
        <v>14301</v>
      </c>
      <c r="D7" s="4" t="str">
        <f t="shared" si="0"/>
        <v>YPL120W/VPS30</v>
      </c>
      <c r="E7" s="4">
        <f t="shared" si="1"/>
        <v>0</v>
      </c>
      <c r="F7" cm="1">
        <f t="array" ref="F7">INDEX('T. S2 microarray results'!J:J, MATCH(TRUE, ('T. S2 microarray results'!B:B=B7) + ('T. S2 microarray results'!C:C=B7) + ('T. S2 microarray results'!D:D=B7) + ('T. S2 microarray results'!E:E=B7) + ('T. S2 microarray results'!F:F=B7) + ('T. S2 microarray results'!G:G=B7) + ('T. S2 microarray results'!H:H=B7) &gt; 0, 0))</f>
        <v>0.2700111</v>
      </c>
      <c r="G7" cm="1">
        <f t="array" ref="G7">INDEX('T. S2 microarray results'!K:K, MATCH(TRUE, ('T. S2 microarray results'!B:B=B7) + ('T. S2 microarray results'!C:C=B7) + ('T. S2 microarray results'!D:D=B7) + ('T. S2 microarray results'!E:E=B7) + ('T. S2 microarray results'!F:F=B7) + ('T. S2 microarray results'!G:G=B7) + ('T. S2 microarray results'!H:H=B7) &gt; 0, 0))</f>
        <v>0.19982179999999999</v>
      </c>
      <c r="H7" cm="1">
        <f t="array" ref="H7">INDEX('T. S2 microarray results'!L:L, MATCH(TRUE, ('T. S2 microarray results'!B:B=B7) + ('T. S2 microarray results'!C:C=B7) + ('T. S2 microarray results'!D:D=B7) + ('T. S2 microarray results'!E:E=B7) + ('T. S2 microarray results'!F:F=B7) + ('T. S2 microarray results'!G:G=B7) + ('T. S2 microarray results'!H:H=B7) &gt; 0, 0))</f>
        <v>0.34878540000000002</v>
      </c>
    </row>
    <row r="8" spans="1:8" x14ac:dyDescent="0.25">
      <c r="A8" t="str" cm="1">
        <f t="array" ref="A8">INDEX('T. S2 microarray results'!A:A, MATCH(TRUE, ('T. S2 microarray results'!B:B=B8) + ('T. S2 microarray results'!C:C=B8) + ('T. S2 microarray results'!D:D=B8) + ('T. S2 microarray results'!E:E=B8) + ('T. S2 microarray results'!F:F=B8) + ('T. S2 microarray results'!G:G=B8) + ('T. S2 microarray results'!H:H=B8) &gt; 0, 0))</f>
        <v>YLR268W</v>
      </c>
      <c r="B8" t="s">
        <v>5474</v>
      </c>
      <c r="C8" s="4" t="s">
        <v>14301</v>
      </c>
      <c r="D8" s="4" t="str">
        <f t="shared" si="0"/>
        <v>YLR268W/SEC22</v>
      </c>
      <c r="E8" s="4">
        <f t="shared" si="1"/>
        <v>0</v>
      </c>
      <c r="F8" cm="1">
        <f t="array" ref="F8">INDEX('T. S2 microarray results'!J:J, MATCH(TRUE, ('T. S2 microarray results'!B:B=B8) + ('T. S2 microarray results'!C:C=B8) + ('T. S2 microarray results'!D:D=B8) + ('T. S2 microarray results'!E:E=B8) + ('T. S2 microarray results'!F:F=B8) + ('T. S2 microarray results'!G:G=B8) + ('T. S2 microarray results'!H:H=B8) &gt; 0, 0))</f>
        <v>0.50111930000000005</v>
      </c>
      <c r="G8" cm="1">
        <f t="array" ref="G8">INDEX('T. S2 microarray results'!K:K, MATCH(TRUE, ('T. S2 microarray results'!B:B=B8) + ('T. S2 microarray results'!C:C=B8) + ('T. S2 microarray results'!D:D=B8) + ('T. S2 microarray results'!E:E=B8) + ('T. S2 microarray results'!F:F=B8) + ('T. S2 microarray results'!G:G=B8) + ('T. S2 microarray results'!H:H=B8) &gt; 0, 0))</f>
        <v>0.60509250000000003</v>
      </c>
      <c r="H8" cm="1">
        <f t="array" ref="H8">INDEX('T. S2 microarray results'!L:L, MATCH(TRUE, ('T. S2 microarray results'!B:B=B8) + ('T. S2 microarray results'!C:C=B8) + ('T. S2 microarray results'!D:D=B8) + ('T. S2 microarray results'!E:E=B8) + ('T. S2 microarray results'!F:F=B8) + ('T. S2 microarray results'!G:G=B8) + ('T. S2 microarray results'!H:H=B8) &gt; 0, 0))</f>
        <v>0.56227879999999997</v>
      </c>
    </row>
    <row r="9" spans="1:8" x14ac:dyDescent="0.25">
      <c r="A9" t="str" cm="1">
        <f t="array" ref="A9">INDEX('T. S2 microarray results'!A:A, MATCH(TRUE, ('T. S2 microarray results'!B:B=B9) + ('T. S2 microarray results'!C:C=B9) + ('T. S2 microarray results'!D:D=B9) + ('T. S2 microarray results'!E:E=B9) + ('T. S2 microarray results'!F:F=B9) + ('T. S2 microarray results'!G:G=B9) + ('T. S2 microarray results'!H:H=B9) &gt; 0, 0))</f>
        <v>YKL015W</v>
      </c>
      <c r="B9" t="s">
        <v>5907</v>
      </c>
      <c r="C9" s="4" t="s">
        <v>14301</v>
      </c>
      <c r="D9" s="4" t="str">
        <f t="shared" si="0"/>
        <v>YKL015W/PUT3</v>
      </c>
      <c r="E9" s="4">
        <f t="shared" si="1"/>
        <v>0</v>
      </c>
      <c r="F9" cm="1">
        <f t="array" ref="F9">INDEX('T. S2 microarray results'!J:J, MATCH(TRUE, ('T. S2 microarray results'!B:B=B9) + ('T. S2 microarray results'!C:C=B9) + ('T. S2 microarray results'!D:D=B9) + ('T. S2 microarray results'!E:E=B9) + ('T. S2 microarray results'!F:F=B9) + ('T. S2 microarray results'!G:G=B9) + ('T. S2 microarray results'!H:H=B9) &gt; 0, 0))</f>
        <v>1.7343299999999999E-2</v>
      </c>
      <c r="G9" cm="1">
        <f t="array" ref="G9">INDEX('T. S2 microarray results'!K:K, MATCH(TRUE, ('T. S2 microarray results'!B:B=B9) + ('T. S2 microarray results'!C:C=B9) + ('T. S2 microarray results'!D:D=B9) + ('T. S2 microarray results'!E:E=B9) + ('T. S2 microarray results'!F:F=B9) + ('T. S2 microarray results'!G:G=B9) + ('T. S2 microarray results'!H:H=B9) &gt; 0, 0))</f>
        <v>-0.67548680000000005</v>
      </c>
      <c r="H9" cm="1">
        <f t="array" ref="H9">INDEX('T. S2 microarray results'!L:L, MATCH(TRUE, ('T. S2 microarray results'!B:B=B9) + ('T. S2 microarray results'!C:C=B9) + ('T. S2 microarray results'!D:D=B9) + ('T. S2 microarray results'!E:E=B9) + ('T. S2 microarray results'!F:F=B9) + ('T. S2 microarray results'!G:G=B9) + ('T. S2 microarray results'!H:H=B9) &gt; 0, 0))</f>
        <v>-0.72108570000000005</v>
      </c>
    </row>
    <row r="10" spans="1:8" x14ac:dyDescent="0.25">
      <c r="A10" t="str" cm="1">
        <f t="array" ref="A10">INDEX('T. S2 microarray results'!A:A, MATCH(TRUE, ('T. S2 microarray results'!B:B=B10) + ('T. S2 microarray results'!C:C=B10) + ('T. S2 microarray results'!D:D=B10) + ('T. S2 microarray results'!E:E=B10) + ('T. S2 microarray results'!F:F=B10) + ('T. S2 microarray results'!G:G=B10) + ('T. S2 microarray results'!H:H=B10) &gt; 0, 0))</f>
        <v>YCL037C</v>
      </c>
      <c r="B10" t="s">
        <v>12696</v>
      </c>
      <c r="C10" s="4" t="s">
        <v>14301</v>
      </c>
      <c r="D10" s="4" t="str">
        <f t="shared" si="0"/>
        <v>YCL037C/SRO9</v>
      </c>
      <c r="E10" s="4">
        <f t="shared" si="1"/>
        <v>0</v>
      </c>
      <c r="F10" cm="1">
        <f t="array" ref="F10">INDEX('T. S2 microarray results'!J:J, MATCH(TRUE, ('T. S2 microarray results'!B:B=B10) + ('T. S2 microarray results'!C:C=B10) + ('T. S2 microarray results'!D:D=B10) + ('T. S2 microarray results'!E:E=B10) + ('T. S2 microarray results'!F:F=B10) + ('T. S2 microarray results'!G:G=B10) + ('T. S2 microarray results'!H:H=B10) &gt; 0, 0))</f>
        <v>1.512819E-2</v>
      </c>
      <c r="G10" cm="1">
        <f t="array" ref="G10">INDEX('T. S2 microarray results'!K:K, MATCH(TRUE, ('T. S2 microarray results'!B:B=B10) + ('T. S2 microarray results'!C:C=B10) + ('T. S2 microarray results'!D:D=B10) + ('T. S2 microarray results'!E:E=B10) + ('T. S2 microarray results'!F:F=B10) + ('T. S2 microarray results'!G:G=B10) + ('T. S2 microarray results'!H:H=B10) &gt; 0, 0))</f>
        <v>0.96609279999999997</v>
      </c>
      <c r="H10" cm="1">
        <f t="array" ref="H10">INDEX('T. S2 microarray results'!L:L, MATCH(TRUE, ('T. S2 microarray results'!B:B=B10) + ('T. S2 microarray results'!C:C=B10) + ('T. S2 microarray results'!D:D=B10) + ('T. S2 microarray results'!E:E=B10) + ('T. S2 microarray results'!F:F=B10) + ('T. S2 microarray results'!G:G=B10) + ('T. S2 microarray results'!H:H=B10) &gt; 0, 0))</f>
        <v>7.661917E-2</v>
      </c>
    </row>
    <row r="11" spans="1:8" x14ac:dyDescent="0.25">
      <c r="A11" t="str" cm="1">
        <f t="array" ref="A11">INDEX('T. S2 microarray results'!A:A, MATCH(TRUE, ('T. S2 microarray results'!B:B=B11) + ('T. S2 microarray results'!C:C=B11) + ('T. S2 microarray results'!D:D=B11) + ('T. S2 microarray results'!E:E=B11) + ('T. S2 microarray results'!F:F=B11) + ('T. S2 microarray results'!G:G=B11) + ('T. S2 microarray results'!H:H=B11) &gt; 0, 0))</f>
        <v>YKR026C</v>
      </c>
      <c r="B11" t="s">
        <v>5406</v>
      </c>
      <c r="C11" s="4" t="s">
        <v>14301</v>
      </c>
      <c r="D11" s="4" t="str">
        <f t="shared" si="0"/>
        <v>YKR026C/GCN3</v>
      </c>
      <c r="E11" s="4">
        <f t="shared" si="1"/>
        <v>0</v>
      </c>
      <c r="F11" cm="1">
        <f t="array" ref="F11">INDEX('T. S2 microarray results'!J:J, MATCH(TRUE, ('T. S2 microarray results'!B:B=B11) + ('T. S2 microarray results'!C:C=B11) + ('T. S2 microarray results'!D:D=B11) + ('T. S2 microarray results'!E:E=B11) + ('T. S2 microarray results'!F:F=B11) + ('T. S2 microarray results'!G:G=B11) + ('T. S2 microarray results'!H:H=B11) &gt; 0, 0))</f>
        <v>9.7738560000000002E-2</v>
      </c>
      <c r="G11" cm="1">
        <f t="array" ref="G11">INDEX('T. S2 microarray results'!K:K, MATCH(TRUE, ('T. S2 microarray results'!B:B=B11) + ('T. S2 microarray results'!C:C=B11) + ('T. S2 microarray results'!D:D=B11) + ('T. S2 microarray results'!E:E=B11) + ('T. S2 microarray results'!F:F=B11) + ('T. S2 microarray results'!G:G=B11) + ('T. S2 microarray results'!H:H=B11) &gt; 0, 0))</f>
        <v>0.59389860000000005</v>
      </c>
      <c r="H11" cm="1">
        <f t="array" ref="H11">INDEX('T. S2 microarray results'!L:L, MATCH(TRUE, ('T. S2 microarray results'!B:B=B11) + ('T. S2 microarray results'!C:C=B11) + ('T. S2 microarray results'!D:D=B11) + ('T. S2 microarray results'!E:E=B11) + ('T. S2 microarray results'!F:F=B11) + ('T. S2 microarray results'!G:G=B11) + ('T. S2 microarray results'!H:H=B11) &gt; 0, 0))</f>
        <v>9.81128E-2</v>
      </c>
    </row>
    <row r="12" spans="1:8" x14ac:dyDescent="0.25">
      <c r="A12" t="str" cm="1">
        <f t="array" ref="A12">INDEX('T. S2 microarray results'!A:A, MATCH(TRUE, ('T. S2 microarray results'!B:B=B12) + ('T. S2 microarray results'!C:C=B12) + ('T. S2 microarray results'!D:D=B12) + ('T. S2 microarray results'!E:E=B12) + ('T. S2 microarray results'!F:F=B12) + ('T. S2 microarray results'!G:G=B12) + ('T. S2 microarray results'!H:H=B12) &gt; 0, 0))</f>
        <v>YKL017C</v>
      </c>
      <c r="B12" t="s">
        <v>5901</v>
      </c>
      <c r="C12" s="4" t="s">
        <v>14301</v>
      </c>
      <c r="D12" s="4" t="str">
        <f t="shared" si="0"/>
        <v>YKL017C/HCS1</v>
      </c>
      <c r="E12" s="4">
        <f t="shared" si="1"/>
        <v>0</v>
      </c>
      <c r="F12" cm="1">
        <f t="array" ref="F12">INDEX('T. S2 microarray results'!J:J, MATCH(TRUE, ('T. S2 microarray results'!B:B=B12) + ('T. S2 microarray results'!C:C=B12) + ('T. S2 microarray results'!D:D=B12) + ('T. S2 microarray results'!E:E=B12) + ('T. S2 microarray results'!F:F=B12) + ('T. S2 microarray results'!G:G=B12) + ('T. S2 microarray results'!H:H=B12) &gt; 0, 0))</f>
        <v>0.18666959999999999</v>
      </c>
      <c r="G12" cm="1">
        <f t="array" ref="G12">INDEX('T. S2 microarray results'!K:K, MATCH(TRUE, ('T. S2 microarray results'!B:B=B12) + ('T. S2 microarray results'!C:C=B12) + ('T. S2 microarray results'!D:D=B12) + ('T. S2 microarray results'!E:E=B12) + ('T. S2 microarray results'!F:F=B12) + ('T. S2 microarray results'!G:G=B12) + ('T. S2 microarray results'!H:H=B12) &gt; 0, 0))</f>
        <v>-0.34032230000000002</v>
      </c>
      <c r="H12" cm="1">
        <f t="array" ref="H12">INDEX('T. S2 microarray results'!L:L, MATCH(TRUE, ('T. S2 microarray results'!B:B=B12) + ('T. S2 microarray results'!C:C=B12) + ('T. S2 microarray results'!D:D=B12) + ('T. S2 microarray results'!E:E=B12) + ('T. S2 microarray results'!F:F=B12) + ('T. S2 microarray results'!G:G=B12) + ('T. S2 microarray results'!H:H=B12) &gt; 0, 0))</f>
        <v>5.202552E-3</v>
      </c>
    </row>
    <row r="13" spans="1:8" x14ac:dyDescent="0.25">
      <c r="A13" t="str" cm="1">
        <f t="array" ref="A13">INDEX('T. S2 microarray results'!A:A, MATCH(TRUE, ('T. S2 microarray results'!B:B=B13) + ('T. S2 microarray results'!C:C=B13) + ('T. S2 microarray results'!D:D=B13) + ('T. S2 microarray results'!E:E=B13) + ('T. S2 microarray results'!F:F=B13) + ('T. S2 microarray results'!G:G=B13) + ('T. S2 microarray results'!H:H=B13) &gt; 0, 0))</f>
        <v>YCR002C</v>
      </c>
      <c r="B13" t="s">
        <v>13542</v>
      </c>
      <c r="C13" s="4" t="s">
        <v>14301</v>
      </c>
      <c r="D13" s="4" t="str">
        <f t="shared" si="0"/>
        <v>YCR002C/CDC10</v>
      </c>
      <c r="E13" s="4">
        <f t="shared" si="1"/>
        <v>0</v>
      </c>
      <c r="F13" cm="1">
        <f t="array" ref="F13">INDEX('T. S2 microarray results'!J:J, MATCH(TRUE, ('T. S2 microarray results'!B:B=B13) + ('T. S2 microarray results'!C:C=B13) + ('T. S2 microarray results'!D:D=B13) + ('T. S2 microarray results'!E:E=B13) + ('T. S2 microarray results'!F:F=B13) + ('T. S2 microarray results'!G:G=B13) + ('T. S2 microarray results'!H:H=B13) &gt; 0, 0))</f>
        <v>-0.28118549999999998</v>
      </c>
      <c r="G13" cm="1">
        <f t="array" ref="G13">INDEX('T. S2 microarray results'!K:K, MATCH(TRUE, ('T. S2 microarray results'!B:B=B13) + ('T. S2 microarray results'!C:C=B13) + ('T. S2 microarray results'!D:D=B13) + ('T. S2 microarray results'!E:E=B13) + ('T. S2 microarray results'!F:F=B13) + ('T. S2 microarray results'!G:G=B13) + ('T. S2 microarray results'!H:H=B13) &gt; 0, 0))</f>
        <v>-0.4761917</v>
      </c>
      <c r="H13" cm="1">
        <f t="array" ref="H13">INDEX('T. S2 microarray results'!L:L, MATCH(TRUE, ('T. S2 microarray results'!B:B=B13) + ('T. S2 microarray results'!C:C=B13) + ('T. S2 microarray results'!D:D=B13) + ('T. S2 microarray results'!E:E=B13) + ('T. S2 microarray results'!F:F=B13) + ('T. S2 microarray results'!G:G=B13) + ('T. S2 microarray results'!H:H=B13) &gt; 0, 0))</f>
        <v>-3.3764080000000002E-2</v>
      </c>
    </row>
    <row r="14" spans="1:8" x14ac:dyDescent="0.25">
      <c r="A14" t="str" cm="1">
        <f t="array" ref="A14">INDEX('T. S2 microarray results'!A:A, MATCH(TRUE, ('T. S2 microarray results'!B:B=B14) + ('T. S2 microarray results'!C:C=B14) + ('T. S2 microarray results'!D:D=B14) + ('T. S2 microarray results'!E:E=B14) + ('T. S2 microarray results'!F:F=B14) + ('T. S2 microarray results'!G:G=B14) + ('T. S2 microarray results'!H:H=B14) &gt; 0, 0))</f>
        <v>YBR260C</v>
      </c>
      <c r="B14" t="s">
        <v>12791</v>
      </c>
      <c r="C14" s="4" t="s">
        <v>14301</v>
      </c>
      <c r="D14" s="4" t="str">
        <f t="shared" si="0"/>
        <v>YBR260C/RGD1</v>
      </c>
      <c r="E14" s="4">
        <f t="shared" si="1"/>
        <v>0</v>
      </c>
      <c r="F14" cm="1">
        <f t="array" ref="F14">INDEX('T. S2 microarray results'!J:J, MATCH(TRUE, ('T. S2 microarray results'!B:B=B14) + ('T. S2 microarray results'!C:C=B14) + ('T. S2 microarray results'!D:D=B14) + ('T. S2 microarray results'!E:E=B14) + ('T. S2 microarray results'!F:F=B14) + ('T. S2 microarray results'!G:G=B14) + ('T. S2 microarray results'!H:H=B14) &gt; 0, 0))</f>
        <v>0.34622940000000002</v>
      </c>
      <c r="G14" cm="1">
        <f t="array" ref="G14">INDEX('T. S2 microarray results'!K:K, MATCH(TRUE, ('T. S2 microarray results'!B:B=B14) + ('T. S2 microarray results'!C:C=B14) + ('T. S2 microarray results'!D:D=B14) + ('T. S2 microarray results'!E:E=B14) + ('T. S2 microarray results'!F:F=B14) + ('T. S2 microarray results'!G:G=B14) + ('T. S2 microarray results'!H:H=B14) &gt; 0, 0))</f>
        <v>0.35082439999999998</v>
      </c>
      <c r="H14" cm="1">
        <f t="array" ref="H14">INDEX('T. S2 microarray results'!L:L, MATCH(TRUE, ('T. S2 microarray results'!B:B=B14) + ('T. S2 microarray results'!C:C=B14) + ('T. S2 microarray results'!D:D=B14) + ('T. S2 microarray results'!E:E=B14) + ('T. S2 microarray results'!F:F=B14) + ('T. S2 microarray results'!G:G=B14) + ('T. S2 microarray results'!H:H=B14) &gt; 0, 0))</f>
        <v>0.2091228</v>
      </c>
    </row>
    <row r="15" spans="1:8" x14ac:dyDescent="0.25">
      <c r="A15" t="str" cm="1">
        <f t="array" ref="A15">INDEX('T. S2 microarray results'!A:A, MATCH(TRUE, ('T. S2 microarray results'!B:B=B15) + ('T. S2 microarray results'!C:C=B15) + ('T. S2 microarray results'!D:D=B15) + ('T. S2 microarray results'!E:E=B15) + ('T. S2 microarray results'!F:F=B15) + ('T. S2 microarray results'!G:G=B15) + ('T. S2 microarray results'!H:H=B15) &gt; 0, 0))</f>
        <v>YDR456W</v>
      </c>
      <c r="B15" t="s">
        <v>10817</v>
      </c>
      <c r="C15" s="4" t="s">
        <v>14301</v>
      </c>
      <c r="D15" s="4" t="str">
        <f t="shared" si="0"/>
        <v>YDR456W/NHX1</v>
      </c>
      <c r="E15" s="4">
        <f t="shared" si="1"/>
        <v>0</v>
      </c>
      <c r="F15" cm="1">
        <f t="array" ref="F15">INDEX('T. S2 microarray results'!J:J, MATCH(TRUE, ('T. S2 microarray results'!B:B=B15) + ('T. S2 microarray results'!C:C=B15) + ('T. S2 microarray results'!D:D=B15) + ('T. S2 microarray results'!E:E=B15) + ('T. S2 microarray results'!F:F=B15) + ('T. S2 microarray results'!G:G=B15) + ('T. S2 microarray results'!H:H=B15) &gt; 0, 0))</f>
        <v>-6.8310679999999999E-2</v>
      </c>
      <c r="G15" cm="1">
        <f t="array" ref="G15">INDEX('T. S2 microarray results'!K:K, MATCH(TRUE, ('T. S2 microarray results'!B:B=B15) + ('T. S2 microarray results'!C:C=B15) + ('T. S2 microarray results'!D:D=B15) + ('T. S2 microarray results'!E:E=B15) + ('T. S2 microarray results'!F:F=B15) + ('T. S2 microarray results'!G:G=B15) + ('T. S2 microarray results'!H:H=B15) &gt; 0, 0))</f>
        <v>0.22592209999999999</v>
      </c>
      <c r="H15" cm="1">
        <f t="array" ref="H15">INDEX('T. S2 microarray results'!L:L, MATCH(TRUE, ('T. S2 microarray results'!B:B=B15) + ('T. S2 microarray results'!C:C=B15) + ('T. S2 microarray results'!D:D=B15) + ('T. S2 microarray results'!E:E=B15) + ('T. S2 microarray results'!F:F=B15) + ('T. S2 microarray results'!G:G=B15) + ('T. S2 microarray results'!H:H=B15) &gt; 0, 0))</f>
        <v>2.0313359999999999E-2</v>
      </c>
    </row>
    <row r="16" spans="1:8" x14ac:dyDescent="0.25">
      <c r="A16" t="str" cm="1">
        <f t="array" ref="A16">INDEX('T. S2 microarray results'!A:A, MATCH(TRUE, ('T. S2 microarray results'!B:B=B16) + ('T. S2 microarray results'!C:C=B16) + ('T. S2 microarray results'!D:D=B16) + ('T. S2 microarray results'!E:E=B16) + ('T. S2 microarray results'!F:F=B16) + ('T. S2 microarray results'!G:G=B16) + ('T. S2 microarray results'!H:H=B16) &gt; 0, 0))</f>
        <v>YJL153C</v>
      </c>
      <c r="B16" t="s">
        <v>6411</v>
      </c>
      <c r="C16" s="4" t="s">
        <v>14301</v>
      </c>
      <c r="D16" s="4" t="str">
        <f t="shared" si="0"/>
        <v>YJL153C/INO1</v>
      </c>
      <c r="E16" s="4">
        <f t="shared" si="1"/>
        <v>0</v>
      </c>
      <c r="F16" cm="1">
        <f t="array" ref="F16">INDEX('T. S2 microarray results'!J:J, MATCH(TRUE, ('T. S2 microarray results'!B:B=B16) + ('T. S2 microarray results'!C:C=B16) + ('T. S2 microarray results'!D:D=B16) + ('T. S2 microarray results'!E:E=B16) + ('T. S2 microarray results'!F:F=B16) + ('T. S2 microarray results'!G:G=B16) + ('T. S2 microarray results'!H:H=B16) &gt; 0, 0))</f>
        <v>-1.663467</v>
      </c>
      <c r="G16" cm="1">
        <f t="array" ref="G16">INDEX('T. S2 microarray results'!K:K, MATCH(TRUE, ('T. S2 microarray results'!B:B=B16) + ('T. S2 microarray results'!C:C=B16) + ('T. S2 microarray results'!D:D=B16) + ('T. S2 microarray results'!E:E=B16) + ('T. S2 microarray results'!F:F=B16) + ('T. S2 microarray results'!G:G=B16) + ('T. S2 microarray results'!H:H=B16) &gt; 0, 0))</f>
        <v>-0.65996060000000001</v>
      </c>
      <c r="H16" cm="1">
        <f t="array" ref="H16">INDEX('T. S2 microarray results'!L:L, MATCH(TRUE, ('T. S2 microarray results'!B:B=B16) + ('T. S2 microarray results'!C:C=B16) + ('T. S2 microarray results'!D:D=B16) + ('T. S2 microarray results'!E:E=B16) + ('T. S2 microarray results'!F:F=B16) + ('T. S2 microarray results'!G:G=B16) + ('T. S2 microarray results'!H:H=B16) &gt; 0, 0))</f>
        <v>-0.32362600000000002</v>
      </c>
    </row>
    <row r="17" spans="1:8" x14ac:dyDescent="0.25">
      <c r="A17" t="str" cm="1">
        <f t="array" ref="A17">INDEX('T. S2 microarray results'!A:A, MATCH(TRUE, ('T. S2 microarray results'!B:B=B17) + ('T. S2 microarray results'!C:C=B17) + ('T. S2 microarray results'!D:D=B17) + ('T. S2 microarray results'!E:E=B17) + ('T. S2 microarray results'!F:F=B17) + ('T. S2 microarray results'!G:G=B17) + ('T. S2 microarray results'!H:H=B17) &gt; 0, 0))</f>
        <v>YPL084W</v>
      </c>
      <c r="B17" t="s">
        <v>274</v>
      </c>
      <c r="C17" s="4" t="s">
        <v>14301</v>
      </c>
      <c r="D17" s="4" t="str">
        <f t="shared" si="0"/>
        <v>YPL084W/BRO1</v>
      </c>
      <c r="E17" s="4">
        <f t="shared" si="1"/>
        <v>0</v>
      </c>
      <c r="F17" cm="1">
        <f t="array" ref="F17">INDEX('T. S2 microarray results'!J:J, MATCH(TRUE, ('T. S2 microarray results'!B:B=B17) + ('T. S2 microarray results'!C:C=B17) + ('T. S2 microarray results'!D:D=B17) + ('T. S2 microarray results'!E:E=B17) + ('T. S2 microarray results'!F:F=B17) + ('T. S2 microarray results'!G:G=B17) + ('T. S2 microarray results'!H:H=B17) &gt; 0, 0))</f>
        <v>5.0555019999999999E-2</v>
      </c>
      <c r="G17" cm="1">
        <f t="array" ref="G17">INDEX('T. S2 microarray results'!K:K, MATCH(TRUE, ('T. S2 microarray results'!B:B=B17) + ('T. S2 microarray results'!C:C=B17) + ('T. S2 microarray results'!D:D=B17) + ('T. S2 microarray results'!E:E=B17) + ('T. S2 microarray results'!F:F=B17) + ('T. S2 microarray results'!G:G=B17) + ('T. S2 microarray results'!H:H=B17) &gt; 0, 0))</f>
        <v>-0.26342650000000001</v>
      </c>
      <c r="H17" cm="1">
        <f t="array" ref="H17">INDEX('T. S2 microarray results'!L:L, MATCH(TRUE, ('T. S2 microarray results'!B:B=B17) + ('T. S2 microarray results'!C:C=B17) + ('T. S2 microarray results'!D:D=B17) + ('T. S2 microarray results'!E:E=B17) + ('T. S2 microarray results'!F:F=B17) + ('T. S2 microarray results'!G:G=B17) + ('T. S2 microarray results'!H:H=B17) &gt; 0, 0))</f>
        <v>3.1351440000000001E-2</v>
      </c>
    </row>
    <row r="18" spans="1:8" x14ac:dyDescent="0.25">
      <c r="A18" t="str" cm="1">
        <f t="array" ref="A18">INDEX('T. S2 microarray results'!A:A, MATCH(TRUE, ('T. S2 microarray results'!B:B=B18) + ('T. S2 microarray results'!C:C=B18) + ('T. S2 microarray results'!D:D=B18) + ('T. S2 microarray results'!E:E=B18) + ('T. S2 microarray results'!F:F=B18) + ('T. S2 microarray results'!G:G=B18) + ('T. S2 microarray results'!H:H=B18) &gt; 0, 0))</f>
        <v>YCL032W</v>
      </c>
      <c r="B18" t="s">
        <v>11729</v>
      </c>
      <c r="C18" s="4" t="s">
        <v>14301</v>
      </c>
      <c r="D18" s="4" t="str">
        <f t="shared" si="0"/>
        <v>YCL032W/STE50</v>
      </c>
      <c r="E18" s="4">
        <f t="shared" si="1"/>
        <v>0</v>
      </c>
      <c r="F18" cm="1">
        <f t="array" ref="F18">INDEX('T. S2 microarray results'!J:J, MATCH(TRUE, ('T. S2 microarray results'!B:B=B18) + ('T. S2 microarray results'!C:C=B18) + ('T. S2 microarray results'!D:D=B18) + ('T. S2 microarray results'!E:E=B18) + ('T. S2 microarray results'!F:F=B18) + ('T. S2 microarray results'!G:G=B18) + ('T. S2 microarray results'!H:H=B18) &gt; 0, 0))</f>
        <v>-1.6222279999999999E-2</v>
      </c>
      <c r="G18" cm="1">
        <f t="array" ref="G18">INDEX('T. S2 microarray results'!K:K, MATCH(TRUE, ('T. S2 microarray results'!B:B=B18) + ('T. S2 microarray results'!C:C=B18) + ('T. S2 microarray results'!D:D=B18) + ('T. S2 microarray results'!E:E=B18) + ('T. S2 microarray results'!F:F=B18) + ('T. S2 microarray results'!G:G=B18) + ('T. S2 microarray results'!H:H=B18) &gt; 0, 0))</f>
        <v>-0.62968259999999998</v>
      </c>
      <c r="H18" cm="1">
        <f t="array" ref="H18">INDEX('T. S2 microarray results'!L:L, MATCH(TRUE, ('T. S2 microarray results'!B:B=B18) + ('T. S2 microarray results'!C:C=B18) + ('T. S2 microarray results'!D:D=B18) + ('T. S2 microarray results'!E:E=B18) + ('T. S2 microarray results'!F:F=B18) + ('T. S2 microarray results'!G:G=B18) + ('T. S2 microarray results'!H:H=B18) &gt; 0, 0))</f>
        <v>0.2289929</v>
      </c>
    </row>
    <row r="19" spans="1:8" x14ac:dyDescent="0.25">
      <c r="A19" t="str" cm="1">
        <f t="array" ref="A19">INDEX('T. S2 microarray results'!A:A, MATCH(TRUE, ('T. S2 microarray results'!B:B=B19) + ('T. S2 microarray results'!C:C=B19) + ('T. S2 microarray results'!D:D=B19) + ('T. S2 microarray results'!E:E=B19) + ('T. S2 microarray results'!F:F=B19) + ('T. S2 microarray results'!G:G=B19) + ('T. S2 microarray results'!H:H=B19) &gt; 0, 0))</f>
        <v>YOR189W</v>
      </c>
      <c r="B19" t="s">
        <v>2401</v>
      </c>
      <c r="C19" s="4" t="s">
        <v>14301</v>
      </c>
      <c r="D19" s="4" t="str">
        <f t="shared" si="0"/>
        <v>YOR189W/IES4</v>
      </c>
      <c r="E19" s="4">
        <f t="shared" si="1"/>
        <v>0</v>
      </c>
      <c r="F19" cm="1">
        <f t="array" ref="F19">INDEX('T. S2 microarray results'!J:J, MATCH(TRUE, ('T. S2 microarray results'!B:B=B19) + ('T. S2 microarray results'!C:C=B19) + ('T. S2 microarray results'!D:D=B19) + ('T. S2 microarray results'!E:E=B19) + ('T. S2 microarray results'!F:F=B19) + ('T. S2 microarray results'!G:G=B19) + ('T. S2 microarray results'!H:H=B19) &gt; 0, 0))</f>
        <v>-0.20883209999999999</v>
      </c>
      <c r="G19" cm="1">
        <f t="array" ref="G19">INDEX('T. S2 microarray results'!K:K, MATCH(TRUE, ('T. S2 microarray results'!B:B=B19) + ('T. S2 microarray results'!C:C=B19) + ('T. S2 microarray results'!D:D=B19) + ('T. S2 microarray results'!E:E=B19) + ('T. S2 microarray results'!F:F=B19) + ('T. S2 microarray results'!G:G=B19) + ('T. S2 microarray results'!H:H=B19) &gt; 0, 0))</f>
        <v>-0.794377</v>
      </c>
      <c r="H19" cm="1">
        <f t="array" ref="H19">INDEX('T. S2 microarray results'!L:L, MATCH(TRUE, ('T. S2 microarray results'!B:B=B19) + ('T. S2 microarray results'!C:C=B19) + ('T. S2 microarray results'!D:D=B19) + ('T. S2 microarray results'!E:E=B19) + ('T. S2 microarray results'!F:F=B19) + ('T. S2 microarray results'!G:G=B19) + ('T. S2 microarray results'!H:H=B19) &gt; 0, 0))</f>
        <v>-1.1066390000000001E-2</v>
      </c>
    </row>
    <row r="20" spans="1:8" x14ac:dyDescent="0.25">
      <c r="A20" t="str" cm="1">
        <f t="array" ref="A20">INDEX('T. S2 microarray results'!A:A, MATCH(TRUE, ('T. S2 microarray results'!B:B=B20) + ('T. S2 microarray results'!C:C=B20) + ('T. S2 microarray results'!D:D=B20) + ('T. S2 microarray results'!E:E=B20) + ('T. S2 microarray results'!F:F=B20) + ('T. S2 microarray results'!G:G=B20) + ('T. S2 microarray results'!H:H=B20) &gt; 0, 0))</f>
        <v>YOR231W</v>
      </c>
      <c r="B20" t="s">
        <v>869</v>
      </c>
      <c r="C20" s="4" t="s">
        <v>14301</v>
      </c>
      <c r="D20" s="4" t="str">
        <f t="shared" si="0"/>
        <v>YOR231W/MKK1</v>
      </c>
      <c r="E20" s="4">
        <f t="shared" si="1"/>
        <v>0</v>
      </c>
      <c r="F20" cm="1">
        <f t="array" ref="F20">INDEX('T. S2 microarray results'!J:J, MATCH(TRUE, ('T. S2 microarray results'!B:B=B20) + ('T. S2 microarray results'!C:C=B20) + ('T. S2 microarray results'!D:D=B20) + ('T. S2 microarray results'!E:E=B20) + ('T. S2 microarray results'!F:F=B20) + ('T. S2 microarray results'!G:G=B20) + ('T. S2 microarray results'!H:H=B20) &gt; 0, 0))</f>
        <v>-0.26549990000000001</v>
      </c>
      <c r="G20" cm="1">
        <f t="array" ref="G20">INDEX('T. S2 microarray results'!K:K, MATCH(TRUE, ('T. S2 microarray results'!B:B=B20) + ('T. S2 microarray results'!C:C=B20) + ('T. S2 microarray results'!D:D=B20) + ('T. S2 microarray results'!E:E=B20) + ('T. S2 microarray results'!F:F=B20) + ('T. S2 microarray results'!G:G=B20) + ('T. S2 microarray results'!H:H=B20) &gt; 0, 0))</f>
        <v>-0.47146900000000003</v>
      </c>
      <c r="H20" cm="1">
        <f t="array" ref="H20">INDEX('T. S2 microarray results'!L:L, MATCH(TRUE, ('T. S2 microarray results'!B:B=B20) + ('T. S2 microarray results'!C:C=B20) + ('T. S2 microarray results'!D:D=B20) + ('T. S2 microarray results'!E:E=B20) + ('T. S2 microarray results'!F:F=B20) + ('T. S2 microarray results'!G:G=B20) + ('T. S2 microarray results'!H:H=B20) &gt; 0, 0))</f>
        <v>-0.43566290000000002</v>
      </c>
    </row>
    <row r="21" spans="1:8" x14ac:dyDescent="0.25">
      <c r="A21" t="str" cm="1">
        <f t="array" ref="A21">INDEX('T. S2 microarray results'!A:A, MATCH(TRUE, ('T. S2 microarray results'!B:B=B21) + ('T. S2 microarray results'!C:C=B21) + ('T. S2 microarray results'!D:D=B21) + ('T. S2 microarray results'!E:E=B21) + ('T. S2 microarray results'!F:F=B21) + ('T. S2 microarray results'!G:G=B21) + ('T. S2 microarray results'!H:H=B21) &gt; 0, 0))</f>
        <v>YGL070C</v>
      </c>
      <c r="B21" t="s">
        <v>9025</v>
      </c>
      <c r="C21" s="4" t="s">
        <v>14301</v>
      </c>
      <c r="D21" s="4" t="str">
        <f t="shared" si="0"/>
        <v>YGL070C/RPB9</v>
      </c>
      <c r="E21" s="4">
        <f t="shared" si="1"/>
        <v>0</v>
      </c>
      <c r="F21" cm="1">
        <f t="array" ref="F21">INDEX('T. S2 microarray results'!J:J, MATCH(TRUE, ('T. S2 microarray results'!B:B=B21) + ('T. S2 microarray results'!C:C=B21) + ('T. S2 microarray results'!D:D=B21) + ('T. S2 microarray results'!E:E=B21) + ('T. S2 microarray results'!F:F=B21) + ('T. S2 microarray results'!G:G=B21) + ('T. S2 microarray results'!H:H=B21) &gt; 0, 0))</f>
        <v>-0.43038310000000002</v>
      </c>
      <c r="G21" cm="1">
        <f t="array" ref="G21">INDEX('T. S2 microarray results'!K:K, MATCH(TRUE, ('T. S2 microarray results'!B:B=B21) + ('T. S2 microarray results'!C:C=B21) + ('T. S2 microarray results'!D:D=B21) + ('T. S2 microarray results'!E:E=B21) + ('T. S2 microarray results'!F:F=B21) + ('T. S2 microarray results'!G:G=B21) + ('T. S2 microarray results'!H:H=B21) &gt; 0, 0))</f>
        <v>-0.73069550000000005</v>
      </c>
      <c r="H21" cm="1">
        <f t="array" ref="H21">INDEX('T. S2 microarray results'!L:L, MATCH(TRUE, ('T. S2 microarray results'!B:B=B21) + ('T. S2 microarray results'!C:C=B21) + ('T. S2 microarray results'!D:D=B21) + ('T. S2 microarray results'!E:E=B21) + ('T. S2 microarray results'!F:F=B21) + ('T. S2 microarray results'!G:G=B21) + ('T. S2 microarray results'!H:H=B21) &gt; 0, 0))</f>
        <v>-0.6423162</v>
      </c>
    </row>
    <row r="22" spans="1:8" x14ac:dyDescent="0.25">
      <c r="A22" t="str" cm="1">
        <f t="array" ref="A22">INDEX('T. S2 microarray results'!A:A, MATCH(TRUE, ('T. S2 microarray results'!B:B=B22) + ('T. S2 microarray results'!C:C=B22) + ('T. S2 microarray results'!D:D=B22) + ('T. S2 microarray results'!E:E=B22) + ('T. S2 microarray results'!F:F=B22) + ('T. S2 microarray results'!G:G=B22) + ('T. S2 microarray results'!H:H=B22) &gt; 0, 0))</f>
        <v>YNL270C</v>
      </c>
      <c r="B22" t="s">
        <v>2255</v>
      </c>
      <c r="C22" s="4" t="s">
        <v>14301</v>
      </c>
      <c r="D22" s="4" t="str">
        <f t="shared" si="0"/>
        <v>YNL270C/ALP1</v>
      </c>
      <c r="E22" s="4">
        <f t="shared" si="1"/>
        <v>0</v>
      </c>
      <c r="F22" cm="1">
        <f t="array" ref="F22">INDEX('T. S2 microarray results'!J:J, MATCH(TRUE, ('T. S2 microarray results'!B:B=B22) + ('T. S2 microarray results'!C:C=B22) + ('T. S2 microarray results'!D:D=B22) + ('T. S2 microarray results'!E:E=B22) + ('T. S2 microarray results'!F:F=B22) + ('T. S2 microarray results'!G:G=B22) + ('T. S2 microarray results'!H:H=B22) &gt; 0, 0))</f>
        <v>0.53047500000000003</v>
      </c>
      <c r="G22" cm="1">
        <f t="array" ref="G22">INDEX('T. S2 microarray results'!K:K, MATCH(TRUE, ('T. S2 microarray results'!B:B=B22) + ('T. S2 microarray results'!C:C=B22) + ('T. S2 microarray results'!D:D=B22) + ('T. S2 microarray results'!E:E=B22) + ('T. S2 microarray results'!F:F=B22) + ('T. S2 microarray results'!G:G=B22) + ('T. S2 microarray results'!H:H=B22) &gt; 0, 0))</f>
        <v>-8.4175749999999994E-2</v>
      </c>
      <c r="H22" cm="1">
        <f t="array" ref="H22">INDEX('T. S2 microarray results'!L:L, MATCH(TRUE, ('T. S2 microarray results'!B:B=B22) + ('T. S2 microarray results'!C:C=B22) + ('T. S2 microarray results'!D:D=B22) + ('T. S2 microarray results'!E:E=B22) + ('T. S2 microarray results'!F:F=B22) + ('T. S2 microarray results'!G:G=B22) + ('T. S2 microarray results'!H:H=B22) &gt; 0, 0))</f>
        <v>0.36385650000000003</v>
      </c>
    </row>
    <row r="23" spans="1:8" x14ac:dyDescent="0.25">
      <c r="A23" t="str" cm="1">
        <f t="array" ref="A23">INDEX('T. S2 microarray results'!A:A, MATCH(TRUE, ('T. S2 microarray results'!B:B=B23) + ('T. S2 microarray results'!C:C=B23) + ('T. S2 microarray results'!D:D=B23) + ('T. S2 microarray results'!E:E=B23) + ('T. S2 microarray results'!F:F=B23) + ('T. S2 microarray results'!G:G=B23) + ('T. S2 microarray results'!H:H=B23) &gt; 0, 0))</f>
        <v>YOR295W</v>
      </c>
      <c r="B23" t="s">
        <v>1137</v>
      </c>
      <c r="C23" s="4" t="s">
        <v>14301</v>
      </c>
      <c r="D23" s="4" t="str">
        <f t="shared" si="0"/>
        <v>YOR295W/UAF30</v>
      </c>
      <c r="E23" s="4">
        <f t="shared" si="1"/>
        <v>0</v>
      </c>
      <c r="F23" cm="1">
        <f t="array" ref="F23">INDEX('T. S2 microarray results'!J:J, MATCH(TRUE, ('T. S2 microarray results'!B:B=B23) + ('T. S2 microarray results'!C:C=B23) + ('T. S2 microarray results'!D:D=B23) + ('T. S2 microarray results'!E:E=B23) + ('T. S2 microarray results'!F:F=B23) + ('T. S2 microarray results'!G:G=B23) + ('T. S2 microarray results'!H:H=B23) &gt; 0, 0))</f>
        <v>-1.304165E-2</v>
      </c>
      <c r="G23" cm="1">
        <f t="array" ref="G23">INDEX('T. S2 microarray results'!K:K, MATCH(TRUE, ('T. S2 microarray results'!B:B=B23) + ('T. S2 microarray results'!C:C=B23) + ('T. S2 microarray results'!D:D=B23) + ('T. S2 microarray results'!E:E=B23) + ('T. S2 microarray results'!F:F=B23) + ('T. S2 microarray results'!G:G=B23) + ('T. S2 microarray results'!H:H=B23) &gt; 0, 0))</f>
        <v>-0.42765180000000003</v>
      </c>
      <c r="H23" cm="1">
        <f t="array" ref="H23">INDEX('T. S2 microarray results'!L:L, MATCH(TRUE, ('T. S2 microarray results'!B:B=B23) + ('T. S2 microarray results'!C:C=B23) + ('T. S2 microarray results'!D:D=B23) + ('T. S2 microarray results'!E:E=B23) + ('T. S2 microarray results'!F:F=B23) + ('T. S2 microarray results'!G:G=B23) + ('T. S2 microarray results'!H:H=B23) &gt; 0, 0))</f>
        <v>0.21110200000000001</v>
      </c>
    </row>
    <row r="24" spans="1:8" x14ac:dyDescent="0.25">
      <c r="A24" t="str" cm="1">
        <f t="array" ref="A24">INDEX('T. S2 microarray results'!A:A, MATCH(TRUE, ('T. S2 microarray results'!B:B=B24) + ('T. S2 microarray results'!C:C=B24) + ('T. S2 microarray results'!D:D=B24) + ('T. S2 microarray results'!E:E=B24) + ('T. S2 microarray results'!F:F=B24) + ('T. S2 microarray results'!G:G=B24) + ('T. S2 microarray results'!H:H=B24) &gt; 0, 0))</f>
        <v>YNL246W</v>
      </c>
      <c r="B24" t="s">
        <v>1644</v>
      </c>
      <c r="C24" s="4" t="s">
        <v>14301</v>
      </c>
      <c r="D24" s="4" t="str">
        <f t="shared" si="0"/>
        <v>YNL246W/VPS75</v>
      </c>
      <c r="E24" s="4">
        <f t="shared" si="1"/>
        <v>0</v>
      </c>
      <c r="F24" cm="1">
        <f t="array" ref="F24">INDEX('T. S2 microarray results'!J:J, MATCH(TRUE, ('T. S2 microarray results'!B:B=B24) + ('T. S2 microarray results'!C:C=B24) + ('T. S2 microarray results'!D:D=B24) + ('T. S2 microarray results'!E:E=B24) + ('T. S2 microarray results'!F:F=B24) + ('T. S2 microarray results'!G:G=B24) + ('T. S2 microarray results'!H:H=B24) &gt; 0, 0))</f>
        <v>0.1037399</v>
      </c>
      <c r="G24" cm="1">
        <f t="array" ref="G24">INDEX('T. S2 microarray results'!K:K, MATCH(TRUE, ('T. S2 microarray results'!B:B=B24) + ('T. S2 microarray results'!C:C=B24) + ('T. S2 microarray results'!D:D=B24) + ('T. S2 microarray results'!E:E=B24) + ('T. S2 microarray results'!F:F=B24) + ('T. S2 microarray results'!G:G=B24) + ('T. S2 microarray results'!H:H=B24) &gt; 0, 0))</f>
        <v>0.31485069999999998</v>
      </c>
      <c r="H24" cm="1">
        <f t="array" ref="H24">INDEX('T. S2 microarray results'!L:L, MATCH(TRUE, ('T. S2 microarray results'!B:B=B24) + ('T. S2 microarray results'!C:C=B24) + ('T. S2 microarray results'!D:D=B24) + ('T. S2 microarray results'!E:E=B24) + ('T. S2 microarray results'!F:F=B24) + ('T. S2 microarray results'!G:G=B24) + ('T. S2 microarray results'!H:H=B24) &gt; 0, 0))</f>
        <v>0.36770510000000001</v>
      </c>
    </row>
    <row r="25" spans="1:8" x14ac:dyDescent="0.25">
      <c r="A25" t="str" cm="1">
        <f t="array" ref="A25">INDEX('T. S2 microarray results'!A:A, MATCH(TRUE, ('T. S2 microarray results'!B:B=B25) + ('T. S2 microarray results'!C:C=B25) + ('T. S2 microarray results'!D:D=B25) + ('T. S2 microarray results'!E:E=B25) + ('T. S2 microarray results'!F:F=B25) + ('T. S2 microarray results'!G:G=B25) + ('T. S2 microarray results'!H:H=B25) &gt; 0, 0))</f>
        <v>YLR417W</v>
      </c>
      <c r="B25" t="s">
        <v>4096</v>
      </c>
      <c r="C25" s="4" t="s">
        <v>14301</v>
      </c>
      <c r="D25" s="4" t="str">
        <f t="shared" si="0"/>
        <v>YLR417W/VPS36</v>
      </c>
      <c r="E25" s="4">
        <f t="shared" si="1"/>
        <v>0</v>
      </c>
      <c r="F25" cm="1">
        <f t="array" ref="F25">INDEX('T. S2 microarray results'!J:J, MATCH(TRUE, ('T. S2 microarray results'!B:B=B25) + ('T. S2 microarray results'!C:C=B25) + ('T. S2 microarray results'!D:D=B25) + ('T. S2 microarray results'!E:E=B25) + ('T. S2 microarray results'!F:F=B25) + ('T. S2 microarray results'!G:G=B25) + ('T. S2 microarray results'!H:H=B25) &gt; 0, 0))</f>
        <v>-0.45209749999999999</v>
      </c>
      <c r="G25" cm="1">
        <f t="array" ref="G25">INDEX('T. S2 microarray results'!K:K, MATCH(TRUE, ('T. S2 microarray results'!B:B=B25) + ('T. S2 microarray results'!C:C=B25) + ('T. S2 microarray results'!D:D=B25) + ('T. S2 microarray results'!E:E=B25) + ('T. S2 microarray results'!F:F=B25) + ('T. S2 microarray results'!G:G=B25) + ('T. S2 microarray results'!H:H=B25) &gt; 0, 0))</f>
        <v>-0.81651359999999995</v>
      </c>
      <c r="H25" cm="1">
        <f t="array" ref="H25">INDEX('T. S2 microarray results'!L:L, MATCH(TRUE, ('T. S2 microarray results'!B:B=B25) + ('T. S2 microarray results'!C:C=B25) + ('T. S2 microarray results'!D:D=B25) + ('T. S2 microarray results'!E:E=B25) + ('T. S2 microarray results'!F:F=B25) + ('T. S2 microarray results'!G:G=B25) + ('T. S2 microarray results'!H:H=B25) &gt; 0, 0))</f>
        <v>-0.6596824</v>
      </c>
    </row>
    <row r="26" spans="1:8" x14ac:dyDescent="0.25">
      <c r="A26" t="str" cm="1">
        <f t="array" ref="A26">INDEX('T. S2 microarray results'!A:A, MATCH(TRUE, ('T. S2 microarray results'!B:B=B26) + ('T. S2 microarray results'!C:C=B26) + ('T. S2 microarray results'!D:D=B26) + ('T. S2 microarray results'!E:E=B26) + ('T. S2 microarray results'!F:F=B26) + ('T. S2 microarray results'!G:G=B26) + ('T. S2 microarray results'!H:H=B26) &gt; 0, 0))</f>
        <v>YMR161W</v>
      </c>
      <c r="B26" t="s">
        <v>3267</v>
      </c>
      <c r="C26" s="4" t="s">
        <v>14301</v>
      </c>
      <c r="D26" s="4" t="str">
        <f t="shared" si="0"/>
        <v>YMR161W/HLJ1</v>
      </c>
      <c r="E26" s="4">
        <f t="shared" si="1"/>
        <v>0</v>
      </c>
      <c r="F26" cm="1">
        <f t="array" ref="F26">INDEX('T. S2 microarray results'!J:J, MATCH(TRUE, ('T. S2 microarray results'!B:B=B26) + ('T. S2 microarray results'!C:C=B26) + ('T. S2 microarray results'!D:D=B26) + ('T. S2 microarray results'!E:E=B26) + ('T. S2 microarray results'!F:F=B26) + ('T. S2 microarray results'!G:G=B26) + ('T. S2 microarray results'!H:H=B26) &gt; 0, 0))</f>
        <v>0.36793940000000003</v>
      </c>
      <c r="G26" cm="1">
        <f t="array" ref="G26">INDEX('T. S2 microarray results'!K:K, MATCH(TRUE, ('T. S2 microarray results'!B:B=B26) + ('T. S2 microarray results'!C:C=B26) + ('T. S2 microarray results'!D:D=B26) + ('T. S2 microarray results'!E:E=B26) + ('T. S2 microarray results'!F:F=B26) + ('T. S2 microarray results'!G:G=B26) + ('T. S2 microarray results'!H:H=B26) &gt; 0, 0))</f>
        <v>-3.3438089999999997E-2</v>
      </c>
      <c r="H26" cm="1">
        <f t="array" ref="H26">INDEX('T. S2 microarray results'!L:L, MATCH(TRUE, ('T. S2 microarray results'!B:B=B26) + ('T. S2 microarray results'!C:C=B26) + ('T. S2 microarray results'!D:D=B26) + ('T. S2 microarray results'!E:E=B26) + ('T. S2 microarray results'!F:F=B26) + ('T. S2 microarray results'!G:G=B26) + ('T. S2 microarray results'!H:H=B26) &gt; 0, 0))</f>
        <v>8.3815689999999998E-2</v>
      </c>
    </row>
    <row r="27" spans="1:8" x14ac:dyDescent="0.25">
      <c r="A27" t="str" cm="1">
        <f t="array" ref="A27">INDEX('T. S2 microarray results'!A:A, MATCH(TRUE, ('T. S2 microarray results'!B:B=B27) + ('T. S2 microarray results'!C:C=B27) + ('T. S2 microarray results'!D:D=B27) + ('T. S2 microarray results'!E:E=B27) + ('T. S2 microarray results'!F:F=B27) + ('T. S2 microarray results'!G:G=B27) + ('T. S2 microarray results'!H:H=B27) &gt; 0, 0))</f>
        <v>YNL215W</v>
      </c>
      <c r="B27" t="s">
        <v>3426</v>
      </c>
      <c r="C27" s="4" t="s">
        <v>14301</v>
      </c>
      <c r="D27" s="4" t="str">
        <f t="shared" si="0"/>
        <v>YNL215W/IES2</v>
      </c>
      <c r="E27" s="4">
        <f t="shared" si="1"/>
        <v>0</v>
      </c>
      <c r="F27" cm="1">
        <f t="array" ref="F27">INDEX('T. S2 microarray results'!J:J, MATCH(TRUE, ('T. S2 microarray results'!B:B=B27) + ('T. S2 microarray results'!C:C=B27) + ('T. S2 microarray results'!D:D=B27) + ('T. S2 microarray results'!E:E=B27) + ('T. S2 microarray results'!F:F=B27) + ('T. S2 microarray results'!G:G=B27) + ('T. S2 microarray results'!H:H=B27) &gt; 0, 0))</f>
        <v>-0.52046289999999995</v>
      </c>
      <c r="G27" cm="1">
        <f t="array" ref="G27">INDEX('T. S2 microarray results'!K:K, MATCH(TRUE, ('T. S2 microarray results'!B:B=B27) + ('T. S2 microarray results'!C:C=B27) + ('T. S2 microarray results'!D:D=B27) + ('T. S2 microarray results'!E:E=B27) + ('T. S2 microarray results'!F:F=B27) + ('T. S2 microarray results'!G:G=B27) + ('T. S2 microarray results'!H:H=B27) &gt; 0, 0))</f>
        <v>-1.014327</v>
      </c>
      <c r="H27" cm="1">
        <f t="array" ref="H27">INDEX('T. S2 microarray results'!L:L, MATCH(TRUE, ('T. S2 microarray results'!B:B=B27) + ('T. S2 microarray results'!C:C=B27) + ('T. S2 microarray results'!D:D=B27) + ('T. S2 microarray results'!E:E=B27) + ('T. S2 microarray results'!F:F=B27) + ('T. S2 microarray results'!G:G=B27) + ('T. S2 microarray results'!H:H=B27) &gt; 0, 0))</f>
        <v>4.4722999999999999E-2</v>
      </c>
    </row>
    <row r="28" spans="1:8" x14ac:dyDescent="0.25">
      <c r="A28" t="str" cm="1">
        <f t="array" ref="A28">INDEX('T. S2 microarray results'!A:A, MATCH(TRUE, ('T. S2 microarray results'!B:B=B28) + ('T. S2 microarray results'!C:C=B28) + ('T. S2 microarray results'!D:D=B28) + ('T. S2 microarray results'!E:E=B28) + ('T. S2 microarray results'!F:F=B28) + ('T. S2 microarray results'!G:G=B28) + ('T. S2 microarray results'!H:H=B28) &gt; 0, 0))</f>
        <v>YOR014W</v>
      </c>
      <c r="B28" t="s">
        <v>1936</v>
      </c>
      <c r="C28" s="4" t="s">
        <v>14301</v>
      </c>
      <c r="D28" s="4" t="str">
        <f t="shared" si="0"/>
        <v>YOR014W/RTS1</v>
      </c>
      <c r="E28" s="4">
        <f t="shared" si="1"/>
        <v>0</v>
      </c>
      <c r="F28" cm="1">
        <f t="array" ref="F28">INDEX('T. S2 microarray results'!J:J, MATCH(TRUE, ('T. S2 microarray results'!B:B=B28) + ('T. S2 microarray results'!C:C=B28) + ('T. S2 microarray results'!D:D=B28) + ('T. S2 microarray results'!E:E=B28) + ('T. S2 microarray results'!F:F=B28) + ('T. S2 microarray results'!G:G=B28) + ('T. S2 microarray results'!H:H=B28) &gt; 0, 0))</f>
        <v>-0.11912780000000001</v>
      </c>
      <c r="G28" cm="1">
        <f t="array" ref="G28">INDEX('T. S2 microarray results'!K:K, MATCH(TRUE, ('T. S2 microarray results'!B:B=B28) + ('T. S2 microarray results'!C:C=B28) + ('T. S2 microarray results'!D:D=B28) + ('T. S2 microarray results'!E:E=B28) + ('T. S2 microarray results'!F:F=B28) + ('T. S2 microarray results'!G:G=B28) + ('T. S2 microarray results'!H:H=B28) &gt; 0, 0))</f>
        <v>-0.54965759999999997</v>
      </c>
      <c r="H28" cm="1">
        <f t="array" ref="H28">INDEX('T. S2 microarray results'!L:L, MATCH(TRUE, ('T. S2 microarray results'!B:B=B28) + ('T. S2 microarray results'!C:C=B28) + ('T. S2 microarray results'!D:D=B28) + ('T. S2 microarray results'!E:E=B28) + ('T. S2 microarray results'!F:F=B28) + ('T. S2 microarray results'!G:G=B28) + ('T. S2 microarray results'!H:H=B28) &gt; 0, 0))</f>
        <v>-0.4048755</v>
      </c>
    </row>
    <row r="29" spans="1:8" x14ac:dyDescent="0.25">
      <c r="A29" t="str" cm="1">
        <f t="array" ref="A29">INDEX('T. S2 microarray results'!A:A, MATCH(TRUE, ('T. S2 microarray results'!B:B=B29) + ('T. S2 microarray results'!C:C=B29) + ('T. S2 microarray results'!D:D=B29) + ('T. S2 microarray results'!E:E=B29) + ('T. S2 microarray results'!F:F=B29) + ('T. S2 microarray results'!G:G=B29) + ('T. S2 microarray results'!H:H=B29) &gt; 0, 0))</f>
        <v>YGL195W</v>
      </c>
      <c r="B29" t="s">
        <v>9763</v>
      </c>
      <c r="C29" s="4" t="s">
        <v>14301</v>
      </c>
      <c r="D29" s="4" t="str">
        <f t="shared" si="0"/>
        <v>YGL195W/GCN1</v>
      </c>
      <c r="E29" s="4">
        <f t="shared" si="1"/>
        <v>0</v>
      </c>
      <c r="F29" cm="1">
        <f t="array" ref="F29">INDEX('T. S2 microarray results'!J:J, MATCH(TRUE, ('T. S2 microarray results'!B:B=B29) + ('T. S2 microarray results'!C:C=B29) + ('T. S2 microarray results'!D:D=B29) + ('T. S2 microarray results'!E:E=B29) + ('T. S2 microarray results'!F:F=B29) + ('T. S2 microarray results'!G:G=B29) + ('T. S2 microarray results'!H:H=B29) &gt; 0, 0))</f>
        <v>0.57725170000000003</v>
      </c>
      <c r="G29" cm="1">
        <f t="array" ref="G29">INDEX('T. S2 microarray results'!K:K, MATCH(TRUE, ('T. S2 microarray results'!B:B=B29) + ('T. S2 microarray results'!C:C=B29) + ('T. S2 microarray results'!D:D=B29) + ('T. S2 microarray results'!E:E=B29) + ('T. S2 microarray results'!F:F=B29) + ('T. S2 microarray results'!G:G=B29) + ('T. S2 microarray results'!H:H=B29) &gt; 0, 0))</f>
        <v>0.37878719999999999</v>
      </c>
      <c r="H29" cm="1">
        <f t="array" ref="H29">INDEX('T. S2 microarray results'!L:L, MATCH(TRUE, ('T. S2 microarray results'!B:B=B29) + ('T. S2 microarray results'!C:C=B29) + ('T. S2 microarray results'!D:D=B29) + ('T. S2 microarray results'!E:E=B29) + ('T. S2 microarray results'!F:F=B29) + ('T. S2 microarray results'!G:G=B29) + ('T. S2 microarray results'!H:H=B29) &gt; 0, 0))</f>
        <v>0.6315212</v>
      </c>
    </row>
    <row r="30" spans="1:8" x14ac:dyDescent="0.25">
      <c r="A30" t="str" cm="1">
        <f t="array" ref="A30">INDEX('T. S2 microarray results'!A:A, MATCH(TRUE, ('T. S2 microarray results'!B:B=B30) + ('T. S2 microarray results'!C:C=B30) + ('T. S2 microarray results'!D:D=B30) + ('T. S2 microarray results'!E:E=B30) + ('T. S2 microarray results'!F:F=B30) + ('T. S2 microarray results'!G:G=B30) + ('T. S2 microarray results'!H:H=B30) &gt; 0, 0))</f>
        <v>YMR162C</v>
      </c>
      <c r="B30" t="s">
        <v>3264</v>
      </c>
      <c r="C30" s="4" t="s">
        <v>14301</v>
      </c>
      <c r="D30" s="4" t="str">
        <f t="shared" si="0"/>
        <v>YMR162C/DNF3</v>
      </c>
      <c r="E30" s="4">
        <f t="shared" si="1"/>
        <v>0</v>
      </c>
      <c r="F30" cm="1">
        <f t="array" ref="F30">INDEX('T. S2 microarray results'!J:J, MATCH(TRUE, ('T. S2 microarray results'!B:B=B30) + ('T. S2 microarray results'!C:C=B30) + ('T. S2 microarray results'!D:D=B30) + ('T. S2 microarray results'!E:E=B30) + ('T. S2 microarray results'!F:F=B30) + ('T. S2 microarray results'!G:G=B30) + ('T. S2 microarray results'!H:H=B30) &gt; 0, 0))</f>
        <v>0.16305330000000001</v>
      </c>
      <c r="G30" cm="1">
        <f t="array" ref="G30">INDEX('T. S2 microarray results'!K:K, MATCH(TRUE, ('T. S2 microarray results'!B:B=B30) + ('T. S2 microarray results'!C:C=B30) + ('T. S2 microarray results'!D:D=B30) + ('T. S2 microarray results'!E:E=B30) + ('T. S2 microarray results'!F:F=B30) + ('T. S2 microarray results'!G:G=B30) + ('T. S2 microarray results'!H:H=B30) &gt; 0, 0))</f>
        <v>-0.46664830000000002</v>
      </c>
      <c r="H30" cm="1">
        <f t="array" ref="H30">INDEX('T. S2 microarray results'!L:L, MATCH(TRUE, ('T. S2 microarray results'!B:B=B30) + ('T. S2 microarray results'!C:C=B30) + ('T. S2 microarray results'!D:D=B30) + ('T. S2 microarray results'!E:E=B30) + ('T. S2 microarray results'!F:F=B30) + ('T. S2 microarray results'!G:G=B30) + ('T. S2 microarray results'!H:H=B30) &gt; 0, 0))</f>
        <v>-4.2124250000000002E-2</v>
      </c>
    </row>
    <row r="31" spans="1:8" x14ac:dyDescent="0.25">
      <c r="A31" t="str" cm="1">
        <f t="array" ref="A31">INDEX('T. S2 microarray results'!A:A, MATCH(TRUE, ('T. S2 microarray results'!B:B=B31) + ('T. S2 microarray results'!C:C=B31) + ('T. S2 microarray results'!D:D=B31) + ('T. S2 microarray results'!E:E=B31) + ('T. S2 microarray results'!F:F=B31) + ('T. S2 microarray results'!G:G=B31) + ('T. S2 microarray results'!H:H=B31) &gt; 0, 0))</f>
        <v>YKR020W</v>
      </c>
      <c r="B31" t="s">
        <v>6442</v>
      </c>
      <c r="C31" s="4" t="s">
        <v>14301</v>
      </c>
      <c r="D31" s="4" t="str">
        <f t="shared" si="0"/>
        <v>YKR020W/VPS51</v>
      </c>
      <c r="E31" s="4">
        <f t="shared" si="1"/>
        <v>0</v>
      </c>
      <c r="F31" cm="1">
        <f t="array" ref="F31">INDEX('T. S2 microarray results'!J:J, MATCH(TRUE, ('T. S2 microarray results'!B:B=B31) + ('T. S2 microarray results'!C:C=B31) + ('T. S2 microarray results'!D:D=B31) + ('T. S2 microarray results'!E:E=B31) + ('T. S2 microarray results'!F:F=B31) + ('T. S2 microarray results'!G:G=B31) + ('T. S2 microarray results'!H:H=B31) &gt; 0, 0))</f>
        <v>-0.1236235</v>
      </c>
      <c r="G31" cm="1">
        <f t="array" ref="G31">INDEX('T. S2 microarray results'!K:K, MATCH(TRUE, ('T. S2 microarray results'!B:B=B31) + ('T. S2 microarray results'!C:C=B31) + ('T. S2 microarray results'!D:D=B31) + ('T. S2 microarray results'!E:E=B31) + ('T. S2 microarray results'!F:F=B31) + ('T. S2 microarray results'!G:G=B31) + ('T. S2 microarray results'!H:H=B31) &gt; 0, 0))</f>
        <v>-0.61692480000000005</v>
      </c>
      <c r="H31" cm="1">
        <f t="array" ref="H31">INDEX('T. S2 microarray results'!L:L, MATCH(TRUE, ('T. S2 microarray results'!B:B=B31) + ('T. S2 microarray results'!C:C=B31) + ('T. S2 microarray results'!D:D=B31) + ('T. S2 microarray results'!E:E=B31) + ('T. S2 microarray results'!F:F=B31) + ('T. S2 microarray results'!G:G=B31) + ('T. S2 microarray results'!H:H=B31) &gt; 0, 0))</f>
        <v>-7.161323E-2</v>
      </c>
    </row>
    <row r="32" spans="1:8" x14ac:dyDescent="0.25">
      <c r="A32" t="str" cm="1">
        <f t="array" ref="A32">INDEX('T. S2 microarray results'!A:A, MATCH(TRUE, ('T. S2 microarray results'!B:B=B32) + ('T. S2 microarray results'!C:C=B32) + ('T. S2 microarray results'!D:D=B32) + ('T. S2 microarray results'!E:E=B32) + ('T. S2 microarray results'!F:F=B32) + ('T. S2 microarray results'!G:G=B32) + ('T. S2 microarray results'!H:H=B32) &gt; 0, 0))</f>
        <v>YFR040W</v>
      </c>
      <c r="B32" t="s">
        <v>10233</v>
      </c>
      <c r="C32" s="4" t="s">
        <v>14301</v>
      </c>
      <c r="D32" s="4" t="str">
        <f t="shared" si="0"/>
        <v>YFR040W/SAP155</v>
      </c>
      <c r="E32" s="4">
        <f t="shared" si="1"/>
        <v>0</v>
      </c>
      <c r="F32" cm="1">
        <f t="array" ref="F32">INDEX('T. S2 microarray results'!J:J, MATCH(TRUE, ('T. S2 microarray results'!B:B=B32) + ('T. S2 microarray results'!C:C=B32) + ('T. S2 microarray results'!D:D=B32) + ('T. S2 microarray results'!E:E=B32) + ('T. S2 microarray results'!F:F=B32) + ('T. S2 microarray results'!G:G=B32) + ('T. S2 microarray results'!H:H=B32) &gt; 0, 0))</f>
        <v>-0.72510759999999996</v>
      </c>
      <c r="G32" cm="1">
        <f t="array" ref="G32">INDEX('T. S2 microarray results'!K:K, MATCH(TRUE, ('T. S2 microarray results'!B:B=B32) + ('T. S2 microarray results'!C:C=B32) + ('T. S2 microarray results'!D:D=B32) + ('T. S2 microarray results'!E:E=B32) + ('T. S2 microarray results'!F:F=B32) + ('T. S2 microarray results'!G:G=B32) + ('T. S2 microarray results'!H:H=B32) &gt; 0, 0))</f>
        <v>-1.135802</v>
      </c>
      <c r="H32" cm="1">
        <f t="array" ref="H32">INDEX('T. S2 microarray results'!L:L, MATCH(TRUE, ('T. S2 microarray results'!B:B=B32) + ('T. S2 microarray results'!C:C=B32) + ('T. S2 microarray results'!D:D=B32) + ('T. S2 microarray results'!E:E=B32) + ('T. S2 microarray results'!F:F=B32) + ('T. S2 microarray results'!G:G=B32) + ('T. S2 microarray results'!H:H=B32) &gt; 0, 0))</f>
        <v>-0.76682410000000001</v>
      </c>
    </row>
    <row r="33" spans="1:8" x14ac:dyDescent="0.25">
      <c r="A33" t="str" cm="1">
        <f t="array" ref="A33">INDEX('T. S2 microarray results'!A:A, MATCH(TRUE, ('T. S2 microarray results'!B:B=B33) + ('T. S2 microarray results'!C:C=B33) + ('T. S2 microarray results'!D:D=B33) + ('T. S2 microarray results'!E:E=B33) + ('T. S2 microarray results'!F:F=B33) + ('T. S2 microarray results'!G:G=B33) + ('T. S2 microarray results'!H:H=B33) &gt; 0, 0))</f>
        <v>YNL297C</v>
      </c>
      <c r="B33" t="s">
        <v>3232</v>
      </c>
      <c r="C33" s="4" t="s">
        <v>14301</v>
      </c>
      <c r="D33" s="4" t="str">
        <f t="shared" si="0"/>
        <v>YNL297C/MON2</v>
      </c>
      <c r="E33" s="4">
        <f t="shared" si="1"/>
        <v>0</v>
      </c>
      <c r="F33" cm="1">
        <f t="array" ref="F33">INDEX('T. S2 microarray results'!J:J, MATCH(TRUE, ('T. S2 microarray results'!B:B=B33) + ('T. S2 microarray results'!C:C=B33) + ('T. S2 microarray results'!D:D=B33) + ('T. S2 microarray results'!E:E=B33) + ('T. S2 microarray results'!F:F=B33) + ('T. S2 microarray results'!G:G=B33) + ('T. S2 microarray results'!H:H=B33) &gt; 0, 0))</f>
        <v>3.683985E-2</v>
      </c>
      <c r="G33" cm="1">
        <f t="array" ref="G33">INDEX('T. S2 microarray results'!K:K, MATCH(TRUE, ('T. S2 microarray results'!B:B=B33) + ('T. S2 microarray results'!C:C=B33) + ('T. S2 microarray results'!D:D=B33) + ('T. S2 microarray results'!E:E=B33) + ('T. S2 microarray results'!F:F=B33) + ('T. S2 microarray results'!G:G=B33) + ('T. S2 microarray results'!H:H=B33) &gt; 0, 0))</f>
        <v>-0.47834480000000001</v>
      </c>
      <c r="H33" cm="1">
        <f t="array" ref="H33">INDEX('T. S2 microarray results'!L:L, MATCH(TRUE, ('T. S2 microarray results'!B:B=B33) + ('T. S2 microarray results'!C:C=B33) + ('T. S2 microarray results'!D:D=B33) + ('T. S2 microarray results'!E:E=B33) + ('T. S2 microarray results'!F:F=B33) + ('T. S2 microarray results'!G:G=B33) + ('T. S2 microarray results'!H:H=B33) &gt; 0, 0))</f>
        <v>-8.6241079999999998E-2</v>
      </c>
    </row>
    <row r="34" spans="1:8" x14ac:dyDescent="0.25">
      <c r="A34" t="str" cm="1">
        <f t="array" ref="A34">INDEX('T. S2 microarray results'!A:A, MATCH(TRUE, ('T. S2 microarray results'!B:B=B34) + ('T. S2 microarray results'!C:C=B34) + ('T. S2 microarray results'!D:D=B34) + ('T. S2 microarray results'!E:E=B34) + ('T. S2 microarray results'!F:F=B34) + ('T. S2 microarray results'!G:G=B34) + ('T. S2 microarray results'!H:H=B34) &gt; 0, 0))</f>
        <v>YPL065W</v>
      </c>
      <c r="B34" t="s">
        <v>907</v>
      </c>
      <c r="C34" s="4" t="s">
        <v>14301</v>
      </c>
      <c r="D34" s="4" t="str">
        <f t="shared" si="0"/>
        <v>YPL065W/VPS28</v>
      </c>
      <c r="E34" s="4">
        <f t="shared" si="1"/>
        <v>0</v>
      </c>
      <c r="F34" cm="1">
        <f t="array" ref="F34">INDEX('T. S2 microarray results'!J:J, MATCH(TRUE, ('T. S2 microarray results'!B:B=B34) + ('T. S2 microarray results'!C:C=B34) + ('T. S2 microarray results'!D:D=B34) + ('T. S2 microarray results'!E:E=B34) + ('T. S2 microarray results'!F:F=B34) + ('T. S2 microarray results'!G:G=B34) + ('T. S2 microarray results'!H:H=B34) &gt; 0, 0))</f>
        <v>-6.3177179999999999E-2</v>
      </c>
      <c r="G34" cm="1">
        <f t="array" ref="G34">INDEX('T. S2 microarray results'!K:K, MATCH(TRUE, ('T. S2 microarray results'!B:B=B34) + ('T. S2 microarray results'!C:C=B34) + ('T. S2 microarray results'!D:D=B34) + ('T. S2 microarray results'!E:E=B34) + ('T. S2 microarray results'!F:F=B34) + ('T. S2 microarray results'!G:G=B34) + ('T. S2 microarray results'!H:H=B34) &gt; 0, 0))</f>
        <v>-0.58597849999999996</v>
      </c>
      <c r="H34" cm="1">
        <f t="array" ref="H34">INDEX('T. S2 microarray results'!L:L, MATCH(TRUE, ('T. S2 microarray results'!B:B=B34) + ('T. S2 microarray results'!C:C=B34) + ('T. S2 microarray results'!D:D=B34) + ('T. S2 microarray results'!E:E=B34) + ('T. S2 microarray results'!F:F=B34) + ('T. S2 microarray results'!G:G=B34) + ('T. S2 microarray results'!H:H=B34) &gt; 0, 0))</f>
        <v>8.4109699999999996E-2</v>
      </c>
    </row>
    <row r="35" spans="1:8" x14ac:dyDescent="0.25">
      <c r="A35" t="str" cm="1">
        <f t="array" ref="A35">INDEX('T. S2 microarray results'!A:A, MATCH(TRUE, ('T. S2 microarray results'!B:B=B35) + ('T. S2 microarray results'!C:C=B35) + ('T. S2 microarray results'!D:D=B35) + ('T. S2 microarray results'!E:E=B35) + ('T. S2 microarray results'!F:F=B35) + ('T. S2 microarray results'!G:G=B35) + ('T. S2 microarray results'!H:H=B35) &gt; 0, 0))</f>
        <v>YPR159W</v>
      </c>
      <c r="B35" t="s">
        <v>450</v>
      </c>
      <c r="C35" s="4" t="s">
        <v>14301</v>
      </c>
      <c r="D35" s="4" t="str">
        <f t="shared" si="0"/>
        <v>YPR159W/KRE6</v>
      </c>
      <c r="E35" s="4">
        <f t="shared" si="1"/>
        <v>0</v>
      </c>
      <c r="F35" cm="1">
        <f t="array" ref="F35">INDEX('T. S2 microarray results'!J:J, MATCH(TRUE, ('T. S2 microarray results'!B:B=B35) + ('T. S2 microarray results'!C:C=B35) + ('T. S2 microarray results'!D:D=B35) + ('T. S2 microarray results'!E:E=B35) + ('T. S2 microarray results'!F:F=B35) + ('T. S2 microarray results'!G:G=B35) + ('T. S2 microarray results'!H:H=B35) &gt; 0, 0))</f>
        <v>-0.1504886</v>
      </c>
      <c r="G35" cm="1">
        <f t="array" ref="G35">INDEX('T. S2 microarray results'!K:K, MATCH(TRUE, ('T. S2 microarray results'!B:B=B35) + ('T. S2 microarray results'!C:C=B35) + ('T. S2 microarray results'!D:D=B35) + ('T. S2 microarray results'!E:E=B35) + ('T. S2 microarray results'!F:F=B35) + ('T. S2 microarray results'!G:G=B35) + ('T. S2 microarray results'!H:H=B35) &gt; 0, 0))</f>
        <v>-0.17114219999999999</v>
      </c>
      <c r="H35" cm="1">
        <f t="array" ref="H35">INDEX('T. S2 microarray results'!L:L, MATCH(TRUE, ('T. S2 microarray results'!B:B=B35) + ('T. S2 microarray results'!C:C=B35) + ('T. S2 microarray results'!D:D=B35) + ('T. S2 microarray results'!E:E=B35) + ('T. S2 microarray results'!F:F=B35) + ('T. S2 microarray results'!G:G=B35) + ('T. S2 microarray results'!H:H=B35) &gt; 0, 0))</f>
        <v>-0.1393877</v>
      </c>
    </row>
    <row r="36" spans="1:8" x14ac:dyDescent="0.25">
      <c r="A36" t="str" cm="1">
        <f t="array" ref="A36">INDEX('T. S2 microarray results'!A:A, MATCH(TRUE, ('T. S2 microarray results'!B:B=B36) + ('T. S2 microarray results'!C:C=B36) + ('T. S2 microarray results'!D:D=B36) + ('T. S2 microarray results'!E:E=B36) + ('T. S2 microarray results'!F:F=B36) + ('T. S2 microarray results'!G:G=B36) + ('T. S2 microarray results'!H:H=B36) &gt; 0, 0))</f>
        <v>YKL068W</v>
      </c>
      <c r="B36" t="s">
        <v>6832</v>
      </c>
      <c r="C36" s="4" t="s">
        <v>14301</v>
      </c>
      <c r="D36" s="4" t="str">
        <f t="shared" si="0"/>
        <v>YKL068W/NUP100</v>
      </c>
      <c r="E36" s="4">
        <f t="shared" si="1"/>
        <v>0</v>
      </c>
      <c r="F36" cm="1">
        <f t="array" ref="F36">INDEX('T. S2 microarray results'!J:J, MATCH(TRUE, ('T. S2 microarray results'!B:B=B36) + ('T. S2 microarray results'!C:C=B36) + ('T. S2 microarray results'!D:D=B36) + ('T. S2 microarray results'!E:E=B36) + ('T. S2 microarray results'!F:F=B36) + ('T. S2 microarray results'!G:G=B36) + ('T. S2 microarray results'!H:H=B36) &gt; 0, 0))</f>
        <v>-0.89430449999999995</v>
      </c>
      <c r="G36" cm="1">
        <f t="array" ref="G36">INDEX('T. S2 microarray results'!K:K, MATCH(TRUE, ('T. S2 microarray results'!B:B=B36) + ('T. S2 microarray results'!C:C=B36) + ('T. S2 microarray results'!D:D=B36) + ('T. S2 microarray results'!E:E=B36) + ('T. S2 microarray results'!F:F=B36) + ('T. S2 microarray results'!G:G=B36) + ('T. S2 microarray results'!H:H=B36) &gt; 0, 0))</f>
        <v>-1.026313</v>
      </c>
      <c r="H36" cm="1">
        <f t="array" ref="H36">INDEX('T. S2 microarray results'!L:L, MATCH(TRUE, ('T. S2 microarray results'!B:B=B36) + ('T. S2 microarray results'!C:C=B36) + ('T. S2 microarray results'!D:D=B36) + ('T. S2 microarray results'!E:E=B36) + ('T. S2 microarray results'!F:F=B36) + ('T. S2 microarray results'!G:G=B36) + ('T. S2 microarray results'!H:H=B36) &gt; 0, 0))</f>
        <v>-0.65307789999999999</v>
      </c>
    </row>
    <row r="37" spans="1:8" x14ac:dyDescent="0.25">
      <c r="A37" t="str" cm="1">
        <f t="array" ref="A37">INDEX('T. S2 microarray results'!A:A, MATCH(TRUE, ('T. S2 microarray results'!B:B=B37) + ('T. S2 microarray results'!C:C=B37) + ('T. S2 microarray results'!D:D=B37) + ('T. S2 microarray results'!E:E=B37) + ('T. S2 microarray results'!F:F=B37) + ('T. S2 microarray results'!G:G=B37) + ('T. S2 microarray results'!H:H=B37) &gt; 0, 0))</f>
        <v>YDR080W</v>
      </c>
      <c r="B37" t="s">
        <v>11941</v>
      </c>
      <c r="C37" s="4" t="s">
        <v>14301</v>
      </c>
      <c r="D37" s="4" t="str">
        <f t="shared" si="0"/>
        <v>YDR080W/VPS41</v>
      </c>
      <c r="E37" s="4">
        <f t="shared" si="1"/>
        <v>0</v>
      </c>
      <c r="F37" cm="1">
        <f t="array" ref="F37">INDEX('T. S2 microarray results'!J:J, MATCH(TRUE, ('T. S2 microarray results'!B:B=B37) + ('T. S2 microarray results'!C:C=B37) + ('T. S2 microarray results'!D:D=B37) + ('T. S2 microarray results'!E:E=B37) + ('T. S2 microarray results'!F:F=B37) + ('T. S2 microarray results'!G:G=B37) + ('T. S2 microarray results'!H:H=B37) &gt; 0, 0))</f>
        <v>-0.2398884</v>
      </c>
      <c r="G37" cm="1">
        <f t="array" ref="G37">INDEX('T. S2 microarray results'!K:K, MATCH(TRUE, ('T. S2 microarray results'!B:B=B37) + ('T. S2 microarray results'!C:C=B37) + ('T. S2 microarray results'!D:D=B37) + ('T. S2 microarray results'!E:E=B37) + ('T. S2 microarray results'!F:F=B37) + ('T. S2 microarray results'!G:G=B37) + ('T. S2 microarray results'!H:H=B37) &gt; 0, 0))</f>
        <v>-0.78101790000000004</v>
      </c>
      <c r="H37" cm="1">
        <f t="array" ref="H37">INDEX('T. S2 microarray results'!L:L, MATCH(TRUE, ('T. S2 microarray results'!B:B=B37) + ('T. S2 microarray results'!C:C=B37) + ('T. S2 microarray results'!D:D=B37) + ('T. S2 microarray results'!E:E=B37) + ('T. S2 microarray results'!F:F=B37) + ('T. S2 microarray results'!G:G=B37) + ('T. S2 microarray results'!H:H=B37) &gt; 0, 0))</f>
        <v>-6.821315E-2</v>
      </c>
    </row>
    <row r="38" spans="1:8" x14ac:dyDescent="0.25">
      <c r="A38" t="str" cm="1">
        <f t="array" ref="A38">INDEX('T. S2 microarray results'!A:A, MATCH(TRUE, ('T. S2 microarray results'!B:B=B38) + ('T. S2 microarray results'!C:C=B38) + ('T. S2 microarray results'!D:D=B38) + ('T. S2 microarray results'!E:E=B38) + ('T. S2 microarray results'!F:F=B38) + ('T. S2 microarray results'!G:G=B38) + ('T. S2 microarray results'!H:H=B38) &gt; 0, 0))</f>
        <v>YNL199C</v>
      </c>
      <c r="B38" t="s">
        <v>3459</v>
      </c>
      <c r="C38" s="4" t="s">
        <v>14301</v>
      </c>
      <c r="D38" s="4" t="str">
        <f t="shared" si="0"/>
        <v>YNL199C/GCR2</v>
      </c>
      <c r="E38" s="4">
        <f t="shared" si="1"/>
        <v>0</v>
      </c>
      <c r="F38" cm="1">
        <f t="array" ref="F38">INDEX('T. S2 microarray results'!J:J, MATCH(TRUE, ('T. S2 microarray results'!B:B=B38) + ('T. S2 microarray results'!C:C=B38) + ('T. S2 microarray results'!D:D=B38) + ('T. S2 microarray results'!E:E=B38) + ('T. S2 microarray results'!F:F=B38) + ('T. S2 microarray results'!G:G=B38) + ('T. S2 microarray results'!H:H=B38) &gt; 0, 0))</f>
        <v>-0.14542820000000001</v>
      </c>
      <c r="G38" cm="1">
        <f t="array" ref="G38">INDEX('T. S2 microarray results'!K:K, MATCH(TRUE, ('T. S2 microarray results'!B:B=B38) + ('T. S2 microarray results'!C:C=B38) + ('T. S2 microarray results'!D:D=B38) + ('T. S2 microarray results'!E:E=B38) + ('T. S2 microarray results'!F:F=B38) + ('T. S2 microarray results'!G:G=B38) + ('T. S2 microarray results'!H:H=B38) &gt; 0, 0))</f>
        <v>-0.74096359999999994</v>
      </c>
      <c r="H38" cm="1">
        <f t="array" ref="H38">INDEX('T. S2 microarray results'!L:L, MATCH(TRUE, ('T. S2 microarray results'!B:B=B38) + ('T. S2 microarray results'!C:C=B38) + ('T. S2 microarray results'!D:D=B38) + ('T. S2 microarray results'!E:E=B38) + ('T. S2 microarray results'!F:F=B38) + ('T. S2 microarray results'!G:G=B38) + ('T. S2 microarray results'!H:H=B38) &gt; 0, 0))</f>
        <v>-0.1867441</v>
      </c>
    </row>
    <row r="39" spans="1:8" x14ac:dyDescent="0.25">
      <c r="A39" t="str" cm="1">
        <f t="array" ref="A39">INDEX('T. S2 microarray results'!A:A, MATCH(TRUE, ('T. S2 microarray results'!B:B=B39) + ('T. S2 microarray results'!C:C=B39) + ('T. S2 microarray results'!D:D=B39) + ('T. S2 microarray results'!E:E=B39) + ('T. S2 microarray results'!F:F=B39) + ('T. S2 microarray results'!G:G=B39) + ('T. S2 microarray results'!H:H=B39) &gt; 0, 0))</f>
        <v>YBL058W</v>
      </c>
      <c r="B39" t="s">
        <v>13702</v>
      </c>
      <c r="C39" s="4" t="s">
        <v>14301</v>
      </c>
      <c r="D39" s="4" t="str">
        <f t="shared" si="0"/>
        <v>YBL058W/SHP1</v>
      </c>
      <c r="E39" s="4">
        <f t="shared" si="1"/>
        <v>0</v>
      </c>
      <c r="F39" cm="1">
        <f t="array" ref="F39">INDEX('T. S2 microarray results'!J:J, MATCH(TRUE, ('T. S2 microarray results'!B:B=B39) + ('T. S2 microarray results'!C:C=B39) + ('T. S2 microarray results'!D:D=B39) + ('T. S2 microarray results'!E:E=B39) + ('T. S2 microarray results'!F:F=B39) + ('T. S2 microarray results'!G:G=B39) + ('T. S2 microarray results'!H:H=B39) &gt; 0, 0))</f>
        <v>-2.8632929999999998E-3</v>
      </c>
      <c r="G39" cm="1">
        <f t="array" ref="G39">INDEX('T. S2 microarray results'!K:K, MATCH(TRUE, ('T. S2 microarray results'!B:B=B39) + ('T. S2 microarray results'!C:C=B39) + ('T. S2 microarray results'!D:D=B39) + ('T. S2 microarray results'!E:E=B39) + ('T. S2 microarray results'!F:F=B39) + ('T. S2 microarray results'!G:G=B39) + ('T. S2 microarray results'!H:H=B39) &gt; 0, 0))</f>
        <v>-0.45576850000000002</v>
      </c>
      <c r="H39" cm="1">
        <f t="array" ref="H39">INDEX('T. S2 microarray results'!L:L, MATCH(TRUE, ('T. S2 microarray results'!B:B=B39) + ('T. S2 microarray results'!C:C=B39) + ('T. S2 microarray results'!D:D=B39) + ('T. S2 microarray results'!E:E=B39) + ('T. S2 microarray results'!F:F=B39) + ('T. S2 microarray results'!G:G=B39) + ('T. S2 microarray results'!H:H=B39) &gt; 0, 0))</f>
        <v>0.1023941</v>
      </c>
    </row>
    <row r="40" spans="1:8" x14ac:dyDescent="0.25">
      <c r="A40" t="str" cm="1">
        <f t="array" ref="A40">INDEX('T. S2 microarray results'!A:A, MATCH(TRUE, ('T. S2 microarray results'!B:B=B40) + ('T. S2 microarray results'!C:C=B40) + ('T. S2 microarray results'!D:D=B40) + ('T. S2 microarray results'!E:E=B40) + ('T. S2 microarray results'!F:F=B40) + ('T. S2 microarray results'!G:G=B40) + ('T. S2 microarray results'!H:H=B40) &gt; 0, 0))</f>
        <v>YPL031C</v>
      </c>
      <c r="B40" t="s">
        <v>1022</v>
      </c>
      <c r="C40" s="4" t="s">
        <v>14301</v>
      </c>
      <c r="D40" s="4" t="str">
        <f t="shared" si="0"/>
        <v>YPL031C/PHO85</v>
      </c>
      <c r="E40" s="4">
        <f t="shared" si="1"/>
        <v>0</v>
      </c>
      <c r="F40" cm="1">
        <f t="array" ref="F40">INDEX('T. S2 microarray results'!J:J, MATCH(TRUE, ('T. S2 microarray results'!B:B=B40) + ('T. S2 microarray results'!C:C=B40) + ('T. S2 microarray results'!D:D=B40) + ('T. S2 microarray results'!E:E=B40) + ('T. S2 microarray results'!F:F=B40) + ('T. S2 microarray results'!G:G=B40) + ('T. S2 microarray results'!H:H=B40) &gt; 0, 0))</f>
        <v>-0.1997449</v>
      </c>
      <c r="G40" cm="1">
        <f t="array" ref="G40">INDEX('T. S2 microarray results'!K:K, MATCH(TRUE, ('T. S2 microarray results'!B:B=B40) + ('T. S2 microarray results'!C:C=B40) + ('T. S2 microarray results'!D:D=B40) + ('T. S2 microarray results'!E:E=B40) + ('T. S2 microarray results'!F:F=B40) + ('T. S2 microarray results'!G:G=B40) + ('T. S2 microarray results'!H:H=B40) &gt; 0, 0))</f>
        <v>-0.5833026</v>
      </c>
      <c r="H40" cm="1">
        <f t="array" ref="H40">INDEX('T. S2 microarray results'!L:L, MATCH(TRUE, ('T. S2 microarray results'!B:B=B40) + ('T. S2 microarray results'!C:C=B40) + ('T. S2 microarray results'!D:D=B40) + ('T. S2 microarray results'!E:E=B40) + ('T. S2 microarray results'!F:F=B40) + ('T. S2 microarray results'!G:G=B40) + ('T. S2 microarray results'!H:H=B40) &gt; 0, 0))</f>
        <v>-0.14221049999999999</v>
      </c>
    </row>
    <row r="41" spans="1:8" x14ac:dyDescent="0.25">
      <c r="A41" t="str" cm="1">
        <f t="array" ref="A41">INDEX('T. S2 microarray results'!A:A, MATCH(TRUE, ('T. S2 microarray results'!B:B=B41) + ('T. S2 microarray results'!C:C=B41) + ('T. S2 microarray results'!D:D=B41) + ('T. S2 microarray results'!E:E=B41) + ('T. S2 microarray results'!F:F=B41) + ('T. S2 microarray results'!G:G=B41) + ('T. S2 microarray results'!H:H=B41) &gt; 0, 0))</f>
        <v>YKL101W</v>
      </c>
      <c r="B41" t="s">
        <v>5733</v>
      </c>
      <c r="C41" s="4" t="s">
        <v>14301</v>
      </c>
      <c r="D41" s="4" t="str">
        <f t="shared" si="0"/>
        <v>YKL101W/HSL1</v>
      </c>
      <c r="E41" s="4">
        <f t="shared" si="1"/>
        <v>0</v>
      </c>
      <c r="F41" cm="1">
        <f t="array" ref="F41">INDEX('T. S2 microarray results'!J:J, MATCH(TRUE, ('T. S2 microarray results'!B:B=B41) + ('T. S2 microarray results'!C:C=B41) + ('T. S2 microarray results'!D:D=B41) + ('T. S2 microarray results'!E:E=B41) + ('T. S2 microarray results'!F:F=B41) + ('T. S2 microarray results'!G:G=B41) + ('T. S2 microarray results'!H:H=B41) &gt; 0, 0))</f>
        <v>-4.0563309999999998E-3</v>
      </c>
      <c r="G41" cm="1">
        <f t="array" ref="G41">INDEX('T. S2 microarray results'!K:K, MATCH(TRUE, ('T. S2 microarray results'!B:B=B41) + ('T. S2 microarray results'!C:C=B41) + ('T. S2 microarray results'!D:D=B41) + ('T. S2 microarray results'!E:E=B41) + ('T. S2 microarray results'!F:F=B41) + ('T. S2 microarray results'!G:G=B41) + ('T. S2 microarray results'!H:H=B41) &gt; 0, 0))</f>
        <v>-0.28781329999999999</v>
      </c>
      <c r="H41" cm="1">
        <f t="array" ref="H41">INDEX('T. S2 microarray results'!L:L, MATCH(TRUE, ('T. S2 microarray results'!B:B=B41) + ('T. S2 microarray results'!C:C=B41) + ('T. S2 microarray results'!D:D=B41) + ('T. S2 microarray results'!E:E=B41) + ('T. S2 microarray results'!F:F=B41) + ('T. S2 microarray results'!G:G=B41) + ('T. S2 microarray results'!H:H=B41) &gt; 0, 0))</f>
        <v>0.19701189999999999</v>
      </c>
    </row>
    <row r="42" spans="1:8" x14ac:dyDescent="0.25">
      <c r="A42" t="str" cm="1">
        <f t="array" ref="A42">INDEX('T. S2 microarray results'!A:A, MATCH(TRUE, ('T. S2 microarray results'!B:B=B42) + ('T. S2 microarray results'!C:C=B42) + ('T. S2 microarray results'!D:D=B42) + ('T. S2 microarray results'!E:E=B42) + ('T. S2 microarray results'!F:F=B42) + ('T. S2 microarray results'!G:G=B42) + ('T. S2 microarray results'!H:H=B42) &gt; 0, 0))</f>
        <v>YBL007C</v>
      </c>
      <c r="B42" t="s">
        <v>13826</v>
      </c>
      <c r="C42" s="4" t="s">
        <v>14301</v>
      </c>
      <c r="D42" s="4" t="str">
        <f t="shared" si="0"/>
        <v>YBL007C/SLA1</v>
      </c>
      <c r="E42" s="4">
        <f t="shared" si="1"/>
        <v>0</v>
      </c>
      <c r="F42" cm="1">
        <f t="array" ref="F42">INDEX('T. S2 microarray results'!J:J, MATCH(TRUE, ('T. S2 microarray results'!B:B=B42) + ('T. S2 microarray results'!C:C=B42) + ('T. S2 microarray results'!D:D=B42) + ('T. S2 microarray results'!E:E=B42) + ('T. S2 microarray results'!F:F=B42) + ('T. S2 microarray results'!G:G=B42) + ('T. S2 microarray results'!H:H=B42) &gt; 0, 0))</f>
        <v>0.20787130000000001</v>
      </c>
      <c r="G42" cm="1">
        <f t="array" ref="G42">INDEX('T. S2 microarray results'!K:K, MATCH(TRUE, ('T. S2 microarray results'!B:B=B42) + ('T. S2 microarray results'!C:C=B42) + ('T. S2 microarray results'!D:D=B42) + ('T. S2 microarray results'!E:E=B42) + ('T. S2 microarray results'!F:F=B42) + ('T. S2 microarray results'!G:G=B42) + ('T. S2 microarray results'!H:H=B42) &gt; 0, 0))</f>
        <v>5.9453510000000001E-2</v>
      </c>
      <c r="H42" cm="1">
        <f t="array" ref="H42">INDEX('T. S2 microarray results'!L:L, MATCH(TRUE, ('T. S2 microarray results'!B:B=B42) + ('T. S2 microarray results'!C:C=B42) + ('T. S2 microarray results'!D:D=B42) + ('T. S2 microarray results'!E:E=B42) + ('T. S2 microarray results'!F:F=B42) + ('T. S2 microarray results'!G:G=B42) + ('T. S2 microarray results'!H:H=B42) &gt; 0, 0))</f>
        <v>5.8223799999999999E-2</v>
      </c>
    </row>
    <row r="43" spans="1:8" x14ac:dyDescent="0.25">
      <c r="A43" t="str" cm="1">
        <f t="array" ref="A43">INDEX('T. S2 microarray results'!A:A, MATCH(TRUE, ('T. S2 microarray results'!B:B=B43) + ('T. S2 microarray results'!C:C=B43) + ('T. S2 microarray results'!D:D=B43) + ('T. S2 microarray results'!E:E=B43) + ('T. S2 microarray results'!F:F=B43) + ('T. S2 microarray results'!G:G=B43) + ('T. S2 microarray results'!H:H=B43) &gt; 0, 0))</f>
        <v>YMR297W</v>
      </c>
      <c r="B43" t="s">
        <v>3958</v>
      </c>
      <c r="C43" s="4" t="s">
        <v>14301</v>
      </c>
      <c r="D43" s="4" t="str">
        <f t="shared" si="0"/>
        <v>YMR297W/PRC1</v>
      </c>
      <c r="E43" s="4">
        <f t="shared" si="1"/>
        <v>0</v>
      </c>
      <c r="F43" cm="1">
        <f t="array" ref="F43">INDEX('T. S2 microarray results'!J:J, MATCH(TRUE, ('T. S2 microarray results'!B:B=B43) + ('T. S2 microarray results'!C:C=B43) + ('T. S2 microarray results'!D:D=B43) + ('T. S2 microarray results'!E:E=B43) + ('T. S2 microarray results'!F:F=B43) + ('T. S2 microarray results'!G:G=B43) + ('T. S2 microarray results'!H:H=B43) &gt; 0, 0))</f>
        <v>-7.2017670000000006E-2</v>
      </c>
      <c r="G43" cm="1">
        <f t="array" ref="G43">INDEX('T. S2 microarray results'!K:K, MATCH(TRUE, ('T. S2 microarray results'!B:B=B43) + ('T. S2 microarray results'!C:C=B43) + ('T. S2 microarray results'!D:D=B43) + ('T. S2 microarray results'!E:E=B43) + ('T. S2 microarray results'!F:F=B43) + ('T. S2 microarray results'!G:G=B43) + ('T. S2 microarray results'!H:H=B43) &gt; 0, 0))</f>
        <v>0.20468819999999999</v>
      </c>
      <c r="H43" cm="1">
        <f t="array" ref="H43">INDEX('T. S2 microarray results'!L:L, MATCH(TRUE, ('T. S2 microarray results'!B:B=B43) + ('T. S2 microarray results'!C:C=B43) + ('T. S2 microarray results'!D:D=B43) + ('T. S2 microarray results'!E:E=B43) + ('T. S2 microarray results'!F:F=B43) + ('T. S2 microarray results'!G:G=B43) + ('T. S2 microarray results'!H:H=B43) &gt; 0, 0))</f>
        <v>5.2276099999999999E-2</v>
      </c>
    </row>
    <row r="44" spans="1:8" x14ac:dyDescent="0.25">
      <c r="A44" t="str" cm="1">
        <f t="array" ref="A44">INDEX('T. S2 microarray results'!A:A, MATCH(TRUE, ('T. S2 microarray results'!B:B=B44) + ('T. S2 microarray results'!C:C=B44) + ('T. S2 microarray results'!D:D=B44) + ('T. S2 microarray results'!E:E=B44) + ('T. S2 microarray results'!F:F=B44) + ('T. S2 microarray results'!G:G=B44) + ('T. S2 microarray results'!H:H=B44) &gt; 0, 0))</f>
        <v>YDR176W</v>
      </c>
      <c r="B44" t="s">
        <v>12606</v>
      </c>
      <c r="C44" s="4" t="s">
        <v>14301</v>
      </c>
      <c r="D44" s="4" t="str">
        <f t="shared" si="0"/>
        <v>YDR176W/NGG1</v>
      </c>
      <c r="E44" s="4">
        <f t="shared" si="1"/>
        <v>0</v>
      </c>
      <c r="F44" cm="1">
        <f t="array" ref="F44">INDEX('T. S2 microarray results'!J:J, MATCH(TRUE, ('T. S2 microarray results'!B:B=B44) + ('T. S2 microarray results'!C:C=B44) + ('T. S2 microarray results'!D:D=B44) + ('T. S2 microarray results'!E:E=B44) + ('T. S2 microarray results'!F:F=B44) + ('T. S2 microarray results'!G:G=B44) + ('T. S2 microarray results'!H:H=B44) &gt; 0, 0))</f>
        <v>-0.41962860000000002</v>
      </c>
      <c r="G44" cm="1">
        <f t="array" ref="G44">INDEX('T. S2 microarray results'!K:K, MATCH(TRUE, ('T. S2 microarray results'!B:B=B44) + ('T. S2 microarray results'!C:C=B44) + ('T. S2 microarray results'!D:D=B44) + ('T. S2 microarray results'!E:E=B44) + ('T. S2 microarray results'!F:F=B44) + ('T. S2 microarray results'!G:G=B44) + ('T. S2 microarray results'!H:H=B44) &gt; 0, 0))</f>
        <v>-1.2156389999999999</v>
      </c>
      <c r="H44" cm="1">
        <f t="array" ref="H44">INDEX('T. S2 microarray results'!L:L, MATCH(TRUE, ('T. S2 microarray results'!B:B=B44) + ('T. S2 microarray results'!C:C=B44) + ('T. S2 microarray results'!D:D=B44) + ('T. S2 microarray results'!E:E=B44) + ('T. S2 microarray results'!F:F=B44) + ('T. S2 microarray results'!G:G=B44) + ('T. S2 microarray results'!H:H=B44) &gt; 0, 0))</f>
        <v>-0.54558249999999997</v>
      </c>
    </row>
    <row r="45" spans="1:8" x14ac:dyDescent="0.25">
      <c r="A45" t="str" cm="1">
        <f t="array" ref="A45">INDEX('T. S2 microarray results'!A:A, MATCH(TRUE, ('T. S2 microarray results'!B:B=B45) + ('T. S2 microarray results'!C:C=B45) + ('T. S2 microarray results'!D:D=B45) + ('T. S2 microarray results'!E:E=B45) + ('T. S2 microarray results'!F:F=B45) + ('T. S2 microarray results'!G:G=B45) + ('T. S2 microarray results'!H:H=B45) &gt; 0, 0))</f>
        <v>YLR262C</v>
      </c>
      <c r="B45" t="s">
        <v>5493</v>
      </c>
      <c r="C45" s="4" t="s">
        <v>14301</v>
      </c>
      <c r="D45" s="4" t="str">
        <f t="shared" si="0"/>
        <v>YLR262C/YPT6</v>
      </c>
      <c r="E45" s="4">
        <f t="shared" si="1"/>
        <v>0</v>
      </c>
      <c r="F45" cm="1">
        <f t="array" ref="F45">INDEX('T. S2 microarray results'!J:J, MATCH(TRUE, ('T. S2 microarray results'!B:B=B45) + ('T. S2 microarray results'!C:C=B45) + ('T. S2 microarray results'!D:D=B45) + ('T. S2 microarray results'!E:E=B45) + ('T. S2 microarray results'!F:F=B45) + ('T. S2 microarray results'!G:G=B45) + ('T. S2 microarray results'!H:H=B45) &gt; 0, 0))</f>
        <v>-0.3001721</v>
      </c>
      <c r="G45" cm="1">
        <f t="array" ref="G45">INDEX('T. S2 microarray results'!K:K, MATCH(TRUE, ('T. S2 microarray results'!B:B=B45) + ('T. S2 microarray results'!C:C=B45) + ('T. S2 microarray results'!D:D=B45) + ('T. S2 microarray results'!E:E=B45) + ('T. S2 microarray results'!F:F=B45) + ('T. S2 microarray results'!G:G=B45) + ('T. S2 microarray results'!H:H=B45) &gt; 0, 0))</f>
        <v>-0.70238480000000003</v>
      </c>
      <c r="H45" cm="1">
        <f t="array" ref="H45">INDEX('T. S2 microarray results'!L:L, MATCH(TRUE, ('T. S2 microarray results'!B:B=B45) + ('T. S2 microarray results'!C:C=B45) + ('T. S2 microarray results'!D:D=B45) + ('T. S2 microarray results'!E:E=B45) + ('T. S2 microarray results'!F:F=B45) + ('T. S2 microarray results'!G:G=B45) + ('T. S2 microarray results'!H:H=B45) &gt; 0, 0))</f>
        <v>0.19379959999999999</v>
      </c>
    </row>
    <row r="46" spans="1:8" x14ac:dyDescent="0.25">
      <c r="A46" t="str" cm="1">
        <f t="array" ref="A46">INDEX('T. S2 microarray results'!A:A, MATCH(TRUE, ('T. S2 microarray results'!B:B=B46) + ('T. S2 microarray results'!C:C=B46) + ('T. S2 microarray results'!D:D=B46) + ('T. S2 microarray results'!E:E=B46) + ('T. S2 microarray results'!F:F=B46) + ('T. S2 microarray results'!G:G=B46) + ('T. S2 microarray results'!H:H=B46) &gt; 0, 0))</f>
        <v>YHR104W</v>
      </c>
      <c r="B46" t="s">
        <v>8604</v>
      </c>
      <c r="C46" s="4" t="s">
        <v>14301</v>
      </c>
      <c r="D46" s="4" t="str">
        <f t="shared" si="0"/>
        <v>YHR104W/GRE3</v>
      </c>
      <c r="E46" s="4">
        <f t="shared" si="1"/>
        <v>0</v>
      </c>
      <c r="F46" cm="1">
        <f t="array" ref="F46">INDEX('T. S2 microarray results'!J:J, MATCH(TRUE, ('T. S2 microarray results'!B:B=B46) + ('T. S2 microarray results'!C:C=B46) + ('T. S2 microarray results'!D:D=B46) + ('T. S2 microarray results'!E:E=B46) + ('T. S2 microarray results'!F:F=B46) + ('T. S2 microarray results'!G:G=B46) + ('T. S2 microarray results'!H:H=B46) &gt; 0, 0))</f>
        <v>0.3096661</v>
      </c>
      <c r="G46" cm="1">
        <f t="array" ref="G46">INDEX('T. S2 microarray results'!K:K, MATCH(TRUE, ('T. S2 microarray results'!B:B=B46) + ('T. S2 microarray results'!C:C=B46) + ('T. S2 microarray results'!D:D=B46) + ('T. S2 microarray results'!E:E=B46) + ('T. S2 microarray results'!F:F=B46) + ('T. S2 microarray results'!G:G=B46) + ('T. S2 microarray results'!H:H=B46) &gt; 0, 0))</f>
        <v>0.75165210000000005</v>
      </c>
      <c r="H46" cm="1">
        <f t="array" ref="H46">INDEX('T. S2 microarray results'!L:L, MATCH(TRUE, ('T. S2 microarray results'!B:B=B46) + ('T. S2 microarray results'!C:C=B46) + ('T. S2 microarray results'!D:D=B46) + ('T. S2 microarray results'!E:E=B46) + ('T. S2 microarray results'!F:F=B46) + ('T. S2 microarray results'!G:G=B46) + ('T. S2 microarray results'!H:H=B46) &gt; 0, 0))</f>
        <v>0.51195239999999997</v>
      </c>
    </row>
    <row r="47" spans="1:8" x14ac:dyDescent="0.25">
      <c r="A47" t="str" cm="1">
        <f t="array" ref="A47">INDEX('T. S2 microarray results'!A:A, MATCH(TRUE, ('T. S2 microarray results'!B:B=B47) + ('T. S2 microarray results'!C:C=B47) + ('T. S2 microarray results'!D:D=B47) + ('T. S2 microarray results'!E:E=B47) + ('T. S2 microarray results'!F:F=B47) + ('T. S2 microarray results'!G:G=B47) + ('T. S2 microarray results'!H:H=B47) &gt; 0, 0))</f>
        <v>YOR089C</v>
      </c>
      <c r="B47" t="s">
        <v>1774</v>
      </c>
      <c r="C47" s="4" t="s">
        <v>14301</v>
      </c>
      <c r="D47" s="4" t="str">
        <f t="shared" si="0"/>
        <v>YOR089C/VPS21</v>
      </c>
      <c r="E47" s="4">
        <f t="shared" si="1"/>
        <v>0</v>
      </c>
      <c r="F47" cm="1">
        <f t="array" ref="F47">INDEX('T. S2 microarray results'!J:J, MATCH(TRUE, ('T. S2 microarray results'!B:B=B47) + ('T. S2 microarray results'!C:C=B47) + ('T. S2 microarray results'!D:D=B47) + ('T. S2 microarray results'!E:E=B47) + ('T. S2 microarray results'!F:F=B47) + ('T. S2 microarray results'!G:G=B47) + ('T. S2 microarray results'!H:H=B47) &gt; 0, 0))</f>
        <v>-0.24867600000000001</v>
      </c>
      <c r="G47" cm="1">
        <f t="array" ref="G47">INDEX('T. S2 microarray results'!K:K, MATCH(TRUE, ('T. S2 microarray results'!B:B=B47) + ('T. S2 microarray results'!C:C=B47) + ('T. S2 microarray results'!D:D=B47) + ('T. S2 microarray results'!E:E=B47) + ('T. S2 microarray results'!F:F=B47) + ('T. S2 microarray results'!G:G=B47) + ('T. S2 microarray results'!H:H=B47) &gt; 0, 0))</f>
        <v>-0.92866899999999997</v>
      </c>
      <c r="H47" cm="1">
        <f t="array" ref="H47">INDEX('T. S2 microarray results'!L:L, MATCH(TRUE, ('T. S2 microarray results'!B:B=B47) + ('T. S2 microarray results'!C:C=B47) + ('T. S2 microarray results'!D:D=B47) + ('T. S2 microarray results'!E:E=B47) + ('T. S2 microarray results'!F:F=B47) + ('T. S2 microarray results'!G:G=B47) + ('T. S2 microarray results'!H:H=B47) &gt; 0, 0))</f>
        <v>-0.1412871</v>
      </c>
    </row>
    <row r="48" spans="1:8" x14ac:dyDescent="0.25">
      <c r="A48" t="str" cm="1">
        <f t="array" ref="A48">INDEX('T. S2 microarray results'!A:A, MATCH(TRUE, ('T. S2 microarray results'!B:B=B48) + ('T. S2 microarray results'!C:C=B48) + ('T. S2 microarray results'!D:D=B48) + ('T. S2 microarray results'!E:E=B48) + ('T. S2 microarray results'!F:F=B48) + ('T. S2 microarray results'!G:G=B48) + ('T. S2 microarray results'!H:H=B48) &gt; 0, 0))</f>
        <v>YOR209C</v>
      </c>
      <c r="B48" t="s">
        <v>1336</v>
      </c>
      <c r="C48" s="4" t="s">
        <v>14301</v>
      </c>
      <c r="D48" s="4" t="str">
        <f t="shared" si="0"/>
        <v>YOR209C/NPT1</v>
      </c>
      <c r="E48" s="4">
        <f t="shared" si="1"/>
        <v>0</v>
      </c>
      <c r="F48" cm="1">
        <f t="array" ref="F48">INDEX('T. S2 microarray results'!J:J, MATCH(TRUE, ('T. S2 microarray results'!B:B=B48) + ('T. S2 microarray results'!C:C=B48) + ('T. S2 microarray results'!D:D=B48) + ('T. S2 microarray results'!E:E=B48) + ('T. S2 microarray results'!F:F=B48) + ('T. S2 microarray results'!G:G=B48) + ('T. S2 microarray results'!H:H=B48) &gt; 0, 0))</f>
        <v>0.61333059999999995</v>
      </c>
      <c r="G48" cm="1">
        <f t="array" ref="G48">INDEX('T. S2 microarray results'!K:K, MATCH(TRUE, ('T. S2 microarray results'!B:B=B48) + ('T. S2 microarray results'!C:C=B48) + ('T. S2 microarray results'!D:D=B48) + ('T. S2 microarray results'!E:E=B48) + ('T. S2 microarray results'!F:F=B48) + ('T. S2 microarray results'!G:G=B48) + ('T. S2 microarray results'!H:H=B48) &gt; 0, 0))</f>
        <v>-0.45091979999999998</v>
      </c>
      <c r="H48" cm="1">
        <f t="array" ref="H48">INDEX('T. S2 microarray results'!L:L, MATCH(TRUE, ('T. S2 microarray results'!B:B=B48) + ('T. S2 microarray results'!C:C=B48) + ('T. S2 microarray results'!D:D=B48) + ('T. S2 microarray results'!E:E=B48) + ('T. S2 microarray results'!F:F=B48) + ('T. S2 microarray results'!G:G=B48) + ('T. S2 microarray results'!H:H=B48) &gt; 0, 0))</f>
        <v>0.30225010000000002</v>
      </c>
    </row>
    <row r="49" spans="1:8" x14ac:dyDescent="0.25">
      <c r="A49" t="str" cm="1">
        <f t="array" ref="A49">INDEX('T. S2 microarray results'!A:A, MATCH(TRUE, ('T. S2 microarray results'!B:B=B49) + ('T. S2 microarray results'!C:C=B49) + ('T. S2 microarray results'!D:D=B49) + ('T. S2 microarray results'!E:E=B49) + ('T. S2 microarray results'!F:F=B49) + ('T. S2 microarray results'!G:G=B49) + ('T. S2 microarray results'!H:H=B49) &gt; 0, 0))</f>
        <v>YAL022C</v>
      </c>
      <c r="B49" t="s">
        <v>14022</v>
      </c>
      <c r="C49" s="4" t="s">
        <v>14301</v>
      </c>
      <c r="D49" s="4" t="str">
        <f t="shared" si="0"/>
        <v>YAL022C/FUN26</v>
      </c>
      <c r="E49" s="4">
        <f t="shared" si="1"/>
        <v>0</v>
      </c>
      <c r="F49" cm="1">
        <f t="array" ref="F49">INDEX('T. S2 microarray results'!J:J, MATCH(TRUE, ('T. S2 microarray results'!B:B=B49) + ('T. S2 microarray results'!C:C=B49) + ('T. S2 microarray results'!D:D=B49) + ('T. S2 microarray results'!E:E=B49) + ('T. S2 microarray results'!F:F=B49) + ('T. S2 microarray results'!G:G=B49) + ('T. S2 microarray results'!H:H=B49) &gt; 0, 0))</f>
        <v>5.63525E-2</v>
      </c>
      <c r="G49" cm="1">
        <f t="array" ref="G49">INDEX('T. S2 microarray results'!K:K, MATCH(TRUE, ('T. S2 microarray results'!B:B=B49) + ('T. S2 microarray results'!C:C=B49) + ('T. S2 microarray results'!D:D=B49) + ('T. S2 microarray results'!E:E=B49) + ('T. S2 microarray results'!F:F=B49) + ('T. S2 microarray results'!G:G=B49) + ('T. S2 microarray results'!H:H=B49) &gt; 0, 0))</f>
        <v>0.67585090000000003</v>
      </c>
      <c r="H49" cm="1">
        <f t="array" ref="H49">INDEX('T. S2 microarray results'!L:L, MATCH(TRUE, ('T. S2 microarray results'!B:B=B49) + ('T. S2 microarray results'!C:C=B49) + ('T. S2 microarray results'!D:D=B49) + ('T. S2 microarray results'!E:E=B49) + ('T. S2 microarray results'!F:F=B49) + ('T. S2 microarray results'!G:G=B49) + ('T. S2 microarray results'!H:H=B49) &gt; 0, 0))</f>
        <v>7.7262330000000004E-2</v>
      </c>
    </row>
    <row r="50" spans="1:8" x14ac:dyDescent="0.25">
      <c r="A50" t="str" cm="1">
        <f t="array" ref="A50">INDEX('T. S2 microarray results'!A:A, MATCH(TRUE, ('T. S2 microarray results'!B:B=B50) + ('T. S2 microarray results'!C:C=B50) + ('T. S2 microarray results'!D:D=B50) + ('T. S2 microarray results'!E:E=B50) + ('T. S2 microarray results'!F:F=B50) + ('T. S2 microarray results'!G:G=B50) + ('T. S2 microarray results'!H:H=B50) &gt; 0, 0))</f>
        <v>YHR150W</v>
      </c>
      <c r="B50" t="s">
        <v>7417</v>
      </c>
      <c r="C50" s="4" t="s">
        <v>14301</v>
      </c>
      <c r="D50" s="4" t="str">
        <f t="shared" si="0"/>
        <v>YHR150W/PEX28</v>
      </c>
      <c r="E50" s="4">
        <f t="shared" si="1"/>
        <v>0</v>
      </c>
      <c r="F50" cm="1">
        <f t="array" ref="F50">INDEX('T. S2 microarray results'!J:J, MATCH(TRUE, ('T. S2 microarray results'!B:B=B50) + ('T. S2 microarray results'!C:C=B50) + ('T. S2 microarray results'!D:D=B50) + ('T. S2 microarray results'!E:E=B50) + ('T. S2 microarray results'!F:F=B50) + ('T. S2 microarray results'!G:G=B50) + ('T. S2 microarray results'!H:H=B50) &gt; 0, 0))</f>
        <v>0.54719850000000003</v>
      </c>
      <c r="G50" cm="1">
        <f t="array" ref="G50">INDEX('T. S2 microarray results'!K:K, MATCH(TRUE, ('T. S2 microarray results'!B:B=B50) + ('T. S2 microarray results'!C:C=B50) + ('T. S2 microarray results'!D:D=B50) + ('T. S2 microarray results'!E:E=B50) + ('T. S2 microarray results'!F:F=B50) + ('T. S2 microarray results'!G:G=B50) + ('T. S2 microarray results'!H:H=B50) &gt; 0, 0))</f>
        <v>-0.10254630000000001</v>
      </c>
      <c r="H50" cm="1">
        <f t="array" ref="H50">INDEX('T. S2 microarray results'!L:L, MATCH(TRUE, ('T. S2 microarray results'!B:B=B50) + ('T. S2 microarray results'!C:C=B50) + ('T. S2 microarray results'!D:D=B50) + ('T. S2 microarray results'!E:E=B50) + ('T. S2 microarray results'!F:F=B50) + ('T. S2 microarray results'!G:G=B50) + ('T. S2 microarray results'!H:H=B50) &gt; 0, 0))</f>
        <v>0.25588490000000003</v>
      </c>
    </row>
    <row r="51" spans="1:8" x14ac:dyDescent="0.25">
      <c r="A51" t="str" cm="1">
        <f t="array" ref="A51">INDEX('T. S2 microarray results'!A:A, MATCH(TRUE, ('T. S2 microarray results'!B:B=B51) + ('T. S2 microarray results'!C:C=B51) + ('T. S2 microarray results'!D:D=B51) + ('T. S2 microarray results'!E:E=B51) + ('T. S2 microarray results'!F:F=B51) + ('T. S2 microarray results'!G:G=B51) + ('T. S2 microarray results'!H:H=B51) &gt; 0, 0))</f>
        <v>YDR069C</v>
      </c>
      <c r="B51" t="s">
        <v>12112</v>
      </c>
      <c r="C51" s="4" t="s">
        <v>14301</v>
      </c>
      <c r="D51" s="4" t="str">
        <f t="shared" si="0"/>
        <v>YDR069C/DOA4</v>
      </c>
      <c r="E51" s="4">
        <f t="shared" si="1"/>
        <v>0</v>
      </c>
      <c r="F51" cm="1">
        <f t="array" ref="F51">INDEX('T. S2 microarray results'!J:J, MATCH(TRUE, ('T. S2 microarray results'!B:B=B51) + ('T. S2 microarray results'!C:C=B51) + ('T. S2 microarray results'!D:D=B51) + ('T. S2 microarray results'!E:E=B51) + ('T. S2 microarray results'!F:F=B51) + ('T. S2 microarray results'!G:G=B51) + ('T. S2 microarray results'!H:H=B51) &gt; 0, 0))</f>
        <v>-0.1134114</v>
      </c>
      <c r="G51" cm="1">
        <f t="array" ref="G51">INDEX('T. S2 microarray results'!K:K, MATCH(TRUE, ('T. S2 microarray results'!B:B=B51) + ('T. S2 microarray results'!C:C=B51) + ('T. S2 microarray results'!D:D=B51) + ('T. S2 microarray results'!E:E=B51) + ('T. S2 microarray results'!F:F=B51) + ('T. S2 microarray results'!G:G=B51) + ('T. S2 microarray results'!H:H=B51) &gt; 0, 0))</f>
        <v>7.8960180000000005E-2</v>
      </c>
      <c r="H51" cm="1">
        <f t="array" ref="H51">INDEX('T. S2 microarray results'!L:L, MATCH(TRUE, ('T. S2 microarray results'!B:B=B51) + ('T. S2 microarray results'!C:C=B51) + ('T. S2 microarray results'!D:D=B51) + ('T. S2 microarray results'!E:E=B51) + ('T. S2 microarray results'!F:F=B51) + ('T. S2 microarray results'!G:G=B51) + ('T. S2 microarray results'!H:H=B51) &gt; 0, 0))</f>
        <v>9.6073779999999998E-2</v>
      </c>
    </row>
    <row r="52" spans="1:8" x14ac:dyDescent="0.25">
      <c r="A52" t="str" cm="1">
        <f t="array" ref="A52">INDEX('T. S2 microarray results'!A:A, MATCH(TRUE, ('T. S2 microarray results'!B:B=B52) + ('T. S2 microarray results'!C:C=B52) + ('T. S2 microarray results'!D:D=B52) + ('T. S2 microarray results'!E:E=B52) + ('T. S2 microarray results'!F:F=B52) + ('T. S2 microarray results'!G:G=B52) + ('T. S2 microarray results'!H:H=B52) &gt; 0, 0))</f>
        <v>YOR023C</v>
      </c>
      <c r="B52" t="s">
        <v>1917</v>
      </c>
      <c r="C52" s="4" t="s">
        <v>14301</v>
      </c>
      <c r="D52" s="4" t="str">
        <f t="shared" si="0"/>
        <v>YOR023C/AHC1</v>
      </c>
      <c r="E52" s="4">
        <f t="shared" si="1"/>
        <v>0</v>
      </c>
      <c r="F52" cm="1">
        <f t="array" ref="F52">INDEX('T. S2 microarray results'!J:J, MATCH(TRUE, ('T. S2 microarray results'!B:B=B52) + ('T. S2 microarray results'!C:C=B52) + ('T. S2 microarray results'!D:D=B52) + ('T. S2 microarray results'!E:E=B52) + ('T. S2 microarray results'!F:F=B52) + ('T. S2 microarray results'!G:G=B52) + ('T. S2 microarray results'!H:H=B52) &gt; 0, 0))</f>
        <v>0.31482189999999999</v>
      </c>
      <c r="G52" cm="1">
        <f t="array" ref="G52">INDEX('T. S2 microarray results'!K:K, MATCH(TRUE, ('T. S2 microarray results'!B:B=B52) + ('T. S2 microarray results'!C:C=B52) + ('T. S2 microarray results'!D:D=B52) + ('T. S2 microarray results'!E:E=B52) + ('T. S2 microarray results'!F:F=B52) + ('T. S2 microarray results'!G:G=B52) + ('T. S2 microarray results'!H:H=B52) &gt; 0, 0))</f>
        <v>4.9456359999999998E-3</v>
      </c>
      <c r="H52" cm="1">
        <f t="array" ref="H52">INDEX('T. S2 microarray results'!L:L, MATCH(TRUE, ('T. S2 microarray results'!B:B=B52) + ('T. S2 microarray results'!C:C=B52) + ('T. S2 microarray results'!D:D=B52) + ('T. S2 microarray results'!E:E=B52) + ('T. S2 microarray results'!F:F=B52) + ('T. S2 microarray results'!G:G=B52) + ('T. S2 microarray results'!H:H=B52) &gt; 0, 0))</f>
        <v>0.17260239999999999</v>
      </c>
    </row>
    <row r="53" spans="1:8" x14ac:dyDescent="0.25">
      <c r="A53" t="str" cm="1">
        <f t="array" ref="A53">INDEX('T. S2 microarray results'!A:A, MATCH(TRUE, ('T. S2 microarray results'!B:B=B53) + ('T. S2 microarray results'!C:C=B53) + ('T. S2 microarray results'!D:D=B53) + ('T. S2 microarray results'!E:E=B53) + ('T. S2 microarray results'!F:F=B53) + ('T. S2 microarray results'!G:G=B53) + ('T. S2 microarray results'!H:H=B53) &gt; 0, 0))</f>
        <v>YBL025W</v>
      </c>
      <c r="B53" t="s">
        <v>13779</v>
      </c>
      <c r="C53" s="4" t="s">
        <v>14301</v>
      </c>
      <c r="D53" s="4" t="str">
        <f t="shared" si="0"/>
        <v>YBL025W/RRN10</v>
      </c>
      <c r="E53" s="4">
        <f t="shared" si="1"/>
        <v>0</v>
      </c>
      <c r="F53" cm="1">
        <f t="array" ref="F53">INDEX('T. S2 microarray results'!J:J, MATCH(TRUE, ('T. S2 microarray results'!B:B=B53) + ('T. S2 microarray results'!C:C=B53) + ('T. S2 microarray results'!D:D=B53) + ('T. S2 microarray results'!E:E=B53) + ('T. S2 microarray results'!F:F=B53) + ('T. S2 microarray results'!G:G=B53) + ('T. S2 microarray results'!H:H=B53) &gt; 0, 0))</f>
        <v>3.7221579999999997E-2</v>
      </c>
      <c r="G53" cm="1">
        <f t="array" ref="G53">INDEX('T. S2 microarray results'!K:K, MATCH(TRUE, ('T. S2 microarray results'!B:B=B53) + ('T. S2 microarray results'!C:C=B53) + ('T. S2 microarray results'!D:D=B53) + ('T. S2 microarray results'!E:E=B53) + ('T. S2 microarray results'!F:F=B53) + ('T. S2 microarray results'!G:G=B53) + ('T. S2 microarray results'!H:H=B53) &gt; 0, 0))</f>
        <v>-0.28835490000000003</v>
      </c>
      <c r="H53" cm="1">
        <f t="array" ref="H53">INDEX('T. S2 microarray results'!L:L, MATCH(TRUE, ('T. S2 microarray results'!B:B=B53) + ('T. S2 microarray results'!C:C=B53) + ('T. S2 microarray results'!D:D=B53) + ('T. S2 microarray results'!E:E=B53) + ('T. S2 microarray results'!F:F=B53) + ('T. S2 microarray results'!G:G=B53) + ('T. S2 microarray results'!H:H=B53) &gt; 0, 0))</f>
        <v>0.14829059999999999</v>
      </c>
    </row>
    <row r="54" spans="1:8" x14ac:dyDescent="0.25">
      <c r="A54" t="str" cm="1">
        <f t="array" ref="A54">INDEX('T. S2 microarray results'!A:A, MATCH(TRUE, ('T. S2 microarray results'!B:B=B54) + ('T. S2 microarray results'!C:C=B54) + ('T. S2 microarray results'!D:D=B54) + ('T. S2 microarray results'!E:E=B54) + ('T. S2 microarray results'!F:F=B54) + ('T. S2 microarray results'!G:G=B54) + ('T. S2 microarray results'!H:H=B54) &gt; 0, 0))</f>
        <v>YLR270W</v>
      </c>
      <c r="B54" t="s">
        <v>5471</v>
      </c>
      <c r="C54" s="4" t="s">
        <v>14301</v>
      </c>
      <c r="D54" s="4" t="str">
        <f t="shared" si="0"/>
        <v>YLR270W/DCS1</v>
      </c>
      <c r="E54" s="4">
        <f t="shared" si="1"/>
        <v>0</v>
      </c>
      <c r="F54" cm="1">
        <f t="array" ref="F54">INDEX('T. S2 microarray results'!J:J, MATCH(TRUE, ('T. S2 microarray results'!B:B=B54) + ('T. S2 microarray results'!C:C=B54) + ('T. S2 microarray results'!D:D=B54) + ('T. S2 microarray results'!E:E=B54) + ('T. S2 microarray results'!F:F=B54) + ('T. S2 microarray results'!G:G=B54) + ('T. S2 microarray results'!H:H=B54) &gt; 0, 0))</f>
        <v>0.47554479999999999</v>
      </c>
      <c r="G54" cm="1">
        <f t="array" ref="G54">INDEX('T. S2 microarray results'!K:K, MATCH(TRUE, ('T. S2 microarray results'!B:B=B54) + ('T. S2 microarray results'!C:C=B54) + ('T. S2 microarray results'!D:D=B54) + ('T. S2 microarray results'!E:E=B54) + ('T. S2 microarray results'!F:F=B54) + ('T. S2 microarray results'!G:G=B54) + ('T. S2 microarray results'!H:H=B54) &gt; 0, 0))</f>
        <v>0.14493310000000001</v>
      </c>
      <c r="H54" cm="1">
        <f t="array" ref="H54">INDEX('T. S2 microarray results'!L:L, MATCH(TRUE, ('T. S2 microarray results'!B:B=B54) + ('T. S2 microarray results'!C:C=B54) + ('T. S2 microarray results'!D:D=B54) + ('T. S2 microarray results'!E:E=B54) + ('T. S2 microarray results'!F:F=B54) + ('T. S2 microarray results'!G:G=B54) + ('T. S2 microarray results'!H:H=B54) &gt; 0, 0))</f>
        <v>0.34102120000000002</v>
      </c>
    </row>
    <row r="55" spans="1:8" x14ac:dyDescent="0.25">
      <c r="A55" t="str" cm="1">
        <f t="array" ref="A55">INDEX('T. S2 microarray results'!A:A, MATCH(TRUE, ('T. S2 microarray results'!B:B=B55) + ('T. S2 microarray results'!C:C=B55) + ('T. S2 microarray results'!D:D=B55) + ('T. S2 microarray results'!E:E=B55) + ('T. S2 microarray results'!F:F=B55) + ('T. S2 microarray results'!G:G=B55) + ('T. S2 microarray results'!H:H=B55) &gt; 0, 0))</f>
        <v>YAL020C</v>
      </c>
      <c r="B55" t="s">
        <v>14028</v>
      </c>
      <c r="C55" s="4" t="s">
        <v>14301</v>
      </c>
      <c r="D55" s="4" t="str">
        <f t="shared" si="0"/>
        <v>YAL020C/ATS1</v>
      </c>
      <c r="E55" s="4">
        <f t="shared" si="1"/>
        <v>0</v>
      </c>
      <c r="F55" cm="1">
        <f t="array" ref="F55">INDEX('T. S2 microarray results'!J:J, MATCH(TRUE, ('T. S2 microarray results'!B:B=B55) + ('T. S2 microarray results'!C:C=B55) + ('T. S2 microarray results'!D:D=B55) + ('T. S2 microarray results'!E:E=B55) + ('T. S2 microarray results'!F:F=B55) + ('T. S2 microarray results'!G:G=B55) + ('T. S2 microarray results'!H:H=B55) &gt; 0, 0))</f>
        <v>-0.2464681</v>
      </c>
      <c r="G55" cm="1">
        <f t="array" ref="G55">INDEX('T. S2 microarray results'!K:K, MATCH(TRUE, ('T. S2 microarray results'!B:B=B55) + ('T. S2 microarray results'!C:C=B55) + ('T. S2 microarray results'!D:D=B55) + ('T. S2 microarray results'!E:E=B55) + ('T. S2 microarray results'!F:F=B55) + ('T. S2 microarray results'!G:G=B55) + ('T. S2 microarray results'!H:H=B55) &gt; 0, 0))</f>
        <v>0.59446310000000002</v>
      </c>
      <c r="H55" cm="1">
        <f t="array" ref="H55">INDEX('T. S2 microarray results'!L:L, MATCH(TRUE, ('T. S2 microarray results'!B:B=B55) + ('T. S2 microarray results'!C:C=B55) + ('T. S2 microarray results'!D:D=B55) + ('T. S2 microarray results'!E:E=B55) + ('T. S2 microarray results'!F:F=B55) + ('T. S2 microarray results'!G:G=B55) + ('T. S2 microarray results'!H:H=B55) &gt; 0, 0))</f>
        <v>0.1259605</v>
      </c>
    </row>
    <row r="56" spans="1:8" x14ac:dyDescent="0.25">
      <c r="A56" t="str" cm="1">
        <f t="array" ref="A56">INDEX('T. S2 microarray results'!A:A, MATCH(TRUE, ('T. S2 microarray results'!B:B=B56) + ('T. S2 microarray results'!C:C=B56) + ('T. S2 microarray results'!D:D=B56) + ('T. S2 microarray results'!E:E=B56) + ('T. S2 microarray results'!F:F=B56) + ('T. S2 microarray results'!G:G=B56) + ('T. S2 microarray results'!H:H=B56) &gt; 0, 0))</f>
        <v>YLL046C</v>
      </c>
      <c r="B56" t="s">
        <v>5105</v>
      </c>
      <c r="C56" s="4" t="s">
        <v>14301</v>
      </c>
      <c r="D56" s="4" t="str">
        <f t="shared" si="0"/>
        <v>YLL046C/RNP1</v>
      </c>
      <c r="E56" s="4">
        <f t="shared" si="1"/>
        <v>0</v>
      </c>
      <c r="F56" cm="1">
        <f t="array" ref="F56">INDEX('T. S2 microarray results'!J:J, MATCH(TRUE, ('T. S2 microarray results'!B:B=B56) + ('T. S2 microarray results'!C:C=B56) + ('T. S2 microarray results'!D:D=B56) + ('T. S2 microarray results'!E:E=B56) + ('T. S2 microarray results'!F:F=B56) + ('T. S2 microarray results'!G:G=B56) + ('T. S2 microarray results'!H:H=B56) &gt; 0, 0))</f>
        <v>6.5876529999999997E-3</v>
      </c>
      <c r="G56" cm="1">
        <f t="array" ref="G56">INDEX('T. S2 microarray results'!K:K, MATCH(TRUE, ('T. S2 microarray results'!B:B=B56) + ('T. S2 microarray results'!C:C=B56) + ('T. S2 microarray results'!D:D=B56) + ('T. S2 microarray results'!E:E=B56) + ('T. S2 microarray results'!F:F=B56) + ('T. S2 microarray results'!G:G=B56) + ('T. S2 microarray results'!H:H=B56) &gt; 0, 0))</f>
        <v>-0.1756614</v>
      </c>
      <c r="H56" cm="1">
        <f t="array" ref="H56">INDEX('T. S2 microarray results'!L:L, MATCH(TRUE, ('T. S2 microarray results'!B:B=B56) + ('T. S2 microarray results'!C:C=B56) + ('T. S2 microarray results'!D:D=B56) + ('T. S2 microarray results'!E:E=B56) + ('T. S2 microarray results'!F:F=B56) + ('T. S2 microarray results'!G:G=B56) + ('T. S2 microarray results'!H:H=B56) &gt; 0, 0))</f>
        <v>-1.6326159999999999E-2</v>
      </c>
    </row>
    <row r="57" spans="1:8" x14ac:dyDescent="0.25">
      <c r="A57" t="str" cm="1">
        <f t="array" ref="A57">INDEX('T. S2 microarray results'!A:A, MATCH(TRUE, ('T. S2 microarray results'!B:B=B57) + ('T. S2 microarray results'!C:C=B57) + ('T. S2 microarray results'!D:D=B57) + ('T. S2 microarray results'!E:E=B57) + ('T. S2 microarray results'!F:F=B57) + ('T. S2 microarray results'!G:G=B57) + ('T. S2 microarray results'!H:H=B57) &gt; 0, 0))</f>
        <v>YDR283C</v>
      </c>
      <c r="B57" t="s">
        <v>11283</v>
      </c>
      <c r="C57" s="4" t="s">
        <v>14301</v>
      </c>
      <c r="D57" s="4" t="str">
        <f t="shared" si="0"/>
        <v>YDR283C/GCN2</v>
      </c>
      <c r="E57" s="4">
        <f t="shared" si="1"/>
        <v>0</v>
      </c>
      <c r="F57" cm="1">
        <f t="array" ref="F57">INDEX('T. S2 microarray results'!J:J, MATCH(TRUE, ('T. S2 microarray results'!B:B=B57) + ('T. S2 microarray results'!C:C=B57) + ('T. S2 microarray results'!D:D=B57) + ('T. S2 microarray results'!E:E=B57) + ('T. S2 microarray results'!F:F=B57) + ('T. S2 microarray results'!G:G=B57) + ('T. S2 microarray results'!H:H=B57) &gt; 0, 0))</f>
        <v>0.55025429999999997</v>
      </c>
      <c r="G57" cm="1">
        <f t="array" ref="G57">INDEX('T. S2 microarray results'!K:K, MATCH(TRUE, ('T. S2 microarray results'!B:B=B57) + ('T. S2 microarray results'!C:C=B57) + ('T. S2 microarray results'!D:D=B57) + ('T. S2 microarray results'!E:E=B57) + ('T. S2 microarray results'!F:F=B57) + ('T. S2 microarray results'!G:G=B57) + ('T. S2 microarray results'!H:H=B57) &gt; 0, 0))</f>
        <v>-6.3713340000000002E-3</v>
      </c>
      <c r="H57" cm="1">
        <f t="array" ref="H57">INDEX('T. S2 microarray results'!L:L, MATCH(TRUE, ('T. S2 microarray results'!B:B=B57) + ('T. S2 microarray results'!C:C=B57) + ('T. S2 microarray results'!D:D=B57) + ('T. S2 microarray results'!E:E=B57) + ('T. S2 microarray results'!F:F=B57) + ('T. S2 microarray results'!G:G=B57) + ('T. S2 microarray results'!H:H=B57) &gt; 0, 0))</f>
        <v>0.58559450000000002</v>
      </c>
    </row>
    <row r="58" spans="1:8" x14ac:dyDescent="0.25">
      <c r="A58" t="str" cm="1">
        <f t="array" ref="A58">INDEX('T. S2 microarray results'!A:A, MATCH(TRUE, ('T. S2 microarray results'!B:B=B58) + ('T. S2 microarray results'!C:C=B58) + ('T. S2 microarray results'!D:D=B58) + ('T. S2 microarray results'!E:E=B58) + ('T. S2 microarray results'!F:F=B58) + ('T. S2 microarray results'!G:G=B58) + ('T. S2 microarray results'!H:H=B58) &gt; 0, 0))</f>
        <v>YOR221C</v>
      </c>
      <c r="B58" t="s">
        <v>888</v>
      </c>
      <c r="C58" s="4" t="s">
        <v>14301</v>
      </c>
      <c r="D58" s="4" t="str">
        <f t="shared" si="0"/>
        <v>YOR221C/MCT1</v>
      </c>
      <c r="E58" s="4">
        <f t="shared" si="1"/>
        <v>0</v>
      </c>
      <c r="F58" cm="1">
        <f t="array" ref="F58">INDEX('T. S2 microarray results'!J:J, MATCH(TRUE, ('T. S2 microarray results'!B:B=B58) + ('T. S2 microarray results'!C:C=B58) + ('T. S2 microarray results'!D:D=B58) + ('T. S2 microarray results'!E:E=B58) + ('T. S2 microarray results'!F:F=B58) + ('T. S2 microarray results'!G:G=B58) + ('T. S2 microarray results'!H:H=B58) &gt; 0, 0))</f>
        <v>0.51524599999999998</v>
      </c>
      <c r="G58" cm="1">
        <f t="array" ref="G58">INDEX('T. S2 microarray results'!K:K, MATCH(TRUE, ('T. S2 microarray results'!B:B=B58) + ('T. S2 microarray results'!C:C=B58) + ('T. S2 microarray results'!D:D=B58) + ('T. S2 microarray results'!E:E=B58) + ('T. S2 microarray results'!F:F=B58) + ('T. S2 microarray results'!G:G=B58) + ('T. S2 microarray results'!H:H=B58) &gt; 0, 0))</f>
        <v>-0.1029544</v>
      </c>
      <c r="H58" cm="1">
        <f t="array" ref="H58">INDEX('T. S2 microarray results'!L:L, MATCH(TRUE, ('T. S2 microarray results'!B:B=B58) + ('T. S2 microarray results'!C:C=B58) + ('T. S2 microarray results'!D:D=B58) + ('T. S2 microarray results'!E:E=B58) + ('T. S2 microarray results'!F:F=B58) + ('T. S2 microarray results'!G:G=B58) + ('T. S2 microarray results'!H:H=B58) &gt; 0, 0))</f>
        <v>0.26639819999999997</v>
      </c>
    </row>
    <row r="59" spans="1:8" x14ac:dyDescent="0.25">
      <c r="A59" t="str" cm="1">
        <f t="array" ref="A59">INDEX('T. S2 microarray results'!A:A, MATCH(TRUE, ('T. S2 microarray results'!B:B=B59) + ('T. S2 microarray results'!C:C=B59) + ('T. S2 microarray results'!D:D=B59) + ('T. S2 microarray results'!E:E=B59) + ('T. S2 microarray results'!F:F=B59) + ('T. S2 microarray results'!G:G=B59) + ('T. S2 microarray results'!H:H=B59) &gt; 0, 0))</f>
        <v>YNL229C</v>
      </c>
      <c r="B59" t="s">
        <v>3394</v>
      </c>
      <c r="C59" s="4" t="s">
        <v>14301</v>
      </c>
      <c r="D59" s="4" t="str">
        <f t="shared" si="0"/>
        <v>YNL229C/URE2</v>
      </c>
      <c r="E59" s="4">
        <f t="shared" si="1"/>
        <v>0</v>
      </c>
      <c r="F59" cm="1">
        <f t="array" ref="F59">INDEX('T. S2 microarray results'!J:J, MATCH(TRUE, ('T. S2 microarray results'!B:B=B59) + ('T. S2 microarray results'!C:C=B59) + ('T. S2 microarray results'!D:D=B59) + ('T. S2 microarray results'!E:E=B59) + ('T. S2 microarray results'!F:F=B59) + ('T. S2 microarray results'!G:G=B59) + ('T. S2 microarray results'!H:H=B59) &gt; 0, 0))</f>
        <v>-0.1936687</v>
      </c>
      <c r="G59" cm="1">
        <f t="array" ref="G59">INDEX('T. S2 microarray results'!K:K, MATCH(TRUE, ('T. S2 microarray results'!B:B=B59) + ('T. S2 microarray results'!C:C=B59) + ('T. S2 microarray results'!D:D=B59) + ('T. S2 microarray results'!E:E=B59) + ('T. S2 microarray results'!F:F=B59) + ('T. S2 microarray results'!G:G=B59) + ('T. S2 microarray results'!H:H=B59) &gt; 0, 0))</f>
        <v>-1.0719160000000001</v>
      </c>
      <c r="H59" cm="1">
        <f t="array" ref="H59">INDEX('T. S2 microarray results'!L:L, MATCH(TRUE, ('T. S2 microarray results'!B:B=B59) + ('T. S2 microarray results'!C:C=B59) + ('T. S2 microarray results'!D:D=B59) + ('T. S2 microarray results'!E:E=B59) + ('T. S2 microarray results'!F:F=B59) + ('T. S2 microarray results'!G:G=B59) + ('T. S2 microarray results'!H:H=B59) &gt; 0, 0))</f>
        <v>-0.74802800000000003</v>
      </c>
    </row>
    <row r="60" spans="1:8" x14ac:dyDescent="0.25">
      <c r="A60" t="str" cm="1">
        <f t="array" ref="A60">INDEX('T. S2 microarray results'!A:A, MATCH(TRUE, ('T. S2 microarray results'!B:B=B60) + ('T. S2 microarray results'!C:C=B60) + ('T. S2 microarray results'!D:D=B60) + ('T. S2 microarray results'!E:E=B60) + ('T. S2 microarray results'!F:F=B60) + ('T. S2 microarray results'!G:G=B60) + ('T. S2 microarray results'!H:H=B60) &gt; 0, 0))</f>
        <v>YNL214W</v>
      </c>
      <c r="B60" t="s">
        <v>3428</v>
      </c>
      <c r="C60" s="4" t="s">
        <v>14301</v>
      </c>
      <c r="D60" s="4" t="str">
        <f t="shared" si="0"/>
        <v>YNL214W/PEX17</v>
      </c>
      <c r="E60" s="4">
        <f t="shared" si="1"/>
        <v>0</v>
      </c>
      <c r="F60" cm="1">
        <f t="array" ref="F60">INDEX('T. S2 microarray results'!J:J, MATCH(TRUE, ('T. S2 microarray results'!B:B=B60) + ('T. S2 microarray results'!C:C=B60) + ('T. S2 microarray results'!D:D=B60) + ('T. S2 microarray results'!E:E=B60) + ('T. S2 microarray results'!F:F=B60) + ('T. S2 microarray results'!G:G=B60) + ('T. S2 microarray results'!H:H=B60) &gt; 0, 0))</f>
        <v>0.43681389999999998</v>
      </c>
      <c r="G60" cm="1">
        <f t="array" ref="G60">INDEX('T. S2 microarray results'!K:K, MATCH(TRUE, ('T. S2 microarray results'!B:B=B60) + ('T. S2 microarray results'!C:C=B60) + ('T. S2 microarray results'!D:D=B60) + ('T. S2 microarray results'!E:E=B60) + ('T. S2 microarray results'!F:F=B60) + ('T. S2 microarray results'!G:G=B60) + ('T. S2 microarray results'!H:H=B60) &gt; 0, 0))</f>
        <v>0.28184379999999998</v>
      </c>
      <c r="H60" cm="1">
        <f t="array" ref="H60">INDEX('T. S2 microarray results'!L:L, MATCH(TRUE, ('T. S2 microarray results'!B:B=B60) + ('T. S2 microarray results'!C:C=B60) + ('T. S2 microarray results'!D:D=B60) + ('T. S2 microarray results'!E:E=B60) + ('T. S2 microarray results'!F:F=B60) + ('T. S2 microarray results'!G:G=B60) + ('T. S2 microarray results'!H:H=B60) &gt; 0, 0))</f>
        <v>0.62305750000000004</v>
      </c>
    </row>
    <row r="61" spans="1:8" x14ac:dyDescent="0.25">
      <c r="A61" t="str" cm="1">
        <f t="array" ref="A61">INDEX('T. S2 microarray results'!A:A, MATCH(TRUE, ('T. S2 microarray results'!B:B=B61) + ('T. S2 microarray results'!C:C=B61) + ('T. S2 microarray results'!D:D=B61) + ('T. S2 microarray results'!E:E=B61) + ('T. S2 microarray results'!F:F=B61) + ('T. S2 microarray results'!G:G=B61) + ('T. S2 microarray results'!H:H=B61) &gt; 0, 0))</f>
        <v>YGL058W</v>
      </c>
      <c r="B61" t="s">
        <v>10067</v>
      </c>
      <c r="C61" s="4" t="s">
        <v>14301</v>
      </c>
      <c r="D61" s="4" t="str">
        <f t="shared" si="0"/>
        <v>YGL058W/RAD6</v>
      </c>
      <c r="E61" s="4">
        <f t="shared" si="1"/>
        <v>0</v>
      </c>
      <c r="F61" cm="1">
        <f t="array" ref="F61">INDEX('T. S2 microarray results'!J:J, MATCH(TRUE, ('T. S2 microarray results'!B:B=B61) + ('T. S2 microarray results'!C:C=B61) + ('T. S2 microarray results'!D:D=B61) + ('T. S2 microarray results'!E:E=B61) + ('T. S2 microarray results'!F:F=B61) + ('T. S2 microarray results'!G:G=B61) + ('T. S2 microarray results'!H:H=B61) &gt; 0, 0))</f>
        <v>-0.40516740000000001</v>
      </c>
      <c r="G61" cm="1">
        <f t="array" ref="G61">INDEX('T. S2 microarray results'!K:K, MATCH(TRUE, ('T. S2 microarray results'!B:B=B61) + ('T. S2 microarray results'!C:C=B61) + ('T. S2 microarray results'!D:D=B61) + ('T. S2 microarray results'!E:E=B61) + ('T. S2 microarray results'!F:F=B61) + ('T. S2 microarray results'!G:G=B61) + ('T. S2 microarray results'!H:H=B61) &gt; 0, 0))</f>
        <v>-0.68611909999999998</v>
      </c>
      <c r="H61" cm="1">
        <f t="array" ref="H61">INDEX('T. S2 microarray results'!L:L, MATCH(TRUE, ('T. S2 microarray results'!B:B=B61) + ('T. S2 microarray results'!C:C=B61) + ('T. S2 microarray results'!D:D=B61) + ('T. S2 microarray results'!E:E=B61) + ('T. S2 microarray results'!F:F=B61) + ('T. S2 microarray results'!G:G=B61) + ('T. S2 microarray results'!H:H=B61) &gt; 0, 0))</f>
        <v>-0.2399454</v>
      </c>
    </row>
    <row r="62" spans="1:8" x14ac:dyDescent="0.25">
      <c r="A62" t="str" cm="1">
        <f t="array" ref="A62">INDEX('T. S2 microarray results'!A:A, MATCH(TRUE, ('T. S2 microarray results'!B:B=B62) + ('T. S2 microarray results'!C:C=B62) + ('T. S2 microarray results'!D:D=B62) + ('T. S2 microarray results'!E:E=B62) + ('T. S2 microarray results'!F:F=B62) + ('T. S2 microarray results'!G:G=B62) + ('T. S2 microarray results'!H:H=B62) &gt; 0, 0))</f>
        <v>YNL183C</v>
      </c>
      <c r="B62" t="s">
        <v>3500</v>
      </c>
      <c r="C62" s="4" t="s">
        <v>14301</v>
      </c>
      <c r="D62" s="4" t="str">
        <f t="shared" si="0"/>
        <v>YNL183C/NPR1</v>
      </c>
      <c r="E62" s="4">
        <f t="shared" si="1"/>
        <v>0</v>
      </c>
      <c r="F62" cm="1">
        <f t="array" ref="F62">INDEX('T. S2 microarray results'!J:J, MATCH(TRUE, ('T. S2 microarray results'!B:B=B62) + ('T. S2 microarray results'!C:C=B62) + ('T. S2 microarray results'!D:D=B62) + ('T. S2 microarray results'!E:E=B62) + ('T. S2 microarray results'!F:F=B62) + ('T. S2 microarray results'!G:G=B62) + ('T. S2 microarray results'!H:H=B62) &gt; 0, 0))</f>
        <v>0.29802780000000001</v>
      </c>
      <c r="G62" cm="1">
        <f t="array" ref="G62">INDEX('T. S2 microarray results'!K:K, MATCH(TRUE, ('T. S2 microarray results'!B:B=B62) + ('T. S2 microarray results'!C:C=B62) + ('T. S2 microarray results'!D:D=B62) + ('T. S2 microarray results'!E:E=B62) + ('T. S2 microarray results'!F:F=B62) + ('T. S2 microarray results'!G:G=B62) + ('T. S2 microarray results'!H:H=B62) &gt; 0, 0))</f>
        <v>0.4037713</v>
      </c>
      <c r="H62" cm="1">
        <f t="array" ref="H62">INDEX('T. S2 microarray results'!L:L, MATCH(TRUE, ('T. S2 microarray results'!B:B=B62) + ('T. S2 microarray results'!C:C=B62) + ('T. S2 microarray results'!D:D=B62) + ('T. S2 microarray results'!E:E=B62) + ('T. S2 microarray results'!F:F=B62) + ('T. S2 microarray results'!G:G=B62) + ('T. S2 microarray results'!H:H=B62) &gt; 0, 0))</f>
        <v>6.1073679999999998E-2</v>
      </c>
    </row>
    <row r="63" spans="1:8" x14ac:dyDescent="0.25">
      <c r="A63" t="str" cm="1">
        <f t="array" ref="A63">INDEX('T. S2 microarray results'!A:A, MATCH(TRUE, ('T. S2 microarray results'!B:B=B63) + ('T. S2 microarray results'!C:C=B63) + ('T. S2 microarray results'!D:D=B63) + ('T. S2 microarray results'!E:E=B63) + ('T. S2 microarray results'!F:F=B63) + ('T. S2 microarray results'!G:G=B63) + ('T. S2 microarray results'!H:H=B63) &gt; 0, 0))</f>
        <v>YEL029C</v>
      </c>
      <c r="B63" t="s">
        <v>10468</v>
      </c>
      <c r="C63" s="4" t="s">
        <v>14301</v>
      </c>
      <c r="D63" s="4" t="str">
        <f t="shared" si="0"/>
        <v>YEL029C/BUD16</v>
      </c>
      <c r="E63" s="4">
        <f t="shared" si="1"/>
        <v>0</v>
      </c>
      <c r="F63" cm="1">
        <f t="array" ref="F63">INDEX('T. S2 microarray results'!J:J, MATCH(TRUE, ('T. S2 microarray results'!B:B=B63) + ('T. S2 microarray results'!C:C=B63) + ('T. S2 microarray results'!D:D=B63) + ('T. S2 microarray results'!E:E=B63) + ('T. S2 microarray results'!F:F=B63) + ('T. S2 microarray results'!G:G=B63) + ('T. S2 microarray results'!H:H=B63) &gt; 0, 0))</f>
        <v>0.36014350000000001</v>
      </c>
      <c r="G63" cm="1">
        <f t="array" ref="G63">INDEX('T. S2 microarray results'!K:K, MATCH(TRUE, ('T. S2 microarray results'!B:B=B63) + ('T. S2 microarray results'!C:C=B63) + ('T. S2 microarray results'!D:D=B63) + ('T. S2 microarray results'!E:E=B63) + ('T. S2 microarray results'!F:F=B63) + ('T. S2 microarray results'!G:G=B63) + ('T. S2 microarray results'!H:H=B63) &gt; 0, 0))</f>
        <v>0.47310269999999999</v>
      </c>
      <c r="H63" cm="1">
        <f t="array" ref="H63">INDEX('T. S2 microarray results'!L:L, MATCH(TRUE, ('T. S2 microarray results'!B:B=B63) + ('T. S2 microarray results'!C:C=B63) + ('T. S2 microarray results'!D:D=B63) + ('T. S2 microarray results'!E:E=B63) + ('T. S2 microarray results'!F:F=B63) + ('T. S2 microarray results'!G:G=B63) + ('T. S2 microarray results'!H:H=B63) &gt; 0, 0))</f>
        <v>-0.1113633</v>
      </c>
    </row>
    <row r="64" spans="1:8" x14ac:dyDescent="0.25">
      <c r="A64" t="str" cm="1">
        <f t="array" ref="A64">INDEX('T. S2 microarray results'!A:A, MATCH(TRUE, ('T. S2 microarray results'!B:B=B64) + ('T. S2 microarray results'!C:C=B64) + ('T. S2 microarray results'!D:D=B64) + ('T. S2 microarray results'!E:E=B64) + ('T. S2 microarray results'!F:F=B64) + ('T. S2 microarray results'!G:G=B64) + ('T. S2 microarray results'!H:H=B64) &gt; 0, 0))</f>
        <v>YJL168C</v>
      </c>
      <c r="B64" t="s">
        <v>6368</v>
      </c>
      <c r="C64" s="4" t="s">
        <v>14301</v>
      </c>
      <c r="D64" s="4" t="str">
        <f t="shared" si="0"/>
        <v>YJL168C/SET2</v>
      </c>
      <c r="E64" s="4">
        <f t="shared" si="1"/>
        <v>0</v>
      </c>
      <c r="F64" cm="1">
        <f t="array" ref="F64">INDEX('T. S2 microarray results'!J:J, MATCH(TRUE, ('T. S2 microarray results'!B:B=B64) + ('T. S2 microarray results'!C:C=B64) + ('T. S2 microarray results'!D:D=B64) + ('T. S2 microarray results'!E:E=B64) + ('T. S2 microarray results'!F:F=B64) + ('T. S2 microarray results'!G:G=B64) + ('T. S2 microarray results'!H:H=B64) &gt; 0, 0))</f>
        <v>-0.62858000000000003</v>
      </c>
      <c r="G64" cm="1">
        <f t="array" ref="G64">INDEX('T. S2 microarray results'!K:K, MATCH(TRUE, ('T. S2 microarray results'!B:B=B64) + ('T. S2 microarray results'!C:C=B64) + ('T. S2 microarray results'!D:D=B64) + ('T. S2 microarray results'!E:E=B64) + ('T. S2 microarray results'!F:F=B64) + ('T. S2 microarray results'!G:G=B64) + ('T. S2 microarray results'!H:H=B64) &gt; 0, 0))</f>
        <v>-0.71209889999999998</v>
      </c>
      <c r="H64" cm="1">
        <f t="array" ref="H64">INDEX('T. S2 microarray results'!L:L, MATCH(TRUE, ('T. S2 microarray results'!B:B=B64) + ('T. S2 microarray results'!C:C=B64) + ('T. S2 microarray results'!D:D=B64) + ('T. S2 microarray results'!E:E=B64) + ('T. S2 microarray results'!F:F=B64) + ('T. S2 microarray results'!G:G=B64) + ('T. S2 microarray results'!H:H=B64) &gt; 0, 0))</f>
        <v>-0.38825290000000001</v>
      </c>
    </row>
    <row r="65" spans="1:8" x14ac:dyDescent="0.25">
      <c r="A65" t="str" cm="1">
        <f t="array" ref="A65">INDEX('T. S2 microarray results'!A:A, MATCH(TRUE, ('T. S2 microarray results'!B:B=B65) + ('T. S2 microarray results'!C:C=B65) + ('T. S2 microarray results'!D:D=B65) + ('T. S2 microarray results'!E:E=B65) + ('T. S2 microarray results'!F:F=B65) + ('T. S2 microarray results'!G:G=B65) + ('T. S2 microarray results'!H:H=B65) &gt; 0, 0))</f>
        <v>YOR001W</v>
      </c>
      <c r="B65" t="s">
        <v>1963</v>
      </c>
      <c r="C65" s="4" t="s">
        <v>14301</v>
      </c>
      <c r="D65" s="4" t="str">
        <f t="shared" si="0"/>
        <v>YOR001W/RRP6</v>
      </c>
      <c r="E65" s="4">
        <f t="shared" si="1"/>
        <v>0</v>
      </c>
      <c r="F65" cm="1">
        <f t="array" ref="F65">INDEX('T. S2 microarray results'!J:J, MATCH(TRUE, ('T. S2 microarray results'!B:B=B65) + ('T. S2 microarray results'!C:C=B65) + ('T. S2 microarray results'!D:D=B65) + ('T. S2 microarray results'!E:E=B65) + ('T. S2 microarray results'!F:F=B65) + ('T. S2 microarray results'!G:G=B65) + ('T. S2 microarray results'!H:H=B65) &gt; 0, 0))</f>
        <v>-0.20718049999999999</v>
      </c>
      <c r="G65" cm="1">
        <f t="array" ref="G65">INDEX('T. S2 microarray results'!K:K, MATCH(TRUE, ('T. S2 microarray results'!B:B=B65) + ('T. S2 microarray results'!C:C=B65) + ('T. S2 microarray results'!D:D=B65) + ('T. S2 microarray results'!E:E=B65) + ('T. S2 microarray results'!F:F=B65) + ('T. S2 microarray results'!G:G=B65) + ('T. S2 microarray results'!H:H=B65) &gt; 0, 0))</f>
        <v>-0.53290720000000003</v>
      </c>
      <c r="H65" cm="1">
        <f t="array" ref="H65">INDEX('T. S2 microarray results'!L:L, MATCH(TRUE, ('T. S2 microarray results'!B:B=B65) + ('T. S2 microarray results'!C:C=B65) + ('T. S2 microarray results'!D:D=B65) + ('T. S2 microarray results'!E:E=B65) + ('T. S2 microarray results'!F:F=B65) + ('T. S2 microarray results'!G:G=B65) + ('T. S2 microarray results'!H:H=B65) &gt; 0, 0))</f>
        <v>-0.27721620000000002</v>
      </c>
    </row>
    <row r="66" spans="1:8" x14ac:dyDescent="0.25">
      <c r="A66" t="str" cm="1">
        <f t="array" ref="A66">INDEX('T. S2 microarray results'!A:A, MATCH(TRUE, ('T. S2 microarray results'!B:B=B66) + ('T. S2 microarray results'!C:C=B66) + ('T. S2 microarray results'!D:D=B66) + ('T. S2 microarray results'!E:E=B66) + ('T. S2 microarray results'!F:F=B66) + ('T. S2 microarray results'!G:G=B66) + ('T. S2 microarray results'!H:H=B66) &gt; 0, 0))</f>
        <v>YGL244W</v>
      </c>
      <c r="B66" t="s">
        <v>9653</v>
      </c>
      <c r="C66" s="4" t="s">
        <v>14301</v>
      </c>
      <c r="D66" s="4" t="str">
        <f t="shared" si="0"/>
        <v>YGL244W/RTF1</v>
      </c>
      <c r="E66" s="4">
        <f t="shared" si="1"/>
        <v>0</v>
      </c>
      <c r="F66" cm="1">
        <f t="array" ref="F66">INDEX('T. S2 microarray results'!J:J, MATCH(TRUE, ('T. S2 microarray results'!B:B=B66) + ('T. S2 microarray results'!C:C=B66) + ('T. S2 microarray results'!D:D=B66) + ('T. S2 microarray results'!E:E=B66) + ('T. S2 microarray results'!F:F=B66) + ('T. S2 microarray results'!G:G=B66) + ('T. S2 microarray results'!H:H=B66) &gt; 0, 0))</f>
        <v>-0.21459120000000001</v>
      </c>
      <c r="G66" cm="1">
        <f t="array" ref="G66">INDEX('T. S2 microarray results'!K:K, MATCH(TRUE, ('T. S2 microarray results'!B:B=B66) + ('T. S2 microarray results'!C:C=B66) + ('T. S2 microarray results'!D:D=B66) + ('T. S2 microarray results'!E:E=B66) + ('T. S2 microarray results'!F:F=B66) + ('T. S2 microarray results'!G:G=B66) + ('T. S2 microarray results'!H:H=B66) &gt; 0, 0))</f>
        <v>-0.92219949999999995</v>
      </c>
      <c r="H66" cm="1">
        <f t="array" ref="H66">INDEX('T. S2 microarray results'!L:L, MATCH(TRUE, ('T. S2 microarray results'!B:B=B66) + ('T. S2 microarray results'!C:C=B66) + ('T. S2 microarray results'!D:D=B66) + ('T. S2 microarray results'!E:E=B66) + ('T. S2 microarray results'!F:F=B66) + ('T. S2 microarray results'!G:G=B66) + ('T. S2 microarray results'!H:H=B66) &gt; 0, 0))</f>
        <v>-0.4002714</v>
      </c>
    </row>
    <row r="67" spans="1:8" x14ac:dyDescent="0.25">
      <c r="A67" t="str" cm="1">
        <f t="array" ref="A67">INDEX('T. S2 microarray results'!A:A, MATCH(TRUE, ('T. S2 microarray results'!B:B=B67) + ('T. S2 microarray results'!C:C=B67) + ('T. S2 microarray results'!D:D=B67) + ('T. S2 microarray results'!E:E=B67) + ('T. S2 microarray results'!F:F=B67) + ('T. S2 microarray results'!G:G=B67) + ('T. S2 microarray results'!H:H=B67) &gt; 0, 0))</f>
        <v>YDR213W</v>
      </c>
      <c r="B67" t="s">
        <v>12426</v>
      </c>
      <c r="C67" s="4" t="s">
        <v>14301</v>
      </c>
      <c r="D67" s="4" t="str">
        <f t="shared" ref="D67:D130" si="2">CONCATENATE(IF(C67="Known Longivity Gene","*",""),A67,"/",B67)</f>
        <v>YDR213W/UPC2</v>
      </c>
      <c r="E67" s="4">
        <f t="shared" ref="E67:E130" si="3">IF(C67="Known Longivity Gene",1,0)</f>
        <v>0</v>
      </c>
      <c r="F67" cm="1">
        <f t="array" ref="F67">INDEX('T. S2 microarray results'!J:J, MATCH(TRUE, ('T. S2 microarray results'!B:B=B67) + ('T. S2 microarray results'!C:C=B67) + ('T. S2 microarray results'!D:D=B67) + ('T. S2 microarray results'!E:E=B67) + ('T. S2 microarray results'!F:F=B67) + ('T. S2 microarray results'!G:G=B67) + ('T. S2 microarray results'!H:H=B67) &gt; 0, 0))</f>
        <v>0.308784</v>
      </c>
      <c r="G67" cm="1">
        <f t="array" ref="G67">INDEX('T. S2 microarray results'!K:K, MATCH(TRUE, ('T. S2 microarray results'!B:B=B67) + ('T. S2 microarray results'!C:C=B67) + ('T. S2 microarray results'!D:D=B67) + ('T. S2 microarray results'!E:E=B67) + ('T. S2 microarray results'!F:F=B67) + ('T. S2 microarray results'!G:G=B67) + ('T. S2 microarray results'!H:H=B67) &gt; 0, 0))</f>
        <v>0.37345159999999999</v>
      </c>
      <c r="H67" cm="1">
        <f t="array" ref="H67">INDEX('T. S2 microarray results'!L:L, MATCH(TRUE, ('T. S2 microarray results'!B:B=B67) + ('T. S2 microarray results'!C:C=B67) + ('T. S2 microarray results'!D:D=B67) + ('T. S2 microarray results'!E:E=B67) + ('T. S2 microarray results'!F:F=B67) + ('T. S2 microarray results'!G:G=B67) + ('T. S2 microarray results'!H:H=B67) &gt; 0, 0))</f>
        <v>0.16330449999999999</v>
      </c>
    </row>
    <row r="68" spans="1:8" x14ac:dyDescent="0.25">
      <c r="A68" t="str" cm="1">
        <f t="array" ref="A68">INDEX('T. S2 microarray results'!A:A, MATCH(TRUE, ('T. S2 microarray results'!B:B=B68) + ('T. S2 microarray results'!C:C=B68) + ('T. S2 microarray results'!D:D=B68) + ('T. S2 microarray results'!E:E=B68) + ('T. S2 microarray results'!F:F=B68) + ('T. S2 microarray results'!G:G=B68) + ('T. S2 microarray results'!H:H=B68) &gt; 0, 0))</f>
        <v>YNL233W</v>
      </c>
      <c r="B68" t="s">
        <v>3382</v>
      </c>
      <c r="C68" s="4" t="s">
        <v>14301</v>
      </c>
      <c r="D68" s="4" t="str">
        <f t="shared" si="2"/>
        <v>YNL233W/BNI4</v>
      </c>
      <c r="E68" s="4">
        <f t="shared" si="3"/>
        <v>0</v>
      </c>
      <c r="F68" cm="1">
        <f t="array" ref="F68">INDEX('T. S2 microarray results'!J:J, MATCH(TRUE, ('T. S2 microarray results'!B:B=B68) + ('T. S2 microarray results'!C:C=B68) + ('T. S2 microarray results'!D:D=B68) + ('T. S2 microarray results'!E:E=B68) + ('T. S2 microarray results'!F:F=B68) + ('T. S2 microarray results'!G:G=B68) + ('T. S2 microarray results'!H:H=B68) &gt; 0, 0))</f>
        <v>-0.45259939999999999</v>
      </c>
      <c r="G68" cm="1">
        <f t="array" ref="G68">INDEX('T. S2 microarray results'!K:K, MATCH(TRUE, ('T. S2 microarray results'!B:B=B68) + ('T. S2 microarray results'!C:C=B68) + ('T. S2 microarray results'!D:D=B68) + ('T. S2 microarray results'!E:E=B68) + ('T. S2 microarray results'!F:F=B68) + ('T. S2 microarray results'!G:G=B68) + ('T. S2 microarray results'!H:H=B68) &gt; 0, 0))</f>
        <v>-1.0025740000000001</v>
      </c>
      <c r="H68" cm="1">
        <f t="array" ref="H68">INDEX('T. S2 microarray results'!L:L, MATCH(TRUE, ('T. S2 microarray results'!B:B=B68) + ('T. S2 microarray results'!C:C=B68) + ('T. S2 microarray results'!D:D=B68) + ('T. S2 microarray results'!E:E=B68) + ('T. S2 microarray results'!F:F=B68) + ('T. S2 microarray results'!G:G=B68) + ('T. S2 microarray results'!H:H=B68) &gt; 0, 0))</f>
        <v>-0.43543779999999999</v>
      </c>
    </row>
    <row r="69" spans="1:8" x14ac:dyDescent="0.25">
      <c r="A69" t="str" cm="1">
        <f t="array" ref="A69">INDEX('T. S2 microarray results'!A:A, MATCH(TRUE, ('T. S2 microarray results'!B:B=B69) + ('T. S2 microarray results'!C:C=B69) + ('T. S2 microarray results'!D:D=B69) + ('T. S2 microarray results'!E:E=B69) + ('T. S2 microarray results'!F:F=B69) + ('T. S2 microarray results'!G:G=B69) + ('T. S2 microarray results'!H:H=B69) &gt; 0, 0))</f>
        <v>YBL047C</v>
      </c>
      <c r="B69" t="s">
        <v>13725</v>
      </c>
      <c r="C69" s="4" t="s">
        <v>14301</v>
      </c>
      <c r="D69" s="4" t="str">
        <f t="shared" si="2"/>
        <v>YBL047C/EDE1</v>
      </c>
      <c r="E69" s="4">
        <f t="shared" si="3"/>
        <v>0</v>
      </c>
      <c r="F69" cm="1">
        <f t="array" ref="F69">INDEX('T. S2 microarray results'!J:J, MATCH(TRUE, ('T. S2 microarray results'!B:B=B69) + ('T. S2 microarray results'!C:C=B69) + ('T. S2 microarray results'!D:D=B69) + ('T. S2 microarray results'!E:E=B69) + ('T. S2 microarray results'!F:F=B69) + ('T. S2 microarray results'!G:G=B69) + ('T. S2 microarray results'!H:H=B69) &gt; 0, 0))</f>
        <v>3.094034E-2</v>
      </c>
      <c r="G69" cm="1">
        <f t="array" ref="G69">INDEX('T. S2 microarray results'!K:K, MATCH(TRUE, ('T. S2 microarray results'!B:B=B69) + ('T. S2 microarray results'!C:C=B69) + ('T. S2 microarray results'!D:D=B69) + ('T. S2 microarray results'!E:E=B69) + ('T. S2 microarray results'!F:F=B69) + ('T. S2 microarray results'!G:G=B69) + ('T. S2 microarray results'!H:H=B69) &gt; 0, 0))</f>
        <v>8.3755659999999996E-2</v>
      </c>
      <c r="H69" cm="1">
        <f t="array" ref="H69">INDEX('T. S2 microarray results'!L:L, MATCH(TRUE, ('T. S2 microarray results'!B:B=B69) + ('T. S2 microarray results'!C:C=B69) + ('T. S2 microarray results'!D:D=B69) + ('T. S2 microarray results'!E:E=B69) + ('T. S2 microarray results'!F:F=B69) + ('T. S2 microarray results'!G:G=B69) + ('T. S2 microarray results'!H:H=B69) &gt; 0, 0))</f>
        <v>0.1278975</v>
      </c>
    </row>
    <row r="70" spans="1:8" x14ac:dyDescent="0.25">
      <c r="A70" t="str" cm="1">
        <f t="array" ref="A70">INDEX('T. S2 microarray results'!A:A, MATCH(TRUE, ('T. S2 microarray results'!B:B=B70) + ('T. S2 microarray results'!C:C=B70) + ('T. S2 microarray results'!D:D=B70) + ('T. S2 microarray results'!E:E=B70) + ('T. S2 microarray results'!F:F=B70) + ('T. S2 microarray results'!G:G=B70) + ('T. S2 microarray results'!H:H=B70) &gt; 0, 0))</f>
        <v>YJL204C</v>
      </c>
      <c r="B70" t="s">
        <v>7367</v>
      </c>
      <c r="C70" s="4" t="s">
        <v>14301</v>
      </c>
      <c r="D70" s="4" t="str">
        <f t="shared" si="2"/>
        <v>YJL204C/RCY1</v>
      </c>
      <c r="E70" s="4">
        <f t="shared" si="3"/>
        <v>0</v>
      </c>
      <c r="F70" cm="1">
        <f t="array" ref="F70">INDEX('T. S2 microarray results'!J:J, MATCH(TRUE, ('T. S2 microarray results'!B:B=B70) + ('T. S2 microarray results'!C:C=B70) + ('T. S2 microarray results'!D:D=B70) + ('T. S2 microarray results'!E:E=B70) + ('T. S2 microarray results'!F:F=B70) + ('T. S2 microarray results'!G:G=B70) + ('T. S2 microarray results'!H:H=B70) &gt; 0, 0))</f>
        <v>2.713981E-2</v>
      </c>
      <c r="G70" cm="1">
        <f t="array" ref="G70">INDEX('T. S2 microarray results'!K:K, MATCH(TRUE, ('T. S2 microarray results'!B:B=B70) + ('T. S2 microarray results'!C:C=B70) + ('T. S2 microarray results'!D:D=B70) + ('T. S2 microarray results'!E:E=B70) + ('T. S2 microarray results'!F:F=B70) + ('T. S2 microarray results'!G:G=B70) + ('T. S2 microarray results'!H:H=B70) &gt; 0, 0))</f>
        <v>-8.4133139999999995E-2</v>
      </c>
      <c r="H70" cm="1">
        <f t="array" ref="H70">INDEX('T. S2 microarray results'!L:L, MATCH(TRUE, ('T. S2 microarray results'!B:B=B70) + ('T. S2 microarray results'!C:C=B70) + ('T. S2 microarray results'!D:D=B70) + ('T. S2 microarray results'!E:E=B70) + ('T. S2 microarray results'!F:F=B70) + ('T. S2 microarray results'!G:G=B70) + ('T. S2 microarray results'!H:H=B70) &gt; 0, 0))</f>
        <v>-3.0337099999999999E-2</v>
      </c>
    </row>
    <row r="71" spans="1:8" x14ac:dyDescent="0.25">
      <c r="A71" t="str" cm="1">
        <f t="array" ref="A71">INDEX('T. S2 microarray results'!A:A, MATCH(TRUE, ('T. S2 microarray results'!B:B=B71) + ('T. S2 microarray results'!C:C=B71) + ('T. S2 microarray results'!D:D=B71) + ('T. S2 microarray results'!E:E=B71) + ('T. S2 microarray results'!F:F=B71) + ('T. S2 microarray results'!G:G=B71) + ('T. S2 microarray results'!H:H=B71) &gt; 0, 0))</f>
        <v>YKR052C</v>
      </c>
      <c r="B71" t="s">
        <v>6380</v>
      </c>
      <c r="C71" s="4" t="s">
        <v>14301</v>
      </c>
      <c r="D71" s="4" t="str">
        <f t="shared" si="2"/>
        <v>YKR052C/MRS4</v>
      </c>
      <c r="E71" s="4">
        <f t="shared" si="3"/>
        <v>0</v>
      </c>
      <c r="F71" cm="1">
        <f t="array" ref="F71">INDEX('T. S2 microarray results'!J:J, MATCH(TRUE, ('T. S2 microarray results'!B:B=B71) + ('T. S2 microarray results'!C:C=B71) + ('T. S2 microarray results'!D:D=B71) + ('T. S2 microarray results'!E:E=B71) + ('T. S2 microarray results'!F:F=B71) + ('T. S2 microarray results'!G:G=B71) + ('T. S2 microarray results'!H:H=B71) &gt; 0, 0))</f>
        <v>-9.1064309999999996E-2</v>
      </c>
      <c r="G71" cm="1">
        <f t="array" ref="G71">INDEX('T. S2 microarray results'!K:K, MATCH(TRUE, ('T. S2 microarray results'!B:B=B71) + ('T. S2 microarray results'!C:C=B71) + ('T. S2 microarray results'!D:D=B71) + ('T. S2 microarray results'!E:E=B71) + ('T. S2 microarray results'!F:F=B71) + ('T. S2 microarray results'!G:G=B71) + ('T. S2 microarray results'!H:H=B71) &gt; 0, 0))</f>
        <v>0.2247439</v>
      </c>
      <c r="H71" cm="1">
        <f t="array" ref="H71">INDEX('T. S2 microarray results'!L:L, MATCH(TRUE, ('T. S2 microarray results'!B:B=B71) + ('T. S2 microarray results'!C:C=B71) + ('T. S2 microarray results'!D:D=B71) + ('T. S2 microarray results'!E:E=B71) + ('T. S2 microarray results'!F:F=B71) + ('T. S2 microarray results'!G:G=B71) + ('T. S2 microarray results'!H:H=B71) &gt; 0, 0))</f>
        <v>-4.8936399999999998E-2</v>
      </c>
    </row>
    <row r="72" spans="1:8" x14ac:dyDescent="0.25">
      <c r="A72" t="str" cm="1">
        <f t="array" ref="A72">INDEX('T. S2 microarray results'!A:A, MATCH(TRUE, ('T. S2 microarray results'!B:B=B72) + ('T. S2 microarray results'!C:C=B72) + ('T. S2 microarray results'!D:D=B72) + ('T. S2 microarray results'!E:E=B72) + ('T. S2 microarray results'!F:F=B72) + ('T. S2 microarray results'!G:G=B72) + ('T. S2 microarray results'!H:H=B72) &gt; 0, 0))</f>
        <v>YOR045W</v>
      </c>
      <c r="B72" t="s">
        <v>1860</v>
      </c>
      <c r="C72" s="4" t="s">
        <v>14301</v>
      </c>
      <c r="D72" s="4" t="str">
        <f t="shared" si="2"/>
        <v>YOR045W/TOM6</v>
      </c>
      <c r="E72" s="4">
        <f t="shared" si="3"/>
        <v>0</v>
      </c>
      <c r="F72" cm="1">
        <f t="array" ref="F72">INDEX('T. S2 microarray results'!J:J, MATCH(TRUE, ('T. S2 microarray results'!B:B=B72) + ('T. S2 microarray results'!C:C=B72) + ('T. S2 microarray results'!D:D=B72) + ('T. S2 microarray results'!E:E=B72) + ('T. S2 microarray results'!F:F=B72) + ('T. S2 microarray results'!G:G=B72) + ('T. S2 microarray results'!H:H=B72) &gt; 0, 0))</f>
        <v>-0.32426250000000001</v>
      </c>
      <c r="G72" cm="1">
        <f t="array" ref="G72">INDEX('T. S2 microarray results'!K:K, MATCH(TRUE, ('T. S2 microarray results'!B:B=B72) + ('T. S2 microarray results'!C:C=B72) + ('T. S2 microarray results'!D:D=B72) + ('T. S2 microarray results'!E:E=B72) + ('T. S2 microarray results'!F:F=B72) + ('T. S2 microarray results'!G:G=B72) + ('T. S2 microarray results'!H:H=B72) &gt; 0, 0))</f>
        <v>-0.1851448</v>
      </c>
      <c r="H72" cm="1">
        <f t="array" ref="H72">INDEX('T. S2 microarray results'!L:L, MATCH(TRUE, ('T. S2 microarray results'!B:B=B72) + ('T. S2 microarray results'!C:C=B72) + ('T. S2 microarray results'!D:D=B72) + ('T. S2 microarray results'!E:E=B72) + ('T. S2 microarray results'!F:F=B72) + ('T. S2 microarray results'!G:G=B72) + ('T. S2 microarray results'!H:H=B72) &gt; 0, 0))</f>
        <v>-0.33807690000000001</v>
      </c>
    </row>
    <row r="73" spans="1:8" x14ac:dyDescent="0.25">
      <c r="A73" t="str" cm="1">
        <f t="array" ref="A73">INDEX('T. S2 microarray results'!A:A, MATCH(TRUE, ('T. S2 microarray results'!B:B=B73) + ('T. S2 microarray results'!C:C=B73) + ('T. S2 microarray results'!D:D=B73) + ('T. S2 microarray results'!E:E=B73) + ('T. S2 microarray results'!F:F=B73) + ('T. S2 microarray results'!G:G=B73) + ('T. S2 microarray results'!H:H=B73) &gt; 0, 0))</f>
        <v>YGL087C</v>
      </c>
      <c r="B73" t="s">
        <v>8992</v>
      </c>
      <c r="C73" s="4" t="s">
        <v>14301</v>
      </c>
      <c r="D73" s="4" t="str">
        <f t="shared" si="2"/>
        <v>YGL087C/MMS2</v>
      </c>
      <c r="E73" s="4">
        <f t="shared" si="3"/>
        <v>0</v>
      </c>
      <c r="F73" cm="1">
        <f t="array" ref="F73">INDEX('T. S2 microarray results'!J:J, MATCH(TRUE, ('T. S2 microarray results'!B:B=B73) + ('T. S2 microarray results'!C:C=B73) + ('T. S2 microarray results'!D:D=B73) + ('T. S2 microarray results'!E:E=B73) + ('T. S2 microarray results'!F:F=B73) + ('T. S2 microarray results'!G:G=B73) + ('T. S2 microarray results'!H:H=B73) &gt; 0, 0))</f>
        <v>0.44319799999999998</v>
      </c>
      <c r="G73" cm="1">
        <f t="array" ref="G73">INDEX('T. S2 microarray results'!K:K, MATCH(TRUE, ('T. S2 microarray results'!B:B=B73) + ('T. S2 microarray results'!C:C=B73) + ('T. S2 microarray results'!D:D=B73) + ('T. S2 microarray results'!E:E=B73) + ('T. S2 microarray results'!F:F=B73) + ('T. S2 microarray results'!G:G=B73) + ('T. S2 microarray results'!H:H=B73) &gt; 0, 0))</f>
        <v>0.15083540000000001</v>
      </c>
      <c r="H73" cm="1">
        <f t="array" ref="H73">INDEX('T. S2 microarray results'!L:L, MATCH(TRUE, ('T. S2 microarray results'!B:B=B73) + ('T. S2 microarray results'!C:C=B73) + ('T. S2 microarray results'!D:D=B73) + ('T. S2 microarray results'!E:E=B73) + ('T. S2 microarray results'!F:F=B73) + ('T. S2 microarray results'!G:G=B73) + ('T. S2 microarray results'!H:H=B73) &gt; 0, 0))</f>
        <v>0.4490883</v>
      </c>
    </row>
    <row r="74" spans="1:8" x14ac:dyDescent="0.25">
      <c r="A74" t="str" cm="1">
        <f t="array" ref="A74">INDEX('T. S2 microarray results'!A:A, MATCH(TRUE, ('T. S2 microarray results'!B:B=B74) + ('T. S2 microarray results'!C:C=B74) + ('T. S2 microarray results'!D:D=B74) + ('T. S2 microarray results'!E:E=B74) + ('T. S2 microarray results'!F:F=B74) + ('T. S2 microarray results'!G:G=B74) + ('T. S2 microarray results'!H:H=B74) &gt; 0, 0))</f>
        <v>YMR077C</v>
      </c>
      <c r="B74" t="s">
        <v>4469</v>
      </c>
      <c r="C74" s="4" t="s">
        <v>14301</v>
      </c>
      <c r="D74" s="4" t="str">
        <f t="shared" si="2"/>
        <v>YMR077C/VPS20</v>
      </c>
      <c r="E74" s="4">
        <f t="shared" si="3"/>
        <v>0</v>
      </c>
      <c r="F74" cm="1">
        <f t="array" ref="F74">INDEX('T. S2 microarray results'!J:J, MATCH(TRUE, ('T. S2 microarray results'!B:B=B74) + ('T. S2 microarray results'!C:C=B74) + ('T. S2 microarray results'!D:D=B74) + ('T. S2 microarray results'!E:E=B74) + ('T. S2 microarray results'!F:F=B74) + ('T. S2 microarray results'!G:G=B74) + ('T. S2 microarray results'!H:H=B74) &gt; 0, 0))</f>
        <v>-0.337003</v>
      </c>
      <c r="G74" cm="1">
        <f t="array" ref="G74">INDEX('T. S2 microarray results'!K:K, MATCH(TRUE, ('T. S2 microarray results'!B:B=B74) + ('T. S2 microarray results'!C:C=B74) + ('T. S2 microarray results'!D:D=B74) + ('T. S2 microarray results'!E:E=B74) + ('T. S2 microarray results'!F:F=B74) + ('T. S2 microarray results'!G:G=B74) + ('T. S2 microarray results'!H:H=B74) &gt; 0, 0))</f>
        <v>-0.81019810000000003</v>
      </c>
      <c r="H74" cm="1">
        <f t="array" ref="H74">INDEX('T. S2 microarray results'!L:L, MATCH(TRUE, ('T. S2 microarray results'!B:B=B74) + ('T. S2 microarray results'!C:C=B74) + ('T. S2 microarray results'!D:D=B74) + ('T. S2 microarray results'!E:E=B74) + ('T. S2 microarray results'!F:F=B74) + ('T. S2 microarray results'!G:G=B74) + ('T. S2 microarray results'!H:H=B74) &gt; 0, 0))</f>
        <v>-9.1695620000000005E-2</v>
      </c>
    </row>
    <row r="75" spans="1:8" x14ac:dyDescent="0.25">
      <c r="A75" t="str" cm="1">
        <f t="array" ref="A75">INDEX('T. S2 microarray results'!A:A, MATCH(TRUE, ('T. S2 microarray results'!B:B=B75) + ('T. S2 microarray results'!C:C=B75) + ('T. S2 microarray results'!D:D=B75) + ('T. S2 microarray results'!E:E=B75) + ('T. S2 microarray results'!F:F=B75) + ('T. S2 microarray results'!G:G=B75) + ('T. S2 microarray results'!H:H=B75) &gt; 0, 0))</f>
        <v>YOR229W</v>
      </c>
      <c r="B75" t="s">
        <v>875</v>
      </c>
      <c r="C75" s="4" t="s">
        <v>14301</v>
      </c>
      <c r="D75" s="4" t="str">
        <f t="shared" si="2"/>
        <v>YOR229W/WTM2</v>
      </c>
      <c r="E75" s="4">
        <f t="shared" si="3"/>
        <v>0</v>
      </c>
      <c r="F75" cm="1">
        <f t="array" ref="F75">INDEX('T. S2 microarray results'!J:J, MATCH(TRUE, ('T. S2 microarray results'!B:B=B75) + ('T. S2 microarray results'!C:C=B75) + ('T. S2 microarray results'!D:D=B75) + ('T. S2 microarray results'!E:E=B75) + ('T. S2 microarray results'!F:F=B75) + ('T. S2 microarray results'!G:G=B75) + ('T. S2 microarray results'!H:H=B75) &gt; 0, 0))</f>
        <v>-0.40588299999999999</v>
      </c>
      <c r="G75" cm="1">
        <f t="array" ref="G75">INDEX('T. S2 microarray results'!K:K, MATCH(TRUE, ('T. S2 microarray results'!B:B=B75) + ('T. S2 microarray results'!C:C=B75) + ('T. S2 microarray results'!D:D=B75) + ('T. S2 microarray results'!E:E=B75) + ('T. S2 microarray results'!F:F=B75) + ('T. S2 microarray results'!G:G=B75) + ('T. S2 microarray results'!H:H=B75) &gt; 0, 0))</f>
        <v>-0.4524087</v>
      </c>
      <c r="H75" cm="1">
        <f t="array" ref="H75">INDEX('T. S2 microarray results'!L:L, MATCH(TRUE, ('T. S2 microarray results'!B:B=B75) + ('T. S2 microarray results'!C:C=B75) + ('T. S2 microarray results'!D:D=B75) + ('T. S2 microarray results'!E:E=B75) + ('T. S2 microarray results'!F:F=B75) + ('T. S2 microarray results'!G:G=B75) + ('T. S2 microarray results'!H:H=B75) &gt; 0, 0))</f>
        <v>-0.44712649999999998</v>
      </c>
    </row>
    <row r="76" spans="1:8" x14ac:dyDescent="0.25">
      <c r="A76" t="str" cm="1">
        <f t="array" ref="A76">INDEX('T. S2 microarray results'!A:A, MATCH(TRUE, ('T. S2 microarray results'!B:B=B76) + ('T. S2 microarray results'!C:C=B76) + ('T. S2 microarray results'!D:D=B76) + ('T. S2 microarray results'!E:E=B76) + ('T. S2 microarray results'!F:F=B76) + ('T. S2 microarray results'!G:G=B76) + ('T. S2 microarray results'!H:H=B76) &gt; 0, 0))</f>
        <v>YDR173C</v>
      </c>
      <c r="B76" t="s">
        <v>12614</v>
      </c>
      <c r="C76" s="4" t="s">
        <v>14301</v>
      </c>
      <c r="D76" s="4" t="str">
        <f t="shared" si="2"/>
        <v>YDR173C/ARG82</v>
      </c>
      <c r="E76" s="4">
        <f t="shared" si="3"/>
        <v>0</v>
      </c>
      <c r="F76" cm="1">
        <f t="array" ref="F76">INDEX('T. S2 microarray results'!J:J, MATCH(TRUE, ('T. S2 microarray results'!B:B=B76) + ('T. S2 microarray results'!C:C=B76) + ('T. S2 microarray results'!D:D=B76) + ('T. S2 microarray results'!E:E=B76) + ('T. S2 microarray results'!F:F=B76) + ('T. S2 microarray results'!G:G=B76) + ('T. S2 microarray results'!H:H=B76) &gt; 0, 0))</f>
        <v>-4.4856050000000001E-3</v>
      </c>
      <c r="G76" cm="1">
        <f t="array" ref="G76">INDEX('T. S2 microarray results'!K:K, MATCH(TRUE, ('T. S2 microarray results'!B:B=B76) + ('T. S2 microarray results'!C:C=B76) + ('T. S2 microarray results'!D:D=B76) + ('T. S2 microarray results'!E:E=B76) + ('T. S2 microarray results'!F:F=B76) + ('T. S2 microarray results'!G:G=B76) + ('T. S2 microarray results'!H:H=B76) &gt; 0, 0))</f>
        <v>-0.36605949999999998</v>
      </c>
      <c r="H76" cm="1">
        <f t="array" ref="H76">INDEX('T. S2 microarray results'!L:L, MATCH(TRUE, ('T. S2 microarray results'!B:B=B76) + ('T. S2 microarray results'!C:C=B76) + ('T. S2 microarray results'!D:D=B76) + ('T. S2 microarray results'!E:E=B76) + ('T. S2 microarray results'!F:F=B76) + ('T. S2 microarray results'!G:G=B76) + ('T. S2 microarray results'!H:H=B76) &gt; 0, 0))</f>
        <v>-0.1098592</v>
      </c>
    </row>
    <row r="77" spans="1:8" x14ac:dyDescent="0.25">
      <c r="A77" t="str" cm="1">
        <f t="array" ref="A77">INDEX('T. S2 microarray results'!A:A, MATCH(TRUE, ('T. S2 microarray results'!B:B=B77) + ('T. S2 microarray results'!C:C=B77) + ('T. S2 microarray results'!D:D=B77) + ('T. S2 microarray results'!E:E=B77) + ('T. S2 microarray results'!F:F=B77) + ('T. S2 microarray results'!G:G=B77) + ('T. S2 microarray results'!H:H=B77) &gt; 0, 0))</f>
        <v>YJL201W</v>
      </c>
      <c r="B77" t="s">
        <v>6304</v>
      </c>
      <c r="C77" s="4" t="s">
        <v>14301</v>
      </c>
      <c r="D77" s="4" t="str">
        <f t="shared" si="2"/>
        <v>YJL201W/ECM25</v>
      </c>
      <c r="E77" s="4">
        <f t="shared" si="3"/>
        <v>0</v>
      </c>
      <c r="F77" cm="1">
        <f t="array" ref="F77">INDEX('T. S2 microarray results'!J:J, MATCH(TRUE, ('T. S2 microarray results'!B:B=B77) + ('T. S2 microarray results'!C:C=B77) + ('T. S2 microarray results'!D:D=B77) + ('T. S2 microarray results'!E:E=B77) + ('T. S2 microarray results'!F:F=B77) + ('T. S2 microarray results'!G:G=B77) + ('T. S2 microarray results'!H:H=B77) &gt; 0, 0))</f>
        <v>0.38392910000000002</v>
      </c>
      <c r="G77" cm="1">
        <f t="array" ref="G77">INDEX('T. S2 microarray results'!K:K, MATCH(TRUE, ('T. S2 microarray results'!B:B=B77) + ('T. S2 microarray results'!C:C=B77) + ('T. S2 microarray results'!D:D=B77) + ('T. S2 microarray results'!E:E=B77) + ('T. S2 microarray results'!F:F=B77) + ('T. S2 microarray results'!G:G=B77) + ('T. S2 microarray results'!H:H=B77) &gt; 0, 0))</f>
        <v>0.26016050000000002</v>
      </c>
      <c r="H77" cm="1">
        <f t="array" ref="H77">INDEX('T. S2 microarray results'!L:L, MATCH(TRUE, ('T. S2 microarray results'!B:B=B77) + ('T. S2 microarray results'!C:C=B77) + ('T. S2 microarray results'!D:D=B77) + ('T. S2 microarray results'!E:E=B77) + ('T. S2 microarray results'!F:F=B77) + ('T. S2 microarray results'!G:G=B77) + ('T. S2 microarray results'!H:H=B77) &gt; 0, 0))</f>
        <v>0.2234467</v>
      </c>
    </row>
    <row r="78" spans="1:8" x14ac:dyDescent="0.25">
      <c r="A78" t="str" cm="1">
        <f t="array" ref="A78">INDEX('T. S2 microarray results'!A:A, MATCH(TRUE, ('T. S2 microarray results'!B:B=B78) + ('T. S2 microarray results'!C:C=B78) + ('T. S2 microarray results'!D:D=B78) + ('T. S2 microarray results'!E:E=B78) + ('T. S2 microarray results'!F:F=B78) + ('T. S2 microarray results'!G:G=B78) + ('T. S2 microarray results'!H:H=B78) &gt; 0, 0))</f>
        <v>YKL205W</v>
      </c>
      <c r="B78" t="s">
        <v>6526</v>
      </c>
      <c r="C78" s="4" t="s">
        <v>14301</v>
      </c>
      <c r="D78" s="4" t="str">
        <f t="shared" si="2"/>
        <v>YKL205W/LOS1</v>
      </c>
      <c r="E78" s="4">
        <f t="shared" si="3"/>
        <v>0</v>
      </c>
      <c r="F78" cm="1">
        <f t="array" ref="F78">INDEX('T. S2 microarray results'!J:J, MATCH(TRUE, ('T. S2 microarray results'!B:B=B78) + ('T. S2 microarray results'!C:C=B78) + ('T. S2 microarray results'!D:D=B78) + ('T. S2 microarray results'!E:E=B78) + ('T. S2 microarray results'!F:F=B78) + ('T. S2 microarray results'!G:G=B78) + ('T. S2 microarray results'!H:H=B78) &gt; 0, 0))</f>
        <v>0.46576200000000001</v>
      </c>
      <c r="G78" cm="1">
        <f t="array" ref="G78">INDEX('T. S2 microarray results'!K:K, MATCH(TRUE, ('T. S2 microarray results'!B:B=B78) + ('T. S2 microarray results'!C:C=B78) + ('T. S2 microarray results'!D:D=B78) + ('T. S2 microarray results'!E:E=B78) + ('T. S2 microarray results'!F:F=B78) + ('T. S2 microarray results'!G:G=B78) + ('T. S2 microarray results'!H:H=B78) &gt; 0, 0))</f>
        <v>-0.1898572</v>
      </c>
      <c r="H78" cm="1">
        <f t="array" ref="H78">INDEX('T. S2 microarray results'!L:L, MATCH(TRUE, ('T. S2 microarray results'!B:B=B78) + ('T. S2 microarray results'!C:C=B78) + ('T. S2 microarray results'!D:D=B78) + ('T. S2 microarray results'!E:E=B78) + ('T. S2 microarray results'!F:F=B78) + ('T. S2 microarray results'!G:G=B78) + ('T. S2 microarray results'!H:H=B78) &gt; 0, 0))</f>
        <v>-0.18529190000000001</v>
      </c>
    </row>
    <row r="79" spans="1:8" x14ac:dyDescent="0.25">
      <c r="A79" t="str" cm="1">
        <f t="array" ref="A79">INDEX('T. S2 microarray results'!A:A, MATCH(TRUE, ('T. S2 microarray results'!B:B=B79) + ('T. S2 microarray results'!C:C=B79) + ('T. S2 microarray results'!D:D=B79) + ('T. S2 microarray results'!E:E=B79) + ('T. S2 microarray results'!F:F=B79) + ('T. S2 microarray results'!G:G=B79) + ('T. S2 microarray results'!H:H=B79) &gt; 0, 0))</f>
        <v>YOR191W</v>
      </c>
      <c r="B79" t="s">
        <v>2395</v>
      </c>
      <c r="C79" s="4" t="s">
        <v>14301</v>
      </c>
      <c r="D79" s="4" t="str">
        <f t="shared" si="2"/>
        <v>YOR191W/RIS1</v>
      </c>
      <c r="E79" s="4">
        <f t="shared" si="3"/>
        <v>0</v>
      </c>
      <c r="F79" cm="1">
        <f t="array" ref="F79">INDEX('T. S2 microarray results'!J:J, MATCH(TRUE, ('T. S2 microarray results'!B:B=B79) + ('T. S2 microarray results'!C:C=B79) + ('T. S2 microarray results'!D:D=B79) + ('T. S2 microarray results'!E:E=B79) + ('T. S2 microarray results'!F:F=B79) + ('T. S2 microarray results'!G:G=B79) + ('T. S2 microarray results'!H:H=B79) &gt; 0, 0))</f>
        <v>2.231884E-2</v>
      </c>
      <c r="G79" cm="1">
        <f t="array" ref="G79">INDEX('T. S2 microarray results'!K:K, MATCH(TRUE, ('T. S2 microarray results'!B:B=B79) + ('T. S2 microarray results'!C:C=B79) + ('T. S2 microarray results'!D:D=B79) + ('T. S2 microarray results'!E:E=B79) + ('T. S2 microarray results'!F:F=B79) + ('T. S2 microarray results'!G:G=B79) + ('T. S2 microarray results'!H:H=B79) &gt; 0, 0))</f>
        <v>-0.45739299999999999</v>
      </c>
      <c r="H79" cm="1">
        <f t="array" ref="H79">INDEX('T. S2 microarray results'!L:L, MATCH(TRUE, ('T. S2 microarray results'!B:B=B79) + ('T. S2 microarray results'!C:C=B79) + ('T. S2 microarray results'!D:D=B79) + ('T. S2 microarray results'!E:E=B79) + ('T. S2 microarray results'!F:F=B79) + ('T. S2 microarray results'!G:G=B79) + ('T. S2 microarray results'!H:H=B79) &gt; 0, 0))</f>
        <v>-0.1217965</v>
      </c>
    </row>
    <row r="80" spans="1:8" x14ac:dyDescent="0.25">
      <c r="A80" t="str" cm="1">
        <f t="array" ref="A80">INDEX('T. S2 microarray results'!A:A, MATCH(TRUE, ('T. S2 microarray results'!B:B=B80) + ('T. S2 microarray results'!C:C=B80) + ('T. S2 microarray results'!D:D=B80) + ('T. S2 microarray results'!E:E=B80) + ('T. S2 microarray results'!F:F=B80) + ('T. S2 microarray results'!G:G=B80) + ('T. S2 microarray results'!H:H=B80) &gt; 0, 0))</f>
        <v>YPL049C</v>
      </c>
      <c r="B80" t="s">
        <v>1384</v>
      </c>
      <c r="C80" s="4" t="s">
        <v>14301</v>
      </c>
      <c r="D80" s="4" t="str">
        <f t="shared" si="2"/>
        <v>YPL049C/DIG1</v>
      </c>
      <c r="E80" s="4">
        <f t="shared" si="3"/>
        <v>0</v>
      </c>
      <c r="F80" cm="1">
        <f t="array" ref="F80">INDEX('T. S2 microarray results'!J:J, MATCH(TRUE, ('T. S2 microarray results'!B:B=B80) + ('T. S2 microarray results'!C:C=B80) + ('T. S2 microarray results'!D:D=B80) + ('T. S2 microarray results'!E:E=B80) + ('T. S2 microarray results'!F:F=B80) + ('T. S2 microarray results'!G:G=B80) + ('T. S2 microarray results'!H:H=B80) &gt; 0, 0))</f>
        <v>0.96998399999999996</v>
      </c>
      <c r="G80" cm="1">
        <f t="array" ref="G80">INDEX('T. S2 microarray results'!K:K, MATCH(TRUE, ('T. S2 microarray results'!B:B=B80) + ('T. S2 microarray results'!C:C=B80) + ('T. S2 microarray results'!D:D=B80) + ('T. S2 microarray results'!E:E=B80) + ('T. S2 microarray results'!F:F=B80) + ('T. S2 microarray results'!G:G=B80) + ('T. S2 microarray results'!H:H=B80) &gt; 0, 0))</f>
        <v>5.7261689999999997E-2</v>
      </c>
      <c r="H80" cm="1">
        <f t="array" ref="H80">INDEX('T. S2 microarray results'!L:L, MATCH(TRUE, ('T. S2 microarray results'!B:B=B80) + ('T. S2 microarray results'!C:C=B80) + ('T. S2 microarray results'!D:D=B80) + ('T. S2 microarray results'!E:E=B80) + ('T. S2 microarray results'!F:F=B80) + ('T. S2 microarray results'!G:G=B80) + ('T. S2 microarray results'!H:H=B80) &gt; 0, 0))</f>
        <v>0.40042040000000001</v>
      </c>
    </row>
    <row r="81" spans="1:8" x14ac:dyDescent="0.25">
      <c r="A81" t="str" cm="1">
        <f t="array" ref="A81">INDEX('T. S2 microarray results'!A:A, MATCH(TRUE, ('T. S2 microarray results'!B:B=B81) + ('T. S2 microarray results'!C:C=B81) + ('T. S2 microarray results'!D:D=B81) + ('T. S2 microarray results'!E:E=B81) + ('T. S2 microarray results'!F:F=B81) + ('T. S2 microarray results'!G:G=B81) + ('T. S2 microarray results'!H:H=B81) &gt; 0, 0))</f>
        <v>YPL061W</v>
      </c>
      <c r="B81" t="s">
        <v>916</v>
      </c>
      <c r="C81" s="4" t="s">
        <v>14301</v>
      </c>
      <c r="D81" s="4" t="str">
        <f t="shared" si="2"/>
        <v>YPL061W/ALD6</v>
      </c>
      <c r="E81" s="4">
        <f t="shared" si="3"/>
        <v>0</v>
      </c>
      <c r="F81" cm="1">
        <f t="array" ref="F81">INDEX('T. S2 microarray results'!J:J, MATCH(TRUE, ('T. S2 microarray results'!B:B=B81) + ('T. S2 microarray results'!C:C=B81) + ('T. S2 microarray results'!D:D=B81) + ('T. S2 microarray results'!E:E=B81) + ('T. S2 microarray results'!F:F=B81) + ('T. S2 microarray results'!G:G=B81) + ('T. S2 microarray results'!H:H=B81) &gt; 0, 0))</f>
        <v>-0.10297920000000001</v>
      </c>
      <c r="G81" cm="1">
        <f t="array" ref="G81">INDEX('T. S2 microarray results'!K:K, MATCH(TRUE, ('T. S2 microarray results'!B:B=B81) + ('T. S2 microarray results'!C:C=B81) + ('T. S2 microarray results'!D:D=B81) + ('T. S2 microarray results'!E:E=B81) + ('T. S2 microarray results'!F:F=B81) + ('T. S2 microarray results'!G:G=B81) + ('T. S2 microarray results'!H:H=B81) &gt; 0, 0))</f>
        <v>-0.44207809999999997</v>
      </c>
      <c r="H81" cm="1">
        <f t="array" ref="H81">INDEX('T. S2 microarray results'!L:L, MATCH(TRUE, ('T. S2 microarray results'!B:B=B81) + ('T. S2 microarray results'!C:C=B81) + ('T. S2 microarray results'!D:D=B81) + ('T. S2 microarray results'!E:E=B81) + ('T. S2 microarray results'!F:F=B81) + ('T. S2 microarray results'!G:G=B81) + ('T. S2 microarray results'!H:H=B81) &gt; 0, 0))</f>
        <v>-0.35002149999999999</v>
      </c>
    </row>
    <row r="82" spans="1:8" x14ac:dyDescent="0.25">
      <c r="A82" t="str" cm="1">
        <f t="array" ref="A82">INDEX('T. S2 microarray results'!A:A, MATCH(TRUE, ('T. S2 microarray results'!B:B=B82) + ('T. S2 microarray results'!C:C=B82) + ('T. S2 microarray results'!D:D=B82) + ('T. S2 microarray results'!E:E=B82) + ('T. S2 microarray results'!F:F=B82) + ('T. S2 microarray results'!G:G=B82) + ('T. S2 microarray results'!H:H=B82) &gt; 0, 0))</f>
        <v>YKL197C</v>
      </c>
      <c r="B82" t="s">
        <v>6541</v>
      </c>
      <c r="C82" s="4" t="s">
        <v>14301</v>
      </c>
      <c r="D82" s="4" t="str">
        <f t="shared" si="2"/>
        <v>YKL197C/PEX1</v>
      </c>
      <c r="E82" s="4">
        <f t="shared" si="3"/>
        <v>0</v>
      </c>
      <c r="F82" cm="1">
        <f t="array" ref="F82">INDEX('T. S2 microarray results'!J:J, MATCH(TRUE, ('T. S2 microarray results'!B:B=B82) + ('T. S2 microarray results'!C:C=B82) + ('T. S2 microarray results'!D:D=B82) + ('T. S2 microarray results'!E:E=B82) + ('T. S2 microarray results'!F:F=B82) + ('T. S2 microarray results'!G:G=B82) + ('T. S2 microarray results'!H:H=B82) &gt; 0, 0))</f>
        <v>-0.19756480000000001</v>
      </c>
      <c r="G82" cm="1">
        <f t="array" ref="G82">INDEX('T. S2 microarray results'!K:K, MATCH(TRUE, ('T. S2 microarray results'!B:B=B82) + ('T. S2 microarray results'!C:C=B82) + ('T. S2 microarray results'!D:D=B82) + ('T. S2 microarray results'!E:E=B82) + ('T. S2 microarray results'!F:F=B82) + ('T. S2 microarray results'!G:G=B82) + ('T. S2 microarray results'!H:H=B82) &gt; 0, 0))</f>
        <v>-0.6156682</v>
      </c>
      <c r="H82" cm="1">
        <f t="array" ref="H82">INDEX('T. S2 microarray results'!L:L, MATCH(TRUE, ('T. S2 microarray results'!B:B=B82) + ('T. S2 microarray results'!C:C=B82) + ('T. S2 microarray results'!D:D=B82) + ('T. S2 microarray results'!E:E=B82) + ('T. S2 microarray results'!F:F=B82) + ('T. S2 microarray results'!G:G=B82) + ('T. S2 microarray results'!H:H=B82) &gt; 0, 0))</f>
        <v>-0.28542859999999998</v>
      </c>
    </row>
    <row r="83" spans="1:8" x14ac:dyDescent="0.25">
      <c r="A83" t="str" cm="1">
        <f t="array" ref="A83">INDEX('T. S2 microarray results'!A:A, MATCH(TRUE, ('T. S2 microarray results'!B:B=B83) + ('T. S2 microarray results'!C:C=B83) + ('T. S2 microarray results'!D:D=B83) + ('T. S2 microarray results'!E:E=B83) + ('T. S2 microarray results'!F:F=B83) + ('T. S2 microarray results'!G:G=B83) + ('T. S2 microarray results'!H:H=B83) &gt; 0, 0))</f>
        <v>YBL079W</v>
      </c>
      <c r="B83" t="s">
        <v>13660</v>
      </c>
      <c r="C83" s="4" t="s">
        <v>14301</v>
      </c>
      <c r="D83" s="4" t="str">
        <f t="shared" si="2"/>
        <v>YBL079W/NUP170</v>
      </c>
      <c r="E83" s="4">
        <f t="shared" si="3"/>
        <v>0</v>
      </c>
      <c r="F83" cm="1">
        <f t="array" ref="F83">INDEX('T. S2 microarray results'!J:J, MATCH(TRUE, ('T. S2 microarray results'!B:B=B83) + ('T. S2 microarray results'!C:C=B83) + ('T. S2 microarray results'!D:D=B83) + ('T. S2 microarray results'!E:E=B83) + ('T. S2 microarray results'!F:F=B83) + ('T. S2 microarray results'!G:G=B83) + ('T. S2 microarray results'!H:H=B83) &gt; 0, 0))</f>
        <v>2.0584020000000001E-2</v>
      </c>
      <c r="G83" cm="1">
        <f t="array" ref="G83">INDEX('T. S2 microarray results'!K:K, MATCH(TRUE, ('T. S2 microarray results'!B:B=B83) + ('T. S2 microarray results'!C:C=B83) + ('T. S2 microarray results'!D:D=B83) + ('T. S2 microarray results'!E:E=B83) + ('T. S2 microarray results'!F:F=B83) + ('T. S2 microarray results'!G:G=B83) + ('T. S2 microarray results'!H:H=B83) &gt; 0, 0))</f>
        <v>-0.33820070000000002</v>
      </c>
      <c r="H83" cm="1">
        <f t="array" ref="H83">INDEX('T. S2 microarray results'!L:L, MATCH(TRUE, ('T. S2 microarray results'!B:B=B83) + ('T. S2 microarray results'!C:C=B83) + ('T. S2 microarray results'!D:D=B83) + ('T. S2 microarray results'!E:E=B83) + ('T. S2 microarray results'!F:F=B83) + ('T. S2 microarray results'!G:G=B83) + ('T. S2 microarray results'!H:H=B83) &gt; 0, 0))</f>
        <v>-0.18559020000000001</v>
      </c>
    </row>
    <row r="84" spans="1:8" x14ac:dyDescent="0.25">
      <c r="A84" t="str" cm="1">
        <f t="array" ref="A84">INDEX('T. S2 microarray results'!A:A, MATCH(TRUE, ('T. S2 microarray results'!B:B=B84) + ('T. S2 microarray results'!C:C=B84) + ('T. S2 microarray results'!D:D=B84) + ('T. S2 microarray results'!E:E=B84) + ('T. S2 microarray results'!F:F=B84) + ('T. S2 microarray results'!G:G=B84) + ('T. S2 microarray results'!H:H=B84) &gt; 0, 0))</f>
        <v>YBR208C</v>
      </c>
      <c r="B84" t="s">
        <v>13216</v>
      </c>
      <c r="C84" s="4" t="s">
        <v>14301</v>
      </c>
      <c r="D84" s="4" t="str">
        <f t="shared" si="2"/>
        <v>YBR208C/DUR1,2</v>
      </c>
      <c r="E84" s="4">
        <f t="shared" si="3"/>
        <v>0</v>
      </c>
      <c r="F84" cm="1">
        <f t="array" ref="F84">INDEX('T. S2 microarray results'!J:J, MATCH(TRUE, ('T. S2 microarray results'!B:B=B84) + ('T. S2 microarray results'!C:C=B84) + ('T. S2 microarray results'!D:D=B84) + ('T. S2 microarray results'!E:E=B84) + ('T. S2 microarray results'!F:F=B84) + ('T. S2 microarray results'!G:G=B84) + ('T. S2 microarray results'!H:H=B84) &gt; 0, 0))</f>
        <v>1.0034959999999999</v>
      </c>
      <c r="G84" cm="1">
        <f t="array" ref="G84">INDEX('T. S2 microarray results'!K:K, MATCH(TRUE, ('T. S2 microarray results'!B:B=B84) + ('T. S2 microarray results'!C:C=B84) + ('T. S2 microarray results'!D:D=B84) + ('T. S2 microarray results'!E:E=B84) + ('T. S2 microarray results'!F:F=B84) + ('T. S2 microarray results'!G:G=B84) + ('T. S2 microarray results'!H:H=B84) &gt; 0, 0))</f>
        <v>0.88608600000000004</v>
      </c>
      <c r="H84" cm="1">
        <f t="array" ref="H84">INDEX('T. S2 microarray results'!L:L, MATCH(TRUE, ('T. S2 microarray results'!B:B=B84) + ('T. S2 microarray results'!C:C=B84) + ('T. S2 microarray results'!D:D=B84) + ('T. S2 microarray results'!E:E=B84) + ('T. S2 microarray results'!F:F=B84) + ('T. S2 microarray results'!G:G=B84) + ('T. S2 microarray results'!H:H=B84) &gt; 0, 0))</f>
        <v>0.84838429999999998</v>
      </c>
    </row>
    <row r="85" spans="1:8" x14ac:dyDescent="0.25">
      <c r="A85" t="str" cm="1">
        <f t="array" ref="A85">INDEX('T. S2 microarray results'!A:A, MATCH(TRUE, ('T. S2 microarray results'!B:B=B85) + ('T. S2 microarray results'!C:C=B85) + ('T. S2 microarray results'!D:D=B85) + ('T. S2 microarray results'!E:E=B85) + ('T. S2 microarray results'!F:F=B85) + ('T. S2 microarray results'!G:G=B85) + ('T. S2 microarray results'!H:H=B85) &gt; 0, 0))</f>
        <v>YGR200C</v>
      </c>
      <c r="B85" t="s">
        <v>9179</v>
      </c>
      <c r="C85" s="4" t="s">
        <v>14301</v>
      </c>
      <c r="D85" s="4" t="str">
        <f t="shared" si="2"/>
        <v>YGR200C/ELP2</v>
      </c>
      <c r="E85" s="4">
        <f t="shared" si="3"/>
        <v>0</v>
      </c>
      <c r="F85" cm="1">
        <f t="array" ref="F85">INDEX('T. S2 microarray results'!J:J, MATCH(TRUE, ('T. S2 microarray results'!B:B=B85) + ('T. S2 microarray results'!C:C=B85) + ('T. S2 microarray results'!D:D=B85) + ('T. S2 microarray results'!E:E=B85) + ('T. S2 microarray results'!F:F=B85) + ('T. S2 microarray results'!G:G=B85) + ('T. S2 microarray results'!H:H=B85) &gt; 0, 0))</f>
        <v>0.14430709999999999</v>
      </c>
      <c r="G85" cm="1">
        <f t="array" ref="G85">INDEX('T. S2 microarray results'!K:K, MATCH(TRUE, ('T. S2 microarray results'!B:B=B85) + ('T. S2 microarray results'!C:C=B85) + ('T. S2 microarray results'!D:D=B85) + ('T. S2 microarray results'!E:E=B85) + ('T. S2 microarray results'!F:F=B85) + ('T. S2 microarray results'!G:G=B85) + ('T. S2 microarray results'!H:H=B85) &gt; 0, 0))</f>
        <v>-3.0619159999999999E-2</v>
      </c>
      <c r="H85" cm="1">
        <f t="array" ref="H85">INDEX('T. S2 microarray results'!L:L, MATCH(TRUE, ('T. S2 microarray results'!B:B=B85) + ('T. S2 microarray results'!C:C=B85) + ('T. S2 microarray results'!D:D=B85) + ('T. S2 microarray results'!E:E=B85) + ('T. S2 microarray results'!F:F=B85) + ('T. S2 microarray results'!G:G=B85) + ('T. S2 microarray results'!H:H=B85) &gt; 0, 0))</f>
        <v>0.26284170000000001</v>
      </c>
    </row>
    <row r="86" spans="1:8" x14ac:dyDescent="0.25">
      <c r="A86" t="str" cm="1">
        <f t="array" ref="A86">INDEX('T. S2 microarray results'!A:A, MATCH(TRUE, ('T. S2 microarray results'!B:B=B86) + ('T. S2 microarray results'!C:C=B86) + ('T. S2 microarray results'!D:D=B86) + ('T. S2 microarray results'!E:E=B86) + ('T. S2 microarray results'!F:F=B86) + ('T. S2 microarray results'!G:G=B86) + ('T. S2 microarray results'!H:H=B86) &gt; 0, 0))</f>
        <v>YMR167W</v>
      </c>
      <c r="B86" t="s">
        <v>3253</v>
      </c>
      <c r="C86" s="4" t="s">
        <v>14301</v>
      </c>
      <c r="D86" s="4" t="str">
        <f t="shared" si="2"/>
        <v>YMR167W/MLH1</v>
      </c>
      <c r="E86" s="4">
        <f t="shared" si="3"/>
        <v>0</v>
      </c>
      <c r="F86" cm="1">
        <f t="array" ref="F86">INDEX('T. S2 microarray results'!J:J, MATCH(TRUE, ('T. S2 microarray results'!B:B=B86) + ('T. S2 microarray results'!C:C=B86) + ('T. S2 microarray results'!D:D=B86) + ('T. S2 microarray results'!E:E=B86) + ('T. S2 microarray results'!F:F=B86) + ('T. S2 microarray results'!G:G=B86) + ('T. S2 microarray results'!H:H=B86) &gt; 0, 0))</f>
        <v>-0.1665828</v>
      </c>
      <c r="G86" cm="1">
        <f t="array" ref="G86">INDEX('T. S2 microarray results'!K:K, MATCH(TRUE, ('T. S2 microarray results'!B:B=B86) + ('T. S2 microarray results'!C:C=B86) + ('T. S2 microarray results'!D:D=B86) + ('T. S2 microarray results'!E:E=B86) + ('T. S2 microarray results'!F:F=B86) + ('T. S2 microarray results'!G:G=B86) + ('T. S2 microarray results'!H:H=B86) &gt; 0, 0))</f>
        <v>-7.1889030000000007E-2</v>
      </c>
      <c r="H86" cm="1">
        <f t="array" ref="H86">INDEX('T. S2 microarray results'!L:L, MATCH(TRUE, ('T. S2 microarray results'!B:B=B86) + ('T. S2 microarray results'!C:C=B86) + ('T. S2 microarray results'!D:D=B86) + ('T. S2 microarray results'!E:E=B86) + ('T. S2 microarray results'!F:F=B86) + ('T. S2 microarray results'!G:G=B86) + ('T. S2 microarray results'!H:H=B86) &gt; 0, 0))</f>
        <v>-0.25595990000000002</v>
      </c>
    </row>
    <row r="87" spans="1:8" x14ac:dyDescent="0.25">
      <c r="A87" t="str" cm="1">
        <f t="array" ref="A87">INDEX('T. S2 microarray results'!A:A, MATCH(TRUE, ('T. S2 microarray results'!B:B=B87) + ('T. S2 microarray results'!C:C=B87) + ('T. S2 microarray results'!D:D=B87) + ('T. S2 microarray results'!E:E=B87) + ('T. S2 microarray results'!F:F=B87) + ('T. S2 microarray results'!G:G=B87) + ('T. S2 microarray results'!H:H=B87) &gt; 0, 0))</f>
        <v>YOR264W</v>
      </c>
      <c r="B87" t="s">
        <v>380</v>
      </c>
      <c r="C87" s="4" t="s">
        <v>14301</v>
      </c>
      <c r="D87" s="4" t="str">
        <f t="shared" si="2"/>
        <v>YOR264W/DSE3</v>
      </c>
      <c r="E87" s="4">
        <f t="shared" si="3"/>
        <v>0</v>
      </c>
      <c r="F87" cm="1">
        <f t="array" ref="F87">INDEX('T. S2 microarray results'!J:J, MATCH(TRUE, ('T. S2 microarray results'!B:B=B87) + ('T. S2 microarray results'!C:C=B87) + ('T. S2 microarray results'!D:D=B87) + ('T. S2 microarray results'!E:E=B87) + ('T. S2 microarray results'!F:F=B87) + ('T. S2 microarray results'!G:G=B87) + ('T. S2 microarray results'!H:H=B87) &gt; 0, 0))</f>
        <v>0.31644919999999999</v>
      </c>
      <c r="G87" cm="1">
        <f t="array" ref="G87">INDEX('T. S2 microarray results'!K:K, MATCH(TRUE, ('T. S2 microarray results'!B:B=B87) + ('T. S2 microarray results'!C:C=B87) + ('T. S2 microarray results'!D:D=B87) + ('T. S2 microarray results'!E:E=B87) + ('T. S2 microarray results'!F:F=B87) + ('T. S2 microarray results'!G:G=B87) + ('T. S2 microarray results'!H:H=B87) &gt; 0, 0))</f>
        <v>-0.1064908</v>
      </c>
      <c r="H87" cm="1">
        <f t="array" ref="H87">INDEX('T. S2 microarray results'!L:L, MATCH(TRUE, ('T. S2 microarray results'!B:B=B87) + ('T. S2 microarray results'!C:C=B87) + ('T. S2 microarray results'!D:D=B87) + ('T. S2 microarray results'!E:E=B87) + ('T. S2 microarray results'!F:F=B87) + ('T. S2 microarray results'!G:G=B87) + ('T. S2 microarray results'!H:H=B87) &gt; 0, 0))</f>
        <v>0.59867720000000002</v>
      </c>
    </row>
    <row r="88" spans="1:8" x14ac:dyDescent="0.25">
      <c r="A88" t="str" cm="1">
        <f t="array" ref="A88">INDEX('T. S2 microarray results'!A:A, MATCH(TRUE, ('T. S2 microarray results'!B:B=B88) + ('T. S2 microarray results'!C:C=B88) + ('T. S2 microarray results'!D:D=B88) + ('T. S2 microarray results'!E:E=B88) + ('T. S2 microarray results'!F:F=B88) + ('T. S2 microarray results'!G:G=B88) + ('T. S2 microarray results'!H:H=B88) &gt; 0, 0))</f>
        <v>YNL330C</v>
      </c>
      <c r="B88" t="s">
        <v>2119</v>
      </c>
      <c r="C88" s="4" t="s">
        <v>14301</v>
      </c>
      <c r="D88" s="4" t="str">
        <f t="shared" si="2"/>
        <v>YNL330C/RPD3</v>
      </c>
      <c r="E88" s="4">
        <f t="shared" si="3"/>
        <v>0</v>
      </c>
      <c r="F88" cm="1">
        <f t="array" ref="F88">INDEX('T. S2 microarray results'!J:J, MATCH(TRUE, ('T. S2 microarray results'!B:B=B88) + ('T. S2 microarray results'!C:C=B88) + ('T. S2 microarray results'!D:D=B88) + ('T. S2 microarray results'!E:E=B88) + ('T. S2 microarray results'!F:F=B88) + ('T. S2 microarray results'!G:G=B88) + ('T. S2 microarray results'!H:H=B88) &gt; 0, 0))</f>
        <v>4.3339850000000003E-3</v>
      </c>
      <c r="G88" cm="1">
        <f t="array" ref="G88">INDEX('T. S2 microarray results'!K:K, MATCH(TRUE, ('T. S2 microarray results'!B:B=B88) + ('T. S2 microarray results'!C:C=B88) + ('T. S2 microarray results'!D:D=B88) + ('T. S2 microarray results'!E:E=B88) + ('T. S2 microarray results'!F:F=B88) + ('T. S2 microarray results'!G:G=B88) + ('T. S2 microarray results'!H:H=B88) &gt; 0, 0))</f>
        <v>-0.21348700000000001</v>
      </c>
      <c r="H88" cm="1">
        <f t="array" ref="H88">INDEX('T. S2 microarray results'!L:L, MATCH(TRUE, ('T. S2 microarray results'!B:B=B88) + ('T. S2 microarray results'!C:C=B88) + ('T. S2 microarray results'!D:D=B88) + ('T. S2 microarray results'!E:E=B88) + ('T. S2 microarray results'!F:F=B88) + ('T. S2 microarray results'!G:G=B88) + ('T. S2 microarray results'!H:H=B88) &gt; 0, 0))</f>
        <v>-6.2221690000000003E-2</v>
      </c>
    </row>
    <row r="89" spans="1:8" x14ac:dyDescent="0.25">
      <c r="A89" t="str" cm="1">
        <f t="array" ref="A89">INDEX('T. S2 microarray results'!A:A, MATCH(TRUE, ('T. S2 microarray results'!B:B=B89) + ('T. S2 microarray results'!C:C=B89) + ('T. S2 microarray results'!D:D=B89) + ('T. S2 microarray results'!E:E=B89) + ('T. S2 microarray results'!F:F=B89) + ('T. S2 microarray results'!G:G=B89) + ('T. S2 microarray results'!H:H=B89) &gt; 0, 0))</f>
        <v>YCL025C</v>
      </c>
      <c r="B89" t="s">
        <v>12941</v>
      </c>
      <c r="C89" s="4" t="s">
        <v>14302</v>
      </c>
      <c r="D89" s="4" t="str">
        <f t="shared" si="2"/>
        <v>*YCL025C/AGP1</v>
      </c>
      <c r="E89" s="4">
        <f t="shared" si="3"/>
        <v>1</v>
      </c>
      <c r="F89" cm="1">
        <f t="array" ref="F89">INDEX('T. S2 microarray results'!J:J, MATCH(TRUE, ('T. S2 microarray results'!B:B=B89) + ('T. S2 microarray results'!C:C=B89) + ('T. S2 microarray results'!D:D=B89) + ('T. S2 microarray results'!E:E=B89) + ('T. S2 microarray results'!F:F=B89) + ('T. S2 microarray results'!G:G=B89) + ('T. S2 microarray results'!H:H=B89) &gt; 0, 0))</f>
        <v>5.7922660000000001E-2</v>
      </c>
      <c r="G89" cm="1">
        <f t="array" ref="G89">INDEX('T. S2 microarray results'!K:K, MATCH(TRUE, ('T. S2 microarray results'!B:B=B89) + ('T. S2 microarray results'!C:C=B89) + ('T. S2 microarray results'!D:D=B89) + ('T. S2 microarray results'!E:E=B89) + ('T. S2 microarray results'!F:F=B89) + ('T. S2 microarray results'!G:G=B89) + ('T. S2 microarray results'!H:H=B89) &gt; 0, 0))</f>
        <v>-0.57243469999999996</v>
      </c>
      <c r="H89" cm="1">
        <f t="array" ref="H89">INDEX('T. S2 microarray results'!L:L, MATCH(TRUE, ('T. S2 microarray results'!B:B=B89) + ('T. S2 microarray results'!C:C=B89) + ('T. S2 microarray results'!D:D=B89) + ('T. S2 microarray results'!E:E=B89) + ('T. S2 microarray results'!F:F=B89) + ('T. S2 microarray results'!G:G=B89) + ('T. S2 microarray results'!H:H=B89) &gt; 0, 0))</f>
        <v>-1.8110089999999999E-3</v>
      </c>
    </row>
    <row r="90" spans="1:8" x14ac:dyDescent="0.25">
      <c r="A90" t="str" cm="1">
        <f t="array" ref="A90">INDEX('T. S2 microarray results'!A:A, MATCH(TRUE, ('T. S2 microarray results'!B:B=B90) + ('T. S2 microarray results'!C:C=B90) + ('T. S2 microarray results'!D:D=B90) + ('T. S2 microarray results'!E:E=B90) + ('T. S2 microarray results'!F:F=B90) + ('T. S2 microarray results'!G:G=B90) + ('T. S2 microarray results'!H:H=B90) &gt; 0, 0))</f>
        <v>YJR121W</v>
      </c>
      <c r="B90" t="s">
        <v>6044</v>
      </c>
      <c r="C90" s="4" t="s">
        <v>14302</v>
      </c>
      <c r="D90" s="4" t="str">
        <f t="shared" si="2"/>
        <v>*YJR121W/ATP2</v>
      </c>
      <c r="E90" s="4">
        <f t="shared" si="3"/>
        <v>1</v>
      </c>
      <c r="F90" cm="1">
        <f t="array" ref="F90">INDEX('T. S2 microarray results'!J:J, MATCH(TRUE, ('T. S2 microarray results'!B:B=B90) + ('T. S2 microarray results'!C:C=B90) + ('T. S2 microarray results'!D:D=B90) + ('T. S2 microarray results'!E:E=B90) + ('T. S2 microarray results'!F:F=B90) + ('T. S2 microarray results'!G:G=B90) + ('T. S2 microarray results'!H:H=B90) &gt; 0, 0))</f>
        <v>-0.29415360000000002</v>
      </c>
      <c r="G90" cm="1">
        <f t="array" ref="G90">INDEX('T. S2 microarray results'!K:K, MATCH(TRUE, ('T. S2 microarray results'!B:B=B90) + ('T. S2 microarray results'!C:C=B90) + ('T. S2 microarray results'!D:D=B90) + ('T. S2 microarray results'!E:E=B90) + ('T. S2 microarray results'!F:F=B90) + ('T. S2 microarray results'!G:G=B90) + ('T. S2 microarray results'!H:H=B90) &gt; 0, 0))</f>
        <v>-0.26030180000000003</v>
      </c>
      <c r="H90" cm="1">
        <f t="array" ref="H90">INDEX('T. S2 microarray results'!L:L, MATCH(TRUE, ('T. S2 microarray results'!B:B=B90) + ('T. S2 microarray results'!C:C=B90) + ('T. S2 microarray results'!D:D=B90) + ('T. S2 microarray results'!E:E=B90) + ('T. S2 microarray results'!F:F=B90) + ('T. S2 microarray results'!G:G=B90) + ('T. S2 microarray results'!H:H=B90) &gt; 0, 0))</f>
        <v>-0.31810820000000001</v>
      </c>
    </row>
    <row r="91" spans="1:8" x14ac:dyDescent="0.25">
      <c r="A91" t="str" cm="1">
        <f t="array" ref="A91">INDEX('T. S2 microarray results'!A:A, MATCH(TRUE, ('T. S2 microarray results'!B:B=B91) + ('T. S2 microarray results'!C:C=B91) + ('T. S2 microarray results'!D:D=B91) + ('T. S2 microarray results'!E:E=B91) + ('T. S2 microarray results'!F:F=B91) + ('T. S2 microarray results'!G:G=B91) + ('T. S2 microarray results'!H:H=B91) &gt; 0, 0))</f>
        <v>YIL033C</v>
      </c>
      <c r="B91" t="s">
        <v>7147</v>
      </c>
      <c r="C91" s="4" t="s">
        <v>14302</v>
      </c>
      <c r="D91" s="4" t="str">
        <f t="shared" si="2"/>
        <v>*YIL033C/BCY1</v>
      </c>
      <c r="E91" s="4">
        <f t="shared" si="3"/>
        <v>1</v>
      </c>
      <c r="F91" cm="1">
        <f t="array" ref="F91">INDEX('T. S2 microarray results'!J:J, MATCH(TRUE, ('T. S2 microarray results'!B:B=B91) + ('T. S2 microarray results'!C:C=B91) + ('T. S2 microarray results'!D:D=B91) + ('T. S2 microarray results'!E:E=B91) + ('T. S2 microarray results'!F:F=B91) + ('T. S2 microarray results'!G:G=B91) + ('T. S2 microarray results'!H:H=B91) &gt; 0, 0))</f>
        <v>0.1208148</v>
      </c>
      <c r="G91" cm="1">
        <f t="array" ref="G91">INDEX('T. S2 microarray results'!K:K, MATCH(TRUE, ('T. S2 microarray results'!B:B=B91) + ('T. S2 microarray results'!C:C=B91) + ('T. S2 microarray results'!D:D=B91) + ('T. S2 microarray results'!E:E=B91) + ('T. S2 microarray results'!F:F=B91) + ('T. S2 microarray results'!G:G=B91) + ('T. S2 microarray results'!H:H=B91) &gt; 0, 0))</f>
        <v>0.43984450000000003</v>
      </c>
      <c r="H91" cm="1">
        <f t="array" ref="H91">INDEX('T. S2 microarray results'!L:L, MATCH(TRUE, ('T. S2 microarray results'!B:B=B91) + ('T. S2 microarray results'!C:C=B91) + ('T. S2 microarray results'!D:D=B91) + ('T. S2 microarray results'!E:E=B91) + ('T. S2 microarray results'!F:F=B91) + ('T. S2 microarray results'!G:G=B91) + ('T. S2 microarray results'!H:H=B91) &gt; 0, 0))</f>
        <v>0.41539809999999999</v>
      </c>
    </row>
    <row r="92" spans="1:8" x14ac:dyDescent="0.25">
      <c r="A92" t="str" cm="1">
        <f t="array" ref="A92">INDEX('T. S2 microarray results'!A:A, MATCH(TRUE, ('T. S2 microarray results'!B:B=B92) + ('T. S2 microarray results'!C:C=B92) + ('T. S2 microarray results'!D:D=B92) + ('T. S2 microarray results'!E:E=B92) + ('T. S2 microarray results'!F:F=B92) + ('T. S2 microarray results'!G:G=B92) + ('T. S2 microarray results'!H:H=B92) &gt; 0, 0))</f>
        <v>YNR051C</v>
      </c>
      <c r="B92" t="s">
        <v>2316</v>
      </c>
      <c r="C92" s="4" t="s">
        <v>14302</v>
      </c>
      <c r="D92" s="4" t="str">
        <f t="shared" si="2"/>
        <v>*YNR051C/BRE5</v>
      </c>
      <c r="E92" s="4">
        <f t="shared" si="3"/>
        <v>1</v>
      </c>
      <c r="F92" cm="1">
        <f t="array" ref="F92">INDEX('T. S2 microarray results'!J:J, MATCH(TRUE, ('T. S2 microarray results'!B:B=B92) + ('T. S2 microarray results'!C:C=B92) + ('T. S2 microarray results'!D:D=B92) + ('T. S2 microarray results'!E:E=B92) + ('T. S2 microarray results'!F:F=B92) + ('T. S2 microarray results'!G:G=B92) + ('T. S2 microarray results'!H:H=B92) &gt; 0, 0))</f>
        <v>-0.38160509999999997</v>
      </c>
      <c r="G92" cm="1">
        <f t="array" ref="G92">INDEX('T. S2 microarray results'!K:K, MATCH(TRUE, ('T. S2 microarray results'!B:B=B92) + ('T. S2 microarray results'!C:C=B92) + ('T. S2 microarray results'!D:D=B92) + ('T. S2 microarray results'!E:E=B92) + ('T. S2 microarray results'!F:F=B92) + ('T. S2 microarray results'!G:G=B92) + ('T. S2 microarray results'!H:H=B92) &gt; 0, 0))</f>
        <v>-0.86704899999999996</v>
      </c>
      <c r="H92" cm="1">
        <f t="array" ref="H92">INDEX('T. S2 microarray results'!L:L, MATCH(TRUE, ('T. S2 microarray results'!B:B=B92) + ('T. S2 microarray results'!C:C=B92) + ('T. S2 microarray results'!D:D=B92) + ('T. S2 microarray results'!E:E=B92) + ('T. S2 microarray results'!F:F=B92) + ('T. S2 microarray results'!G:G=B92) + ('T. S2 microarray results'!H:H=B92) &gt; 0, 0))</f>
        <v>-0.72090319999999997</v>
      </c>
    </row>
    <row r="93" spans="1:8" x14ac:dyDescent="0.25">
      <c r="A93" t="str" cm="1">
        <f t="array" ref="A93">INDEX('T. S2 microarray results'!A:A, MATCH(TRUE, ('T. S2 microarray results'!B:B=B93) + ('T. S2 microarray results'!C:C=B93) + ('T. S2 microarray results'!D:D=B93) + ('T. S2 microarray results'!E:E=B93) + ('T. S2 microarray results'!F:F=B93) + ('T. S2 microarray results'!G:G=B93) + ('T. S2 microarray results'!H:H=B93) &gt; 0, 0))</f>
        <v>YMR038C</v>
      </c>
      <c r="B93" t="s">
        <v>3542</v>
      </c>
      <c r="C93" s="4" t="s">
        <v>14302</v>
      </c>
      <c r="D93" s="4" t="str">
        <f t="shared" si="2"/>
        <v>*YMR038C/CCS1</v>
      </c>
      <c r="E93" s="4">
        <f t="shared" si="3"/>
        <v>1</v>
      </c>
      <c r="F93" cm="1">
        <f t="array" ref="F93">INDEX('T. S2 microarray results'!J:J, MATCH(TRUE, ('T. S2 microarray results'!B:B=B93) + ('T. S2 microarray results'!C:C=B93) + ('T. S2 microarray results'!D:D=B93) + ('T. S2 microarray results'!E:E=B93) + ('T. S2 microarray results'!F:F=B93) + ('T. S2 microarray results'!G:G=B93) + ('T. S2 microarray results'!H:H=B93) &gt; 0, 0))</f>
        <v>0.29919630000000003</v>
      </c>
      <c r="G93" cm="1">
        <f t="array" ref="G93">INDEX('T. S2 microarray results'!K:K, MATCH(TRUE, ('T. S2 microarray results'!B:B=B93) + ('T. S2 microarray results'!C:C=B93) + ('T. S2 microarray results'!D:D=B93) + ('T. S2 microarray results'!E:E=B93) + ('T. S2 microarray results'!F:F=B93) + ('T. S2 microarray results'!G:G=B93) + ('T. S2 microarray results'!H:H=B93) &gt; 0, 0))</f>
        <v>-2.053257E-2</v>
      </c>
      <c r="H93" cm="1">
        <f t="array" ref="H93">INDEX('T. S2 microarray results'!L:L, MATCH(TRUE, ('T. S2 microarray results'!B:B=B93) + ('T. S2 microarray results'!C:C=B93) + ('T. S2 microarray results'!D:D=B93) + ('T. S2 microarray results'!E:E=B93) + ('T. S2 microarray results'!F:F=B93) + ('T. S2 microarray results'!G:G=B93) + ('T. S2 microarray results'!H:H=B93) &gt; 0, 0))</f>
        <v>0.39680759999999998</v>
      </c>
    </row>
    <row r="94" spans="1:8" x14ac:dyDescent="0.25">
      <c r="A94" t="str" cm="1">
        <f t="array" ref="A94">INDEX('T. S2 microarray results'!A:A, MATCH(TRUE, ('T. S2 microarray results'!B:B=B94) + ('T. S2 microarray results'!C:C=B94) + ('T. S2 microarray results'!D:D=B94) + ('T. S2 microarray results'!E:E=B94) + ('T. S2 microarray results'!F:F=B94) + ('T. S2 microarray results'!G:G=B94) + ('T. S2 microarray results'!H:H=B94) &gt; 0, 0))</f>
        <v>YLR310C</v>
      </c>
      <c r="B94" t="s">
        <v>5381</v>
      </c>
      <c r="C94" s="4" t="s">
        <v>14302</v>
      </c>
      <c r="D94" s="4" t="str">
        <f t="shared" si="2"/>
        <v>*YLR310C/CDC25</v>
      </c>
      <c r="E94" s="4">
        <f t="shared" si="3"/>
        <v>1</v>
      </c>
      <c r="F94" cm="1">
        <f t="array" ref="F94">INDEX('T. S2 microarray results'!J:J, MATCH(TRUE, ('T. S2 microarray results'!B:B=B94) + ('T. S2 microarray results'!C:C=B94) + ('T. S2 microarray results'!D:D=B94) + ('T. S2 microarray results'!E:E=B94) + ('T. S2 microarray results'!F:F=B94) + ('T. S2 microarray results'!G:G=B94) + ('T. S2 microarray results'!H:H=B94) &gt; 0, 0))</f>
        <v>0.32456580000000002</v>
      </c>
      <c r="G94" cm="1">
        <f t="array" ref="G94">INDEX('T. S2 microarray results'!K:K, MATCH(TRUE, ('T. S2 microarray results'!B:B=B94) + ('T. S2 microarray results'!C:C=B94) + ('T. S2 microarray results'!D:D=B94) + ('T. S2 microarray results'!E:E=B94) + ('T. S2 microarray results'!F:F=B94) + ('T. S2 microarray results'!G:G=B94) + ('T. S2 microarray results'!H:H=B94) &gt; 0, 0))</f>
        <v>0.45652130000000002</v>
      </c>
      <c r="H94" cm="1">
        <f t="array" ref="H94">INDEX('T. S2 microarray results'!L:L, MATCH(TRUE, ('T. S2 microarray results'!B:B=B94) + ('T. S2 microarray results'!C:C=B94) + ('T. S2 microarray results'!D:D=B94) + ('T. S2 microarray results'!E:E=B94) + ('T. S2 microarray results'!F:F=B94) + ('T. S2 microarray results'!G:G=B94) + ('T. S2 microarray results'!H:H=B94) &gt; 0, 0))</f>
        <v>0.25808219999999998</v>
      </c>
    </row>
    <row r="95" spans="1:8" x14ac:dyDescent="0.25">
      <c r="A95" t="str" cm="1">
        <f t="array" ref="A95">INDEX('T. S2 microarray results'!A:A, MATCH(TRUE, ('T. S2 microarray results'!B:B=B95) + ('T. S2 microarray results'!C:C=B95) + ('T. S2 microarray results'!D:D=B95) + ('T. S2 microarray results'!E:E=B95) + ('T. S2 microarray results'!F:F=B95) + ('T. S2 microarray results'!G:G=B95) + ('T. S2 microarray results'!H:H=B95) &gt; 0, 0))</f>
        <v>YJL194W</v>
      </c>
      <c r="B95" t="s">
        <v>6316</v>
      </c>
      <c r="C95" s="4" t="s">
        <v>14302</v>
      </c>
      <c r="D95" s="4" t="str">
        <f t="shared" si="2"/>
        <v>*YJL194W/CDC6</v>
      </c>
      <c r="E95" s="4">
        <f t="shared" si="3"/>
        <v>1</v>
      </c>
      <c r="F95" cm="1">
        <f t="array" ref="F95">INDEX('T. S2 microarray results'!J:J, MATCH(TRUE, ('T. S2 microarray results'!B:B=B95) + ('T. S2 microarray results'!C:C=B95) + ('T. S2 microarray results'!D:D=B95) + ('T. S2 microarray results'!E:E=B95) + ('T. S2 microarray results'!F:F=B95) + ('T. S2 microarray results'!G:G=B95) + ('T. S2 microarray results'!H:H=B95) &gt; 0, 0))</f>
        <v>0.33063350000000002</v>
      </c>
      <c r="G95" cm="1">
        <f t="array" ref="G95">INDEX('T. S2 microarray results'!K:K, MATCH(TRUE, ('T. S2 microarray results'!B:B=B95) + ('T. S2 microarray results'!C:C=B95) + ('T. S2 microarray results'!D:D=B95) + ('T. S2 microarray results'!E:E=B95) + ('T. S2 microarray results'!F:F=B95) + ('T. S2 microarray results'!G:G=B95) + ('T. S2 microarray results'!H:H=B95) &gt; 0, 0))</f>
        <v>0.77739069999999999</v>
      </c>
      <c r="H95" cm="1">
        <f t="array" ref="H95">INDEX('T. S2 microarray results'!L:L, MATCH(TRUE, ('T. S2 microarray results'!B:B=B95) + ('T. S2 microarray results'!C:C=B95) + ('T. S2 microarray results'!D:D=B95) + ('T. S2 microarray results'!E:E=B95) + ('T. S2 microarray results'!F:F=B95) + ('T. S2 microarray results'!G:G=B95) + ('T. S2 microarray results'!H:H=B95) &gt; 0, 0))</f>
        <v>0.1529452</v>
      </c>
    </row>
    <row r="96" spans="1:8" x14ac:dyDescent="0.25">
      <c r="A96" t="str" cm="1">
        <f t="array" ref="A96">INDEX('T. S2 microarray results'!A:A, MATCH(TRUE, ('T. S2 microarray results'!B:B=B96) + ('T. S2 microarray results'!C:C=B96) + ('T. S2 microarray results'!D:D=B96) + ('T. S2 microarray results'!E:E=B96) + ('T. S2 microarray results'!F:F=B96) + ('T. S2 microarray results'!G:G=B96) + ('T. S2 microarray results'!H:H=B96) &gt; 0, 0))</f>
        <v>YPL008W</v>
      </c>
      <c r="B96" t="s">
        <v>1080</v>
      </c>
      <c r="C96" s="4" t="s">
        <v>14302</v>
      </c>
      <c r="D96" s="4" t="str">
        <f t="shared" si="2"/>
        <v>*YPL008W/CHL1</v>
      </c>
      <c r="E96" s="4">
        <f t="shared" si="3"/>
        <v>1</v>
      </c>
      <c r="F96" cm="1">
        <f t="array" ref="F96">INDEX('T. S2 microarray results'!J:J, MATCH(TRUE, ('T. S2 microarray results'!B:B=B96) + ('T. S2 microarray results'!C:C=B96) + ('T. S2 microarray results'!D:D=B96) + ('T. S2 microarray results'!E:E=B96) + ('T. S2 microarray results'!F:F=B96) + ('T. S2 microarray results'!G:G=B96) + ('T. S2 microarray results'!H:H=B96) &gt; 0, 0))</f>
        <v>-0.38577719999999999</v>
      </c>
      <c r="G96" cm="1">
        <f t="array" ref="G96">INDEX('T. S2 microarray results'!K:K, MATCH(TRUE, ('T. S2 microarray results'!B:B=B96) + ('T. S2 microarray results'!C:C=B96) + ('T. S2 microarray results'!D:D=B96) + ('T. S2 microarray results'!E:E=B96) + ('T. S2 microarray results'!F:F=B96) + ('T. S2 microarray results'!G:G=B96) + ('T. S2 microarray results'!H:H=B96) &gt; 0, 0))</f>
        <v>0.14947089999999999</v>
      </c>
      <c r="H96" cm="1">
        <f t="array" ref="H96">INDEX('T. S2 microarray results'!L:L, MATCH(TRUE, ('T. S2 microarray results'!B:B=B96) + ('T. S2 microarray results'!C:C=B96) + ('T. S2 microarray results'!D:D=B96) + ('T. S2 microarray results'!E:E=B96) + ('T. S2 microarray results'!F:F=B96) + ('T. S2 microarray results'!G:G=B96) + ('T. S2 microarray results'!H:H=B96) &gt; 0, 0))</f>
        <v>-4.317874E-2</v>
      </c>
    </row>
    <row r="97" spans="1:8" x14ac:dyDescent="0.25">
      <c r="A97" t="str" cm="1">
        <f t="array" ref="A97">INDEX('T. S2 microarray results'!A:A, MATCH(TRUE, ('T. S2 microarray results'!B:B=B97) + ('T. S2 microarray results'!C:C=B97) + ('T. S2 microarray results'!D:D=B97) + ('T. S2 microarray results'!E:E=B97) + ('T. S2 microarray results'!F:F=B97) + ('T. S2 microarray results'!G:G=B97) + ('T. S2 microarray results'!H:H=B97) &gt; 0, 0))</f>
        <v>YAL040C</v>
      </c>
      <c r="B97" t="s">
        <v>13971</v>
      </c>
      <c r="C97" s="4" t="s">
        <v>14302</v>
      </c>
      <c r="D97" s="4" t="str">
        <f t="shared" si="2"/>
        <v>*YAL040C/CLN3</v>
      </c>
      <c r="E97" s="4">
        <f t="shared" si="3"/>
        <v>1</v>
      </c>
      <c r="F97" cm="1">
        <f t="array" ref="F97">INDEX('T. S2 microarray results'!J:J, MATCH(TRUE, ('T. S2 microarray results'!B:B=B97) + ('T. S2 microarray results'!C:C=B97) + ('T. S2 microarray results'!D:D=B97) + ('T. S2 microarray results'!E:E=B97) + ('T. S2 microarray results'!F:F=B97) + ('T. S2 microarray results'!G:G=B97) + ('T. S2 microarray results'!H:H=B97) &gt; 0, 0))</f>
        <v>-0.19576940000000001</v>
      </c>
      <c r="G97" cm="1">
        <f t="array" ref="G97">INDEX('T. S2 microarray results'!K:K, MATCH(TRUE, ('T. S2 microarray results'!B:B=B97) + ('T. S2 microarray results'!C:C=B97) + ('T. S2 microarray results'!D:D=B97) + ('T. S2 microarray results'!E:E=B97) + ('T. S2 microarray results'!F:F=B97) + ('T. S2 microarray results'!G:G=B97) + ('T. S2 microarray results'!H:H=B97) &gt; 0, 0))</f>
        <v>0.27130029999999999</v>
      </c>
      <c r="H97" cm="1">
        <f t="array" ref="H97">INDEX('T. S2 microarray results'!L:L, MATCH(TRUE, ('T. S2 microarray results'!B:B=B97) + ('T. S2 microarray results'!C:C=B97) + ('T. S2 microarray results'!D:D=B97) + ('T. S2 microarray results'!E:E=B97) + ('T. S2 microarray results'!F:F=B97) + ('T. S2 microarray results'!G:G=B97) + ('T. S2 microarray results'!H:H=B97) &gt; 0, 0))</f>
        <v>-0.27269650000000001</v>
      </c>
    </row>
    <row r="98" spans="1:8" x14ac:dyDescent="0.25">
      <c r="A98" t="str" cm="1">
        <f t="array" ref="A98">INDEX('T. S2 microarray results'!A:A, MATCH(TRUE, ('T. S2 microarray results'!B:B=B98) + ('T. S2 microarray results'!C:C=B98) + ('T. S2 microarray results'!D:D=B98) + ('T. S2 microarray results'!E:E=B98) + ('T. S2 microarray results'!F:F=B98) + ('T. S2 microarray results'!G:G=B98) + ('T. S2 microarray results'!H:H=B98) &gt; 0, 0))</f>
        <v>YPR030W</v>
      </c>
      <c r="B98" t="s">
        <v>325</v>
      </c>
      <c r="C98" s="4" t="s">
        <v>14302</v>
      </c>
      <c r="D98" s="4" t="str">
        <f t="shared" si="2"/>
        <v>*YPR030W/CSR2</v>
      </c>
      <c r="E98" s="4">
        <f t="shared" si="3"/>
        <v>1</v>
      </c>
      <c r="F98" cm="1">
        <f t="array" ref="F98">INDEX('T. S2 microarray results'!J:J, MATCH(TRUE, ('T. S2 microarray results'!B:B=B98) + ('T. S2 microarray results'!C:C=B98) + ('T. S2 microarray results'!D:D=B98) + ('T. S2 microarray results'!E:E=B98) + ('T. S2 microarray results'!F:F=B98) + ('T. S2 microarray results'!G:G=B98) + ('T. S2 microarray results'!H:H=B98) &gt; 0, 0))</f>
        <v>0.3338392</v>
      </c>
      <c r="G98" cm="1">
        <f t="array" ref="G98">INDEX('T. S2 microarray results'!K:K, MATCH(TRUE, ('T. S2 microarray results'!B:B=B98) + ('T. S2 microarray results'!C:C=B98) + ('T. S2 microarray results'!D:D=B98) + ('T. S2 microarray results'!E:E=B98) + ('T. S2 microarray results'!F:F=B98) + ('T. S2 microarray results'!G:G=B98) + ('T. S2 microarray results'!H:H=B98) &gt; 0, 0))</f>
        <v>9.1078919999999994E-2</v>
      </c>
      <c r="H98" cm="1">
        <f t="array" ref="H98">INDEX('T. S2 microarray results'!L:L, MATCH(TRUE, ('T. S2 microarray results'!B:B=B98) + ('T. S2 microarray results'!C:C=B98) + ('T. S2 microarray results'!D:D=B98) + ('T. S2 microarray results'!E:E=B98) + ('T. S2 microarray results'!F:F=B98) + ('T. S2 microarray results'!G:G=B98) + ('T. S2 microarray results'!H:H=B98) &gt; 0, 0))</f>
        <v>5.4722699999999999E-2</v>
      </c>
    </row>
    <row r="99" spans="1:8" x14ac:dyDescent="0.25">
      <c r="A99" t="str" cm="1">
        <f t="array" ref="A99">INDEX('T. S2 microarray results'!A:A, MATCH(TRUE, ('T. S2 microarray results'!B:B=B99) + ('T. S2 microarray results'!C:C=B99) + ('T. S2 microarray results'!D:D=B99) + ('T. S2 microarray results'!E:E=B99) + ('T. S2 microarray results'!F:F=B99) + ('T. S2 microarray results'!G:G=B99) + ('T. S2 microarray results'!H:H=B99) &gt; 0, 0))</f>
        <v>YGR088W</v>
      </c>
      <c r="B99" t="s">
        <v>8399</v>
      </c>
      <c r="C99" s="4" t="s">
        <v>14302</v>
      </c>
      <c r="D99" s="4" t="str">
        <f t="shared" si="2"/>
        <v>*YGR088W/CTT1</v>
      </c>
      <c r="E99" s="4">
        <f t="shared" si="3"/>
        <v>1</v>
      </c>
      <c r="F99" cm="1">
        <f t="array" ref="F99">INDEX('T. S2 microarray results'!J:J, MATCH(TRUE, ('T. S2 microarray results'!B:B=B99) + ('T. S2 microarray results'!C:C=B99) + ('T. S2 microarray results'!D:D=B99) + ('T. S2 microarray results'!E:E=B99) + ('T. S2 microarray results'!F:F=B99) + ('T. S2 microarray results'!G:G=B99) + ('T. S2 microarray results'!H:H=B99) &gt; 0, 0))</f>
        <v>-0.2260064</v>
      </c>
      <c r="G99" cm="1">
        <f t="array" ref="G99">INDEX('T. S2 microarray results'!K:K, MATCH(TRUE, ('T. S2 microarray results'!B:B=B99) + ('T. S2 microarray results'!C:C=B99) + ('T. S2 microarray results'!D:D=B99) + ('T. S2 microarray results'!E:E=B99) + ('T. S2 microarray results'!F:F=B99) + ('T. S2 microarray results'!G:G=B99) + ('T. S2 microarray results'!H:H=B99) &gt; 0, 0))</f>
        <v>1.136477</v>
      </c>
      <c r="H99" cm="1">
        <f t="array" ref="H99">INDEX('T. S2 microarray results'!L:L, MATCH(TRUE, ('T. S2 microarray results'!B:B=B99) + ('T. S2 microarray results'!C:C=B99) + ('T. S2 microarray results'!D:D=B99) + ('T. S2 microarray results'!E:E=B99) + ('T. S2 microarray results'!F:F=B99) + ('T. S2 microarray results'!G:G=B99) + ('T. S2 microarray results'!H:H=B99) &gt; 0, 0))</f>
        <v>-0.27992089999999997</v>
      </c>
    </row>
    <row r="100" spans="1:8" x14ac:dyDescent="0.25">
      <c r="A100" t="str" cm="1">
        <f t="array" ref="A100">INDEX('T. S2 microarray results'!A:A, MATCH(TRUE, ('T. S2 microarray results'!B:B=B100) + ('T. S2 microarray results'!C:C=B100) + ('T. S2 microarray results'!D:D=B100) + ('T. S2 microarray results'!E:E=B100) + ('T. S2 microarray results'!F:F=B100) + ('T. S2 microarray results'!G:G=B100) + ('T. S2 microarray results'!H:H=B100) &gt; 0, 0))</f>
        <v>YJL005W</v>
      </c>
      <c r="B100" t="s">
        <v>7801</v>
      </c>
      <c r="C100" s="4" t="s">
        <v>14302</v>
      </c>
      <c r="D100" s="4" t="str">
        <f t="shared" si="2"/>
        <v>*YJL005W/CYR1</v>
      </c>
      <c r="E100" s="4">
        <f t="shared" si="3"/>
        <v>1</v>
      </c>
      <c r="F100" cm="1">
        <f t="array" ref="F100">INDEX('T. S2 microarray results'!J:J, MATCH(TRUE, ('T. S2 microarray results'!B:B=B100) + ('T. S2 microarray results'!C:C=B100) + ('T. S2 microarray results'!D:D=B100) + ('T. S2 microarray results'!E:E=B100) + ('T. S2 microarray results'!F:F=B100) + ('T. S2 microarray results'!G:G=B100) + ('T. S2 microarray results'!H:H=B100) &gt; 0, 0))</f>
        <v>2.8659380000000002E-2</v>
      </c>
      <c r="G100" cm="1">
        <f t="array" ref="G100">INDEX('T. S2 microarray results'!K:K, MATCH(TRUE, ('T. S2 microarray results'!B:B=B100) + ('T. S2 microarray results'!C:C=B100) + ('T. S2 microarray results'!D:D=B100) + ('T. S2 microarray results'!E:E=B100) + ('T. S2 microarray results'!F:F=B100) + ('T. S2 microarray results'!G:G=B100) + ('T. S2 microarray results'!H:H=B100) &gt; 0, 0))</f>
        <v>-9.1932520000000004E-2</v>
      </c>
      <c r="H100" cm="1">
        <f t="array" ref="H100">INDEX('T. S2 microarray results'!L:L, MATCH(TRUE, ('T. S2 microarray results'!B:B=B100) + ('T. S2 microarray results'!C:C=B100) + ('T. S2 microarray results'!D:D=B100) + ('T. S2 microarray results'!E:E=B100) + ('T. S2 microarray results'!F:F=B100) + ('T. S2 microarray results'!G:G=B100) + ('T. S2 microarray results'!H:H=B100) &gt; 0, 0))</f>
        <v>-9.5574999999999993E-2</v>
      </c>
    </row>
    <row r="101" spans="1:8" x14ac:dyDescent="0.25">
      <c r="A101" t="str" cm="1">
        <f t="array" ref="A101">INDEX('T. S2 microarray results'!A:A, MATCH(TRUE, ('T. S2 microarray results'!B:B=B101) + ('T. S2 microarray results'!C:C=B101) + ('T. S2 microarray results'!D:D=B101) + ('T. S2 microarray results'!E:E=B101) + ('T. S2 microarray results'!F:F=B101) + ('T. S2 microarray results'!G:G=B101) + ('T. S2 microarray results'!H:H=B101) &gt; 0, 0))</f>
        <v>YHR164C</v>
      </c>
      <c r="B101" t="s">
        <v>7381</v>
      </c>
      <c r="C101" s="4" t="s">
        <v>14302</v>
      </c>
      <c r="D101" s="4" t="str">
        <f t="shared" si="2"/>
        <v>*YHR164C/DNA2</v>
      </c>
      <c r="E101" s="4">
        <f t="shared" si="3"/>
        <v>1</v>
      </c>
      <c r="F101" cm="1">
        <f t="array" ref="F101">INDEX('T. S2 microarray results'!J:J, MATCH(TRUE, ('T. S2 microarray results'!B:B=B101) + ('T. S2 microarray results'!C:C=B101) + ('T. S2 microarray results'!D:D=B101) + ('T. S2 microarray results'!E:E=B101) + ('T. S2 microarray results'!F:F=B101) + ('T. S2 microarray results'!G:G=B101) + ('T. S2 microarray results'!H:H=B101) &gt; 0, 0))</f>
        <v>0.46743879999999999</v>
      </c>
      <c r="G101" cm="1">
        <f t="array" ref="G101">INDEX('T. S2 microarray results'!K:K, MATCH(TRUE, ('T. S2 microarray results'!B:B=B101) + ('T. S2 microarray results'!C:C=B101) + ('T. S2 microarray results'!D:D=B101) + ('T. S2 microarray results'!E:E=B101) + ('T. S2 microarray results'!F:F=B101) + ('T. S2 microarray results'!G:G=B101) + ('T. S2 microarray results'!H:H=B101) &gt; 0, 0))</f>
        <v>-0.36399520000000002</v>
      </c>
      <c r="H101" cm="1">
        <f t="array" ref="H101">INDEX('T. S2 microarray results'!L:L, MATCH(TRUE, ('T. S2 microarray results'!B:B=B101) + ('T. S2 microarray results'!C:C=B101) + ('T. S2 microarray results'!D:D=B101) + ('T. S2 microarray results'!E:E=B101) + ('T. S2 microarray results'!F:F=B101) + ('T. S2 microarray results'!G:G=B101) + ('T. S2 microarray results'!H:H=B101) &gt; 0, 0))</f>
        <v>0.18661510000000001</v>
      </c>
    </row>
    <row r="102" spans="1:8" x14ac:dyDescent="0.25">
      <c r="A102" t="str" cm="1">
        <f t="array" ref="A102">INDEX('T. S2 microarray results'!A:A, MATCH(TRUE, ('T. S2 microarray results'!B:B=B102) + ('T. S2 microarray results'!C:C=B102) + ('T. S2 microarray results'!D:D=B102) + ('T. S2 microarray results'!E:E=B102) + ('T. S2 microarray results'!F:F=B102) + ('T. S2 microarray results'!G:G=B102) + ('T. S2 microarray results'!H:H=B102) &gt; 0, 0))</f>
        <v>YLL001W</v>
      </c>
      <c r="B102" t="s">
        <v>6248</v>
      </c>
      <c r="C102" s="4" t="s">
        <v>14302</v>
      </c>
      <c r="D102" s="4" t="str">
        <f t="shared" si="2"/>
        <v>*YLL001W/DNM1</v>
      </c>
      <c r="E102" s="4">
        <f t="shared" si="3"/>
        <v>1</v>
      </c>
      <c r="F102" cm="1">
        <f t="array" ref="F102">INDEX('T. S2 microarray results'!J:J, MATCH(TRUE, ('T. S2 microarray results'!B:B=B102) + ('T. S2 microarray results'!C:C=B102) + ('T. S2 microarray results'!D:D=B102) + ('T. S2 microarray results'!E:E=B102) + ('T. S2 microarray results'!F:F=B102) + ('T. S2 microarray results'!G:G=B102) + ('T. S2 microarray results'!H:H=B102) &gt; 0, 0))</f>
        <v>-0.79024209999999995</v>
      </c>
      <c r="G102" cm="1">
        <f t="array" ref="G102">INDEX('T. S2 microarray results'!K:K, MATCH(TRUE, ('T. S2 microarray results'!B:B=B102) + ('T. S2 microarray results'!C:C=B102) + ('T. S2 microarray results'!D:D=B102) + ('T. S2 microarray results'!E:E=B102) + ('T. S2 microarray results'!F:F=B102) + ('T. S2 microarray results'!G:G=B102) + ('T. S2 microarray results'!H:H=B102) &gt; 0, 0))</f>
        <v>-1.274554</v>
      </c>
      <c r="H102" cm="1">
        <f t="array" ref="H102">INDEX('T. S2 microarray results'!L:L, MATCH(TRUE, ('T. S2 microarray results'!B:B=B102) + ('T. S2 microarray results'!C:C=B102) + ('T. S2 microarray results'!D:D=B102) + ('T. S2 microarray results'!E:E=B102) + ('T. S2 microarray results'!F:F=B102) + ('T. S2 microarray results'!G:G=B102) + ('T. S2 microarray results'!H:H=B102) &gt; 0, 0))</f>
        <v>-0.90857319999999997</v>
      </c>
    </row>
    <row r="103" spans="1:8" x14ac:dyDescent="0.25">
      <c r="A103" t="str" cm="1">
        <f t="array" ref="A103">INDEX('T. S2 microarray results'!A:A, MATCH(TRUE, ('T. S2 microarray results'!B:B=B103) + ('T. S2 microarray results'!C:C=B103) + ('T. S2 microarray results'!D:D=B103) + ('T. S2 microarray results'!E:E=B103) + ('T. S2 microarray results'!F:F=B103) + ('T. S2 microarray results'!G:G=B103) + ('T. S2 microarray results'!H:H=B103) &gt; 0, 0))</f>
        <v>YLR377C</v>
      </c>
      <c r="B103" t="s">
        <v>5219</v>
      </c>
      <c r="C103" s="4" t="s">
        <v>14302</v>
      </c>
      <c r="D103" s="4" t="str">
        <f t="shared" si="2"/>
        <v>*YLR377C/FBP1</v>
      </c>
      <c r="E103" s="4">
        <f t="shared" si="3"/>
        <v>1</v>
      </c>
      <c r="F103" cm="1">
        <f t="array" ref="F103">INDEX('T. S2 microarray results'!J:J, MATCH(TRUE, ('T. S2 microarray results'!B:B=B103) + ('T. S2 microarray results'!C:C=B103) + ('T. S2 microarray results'!D:D=B103) + ('T. S2 microarray results'!E:E=B103) + ('T. S2 microarray results'!F:F=B103) + ('T. S2 microarray results'!G:G=B103) + ('T. S2 microarray results'!H:H=B103) &gt; 0, 0))</f>
        <v>-0.44488929999999999</v>
      </c>
      <c r="G103" cm="1">
        <f t="array" ref="G103">INDEX('T. S2 microarray results'!K:K, MATCH(TRUE, ('T. S2 microarray results'!B:B=B103) + ('T. S2 microarray results'!C:C=B103) + ('T. S2 microarray results'!D:D=B103) + ('T. S2 microarray results'!E:E=B103) + ('T. S2 microarray results'!F:F=B103) + ('T. S2 microarray results'!G:G=B103) + ('T. S2 microarray results'!H:H=B103) &gt; 0, 0))</f>
        <v>-1.0302340000000001</v>
      </c>
      <c r="H103" cm="1">
        <f t="array" ref="H103">INDEX('T. S2 microarray results'!L:L, MATCH(TRUE, ('T. S2 microarray results'!B:B=B103) + ('T. S2 microarray results'!C:C=B103) + ('T. S2 microarray results'!D:D=B103) + ('T. S2 microarray results'!E:E=B103) + ('T. S2 microarray results'!F:F=B103) + ('T. S2 microarray results'!G:G=B103) + ('T. S2 microarray results'!H:H=B103) &gt; 0, 0))</f>
        <v>-0.70096460000000005</v>
      </c>
    </row>
    <row r="104" spans="1:8" x14ac:dyDescent="0.25">
      <c r="A104" t="str" cm="1">
        <f t="array" ref="A104">INDEX('T. S2 microarray results'!A:A, MATCH(TRUE, ('T. S2 microarray results'!B:B=B104) + ('T. S2 microarray results'!C:C=B104) + ('T. S2 microarray results'!D:D=B104) + ('T. S2 microarray results'!E:E=B104) + ('T. S2 microarray results'!F:F=B104) + ('T. S2 microarray results'!G:G=B104) + ('T. S2 microarray results'!H:H=B104) &gt; 0, 0))</f>
        <v>YIL065C</v>
      </c>
      <c r="B104" t="s">
        <v>7074</v>
      </c>
      <c r="C104" s="4" t="s">
        <v>14302</v>
      </c>
      <c r="D104" s="4" t="str">
        <f t="shared" si="2"/>
        <v>*YIL065C/FIS1</v>
      </c>
      <c r="E104" s="4">
        <f t="shared" si="3"/>
        <v>1</v>
      </c>
      <c r="F104" cm="1">
        <f t="array" ref="F104">INDEX('T. S2 microarray results'!J:J, MATCH(TRUE, ('T. S2 microarray results'!B:B=B104) + ('T. S2 microarray results'!C:C=B104) + ('T. S2 microarray results'!D:D=B104) + ('T. S2 microarray results'!E:E=B104) + ('T. S2 microarray results'!F:F=B104) + ('T. S2 microarray results'!G:G=B104) + ('T. S2 microarray results'!H:H=B104) &gt; 0, 0))</f>
        <v>-0.6651511</v>
      </c>
      <c r="G104" cm="1">
        <f t="array" ref="G104">INDEX('T. S2 microarray results'!K:K, MATCH(TRUE, ('T. S2 microarray results'!B:B=B104) + ('T. S2 microarray results'!C:C=B104) + ('T. S2 microarray results'!D:D=B104) + ('T. S2 microarray results'!E:E=B104) + ('T. S2 microarray results'!F:F=B104) + ('T. S2 microarray results'!G:G=B104) + ('T. S2 microarray results'!H:H=B104) &gt; 0, 0))</f>
        <v>-1.0326839999999999</v>
      </c>
      <c r="H104" cm="1">
        <f t="array" ref="H104">INDEX('T. S2 microarray results'!L:L, MATCH(TRUE, ('T. S2 microarray results'!B:B=B104) + ('T. S2 microarray results'!C:C=B104) + ('T. S2 microarray results'!D:D=B104) + ('T. S2 microarray results'!E:E=B104) + ('T. S2 microarray results'!F:F=B104) + ('T. S2 microarray results'!G:G=B104) + ('T. S2 microarray results'!H:H=B104) &gt; 0, 0))</f>
        <v>-0.34390029999999999</v>
      </c>
    </row>
    <row r="105" spans="1:8" x14ac:dyDescent="0.25">
      <c r="A105" t="str" cm="1">
        <f t="array" ref="A105">INDEX('T. S2 microarray results'!A:A, MATCH(TRUE, ('T. S2 microarray results'!B:B=B105) + ('T. S2 microarray results'!C:C=B105) + ('T. S2 microarray results'!D:D=B105) + ('T. S2 microarray results'!E:E=B105) + ('T. S2 microarray results'!F:F=B105) + ('T. S2 microarray results'!G:G=B105) + ('T. S2 microarray results'!H:H=B105) &gt; 0, 0))</f>
        <v>YDR110W</v>
      </c>
      <c r="B105" t="s">
        <v>11871</v>
      </c>
      <c r="C105" s="4" t="s">
        <v>14302</v>
      </c>
      <c r="D105" s="4" t="str">
        <f t="shared" si="2"/>
        <v>*YDR110W/FOB1</v>
      </c>
      <c r="E105" s="4">
        <f t="shared" si="3"/>
        <v>1</v>
      </c>
      <c r="F105" cm="1">
        <f t="array" ref="F105">INDEX('T. S2 microarray results'!J:J, MATCH(TRUE, ('T. S2 microarray results'!B:B=B105) + ('T. S2 microarray results'!C:C=B105) + ('T. S2 microarray results'!D:D=B105) + ('T. S2 microarray results'!E:E=B105) + ('T. S2 microarray results'!F:F=B105) + ('T. S2 microarray results'!G:G=B105) + ('T. S2 microarray results'!H:H=B105) &gt; 0, 0))</f>
        <v>-1.9011610000000002E-2</v>
      </c>
      <c r="G105" cm="1">
        <f t="array" ref="G105">INDEX('T. S2 microarray results'!K:K, MATCH(TRUE, ('T. S2 microarray results'!B:B=B105) + ('T. S2 microarray results'!C:C=B105) + ('T. S2 microarray results'!D:D=B105) + ('T. S2 microarray results'!E:E=B105) + ('T. S2 microarray results'!F:F=B105) + ('T. S2 microarray results'!G:G=B105) + ('T. S2 microarray results'!H:H=B105) &gt; 0, 0))</f>
        <v>-0.20226659999999999</v>
      </c>
      <c r="H105" cm="1">
        <f t="array" ref="H105">INDEX('T. S2 microarray results'!L:L, MATCH(TRUE, ('T. S2 microarray results'!B:B=B105) + ('T. S2 microarray results'!C:C=B105) + ('T. S2 microarray results'!D:D=B105) + ('T. S2 microarray results'!E:E=B105) + ('T. S2 microarray results'!F:F=B105) + ('T. S2 microarray results'!G:G=B105) + ('T. S2 microarray results'!H:H=B105) &gt; 0, 0))</f>
        <v>6.5663109999999997E-2</v>
      </c>
    </row>
    <row r="106" spans="1:8" x14ac:dyDescent="0.25">
      <c r="A106" t="str" cm="1">
        <f t="array" ref="A106">INDEX('T. S2 microarray results'!A:A, MATCH(TRUE, ('T. S2 microarray results'!B:B=B106) + ('T. S2 microarray results'!C:C=B106) + ('T. S2 microarray results'!D:D=B106) + ('T. S2 microarray results'!E:E=B106) + ('T. S2 microarray results'!F:F=B106) + ('T. S2 microarray results'!G:G=B106) + ('T. S2 microarray results'!H:H=B106) &gt; 0, 0))</f>
        <v>YGR252W</v>
      </c>
      <c r="B106" t="s">
        <v>8036</v>
      </c>
      <c r="C106" s="4" t="s">
        <v>14302</v>
      </c>
      <c r="D106" s="4" t="str">
        <f t="shared" si="2"/>
        <v>*YGR252W/GCN5</v>
      </c>
      <c r="E106" s="4">
        <f t="shared" si="3"/>
        <v>1</v>
      </c>
      <c r="F106" cm="1">
        <f t="array" ref="F106">INDEX('T. S2 microarray results'!J:J, MATCH(TRUE, ('T. S2 microarray results'!B:B=B106) + ('T. S2 microarray results'!C:C=B106) + ('T. S2 microarray results'!D:D=B106) + ('T. S2 microarray results'!E:E=B106) + ('T. S2 microarray results'!F:F=B106) + ('T. S2 microarray results'!G:G=B106) + ('T. S2 microarray results'!H:H=B106) &gt; 0, 0))</f>
        <v>-1.5583949999999999E-2</v>
      </c>
      <c r="G106" cm="1">
        <f t="array" ref="G106">INDEX('T. S2 microarray results'!K:K, MATCH(TRUE, ('T. S2 microarray results'!B:B=B106) + ('T. S2 microarray results'!C:C=B106) + ('T. S2 microarray results'!D:D=B106) + ('T. S2 microarray results'!E:E=B106) + ('T. S2 microarray results'!F:F=B106) + ('T. S2 microarray results'!G:G=B106) + ('T. S2 microarray results'!H:H=B106) &gt; 0, 0))</f>
        <v>-0.60852890000000004</v>
      </c>
      <c r="H106" cm="1">
        <f t="array" ref="H106">INDEX('T. S2 microarray results'!L:L, MATCH(TRUE, ('T. S2 microarray results'!B:B=B106) + ('T. S2 microarray results'!C:C=B106) + ('T. S2 microarray results'!D:D=B106) + ('T. S2 microarray results'!E:E=B106) + ('T. S2 microarray results'!F:F=B106) + ('T. S2 microarray results'!G:G=B106) + ('T. S2 microarray results'!H:H=B106) &gt; 0, 0))</f>
        <v>-0.15912999999999999</v>
      </c>
    </row>
    <row r="107" spans="1:8" x14ac:dyDescent="0.25">
      <c r="A107" t="str" cm="1">
        <f t="array" ref="A107">INDEX('T. S2 microarray results'!A:A, MATCH(TRUE, ('T. S2 microarray results'!B:B=B107) + ('T. S2 microarray results'!C:C=B107) + ('T. S2 microarray results'!D:D=B107) + ('T. S2 microarray results'!E:E=B107) + ('T. S2 microarray results'!F:F=B107) + ('T. S2 microarray results'!G:G=B107) + ('T. S2 microarray results'!H:H=B107) &gt; 0, 0))</f>
        <v>YER040W</v>
      </c>
      <c r="B107" t="s">
        <v>11157</v>
      </c>
      <c r="C107" s="4" t="s">
        <v>14302</v>
      </c>
      <c r="D107" s="4" t="str">
        <f t="shared" si="2"/>
        <v>*YER040W/GLN3</v>
      </c>
      <c r="E107" s="4">
        <f t="shared" si="3"/>
        <v>1</v>
      </c>
      <c r="F107" cm="1">
        <f t="array" ref="F107">INDEX('T. S2 microarray results'!J:J, MATCH(TRUE, ('T. S2 microarray results'!B:B=B107) + ('T. S2 microarray results'!C:C=B107) + ('T. S2 microarray results'!D:D=B107) + ('T. S2 microarray results'!E:E=B107) + ('T. S2 microarray results'!F:F=B107) + ('T. S2 microarray results'!G:G=B107) + ('T. S2 microarray results'!H:H=B107) &gt; 0, 0))</f>
        <v>0.1508553</v>
      </c>
      <c r="G107" cm="1">
        <f t="array" ref="G107">INDEX('T. S2 microarray results'!K:K, MATCH(TRUE, ('T. S2 microarray results'!B:B=B107) + ('T. S2 microarray results'!C:C=B107) + ('T. S2 microarray results'!D:D=B107) + ('T. S2 microarray results'!E:E=B107) + ('T. S2 microarray results'!F:F=B107) + ('T. S2 microarray results'!G:G=B107) + ('T. S2 microarray results'!H:H=B107) &gt; 0, 0))</f>
        <v>-0.63091900000000001</v>
      </c>
      <c r="H107" cm="1">
        <f t="array" ref="H107">INDEX('T. S2 microarray results'!L:L, MATCH(TRUE, ('T. S2 microarray results'!B:B=B107) + ('T. S2 microarray results'!C:C=B107) + ('T. S2 microarray results'!D:D=B107) + ('T. S2 microarray results'!E:E=B107) + ('T. S2 microarray results'!F:F=B107) + ('T. S2 microarray results'!G:G=B107) + ('T. S2 microarray results'!H:H=B107) &gt; 0, 0))</f>
        <v>-0.44740010000000002</v>
      </c>
    </row>
    <row r="108" spans="1:8" x14ac:dyDescent="0.25">
      <c r="A108" t="str" cm="1">
        <f t="array" ref="A108">INDEX('T. S2 microarray results'!A:A, MATCH(TRUE, ('T. S2 microarray results'!B:B=B108) + ('T. S2 microarray results'!C:C=B108) + ('T. S2 microarray results'!D:D=B108) + ('T. S2 microarray results'!E:E=B108) + ('T. S2 microarray results'!F:F=B108) + ('T. S2 microarray results'!G:G=B108) + ('T. S2 microarray results'!H:H=B108) &gt; 0, 0))</f>
        <v>YER020W</v>
      </c>
      <c r="B108" t="s">
        <v>10213</v>
      </c>
      <c r="C108" s="4" t="s">
        <v>14302</v>
      </c>
      <c r="D108" s="4" t="str">
        <f t="shared" si="2"/>
        <v>*YER020W/GPA2</v>
      </c>
      <c r="E108" s="4">
        <f t="shared" si="3"/>
        <v>1</v>
      </c>
      <c r="F108" cm="1">
        <f t="array" ref="F108">INDEX('T. S2 microarray results'!J:J, MATCH(TRUE, ('T. S2 microarray results'!B:B=B108) + ('T. S2 microarray results'!C:C=B108) + ('T. S2 microarray results'!D:D=B108) + ('T. S2 microarray results'!E:E=B108) + ('T. S2 microarray results'!F:F=B108) + ('T. S2 microarray results'!G:G=B108) + ('T. S2 microarray results'!H:H=B108) &gt; 0, 0))</f>
        <v>0.33849570000000001</v>
      </c>
      <c r="G108" cm="1">
        <f t="array" ref="G108">INDEX('T. S2 microarray results'!K:K, MATCH(TRUE, ('T. S2 microarray results'!B:B=B108) + ('T. S2 microarray results'!C:C=B108) + ('T. S2 microarray results'!D:D=B108) + ('T. S2 microarray results'!E:E=B108) + ('T. S2 microarray results'!F:F=B108) + ('T. S2 microarray results'!G:G=B108) + ('T. S2 microarray results'!H:H=B108) &gt; 0, 0))</f>
        <v>-0.43420750000000002</v>
      </c>
      <c r="H108" cm="1">
        <f t="array" ref="H108">INDEX('T. S2 microarray results'!L:L, MATCH(TRUE, ('T. S2 microarray results'!B:B=B108) + ('T. S2 microarray results'!C:C=B108) + ('T. S2 microarray results'!D:D=B108) + ('T. S2 microarray results'!E:E=B108) + ('T. S2 microarray results'!F:F=B108) + ('T. S2 microarray results'!G:G=B108) + ('T. S2 microarray results'!H:H=B108) &gt; 0, 0))</f>
        <v>0.20044500000000001</v>
      </c>
    </row>
    <row r="109" spans="1:8" x14ac:dyDescent="0.25">
      <c r="A109" t="str" cm="1">
        <f t="array" ref="A109">INDEX('T. S2 microarray results'!A:A, MATCH(TRUE, ('T. S2 microarray results'!B:B=B109) + ('T. S2 microarray results'!C:C=B109) + ('T. S2 microarray results'!D:D=B109) + ('T. S2 microarray results'!E:E=B109) + ('T. S2 microarray results'!F:F=B109) + ('T. S2 microarray results'!G:G=B109) + ('T. S2 microarray results'!H:H=B109) &gt; 0, 0))</f>
        <v>YDL035C</v>
      </c>
      <c r="B109" t="s">
        <v>12318</v>
      </c>
      <c r="C109" s="4" t="s">
        <v>14302</v>
      </c>
      <c r="D109" s="4" t="str">
        <f t="shared" si="2"/>
        <v>*YDL035C/GPR1</v>
      </c>
      <c r="E109" s="4">
        <f t="shared" si="3"/>
        <v>1</v>
      </c>
      <c r="F109" cm="1">
        <f t="array" ref="F109">INDEX('T. S2 microarray results'!J:J, MATCH(TRUE, ('T. S2 microarray results'!B:B=B109) + ('T. S2 microarray results'!C:C=B109) + ('T. S2 microarray results'!D:D=B109) + ('T. S2 microarray results'!E:E=B109) + ('T. S2 microarray results'!F:F=B109) + ('T. S2 microarray results'!G:G=B109) + ('T. S2 microarray results'!H:H=B109) &gt; 0, 0))</f>
        <v>0.1325664</v>
      </c>
      <c r="G109" cm="1">
        <f t="array" ref="G109">INDEX('T. S2 microarray results'!K:K, MATCH(TRUE, ('T. S2 microarray results'!B:B=B109) + ('T. S2 microarray results'!C:C=B109) + ('T. S2 microarray results'!D:D=B109) + ('T. S2 microarray results'!E:E=B109) + ('T. S2 microarray results'!F:F=B109) + ('T. S2 microarray results'!G:G=B109) + ('T. S2 microarray results'!H:H=B109) &gt; 0, 0))</f>
        <v>-0.20847460000000001</v>
      </c>
      <c r="H109" cm="1">
        <f t="array" ref="H109">INDEX('T. S2 microarray results'!L:L, MATCH(TRUE, ('T. S2 microarray results'!B:B=B109) + ('T. S2 microarray results'!C:C=B109) + ('T. S2 microarray results'!D:D=B109) + ('T. S2 microarray results'!E:E=B109) + ('T. S2 microarray results'!F:F=B109) + ('T. S2 microarray results'!G:G=B109) + ('T. S2 microarray results'!H:H=B109) &gt; 0, 0))</f>
        <v>7.5657730000000006E-2</v>
      </c>
    </row>
    <row r="110" spans="1:8" x14ac:dyDescent="0.25">
      <c r="A110" t="str" cm="1">
        <f t="array" ref="A110">INDEX('T. S2 microarray results'!A:A, MATCH(TRUE, ('T. S2 microarray results'!B:B=B110) + ('T. S2 microarray results'!C:C=B110) + ('T. S2 microarray results'!D:D=B110) + ('T. S2 microarray results'!E:E=B110) + ('T. S2 microarray results'!F:F=B110) + ('T. S2 microarray results'!G:G=B110) + ('T. S2 microarray results'!H:H=B110) &gt; 0, 0))</f>
        <v>YKL109W</v>
      </c>
      <c r="B110" t="s">
        <v>5715</v>
      </c>
      <c r="C110" s="4" t="s">
        <v>14302</v>
      </c>
      <c r="D110" s="4" t="str">
        <f t="shared" si="2"/>
        <v>*YKL109W/HAP4</v>
      </c>
      <c r="E110" s="4">
        <f t="shared" si="3"/>
        <v>1</v>
      </c>
      <c r="F110" cm="1">
        <f t="array" ref="F110">INDEX('T. S2 microarray results'!J:J, MATCH(TRUE, ('T. S2 microarray results'!B:B=B110) + ('T. S2 microarray results'!C:C=B110) + ('T. S2 microarray results'!D:D=B110) + ('T. S2 microarray results'!E:E=B110) + ('T. S2 microarray results'!F:F=B110) + ('T. S2 microarray results'!G:G=B110) + ('T. S2 microarray results'!H:H=B110) &gt; 0, 0))</f>
        <v>-0.63488069999999996</v>
      </c>
      <c r="G110" cm="1">
        <f t="array" ref="G110">INDEX('T. S2 microarray results'!K:K, MATCH(TRUE, ('T. S2 microarray results'!B:B=B110) + ('T. S2 microarray results'!C:C=B110) + ('T. S2 microarray results'!D:D=B110) + ('T. S2 microarray results'!E:E=B110) + ('T. S2 microarray results'!F:F=B110) + ('T. S2 microarray results'!G:G=B110) + ('T. S2 microarray results'!H:H=B110) &gt; 0, 0))</f>
        <v>-0.83549090000000004</v>
      </c>
      <c r="H110" cm="1">
        <f t="array" ref="H110">INDEX('T. S2 microarray results'!L:L, MATCH(TRUE, ('T. S2 microarray results'!B:B=B110) + ('T. S2 microarray results'!C:C=B110) + ('T. S2 microarray results'!D:D=B110) + ('T. S2 microarray results'!E:E=B110) + ('T. S2 microarray results'!F:F=B110) + ('T. S2 microarray results'!G:G=B110) + ('T. S2 microarray results'!H:H=B110) &gt; 0, 0))</f>
        <v>-0.91775589999999996</v>
      </c>
    </row>
    <row r="111" spans="1:8" x14ac:dyDescent="0.25">
      <c r="A111" t="str" cm="1">
        <f t="array" ref="A111">INDEX('T. S2 microarray results'!A:A, MATCH(TRUE, ('T. S2 microarray results'!B:B=B111) + ('T. S2 microarray results'!C:C=B111) + ('T. S2 microarray results'!D:D=B111) + ('T. S2 microarray results'!E:E=B111) + ('T. S2 microarray results'!F:F=B111) + ('T. S2 microarray results'!G:G=B111) + ('T. S2 microarray results'!H:H=B111) &gt; 0, 0))</f>
        <v>YEL056W</v>
      </c>
      <c r="B111" t="s">
        <v>11042</v>
      </c>
      <c r="C111" s="4" t="s">
        <v>14302</v>
      </c>
      <c r="D111" s="4" t="str">
        <f t="shared" si="2"/>
        <v>*YEL056W/HAT2</v>
      </c>
      <c r="E111" s="4">
        <f t="shared" si="3"/>
        <v>1</v>
      </c>
      <c r="F111" cm="1">
        <f t="array" ref="F111">INDEX('T. S2 microarray results'!J:J, MATCH(TRUE, ('T. S2 microarray results'!B:B=B111) + ('T. S2 microarray results'!C:C=B111) + ('T. S2 microarray results'!D:D=B111) + ('T. S2 microarray results'!E:E=B111) + ('T. S2 microarray results'!F:F=B111) + ('T. S2 microarray results'!G:G=B111) + ('T. S2 microarray results'!H:H=B111) &gt; 0, 0))</f>
        <v>0.1890124</v>
      </c>
      <c r="G111" cm="1">
        <f t="array" ref="G111">INDEX('T. S2 microarray results'!K:K, MATCH(TRUE, ('T. S2 microarray results'!B:B=B111) + ('T. S2 microarray results'!C:C=B111) + ('T. S2 microarray results'!D:D=B111) + ('T. S2 microarray results'!E:E=B111) + ('T. S2 microarray results'!F:F=B111) + ('T. S2 microarray results'!G:G=B111) + ('T. S2 microarray results'!H:H=B111) &gt; 0, 0))</f>
        <v>-4.4772520000000003E-2</v>
      </c>
      <c r="H111" cm="1">
        <f t="array" ref="H111">INDEX('T. S2 microarray results'!L:L, MATCH(TRUE, ('T. S2 microarray results'!B:B=B111) + ('T. S2 microarray results'!C:C=B111) + ('T. S2 microarray results'!D:D=B111) + ('T. S2 microarray results'!E:E=B111) + ('T. S2 microarray results'!F:F=B111) + ('T. S2 microarray results'!G:G=B111) + ('T. S2 microarray results'!H:H=B111) &gt; 0, 0))</f>
        <v>7.9539369999999995E-3</v>
      </c>
    </row>
    <row r="112" spans="1:8" x14ac:dyDescent="0.25">
      <c r="A112" t="str" cm="1">
        <f t="array" ref="A112">INDEX('T. S2 microarray results'!A:A, MATCH(TRUE, ('T. S2 microarray results'!B:B=B112) + ('T. S2 microarray results'!C:C=B112) + ('T. S2 microarray results'!D:D=B112) + ('T. S2 microarray results'!E:E=B112) + ('T. S2 microarray results'!F:F=B112) + ('T. S2 microarray results'!G:G=B112) + ('T. S2 microarray results'!H:H=B112) &gt; 0, 0))</f>
        <v>YJL092W</v>
      </c>
      <c r="B112" t="s">
        <v>7612</v>
      </c>
      <c r="C112" s="4" t="s">
        <v>14302</v>
      </c>
      <c r="D112" s="4" t="str">
        <f t="shared" si="2"/>
        <v>*YJL092W/HPR5</v>
      </c>
      <c r="E112" s="4">
        <f t="shared" si="3"/>
        <v>1</v>
      </c>
      <c r="F112" cm="1">
        <f t="array" ref="F112">INDEX('T. S2 microarray results'!J:J, MATCH(TRUE, ('T. S2 microarray results'!B:B=B112) + ('T. S2 microarray results'!C:C=B112) + ('T. S2 microarray results'!D:D=B112) + ('T. S2 microarray results'!E:E=B112) + ('T. S2 microarray results'!F:F=B112) + ('T. S2 microarray results'!G:G=B112) + ('T. S2 microarray results'!H:H=B112) &gt; 0, 0))</f>
        <v>-0.37639319999999998</v>
      </c>
      <c r="G112" cm="1">
        <f t="array" ref="G112">INDEX('T. S2 microarray results'!K:K, MATCH(TRUE, ('T. S2 microarray results'!B:B=B112) + ('T. S2 microarray results'!C:C=B112) + ('T. S2 microarray results'!D:D=B112) + ('T. S2 microarray results'!E:E=B112) + ('T. S2 microarray results'!F:F=B112) + ('T. S2 microarray results'!G:G=B112) + ('T. S2 microarray results'!H:H=B112) &gt; 0, 0))</f>
        <v>-0.62730200000000003</v>
      </c>
      <c r="H112" cm="1">
        <f t="array" ref="H112">INDEX('T. S2 microarray results'!L:L, MATCH(TRUE, ('T. S2 microarray results'!B:B=B112) + ('T. S2 microarray results'!C:C=B112) + ('T. S2 microarray results'!D:D=B112) + ('T. S2 microarray results'!E:E=B112) + ('T. S2 microarray results'!F:F=B112) + ('T. S2 microarray results'!G:G=B112) + ('T. S2 microarray results'!H:H=B112) &gt; 0, 0))</f>
        <v>-0.30207060000000002</v>
      </c>
    </row>
    <row r="113" spans="1:8" x14ac:dyDescent="0.25">
      <c r="A113" t="str" cm="1">
        <f t="array" ref="A113">INDEX('T. S2 microarray results'!A:A, MATCH(TRUE, ('T. S2 microarray results'!B:B=B113) + ('T. S2 microarray results'!C:C=B113) + ('T. S2 microarray results'!D:D=B113) + ('T. S2 microarray results'!E:E=B113) + ('T. S2 microarray results'!F:F=B113) + ('T. S2 microarray results'!G:G=B113) + ('T. S2 microarray results'!H:H=B113) &gt; 0, 0))</f>
        <v>YLL026W</v>
      </c>
      <c r="B113" t="s">
        <v>5149</v>
      </c>
      <c r="C113" s="4" t="s">
        <v>14302</v>
      </c>
      <c r="D113" s="4" t="str">
        <f t="shared" si="2"/>
        <v>*YLL026W/HSP104</v>
      </c>
      <c r="E113" s="4">
        <f t="shared" si="3"/>
        <v>1</v>
      </c>
      <c r="F113" cm="1">
        <f t="array" ref="F113">INDEX('T. S2 microarray results'!J:J, MATCH(TRUE, ('T. S2 microarray results'!B:B=B113) + ('T. S2 microarray results'!C:C=B113) + ('T. S2 microarray results'!D:D=B113) + ('T. S2 microarray results'!E:E=B113) + ('T. S2 microarray results'!F:F=B113) + ('T. S2 microarray results'!G:G=B113) + ('T. S2 microarray results'!H:H=B113) &gt; 0, 0))</f>
        <v>0.11975239999999999</v>
      </c>
      <c r="G113" cm="1">
        <f t="array" ref="G113">INDEX('T. S2 microarray results'!K:K, MATCH(TRUE, ('T. S2 microarray results'!B:B=B113) + ('T. S2 microarray results'!C:C=B113) + ('T. S2 microarray results'!D:D=B113) + ('T. S2 microarray results'!E:E=B113) + ('T. S2 microarray results'!F:F=B113) + ('T. S2 microarray results'!G:G=B113) + ('T. S2 microarray results'!H:H=B113) &gt; 0, 0))</f>
        <v>-3.3947150000000002E-2</v>
      </c>
      <c r="H113" cm="1">
        <f t="array" ref="H113">INDEX('T. S2 microarray results'!L:L, MATCH(TRUE, ('T. S2 microarray results'!B:B=B113) + ('T. S2 microarray results'!C:C=B113) + ('T. S2 microarray results'!D:D=B113) + ('T. S2 microarray results'!E:E=B113) + ('T. S2 microarray results'!F:F=B113) + ('T. S2 microarray results'!G:G=B113) + ('T. S2 microarray results'!H:H=B113) &gt; 0, 0))</f>
        <v>0.18173839999999999</v>
      </c>
    </row>
    <row r="114" spans="1:8" x14ac:dyDescent="0.25">
      <c r="A114" t="str" cm="1">
        <f t="array" ref="A114">INDEX('T. S2 microarray results'!A:A, MATCH(TRUE, ('T. S2 microarray results'!B:B=B114) + ('T. S2 microarray results'!C:C=B114) + ('T. S2 microarray results'!D:D=B114) + ('T. S2 microarray results'!E:E=B114) + ('T. S2 microarray results'!F:F=B114) + ('T. S2 microarray results'!G:G=B114) + ('T. S2 microarray results'!H:H=B114) &gt; 0, 0))</f>
        <v>YPL015C</v>
      </c>
      <c r="B114" t="s">
        <v>1064</v>
      </c>
      <c r="C114" s="4" t="s">
        <v>14302</v>
      </c>
      <c r="D114" s="4" t="str">
        <f t="shared" si="2"/>
        <v>*YPL015C/HST2</v>
      </c>
      <c r="E114" s="4">
        <f t="shared" si="3"/>
        <v>1</v>
      </c>
      <c r="F114" cm="1">
        <f t="array" ref="F114">INDEX('T. S2 microarray results'!J:J, MATCH(TRUE, ('T. S2 microarray results'!B:B=B114) + ('T. S2 microarray results'!C:C=B114) + ('T. S2 microarray results'!D:D=B114) + ('T. S2 microarray results'!E:E=B114) + ('T. S2 microarray results'!F:F=B114) + ('T. S2 microarray results'!G:G=B114) + ('T. S2 microarray results'!H:H=B114) &gt; 0, 0))</f>
        <v>-0.30117680000000002</v>
      </c>
      <c r="G114" cm="1">
        <f t="array" ref="G114">INDEX('T. S2 microarray results'!K:K, MATCH(TRUE, ('T. S2 microarray results'!B:B=B114) + ('T. S2 microarray results'!C:C=B114) + ('T. S2 microarray results'!D:D=B114) + ('T. S2 microarray results'!E:E=B114) + ('T. S2 microarray results'!F:F=B114) + ('T. S2 microarray results'!G:G=B114) + ('T. S2 microarray results'!H:H=B114) &gt; 0, 0))</f>
        <v>7.5188619999999998E-2</v>
      </c>
      <c r="H114" cm="1">
        <f t="array" ref="H114">INDEX('T. S2 microarray results'!L:L, MATCH(TRUE, ('T. S2 microarray results'!B:B=B114) + ('T. S2 microarray results'!C:C=B114) + ('T. S2 microarray results'!D:D=B114) + ('T. S2 microarray results'!E:E=B114) + ('T. S2 microarray results'!F:F=B114) + ('T. S2 microarray results'!G:G=B114) + ('T. S2 microarray results'!H:H=B114) &gt; 0, 0))</f>
        <v>-0.29139880000000001</v>
      </c>
    </row>
    <row r="115" spans="1:8" x14ac:dyDescent="0.25">
      <c r="A115" t="str" cm="1">
        <f t="array" ref="A115">INDEX('T. S2 microarray results'!A:A, MATCH(TRUE, ('T. S2 microarray results'!B:B=B115) + ('T. S2 microarray results'!C:C=B115) + ('T. S2 microarray results'!D:D=B115) + ('T. S2 microarray results'!E:E=B115) + ('T. S2 microarray results'!F:F=B115) + ('T. S2 microarray results'!G:G=B115) + ('T. S2 microarray results'!H:H=B115) &gt; 0, 0))</f>
        <v>YGL253W</v>
      </c>
      <c r="B115" t="s">
        <v>9628</v>
      </c>
      <c r="C115" s="4" t="s">
        <v>14302</v>
      </c>
      <c r="D115" s="4" t="str">
        <f t="shared" si="2"/>
        <v>*YGL253W/HXK2</v>
      </c>
      <c r="E115" s="4">
        <f t="shared" si="3"/>
        <v>1</v>
      </c>
      <c r="F115" cm="1">
        <f t="array" ref="F115">INDEX('T. S2 microarray results'!J:J, MATCH(TRUE, ('T. S2 microarray results'!B:B=B115) + ('T. S2 microarray results'!C:C=B115) + ('T. S2 microarray results'!D:D=B115) + ('T. S2 microarray results'!E:E=B115) + ('T. S2 microarray results'!F:F=B115) + ('T. S2 microarray results'!G:G=B115) + ('T. S2 microarray results'!H:H=B115) &gt; 0, 0))</f>
        <v>0.53629760000000004</v>
      </c>
      <c r="G115" cm="1">
        <f t="array" ref="G115">INDEX('T. S2 microarray results'!K:K, MATCH(TRUE, ('T. S2 microarray results'!B:B=B115) + ('T. S2 microarray results'!C:C=B115) + ('T. S2 microarray results'!D:D=B115) + ('T. S2 microarray results'!E:E=B115) + ('T. S2 microarray results'!F:F=B115) + ('T. S2 microarray results'!G:G=B115) + ('T. S2 microarray results'!H:H=B115) &gt; 0, 0))</f>
        <v>1.133518</v>
      </c>
      <c r="H115" cm="1">
        <f t="array" ref="H115">INDEX('T. S2 microarray results'!L:L, MATCH(TRUE, ('T. S2 microarray results'!B:B=B115) + ('T. S2 microarray results'!C:C=B115) + ('T. S2 microarray results'!D:D=B115) + ('T. S2 microarray results'!E:E=B115) + ('T. S2 microarray results'!F:F=B115) + ('T. S2 microarray results'!G:G=B115) + ('T. S2 microarray results'!H:H=B115) &gt; 0, 0))</f>
        <v>0.74925209999999998</v>
      </c>
    </row>
    <row r="116" spans="1:8" x14ac:dyDescent="0.25">
      <c r="A116" t="str" cm="1">
        <f t="array" ref="A116">INDEX('T. S2 microarray results'!A:A, MATCH(TRUE, ('T. S2 microarray results'!B:B=B116) + ('T. S2 microarray results'!C:C=B116) + ('T. S2 microarray results'!D:D=B116) + ('T. S2 microarray results'!E:E=B116) + ('T. S2 microarray results'!F:F=B116) + ('T. S2 microarray results'!G:G=B116) + ('T. S2 microarray results'!H:H=B116) &gt; 0, 0))</f>
        <v>YOR136W</v>
      </c>
      <c r="B116" t="s">
        <v>1666</v>
      </c>
      <c r="C116" s="4" t="s">
        <v>14302</v>
      </c>
      <c r="D116" s="4" t="str">
        <f t="shared" si="2"/>
        <v>*YOR136W/IDH2</v>
      </c>
      <c r="E116" s="4">
        <f t="shared" si="3"/>
        <v>1</v>
      </c>
      <c r="F116" cm="1">
        <f t="array" ref="F116">INDEX('T. S2 microarray results'!J:J, MATCH(TRUE, ('T. S2 microarray results'!B:B=B116) + ('T. S2 microarray results'!C:C=B116) + ('T. S2 microarray results'!D:D=B116) + ('T. S2 microarray results'!E:E=B116) + ('T. S2 microarray results'!F:F=B116) + ('T. S2 microarray results'!G:G=B116) + ('T. S2 microarray results'!H:H=B116) &gt; 0, 0))</f>
        <v>-0.25038660000000001</v>
      </c>
      <c r="G116" cm="1">
        <f t="array" ref="G116">INDEX('T. S2 microarray results'!K:K, MATCH(TRUE, ('T. S2 microarray results'!B:B=B116) + ('T. S2 microarray results'!C:C=B116) + ('T. S2 microarray results'!D:D=B116) + ('T. S2 microarray results'!E:E=B116) + ('T. S2 microarray results'!F:F=B116) + ('T. S2 microarray results'!G:G=B116) + ('T. S2 microarray results'!H:H=B116) &gt; 0, 0))</f>
        <v>-0.1221903</v>
      </c>
      <c r="H116" cm="1">
        <f t="array" ref="H116">INDEX('T. S2 microarray results'!L:L, MATCH(TRUE, ('T. S2 microarray results'!B:B=B116) + ('T. S2 microarray results'!C:C=B116) + ('T. S2 microarray results'!D:D=B116) + ('T. S2 microarray results'!E:E=B116) + ('T. S2 microarray results'!F:F=B116) + ('T. S2 microarray results'!G:G=B116) + ('T. S2 microarray results'!H:H=B116) &gt; 0, 0))</f>
        <v>-0.2339106</v>
      </c>
    </row>
    <row r="117" spans="1:8" x14ac:dyDescent="0.25">
      <c r="A117" t="str" cm="1">
        <f t="array" ref="A117">INDEX('T. S2 microarray results'!A:A, MATCH(TRUE, ('T. S2 microarray results'!B:B=B117) + ('T. S2 microarray results'!C:C=B117) + ('T. S2 microarray results'!D:D=B117) + ('T. S2 microarray results'!E:E=B117) + ('T. S2 microarray results'!F:F=B117) + ('T. S2 microarray results'!G:G=B117) + ('T. S2 microarray results'!H:H=B117) &gt; 0, 0))</f>
        <v>YGR040W</v>
      </c>
      <c r="B117" t="s">
        <v>8476</v>
      </c>
      <c r="C117" s="4" t="s">
        <v>14302</v>
      </c>
      <c r="D117" s="4" t="str">
        <f t="shared" si="2"/>
        <v>*YGR040W/KSS1</v>
      </c>
      <c r="E117" s="4">
        <f t="shared" si="3"/>
        <v>1</v>
      </c>
      <c r="F117" cm="1">
        <f t="array" ref="F117">INDEX('T. S2 microarray results'!J:J, MATCH(TRUE, ('T. S2 microarray results'!B:B=B117) + ('T. S2 microarray results'!C:C=B117) + ('T. S2 microarray results'!D:D=B117) + ('T. S2 microarray results'!E:E=B117) + ('T. S2 microarray results'!F:F=B117) + ('T. S2 microarray results'!G:G=B117) + ('T. S2 microarray results'!H:H=B117) &gt; 0, 0))</f>
        <v>-0.2033412</v>
      </c>
      <c r="G117" cm="1">
        <f t="array" ref="G117">INDEX('T. S2 microarray results'!K:K, MATCH(TRUE, ('T. S2 microarray results'!B:B=B117) + ('T. S2 microarray results'!C:C=B117) + ('T. S2 microarray results'!D:D=B117) + ('T. S2 microarray results'!E:E=B117) + ('T. S2 microarray results'!F:F=B117) + ('T. S2 microarray results'!G:G=B117) + ('T. S2 microarray results'!H:H=B117) &gt; 0, 0))</f>
        <v>-0.52668519999999996</v>
      </c>
      <c r="H117" cm="1">
        <f t="array" ref="H117">INDEX('T. S2 microarray results'!L:L, MATCH(TRUE, ('T. S2 microarray results'!B:B=B117) + ('T. S2 microarray results'!C:C=B117) + ('T. S2 microarray results'!D:D=B117) + ('T. S2 microarray results'!E:E=B117) + ('T. S2 microarray results'!F:F=B117) + ('T. S2 microarray results'!G:G=B117) + ('T. S2 microarray results'!H:H=B117) &gt; 0, 0))</f>
        <v>-0.25339980000000001</v>
      </c>
    </row>
    <row r="118" spans="1:8" x14ac:dyDescent="0.25">
      <c r="A118" t="str" cm="1">
        <f t="array" ref="A118">INDEX('T. S2 microarray results'!A:A, MATCH(TRUE, ('T. S2 microarray results'!B:B=B118) + ('T. S2 microarray results'!C:C=B118) + ('T. S2 microarray results'!D:D=B118) + ('T. S2 microarray results'!E:E=B118) + ('T. S2 microarray results'!F:F=B118) + ('T. S2 microarray results'!G:G=B118) + ('T. S2 microarray results'!H:H=B118) &gt; 0, 0))</f>
        <v>YHL003C</v>
      </c>
      <c r="B118" t="s">
        <v>7939</v>
      </c>
      <c r="C118" s="4" t="s">
        <v>14302</v>
      </c>
      <c r="D118" s="4" t="str">
        <f t="shared" si="2"/>
        <v>*YHL003C/LAG1</v>
      </c>
      <c r="E118" s="4">
        <f t="shared" si="3"/>
        <v>1</v>
      </c>
      <c r="F118" cm="1">
        <f t="array" ref="F118">INDEX('T. S2 microarray results'!J:J, MATCH(TRUE, ('T. S2 microarray results'!B:B=B118) + ('T. S2 microarray results'!C:C=B118) + ('T. S2 microarray results'!D:D=B118) + ('T. S2 microarray results'!E:E=B118) + ('T. S2 microarray results'!F:F=B118) + ('T. S2 microarray results'!G:G=B118) + ('T. S2 microarray results'!H:H=B118) &gt; 0, 0))</f>
        <v>0.1797742</v>
      </c>
      <c r="G118" cm="1">
        <f t="array" ref="G118">INDEX('T. S2 microarray results'!K:K, MATCH(TRUE, ('T. S2 microarray results'!B:B=B118) + ('T. S2 microarray results'!C:C=B118) + ('T. S2 microarray results'!D:D=B118) + ('T. S2 microarray results'!E:E=B118) + ('T. S2 microarray results'!F:F=B118) + ('T. S2 microarray results'!G:G=B118) + ('T. S2 microarray results'!H:H=B118) &gt; 0, 0))</f>
        <v>0.27734730000000002</v>
      </c>
      <c r="H118" cm="1">
        <f t="array" ref="H118">INDEX('T. S2 microarray results'!L:L, MATCH(TRUE, ('T. S2 microarray results'!B:B=B118) + ('T. S2 microarray results'!C:C=B118) + ('T. S2 microarray results'!D:D=B118) + ('T. S2 microarray results'!E:E=B118) + ('T. S2 microarray results'!F:F=B118) + ('T. S2 microarray results'!G:G=B118) + ('T. S2 microarray results'!H:H=B118) &gt; 0, 0))</f>
        <v>6.9592730000000005E-2</v>
      </c>
    </row>
    <row r="119" spans="1:8" x14ac:dyDescent="0.25">
      <c r="A119" t="str" cm="1">
        <f t="array" ref="A119">INDEX('T. S2 microarray results'!A:A, MATCH(TRUE, ('T. S2 microarray results'!B:B=B119) + ('T. S2 microarray results'!C:C=B119) + ('T. S2 microarray results'!D:D=B119) + ('T. S2 microarray results'!E:E=B119) + ('T. S2 microarray results'!F:F=B119) + ('T. S2 microarray results'!G:G=B119) + ('T. S2 microarray results'!H:H=B119) &gt; 0, 0))</f>
        <v>YNL071W</v>
      </c>
      <c r="B119" t="s">
        <v>2689</v>
      </c>
      <c r="C119" s="4" t="s">
        <v>14302</v>
      </c>
      <c r="D119" s="4" t="str">
        <f t="shared" si="2"/>
        <v>*YNL071W/LAT1</v>
      </c>
      <c r="E119" s="4">
        <f t="shared" si="3"/>
        <v>1</v>
      </c>
      <c r="F119" cm="1">
        <f t="array" ref="F119">INDEX('T. S2 microarray results'!J:J, MATCH(TRUE, ('T. S2 microarray results'!B:B=B119) + ('T. S2 microarray results'!C:C=B119) + ('T. S2 microarray results'!D:D=B119) + ('T. S2 microarray results'!E:E=B119) + ('T. S2 microarray results'!F:F=B119) + ('T. S2 microarray results'!G:G=B119) + ('T. S2 microarray results'!H:H=B119) &gt; 0, 0))</f>
        <v>0.18167810000000001</v>
      </c>
      <c r="G119" cm="1">
        <f t="array" ref="G119">INDEX('T. S2 microarray results'!K:K, MATCH(TRUE, ('T. S2 microarray results'!B:B=B119) + ('T. S2 microarray results'!C:C=B119) + ('T. S2 microarray results'!D:D=B119) + ('T. S2 microarray results'!E:E=B119) + ('T. S2 microarray results'!F:F=B119) + ('T. S2 microarray results'!G:G=B119) + ('T. S2 microarray results'!H:H=B119) &gt; 0, 0))</f>
        <v>9.2671229999999993E-2</v>
      </c>
      <c r="H119" cm="1">
        <f t="array" ref="H119">INDEX('T. S2 microarray results'!L:L, MATCH(TRUE, ('T. S2 microarray results'!B:B=B119) + ('T. S2 microarray results'!C:C=B119) + ('T. S2 microarray results'!D:D=B119) + ('T. S2 microarray results'!E:E=B119) + ('T. S2 microarray results'!F:F=B119) + ('T. S2 microarray results'!G:G=B119) + ('T. S2 microarray results'!H:H=B119) &gt; 0, 0))</f>
        <v>0.15968769999999999</v>
      </c>
    </row>
    <row r="120" spans="1:8" x14ac:dyDescent="0.25">
      <c r="A120" t="str" cm="1">
        <f t="array" ref="A120">INDEX('T. S2 microarray results'!A:A, MATCH(TRUE, ('T. S2 microarray results'!B:B=B120) + ('T. S2 microarray results'!C:C=B120) + ('T. S2 microarray results'!D:D=B120) + ('T. S2 microarray results'!E:E=B120) + ('T. S2 microarray results'!F:F=B120) + ('T. S2 microarray results'!G:G=B120) + ('T. S2 microarray results'!H:H=B120) &gt; 0, 0))</f>
        <v>YIL094C</v>
      </c>
      <c r="B120" t="s">
        <v>8113</v>
      </c>
      <c r="C120" s="4" t="s">
        <v>14302</v>
      </c>
      <c r="D120" s="4" t="str">
        <f t="shared" si="2"/>
        <v>*YIL094C/LYS12</v>
      </c>
      <c r="E120" s="4">
        <f t="shared" si="3"/>
        <v>1</v>
      </c>
      <c r="F120" cm="1">
        <f t="array" ref="F120">INDEX('T. S2 microarray results'!J:J, MATCH(TRUE, ('T. S2 microarray results'!B:B=B120) + ('T. S2 microarray results'!C:C=B120) + ('T. S2 microarray results'!D:D=B120) + ('T. S2 microarray results'!E:E=B120) + ('T. S2 microarray results'!F:F=B120) + ('T. S2 microarray results'!G:G=B120) + ('T. S2 microarray results'!H:H=B120) &gt; 0, 0))</f>
        <v>0.38708340000000002</v>
      </c>
      <c r="G120" cm="1">
        <f t="array" ref="G120">INDEX('T. S2 microarray results'!K:K, MATCH(TRUE, ('T. S2 microarray results'!B:B=B120) + ('T. S2 microarray results'!C:C=B120) + ('T. S2 microarray results'!D:D=B120) + ('T. S2 microarray results'!E:E=B120) + ('T. S2 microarray results'!F:F=B120) + ('T. S2 microarray results'!G:G=B120) + ('T. S2 microarray results'!H:H=B120) &gt; 0, 0))</f>
        <v>0.1390343</v>
      </c>
      <c r="H120" cm="1">
        <f t="array" ref="H120">INDEX('T. S2 microarray results'!L:L, MATCH(TRUE, ('T. S2 microarray results'!B:B=B120) + ('T. S2 microarray results'!C:C=B120) + ('T. S2 microarray results'!D:D=B120) + ('T. S2 microarray results'!E:E=B120) + ('T. S2 microarray results'!F:F=B120) + ('T. S2 microarray results'!G:G=B120) + ('T. S2 microarray results'!H:H=B120) &gt; 0, 0))</f>
        <v>0.4600033</v>
      </c>
    </row>
    <row r="121" spans="1:8" x14ac:dyDescent="0.25">
      <c r="A121" t="str" cm="1">
        <f t="array" ref="A121">INDEX('T. S2 microarray results'!A:A, MATCH(TRUE, ('T. S2 microarray results'!B:B=B121) + ('T. S2 microarray results'!C:C=B121) + ('T. S2 microarray results'!D:D=B121) + ('T. S2 microarray results'!E:E=B121) + ('T. S2 microarray results'!F:F=B121) + ('T. S2 microarray results'!G:G=B121) + ('T. S2 microarray results'!H:H=B121) &gt; 0, 0))</f>
        <v>YBR136W</v>
      </c>
      <c r="B121" t="s">
        <v>13012</v>
      </c>
      <c r="C121" s="4" t="s">
        <v>14302</v>
      </c>
      <c r="D121" s="4" t="str">
        <f t="shared" si="2"/>
        <v>*YBR136W/MEC1</v>
      </c>
      <c r="E121" s="4">
        <f t="shared" si="3"/>
        <v>1</v>
      </c>
      <c r="F121" cm="1">
        <f t="array" ref="F121">INDEX('T. S2 microarray results'!J:J, MATCH(TRUE, ('T. S2 microarray results'!B:B=B121) + ('T. S2 microarray results'!C:C=B121) + ('T. S2 microarray results'!D:D=B121) + ('T. S2 microarray results'!E:E=B121) + ('T. S2 microarray results'!F:F=B121) + ('T. S2 microarray results'!G:G=B121) + ('T. S2 microarray results'!H:H=B121) &gt; 0, 0))</f>
        <v>0.82297410000000004</v>
      </c>
      <c r="G121" cm="1">
        <f t="array" ref="G121">INDEX('T. S2 microarray results'!K:K, MATCH(TRUE, ('T. S2 microarray results'!B:B=B121) + ('T. S2 microarray results'!C:C=B121) + ('T. S2 microarray results'!D:D=B121) + ('T. S2 microarray results'!E:E=B121) + ('T. S2 microarray results'!F:F=B121) + ('T. S2 microarray results'!G:G=B121) + ('T. S2 microarray results'!H:H=B121) &gt; 0, 0))</f>
        <v>0.33118609999999998</v>
      </c>
      <c r="H121" cm="1">
        <f t="array" ref="H121">INDEX('T. S2 microarray results'!L:L, MATCH(TRUE, ('T. S2 microarray results'!B:B=B121) + ('T. S2 microarray results'!C:C=B121) + ('T. S2 microarray results'!D:D=B121) + ('T. S2 microarray results'!E:E=B121) + ('T. S2 microarray results'!F:F=B121) + ('T. S2 microarray results'!G:G=B121) + ('T. S2 microarray results'!H:H=B121) &gt; 0, 0))</f>
        <v>0.56372169999999999</v>
      </c>
    </row>
    <row r="122" spans="1:8" x14ac:dyDescent="0.25">
      <c r="A122" t="str" cm="1">
        <f t="array" ref="A122">INDEX('T. S2 microarray results'!A:A, MATCH(TRUE, ('T. S2 microarray results'!B:B=B122) + ('T. S2 microarray results'!C:C=B122) + ('T. S2 microarray results'!D:D=B122) + ('T. S2 microarray results'!E:E=B122) + ('T. S2 microarray results'!F:F=B122) + ('T. S2 microarray results'!G:G=B122) + ('T. S2 microarray results'!H:H=B122) &gt; 0, 0))</f>
        <v>YNL142W</v>
      </c>
      <c r="B122" t="s">
        <v>2525</v>
      </c>
      <c r="C122" s="4" t="s">
        <v>14302</v>
      </c>
      <c r="D122" s="4" t="str">
        <f t="shared" si="2"/>
        <v>*YNL142W/MEP2</v>
      </c>
      <c r="E122" s="4">
        <f t="shared" si="3"/>
        <v>1</v>
      </c>
      <c r="F122" cm="1">
        <f t="array" ref="F122">INDEX('T. S2 microarray results'!J:J, MATCH(TRUE, ('T. S2 microarray results'!B:B=B122) + ('T. S2 microarray results'!C:C=B122) + ('T. S2 microarray results'!D:D=B122) + ('T. S2 microarray results'!E:E=B122) + ('T. S2 microarray results'!F:F=B122) + ('T. S2 microarray results'!G:G=B122) + ('T. S2 microarray results'!H:H=B122) &gt; 0, 0))</f>
        <v>-0.15044109999999999</v>
      </c>
      <c r="G122" cm="1">
        <f t="array" ref="G122">INDEX('T. S2 microarray results'!K:K, MATCH(TRUE, ('T. S2 microarray results'!B:B=B122) + ('T. S2 microarray results'!C:C=B122) + ('T. S2 microarray results'!D:D=B122) + ('T. S2 microarray results'!E:E=B122) + ('T. S2 microarray results'!F:F=B122) + ('T. S2 microarray results'!G:G=B122) + ('T. S2 microarray results'!H:H=B122) &gt; 0, 0))</f>
        <v>0.53345419999999999</v>
      </c>
      <c r="H122" cm="1">
        <f t="array" ref="H122">INDEX('T. S2 microarray results'!L:L, MATCH(TRUE, ('T. S2 microarray results'!B:B=B122) + ('T. S2 microarray results'!C:C=B122) + ('T. S2 microarray results'!D:D=B122) + ('T. S2 microarray results'!E:E=B122) + ('T. S2 microarray results'!F:F=B122) + ('T. S2 microarray results'!G:G=B122) + ('T. S2 microarray results'!H:H=B122) &gt; 0, 0))</f>
        <v>0.1043063</v>
      </c>
    </row>
    <row r="123" spans="1:8" x14ac:dyDescent="0.25">
      <c r="A123" t="str" cm="1">
        <f t="array" ref="A123">INDEX('T. S2 microarray results'!A:A, MATCH(TRUE, ('T. S2 microarray results'!B:B=B123) + ('T. S2 microarray results'!C:C=B123) + ('T. S2 microarray results'!D:D=B123) + ('T. S2 microarray results'!E:E=B123) + ('T. S2 microarray results'!F:F=B123) + ('T. S2 microarray results'!G:G=B123) + ('T. S2 microarray results'!H:H=B123) &gt; 0, 0))</f>
        <v>YPR138C</v>
      </c>
      <c r="B123" t="s">
        <v>1094</v>
      </c>
      <c r="C123" s="4" t="s">
        <v>14302</v>
      </c>
      <c r="D123" s="4" t="str">
        <f t="shared" si="2"/>
        <v>*YPR138C/MEP3</v>
      </c>
      <c r="E123" s="4">
        <f t="shared" si="3"/>
        <v>1</v>
      </c>
      <c r="F123" cm="1">
        <f t="array" ref="F123">INDEX('T. S2 microarray results'!J:J, MATCH(TRUE, ('T. S2 microarray results'!B:B=B123) + ('T. S2 microarray results'!C:C=B123) + ('T. S2 microarray results'!D:D=B123) + ('T. S2 microarray results'!E:E=B123) + ('T. S2 microarray results'!F:F=B123) + ('T. S2 microarray results'!G:G=B123) + ('T. S2 microarray results'!H:H=B123) &gt; 0, 0))</f>
        <v>-0.26033830000000002</v>
      </c>
      <c r="G123" cm="1">
        <f t="array" ref="G123">INDEX('T. S2 microarray results'!K:K, MATCH(TRUE, ('T. S2 microarray results'!B:B=B123) + ('T. S2 microarray results'!C:C=B123) + ('T. S2 microarray results'!D:D=B123) + ('T. S2 microarray results'!E:E=B123) + ('T. S2 microarray results'!F:F=B123) + ('T. S2 microarray results'!G:G=B123) + ('T. S2 microarray results'!H:H=B123) &gt; 0, 0))</f>
        <v>-0.39690189999999997</v>
      </c>
      <c r="H123" cm="1">
        <f t="array" ref="H123">INDEX('T. S2 microarray results'!L:L, MATCH(TRUE, ('T. S2 microarray results'!B:B=B123) + ('T. S2 microarray results'!C:C=B123) + ('T. S2 microarray results'!D:D=B123) + ('T. S2 microarray results'!E:E=B123) + ('T. S2 microarray results'!F:F=B123) + ('T. S2 microarray results'!G:G=B123) + ('T. S2 microarray results'!H:H=B123) &gt; 0, 0))</f>
        <v>-0.37137579999999998</v>
      </c>
    </row>
    <row r="124" spans="1:8" x14ac:dyDescent="0.25">
      <c r="A124" t="str" cm="1">
        <f t="array" ref="A124">INDEX('T. S2 microarray results'!A:A, MATCH(TRUE, ('T. S2 microarray results'!B:B=B124) + ('T. S2 microarray results'!C:C=B124) + ('T. S2 microarray results'!D:D=B124) + ('T. S2 microarray results'!E:E=B124) + ('T. S2 microarray results'!F:F=B124) + ('T. S2 microarray results'!G:G=B124) + ('T. S2 microarray results'!H:H=B124) &gt; 0, 0))</f>
        <v>YGL178W</v>
      </c>
      <c r="B124" t="s">
        <v>8765</v>
      </c>
      <c r="C124" s="4" t="s">
        <v>14302</v>
      </c>
      <c r="D124" s="4" t="str">
        <f t="shared" si="2"/>
        <v>*YGL178W/MPT5</v>
      </c>
      <c r="E124" s="4">
        <f t="shared" si="3"/>
        <v>1</v>
      </c>
      <c r="F124" cm="1">
        <f t="array" ref="F124">INDEX('T. S2 microarray results'!J:J, MATCH(TRUE, ('T. S2 microarray results'!B:B=B124) + ('T. S2 microarray results'!C:C=B124) + ('T. S2 microarray results'!D:D=B124) + ('T. S2 microarray results'!E:E=B124) + ('T. S2 microarray results'!F:F=B124) + ('T. S2 microarray results'!G:G=B124) + ('T. S2 microarray results'!H:H=B124) &gt; 0, 0))</f>
        <v>0.31076229999999999</v>
      </c>
      <c r="G124" cm="1">
        <f t="array" ref="G124">INDEX('T. S2 microarray results'!K:K, MATCH(TRUE, ('T. S2 microarray results'!B:B=B124) + ('T. S2 microarray results'!C:C=B124) + ('T. S2 microarray results'!D:D=B124) + ('T. S2 microarray results'!E:E=B124) + ('T. S2 microarray results'!F:F=B124) + ('T. S2 microarray results'!G:G=B124) + ('T. S2 microarray results'!H:H=B124) &gt; 0, 0))</f>
        <v>0.38767970000000002</v>
      </c>
      <c r="H124" cm="1">
        <f t="array" ref="H124">INDEX('T. S2 microarray results'!L:L, MATCH(TRUE, ('T. S2 microarray results'!B:B=B124) + ('T. S2 microarray results'!C:C=B124) + ('T. S2 microarray results'!D:D=B124) + ('T. S2 microarray results'!E:E=B124) + ('T. S2 microarray results'!F:F=B124) + ('T. S2 microarray results'!G:G=B124) + ('T. S2 microarray results'!H:H=B124) &gt; 0, 0))</f>
        <v>0.34228370000000002</v>
      </c>
    </row>
    <row r="125" spans="1:8" x14ac:dyDescent="0.25">
      <c r="A125" t="str" cm="1">
        <f t="array" ref="A125">INDEX('T. S2 microarray results'!A:A, MATCH(TRUE, ('T. S2 microarray results'!B:B=B125) + ('T. S2 microarray results'!C:C=B125) + ('T. S2 microarray results'!D:D=B125) + ('T. S2 microarray results'!E:E=B125) + ('T. S2 microarray results'!F:F=B125) + ('T. S2 microarray results'!G:G=B125) + ('T. S2 microarray results'!H:H=B125) &gt; 0, 0))</f>
        <v>YER042W</v>
      </c>
      <c r="B125" t="s">
        <v>11151</v>
      </c>
      <c r="C125" s="4" t="s">
        <v>14302</v>
      </c>
      <c r="D125" s="4" t="str">
        <f t="shared" si="2"/>
        <v>*YER042W/MXR1</v>
      </c>
      <c r="E125" s="4">
        <f t="shared" si="3"/>
        <v>1</v>
      </c>
      <c r="F125" cm="1">
        <f t="array" ref="F125">INDEX('T. S2 microarray results'!J:J, MATCH(TRUE, ('T. S2 microarray results'!B:B=B125) + ('T. S2 microarray results'!C:C=B125) + ('T. S2 microarray results'!D:D=B125) + ('T. S2 microarray results'!E:E=B125) + ('T. S2 microarray results'!F:F=B125) + ('T. S2 microarray results'!G:G=B125) + ('T. S2 microarray results'!H:H=B125) &gt; 0, 0))</f>
        <v>0.10098169999999999</v>
      </c>
      <c r="G125" cm="1">
        <f t="array" ref="G125">INDEX('T. S2 microarray results'!K:K, MATCH(TRUE, ('T. S2 microarray results'!B:B=B125) + ('T. S2 microarray results'!C:C=B125) + ('T. S2 microarray results'!D:D=B125) + ('T. S2 microarray results'!E:E=B125) + ('T. S2 microarray results'!F:F=B125) + ('T. S2 microarray results'!G:G=B125) + ('T. S2 microarray results'!H:H=B125) &gt; 0, 0))</f>
        <v>6.9755170000000005E-2</v>
      </c>
      <c r="H125" cm="1">
        <f t="array" ref="H125">INDEX('T. S2 microarray results'!L:L, MATCH(TRUE, ('T. S2 microarray results'!B:B=B125) + ('T. S2 microarray results'!C:C=B125) + ('T. S2 microarray results'!D:D=B125) + ('T. S2 microarray results'!E:E=B125) + ('T. S2 microarray results'!F:F=B125) + ('T. S2 microarray results'!G:G=B125) + ('T. S2 microarray results'!H:H=B125) &gt; 0, 0))</f>
        <v>0.37813750000000002</v>
      </c>
    </row>
    <row r="126" spans="1:8" x14ac:dyDescent="0.25">
      <c r="A126" t="str" cm="1">
        <f t="array" ref="A126">INDEX('T. S2 microarray results'!A:A, MATCH(TRUE, ('T. S2 microarray results'!B:B=B126) + ('T. S2 microarray results'!C:C=B126) + ('T. S2 microarray results'!D:D=B126) + ('T. S2 microarray results'!E:E=B126) + ('T. S2 microarray results'!F:F=B126) + ('T. S2 microarray results'!G:G=B126) + ('T. S2 microarray results'!H:H=B126) &gt; 0, 0))</f>
        <v>YMR145C</v>
      </c>
      <c r="B126" t="s">
        <v>3303</v>
      </c>
      <c r="C126" s="4" t="s">
        <v>14302</v>
      </c>
      <c r="D126" s="4" t="str">
        <f t="shared" si="2"/>
        <v>*YMR145C/NDE1</v>
      </c>
      <c r="E126" s="4">
        <f t="shared" si="3"/>
        <v>1</v>
      </c>
      <c r="F126" cm="1">
        <f t="array" ref="F126">INDEX('T. S2 microarray results'!J:J, MATCH(TRUE, ('T. S2 microarray results'!B:B=B126) + ('T. S2 microarray results'!C:C=B126) + ('T. S2 microarray results'!D:D=B126) + ('T. S2 microarray results'!E:E=B126) + ('T. S2 microarray results'!F:F=B126) + ('T. S2 microarray results'!G:G=B126) + ('T. S2 microarray results'!H:H=B126) &gt; 0, 0))</f>
        <v>-0.16706570000000001</v>
      </c>
      <c r="G126" cm="1">
        <f t="array" ref="G126">INDEX('T. S2 microarray results'!K:K, MATCH(TRUE, ('T. S2 microarray results'!B:B=B126) + ('T. S2 microarray results'!C:C=B126) + ('T. S2 microarray results'!D:D=B126) + ('T. S2 microarray results'!E:E=B126) + ('T. S2 microarray results'!F:F=B126) + ('T. S2 microarray results'!G:G=B126) + ('T. S2 microarray results'!H:H=B126) &gt; 0, 0))</f>
        <v>-7.3560719999999996E-2</v>
      </c>
      <c r="H126" cm="1">
        <f t="array" ref="H126">INDEX('T. S2 microarray results'!L:L, MATCH(TRUE, ('T. S2 microarray results'!B:B=B126) + ('T. S2 microarray results'!C:C=B126) + ('T. S2 microarray results'!D:D=B126) + ('T. S2 microarray results'!E:E=B126) + ('T. S2 microarray results'!F:F=B126) + ('T. S2 microarray results'!G:G=B126) + ('T. S2 microarray results'!H:H=B126) &gt; 0, 0))</f>
        <v>-0.24397389999999999</v>
      </c>
    </row>
    <row r="127" spans="1:8" x14ac:dyDescent="0.25">
      <c r="A127" t="str" cm="1">
        <f t="array" ref="A127">INDEX('T. S2 microarray results'!A:A, MATCH(TRUE, ('T. S2 microarray results'!B:B=B127) + ('T. S2 microarray results'!C:C=B127) + ('T. S2 microarray results'!D:D=B127) + ('T. S2 microarray results'!E:E=B127) + ('T. S2 microarray results'!F:F=B127) + ('T. S2 microarray results'!G:G=B127) + ('T. S2 microarray results'!H:H=B127) &gt; 0, 0))</f>
        <v>YDL085W</v>
      </c>
      <c r="B127" t="s">
        <v>12218</v>
      </c>
      <c r="C127" s="4" t="s">
        <v>14302</v>
      </c>
      <c r="D127" s="4" t="str">
        <f t="shared" si="2"/>
        <v>*YDL085W/NDE2</v>
      </c>
      <c r="E127" s="4">
        <f t="shared" si="3"/>
        <v>1</v>
      </c>
      <c r="F127" cm="1">
        <f t="array" ref="F127">INDEX('T. S2 microarray results'!J:J, MATCH(TRUE, ('T. S2 microarray results'!B:B=B127) + ('T. S2 microarray results'!C:C=B127) + ('T. S2 microarray results'!D:D=B127) + ('T. S2 microarray results'!E:E=B127) + ('T. S2 microarray results'!F:F=B127) + ('T. S2 microarray results'!G:G=B127) + ('T. S2 microarray results'!H:H=B127) &gt; 0, 0))</f>
        <v>0.1160288</v>
      </c>
      <c r="G127" cm="1">
        <f t="array" ref="G127">INDEX('T. S2 microarray results'!K:K, MATCH(TRUE, ('T. S2 microarray results'!B:B=B127) + ('T. S2 microarray results'!C:C=B127) + ('T. S2 microarray results'!D:D=B127) + ('T. S2 microarray results'!E:E=B127) + ('T. S2 microarray results'!F:F=B127) + ('T. S2 microarray results'!G:G=B127) + ('T. S2 microarray results'!H:H=B127) &gt; 0, 0))</f>
        <v>0.26443040000000001</v>
      </c>
      <c r="H127" cm="1">
        <f t="array" ref="H127">INDEX('T. S2 microarray results'!L:L, MATCH(TRUE, ('T. S2 microarray results'!B:B=B127) + ('T. S2 microarray results'!C:C=B127) + ('T. S2 microarray results'!D:D=B127) + ('T. S2 microarray results'!E:E=B127) + ('T. S2 microarray results'!F:F=B127) + ('T. S2 microarray results'!G:G=B127) + ('T. S2 microarray results'!H:H=B127) &gt; 0, 0))</f>
        <v>0.16409860000000001</v>
      </c>
    </row>
    <row r="128" spans="1:8" x14ac:dyDescent="0.25">
      <c r="A128" t="str" cm="1">
        <f t="array" ref="A128">INDEX('T. S2 microarray results'!A:A, MATCH(TRUE, ('T. S2 microarray results'!B:B=B128) + ('T. S2 microarray results'!C:C=B128) + ('T. S2 microarray results'!D:D=B128) + ('T. S2 microarray results'!E:E=B128) + ('T. S2 microarray results'!F:F=B128) + ('T. S2 microarray results'!G:G=B128) + ('T. S2 microarray results'!H:H=B128) &gt; 0, 0))</f>
        <v>YML120C</v>
      </c>
      <c r="B128" t="s">
        <v>3677</v>
      </c>
      <c r="C128" s="4" t="s">
        <v>14302</v>
      </c>
      <c r="D128" s="4" t="str">
        <f t="shared" si="2"/>
        <v>*YML120C/NDI1</v>
      </c>
      <c r="E128" s="4">
        <f t="shared" si="3"/>
        <v>1</v>
      </c>
      <c r="F128" cm="1">
        <f t="array" ref="F128">INDEX('T. S2 microarray results'!J:J, MATCH(TRUE, ('T. S2 microarray results'!B:B=B128) + ('T. S2 microarray results'!C:C=B128) + ('T. S2 microarray results'!D:D=B128) + ('T. S2 microarray results'!E:E=B128) + ('T. S2 microarray results'!F:F=B128) + ('T. S2 microarray results'!G:G=B128) + ('T. S2 microarray results'!H:H=B128) &gt; 0, 0))</f>
        <v>-0.74867479999999997</v>
      </c>
      <c r="G128" cm="1">
        <f t="array" ref="G128">INDEX('T. S2 microarray results'!K:K, MATCH(TRUE, ('T. S2 microarray results'!B:B=B128) + ('T. S2 microarray results'!C:C=B128) + ('T. S2 microarray results'!D:D=B128) + ('T. S2 microarray results'!E:E=B128) + ('T. S2 microarray results'!F:F=B128) + ('T. S2 microarray results'!G:G=B128) + ('T. S2 microarray results'!H:H=B128) &gt; 0, 0))</f>
        <v>-0.68586179999999997</v>
      </c>
      <c r="H128" cm="1">
        <f t="array" ref="H128">INDEX('T. S2 microarray results'!L:L, MATCH(TRUE, ('T. S2 microarray results'!B:B=B128) + ('T. S2 microarray results'!C:C=B128) + ('T. S2 microarray results'!D:D=B128) + ('T. S2 microarray results'!E:E=B128) + ('T. S2 microarray results'!F:F=B128) + ('T. S2 microarray results'!G:G=B128) + ('T. S2 microarray results'!H:H=B128) &gt; 0, 0))</f>
        <v>-0.73826409999999998</v>
      </c>
    </row>
    <row r="129" spans="1:8" x14ac:dyDescent="0.25">
      <c r="A129" t="str" cm="1">
        <f t="array" ref="A129">INDEX('T. S2 microarray results'!A:A, MATCH(TRUE, ('T. S2 microarray results'!B:B=B129) + ('T. S2 microarray results'!C:C=B129) + ('T. S2 microarray results'!D:D=B129) + ('T. S2 microarray results'!E:E=B129) + ('T. S2 microarray results'!F:F=B129) + ('T. S2 microarray results'!G:G=B129) + ('T. S2 microarray results'!H:H=B129) &gt; 0, 0))</f>
        <v>YOR209C</v>
      </c>
      <c r="B129" t="s">
        <v>1336</v>
      </c>
      <c r="C129" s="4" t="s">
        <v>14302</v>
      </c>
      <c r="D129" s="4" t="str">
        <f t="shared" si="2"/>
        <v>*YOR209C/NPT1</v>
      </c>
      <c r="E129" s="4">
        <f t="shared" si="3"/>
        <v>1</v>
      </c>
      <c r="F129" cm="1">
        <f t="array" ref="F129">INDEX('T. S2 microarray results'!J:J, MATCH(TRUE, ('T. S2 microarray results'!B:B=B129) + ('T. S2 microarray results'!C:C=B129) + ('T. S2 microarray results'!D:D=B129) + ('T. S2 microarray results'!E:E=B129) + ('T. S2 microarray results'!F:F=B129) + ('T. S2 microarray results'!G:G=B129) + ('T. S2 microarray results'!H:H=B129) &gt; 0, 0))</f>
        <v>0.61333059999999995</v>
      </c>
      <c r="G129" cm="1">
        <f t="array" ref="G129">INDEX('T. S2 microarray results'!K:K, MATCH(TRUE, ('T. S2 microarray results'!B:B=B129) + ('T. S2 microarray results'!C:C=B129) + ('T. S2 microarray results'!D:D=B129) + ('T. S2 microarray results'!E:E=B129) + ('T. S2 microarray results'!F:F=B129) + ('T. S2 microarray results'!G:G=B129) + ('T. S2 microarray results'!H:H=B129) &gt; 0, 0))</f>
        <v>-0.45091979999999998</v>
      </c>
      <c r="H129" cm="1">
        <f t="array" ref="H129">INDEX('T. S2 microarray results'!L:L, MATCH(TRUE, ('T. S2 microarray results'!B:B=B129) + ('T. S2 microarray results'!C:C=B129) + ('T. S2 microarray results'!D:D=B129) + ('T. S2 microarray results'!E:E=B129) + ('T. S2 microarray results'!F:F=B129) + ('T. S2 microarray results'!G:G=B129) + ('T. S2 microarray results'!H:H=B129) &gt; 0, 0))</f>
        <v>0.30225010000000002</v>
      </c>
    </row>
    <row r="130" spans="1:8" x14ac:dyDescent="0.25">
      <c r="A130" t="str" cm="1">
        <f t="array" ref="A130">INDEX('T. S2 microarray results'!A:A, MATCH(TRUE, ('T. S2 microarray results'!B:B=B130) + ('T. S2 microarray results'!C:C=B130) + ('T. S2 microarray results'!D:D=B130) + ('T. S2 microarray results'!E:E=B130) + ('T. S2 microarray results'!F:F=B130) + ('T. S2 microarray results'!G:G=B130) + ('T. S2 microarray results'!H:H=B130) &gt; 0, 0))</f>
        <v>YGR132C</v>
      </c>
      <c r="B130" t="s">
        <v>8324</v>
      </c>
      <c r="C130" s="4" t="s">
        <v>14302</v>
      </c>
      <c r="D130" s="4" t="str">
        <f t="shared" si="2"/>
        <v>*YGR132C/PHB1</v>
      </c>
      <c r="E130" s="4">
        <f t="shared" si="3"/>
        <v>1</v>
      </c>
      <c r="F130" cm="1">
        <f t="array" ref="F130">INDEX('T. S2 microarray results'!J:J, MATCH(TRUE, ('T. S2 microarray results'!B:B=B130) + ('T. S2 microarray results'!C:C=B130) + ('T. S2 microarray results'!D:D=B130) + ('T. S2 microarray results'!E:E=B130) + ('T. S2 microarray results'!F:F=B130) + ('T. S2 microarray results'!G:G=B130) + ('T. S2 microarray results'!H:H=B130) &gt; 0, 0))</f>
        <v>-0.39656049999999998</v>
      </c>
      <c r="G130" cm="1">
        <f t="array" ref="G130">INDEX('T. S2 microarray results'!K:K, MATCH(TRUE, ('T. S2 microarray results'!B:B=B130) + ('T. S2 microarray results'!C:C=B130) + ('T. S2 microarray results'!D:D=B130) + ('T. S2 microarray results'!E:E=B130) + ('T. S2 microarray results'!F:F=B130) + ('T. S2 microarray results'!G:G=B130) + ('T. S2 microarray results'!H:H=B130) &gt; 0, 0))</f>
        <v>-0.69577020000000001</v>
      </c>
      <c r="H130" cm="1">
        <f t="array" ref="H130">INDEX('T. S2 microarray results'!L:L, MATCH(TRUE, ('T. S2 microarray results'!B:B=B130) + ('T. S2 microarray results'!C:C=B130) + ('T. S2 microarray results'!D:D=B130) + ('T. S2 microarray results'!E:E=B130) + ('T. S2 microarray results'!F:F=B130) + ('T. S2 microarray results'!G:G=B130) + ('T. S2 microarray results'!H:H=B130) &gt; 0, 0))</f>
        <v>-0.33876400000000001</v>
      </c>
    </row>
    <row r="131" spans="1:8" x14ac:dyDescent="0.25">
      <c r="A131" t="str" cm="1">
        <f t="array" ref="A131">INDEX('T. S2 microarray results'!A:A, MATCH(TRUE, ('T. S2 microarray results'!B:B=B131) + ('T. S2 microarray results'!C:C=B131) + ('T. S2 microarray results'!D:D=B131) + ('T. S2 microarray results'!E:E=B131) + ('T. S2 microarray results'!F:F=B131) + ('T. S2 microarray results'!G:G=B131) + ('T. S2 microarray results'!H:H=B131) &gt; 0, 0))</f>
        <v>YGR231C</v>
      </c>
      <c r="B131" t="s">
        <v>9106</v>
      </c>
      <c r="C131" s="4" t="s">
        <v>14302</v>
      </c>
      <c r="D131" s="4" t="str">
        <f t="shared" ref="D131:D171" si="4">CONCATENATE(IF(C131="Known Longivity Gene","*",""),A131,"/",B131)</f>
        <v>*YGR231C/PHB2</v>
      </c>
      <c r="E131" s="4">
        <f t="shared" ref="E131:E171" si="5">IF(C131="Known Longivity Gene",1,0)</f>
        <v>1</v>
      </c>
      <c r="F131" cm="1">
        <f t="array" ref="F131">INDEX('T. S2 microarray results'!J:J, MATCH(TRUE, ('T. S2 microarray results'!B:B=B131) + ('T. S2 microarray results'!C:C=B131) + ('T. S2 microarray results'!D:D=B131) + ('T. S2 microarray results'!E:E=B131) + ('T. S2 microarray results'!F:F=B131) + ('T. S2 microarray results'!G:G=B131) + ('T. S2 microarray results'!H:H=B131) &gt; 0, 0))</f>
        <v>-0.45490269999999999</v>
      </c>
      <c r="G131" cm="1">
        <f t="array" ref="G131">INDEX('T. S2 microarray results'!K:K, MATCH(TRUE, ('T. S2 microarray results'!B:B=B131) + ('T. S2 microarray results'!C:C=B131) + ('T. S2 microarray results'!D:D=B131) + ('T. S2 microarray results'!E:E=B131) + ('T. S2 microarray results'!F:F=B131) + ('T. S2 microarray results'!G:G=B131) + ('T. S2 microarray results'!H:H=B131) &gt; 0, 0))</f>
        <v>-0.8053418</v>
      </c>
      <c r="H131" cm="1">
        <f t="array" ref="H131">INDEX('T. S2 microarray results'!L:L, MATCH(TRUE, ('T. S2 microarray results'!B:B=B131) + ('T. S2 microarray results'!C:C=B131) + ('T. S2 microarray results'!D:D=B131) + ('T. S2 microarray results'!E:E=B131) + ('T. S2 microarray results'!F:F=B131) + ('T. S2 microarray results'!G:G=B131) + ('T. S2 microarray results'!H:H=B131) &gt; 0, 0))</f>
        <v>-0.31377739999999998</v>
      </c>
    </row>
    <row r="132" spans="1:8" x14ac:dyDescent="0.25">
      <c r="A132" t="str" cm="1">
        <f t="array" ref="A132">INDEX('T. S2 microarray results'!A:A, MATCH(TRUE, ('T. S2 microarray results'!B:B=B132) + ('T. S2 microarray results'!C:C=B132) + ('T. S2 microarray results'!D:D=B132) + ('T. S2 microarray results'!E:E=B132) + ('T. S2 microarray results'!F:F=B132) + ('T. S2 microarray results'!G:G=B132) + ('T. S2 microarray results'!H:H=B132) &gt; 0, 0))</f>
        <v>YKL113C</v>
      </c>
      <c r="B132" t="s">
        <v>5706</v>
      </c>
      <c r="C132" s="4" t="s">
        <v>14302</v>
      </c>
      <c r="D132" s="4" t="str">
        <f t="shared" si="4"/>
        <v>*YKL113C/RAD27</v>
      </c>
      <c r="E132" s="4">
        <f t="shared" si="5"/>
        <v>1</v>
      </c>
      <c r="F132" cm="1">
        <f t="array" ref="F132">INDEX('T. S2 microarray results'!J:J, MATCH(TRUE, ('T. S2 microarray results'!B:B=B132) + ('T. S2 microarray results'!C:C=B132) + ('T. S2 microarray results'!D:D=B132) + ('T. S2 microarray results'!E:E=B132) + ('T. S2 microarray results'!F:F=B132) + ('T. S2 microarray results'!G:G=B132) + ('T. S2 microarray results'!H:H=B132) &gt; 0, 0))</f>
        <v>-2.319508E-2</v>
      </c>
      <c r="G132" cm="1">
        <f t="array" ref="G132">INDEX('T. S2 microarray results'!K:K, MATCH(TRUE, ('T. S2 microarray results'!B:B=B132) + ('T. S2 microarray results'!C:C=B132) + ('T. S2 microarray results'!D:D=B132) + ('T. S2 microarray results'!E:E=B132) + ('T. S2 microarray results'!F:F=B132) + ('T. S2 microarray results'!G:G=B132) + ('T. S2 microarray results'!H:H=B132) &gt; 0, 0))</f>
        <v>-0.4375115</v>
      </c>
      <c r="H132" cm="1">
        <f t="array" ref="H132">INDEX('T. S2 microarray results'!L:L, MATCH(TRUE, ('T. S2 microarray results'!B:B=B132) + ('T. S2 microarray results'!C:C=B132) + ('T. S2 microarray results'!D:D=B132) + ('T. S2 microarray results'!E:E=B132) + ('T. S2 microarray results'!F:F=B132) + ('T. S2 microarray results'!G:G=B132) + ('T. S2 microarray results'!H:H=B132) &gt; 0, 0))</f>
        <v>0.17757980000000001</v>
      </c>
    </row>
    <row r="133" spans="1:8" x14ac:dyDescent="0.25">
      <c r="A133" t="str" cm="1">
        <f t="array" ref="A133">INDEX('T. S2 microarray results'!A:A, MATCH(TRUE, ('T. S2 microarray results'!B:B=B133) + ('T. S2 microarray results'!C:C=B133) + ('T. S2 microarray results'!D:D=B133) + ('T. S2 microarray results'!E:E=B133) + ('T. S2 microarray results'!F:F=B133) + ('T. S2 microarray results'!G:G=B133) + ('T. S2 microarray results'!H:H=B133) &gt; 0, 0))</f>
        <v>YNL250W</v>
      </c>
      <c r="B133" t="s">
        <v>1634</v>
      </c>
      <c r="C133" s="4" t="s">
        <v>14302</v>
      </c>
      <c r="D133" s="4" t="str">
        <f t="shared" si="4"/>
        <v>*YNL250W/RAD50</v>
      </c>
      <c r="E133" s="4">
        <f t="shared" si="5"/>
        <v>1</v>
      </c>
      <c r="F133" cm="1">
        <f t="array" ref="F133">INDEX('T. S2 microarray results'!J:J, MATCH(TRUE, ('T. S2 microarray results'!B:B=B133) + ('T. S2 microarray results'!C:C=B133) + ('T. S2 microarray results'!D:D=B133) + ('T. S2 microarray results'!E:E=B133) + ('T. S2 microarray results'!F:F=B133) + ('T. S2 microarray results'!G:G=B133) + ('T. S2 microarray results'!H:H=B133) &gt; 0, 0))</f>
        <v>4.104124E-2</v>
      </c>
      <c r="G133" cm="1">
        <f t="array" ref="G133">INDEX('T. S2 microarray results'!K:K, MATCH(TRUE, ('T. S2 microarray results'!B:B=B133) + ('T. S2 microarray results'!C:C=B133) + ('T. S2 microarray results'!D:D=B133) + ('T. S2 microarray results'!E:E=B133) + ('T. S2 microarray results'!F:F=B133) + ('T. S2 microarray results'!G:G=B133) + ('T. S2 microarray results'!H:H=B133) &gt; 0, 0))</f>
        <v>-7.5536179999999994E-2</v>
      </c>
      <c r="H133" cm="1">
        <f t="array" ref="H133">INDEX('T. S2 microarray results'!L:L, MATCH(TRUE, ('T. S2 microarray results'!B:B=B133) + ('T. S2 microarray results'!C:C=B133) + ('T. S2 microarray results'!D:D=B133) + ('T. S2 microarray results'!E:E=B133) + ('T. S2 microarray results'!F:F=B133) + ('T. S2 microarray results'!G:G=B133) + ('T. S2 microarray results'!H:H=B133) &gt; 0, 0))</f>
        <v>0.22681319999999999</v>
      </c>
    </row>
    <row r="134" spans="1:8" x14ac:dyDescent="0.25">
      <c r="A134" t="str" cm="1">
        <f t="array" ref="A134">INDEX('T. S2 microarray results'!A:A, MATCH(TRUE, ('T. S2 microarray results'!B:B=B134) + ('T. S2 microarray results'!C:C=B134) + ('T. S2 microarray results'!D:D=B134) + ('T. S2 microarray results'!E:E=B134) + ('T. S2 microarray results'!F:F=B134) + ('T. S2 microarray results'!G:G=B134) + ('T. S2 microarray results'!H:H=B134) &gt; 0, 0))</f>
        <v>YER095W</v>
      </c>
      <c r="B134" t="s">
        <v>10890</v>
      </c>
      <c r="C134" s="4" t="s">
        <v>14302</v>
      </c>
      <c r="D134" s="4" t="str">
        <f t="shared" si="4"/>
        <v>*YER095W/RAD51</v>
      </c>
      <c r="E134" s="4">
        <f t="shared" si="5"/>
        <v>1</v>
      </c>
      <c r="F134" cm="1">
        <f t="array" ref="F134">INDEX('T. S2 microarray results'!J:J, MATCH(TRUE, ('T. S2 microarray results'!B:B=B134) + ('T. S2 microarray results'!C:C=B134) + ('T. S2 microarray results'!D:D=B134) + ('T. S2 microarray results'!E:E=B134) + ('T. S2 microarray results'!F:F=B134) + ('T. S2 microarray results'!G:G=B134) + ('T. S2 microarray results'!H:H=B134) &gt; 0, 0))</f>
        <v>-0.63093770000000005</v>
      </c>
      <c r="G134" cm="1">
        <f t="array" ref="G134">INDEX('T. S2 microarray results'!K:K, MATCH(TRUE, ('T. S2 microarray results'!B:B=B134) + ('T. S2 microarray results'!C:C=B134) + ('T. S2 microarray results'!D:D=B134) + ('T. S2 microarray results'!E:E=B134) + ('T. S2 microarray results'!F:F=B134) + ('T. S2 microarray results'!G:G=B134) + ('T. S2 microarray results'!H:H=B134) &gt; 0, 0))</f>
        <v>-0.13308229999999999</v>
      </c>
      <c r="H134" cm="1">
        <f t="array" ref="H134">INDEX('T. S2 microarray results'!L:L, MATCH(TRUE, ('T. S2 microarray results'!B:B=B134) + ('T. S2 microarray results'!C:C=B134) + ('T. S2 microarray results'!D:D=B134) + ('T. S2 microarray results'!E:E=B134) + ('T. S2 microarray results'!F:F=B134) + ('T. S2 microarray results'!G:G=B134) + ('T. S2 microarray results'!H:H=B134) &gt; 0, 0))</f>
        <v>-0.33261180000000001</v>
      </c>
    </row>
    <row r="135" spans="1:8" x14ac:dyDescent="0.25">
      <c r="A135" t="str" cm="1">
        <f t="array" ref="A135">INDEX('T. S2 microarray results'!A:A, MATCH(TRUE, ('T. S2 microarray results'!B:B=B135) + ('T. S2 microarray results'!C:C=B135) + ('T. S2 microarray results'!D:D=B135) + ('T. S2 microarray results'!E:E=B135) + ('T. S2 microarray results'!F:F=B135) + ('T. S2 microarray results'!G:G=B135) + ('T. S2 microarray results'!H:H=B135) &gt; 0, 0))</f>
        <v>YML032C</v>
      </c>
      <c r="B135" t="s">
        <v>4927</v>
      </c>
      <c r="C135" s="4" t="s">
        <v>14302</v>
      </c>
      <c r="D135" s="4" t="str">
        <f t="shared" si="4"/>
        <v>*YML032C/RAD52</v>
      </c>
      <c r="E135" s="4">
        <f t="shared" si="5"/>
        <v>1</v>
      </c>
      <c r="F135" cm="1">
        <f t="array" ref="F135">INDEX('T. S2 microarray results'!J:J, MATCH(TRUE, ('T. S2 microarray results'!B:B=B135) + ('T. S2 microarray results'!C:C=B135) + ('T. S2 microarray results'!D:D=B135) + ('T. S2 microarray results'!E:E=B135) + ('T. S2 microarray results'!F:F=B135) + ('T. S2 microarray results'!G:G=B135) + ('T. S2 microarray results'!H:H=B135) &gt; 0, 0))</f>
        <v>6.09998E-2</v>
      </c>
      <c r="G135" cm="1">
        <f t="array" ref="G135">INDEX('T. S2 microarray results'!K:K, MATCH(TRUE, ('T. S2 microarray results'!B:B=B135) + ('T. S2 microarray results'!C:C=B135) + ('T. S2 microarray results'!D:D=B135) + ('T. S2 microarray results'!E:E=B135) + ('T. S2 microarray results'!F:F=B135) + ('T. S2 microarray results'!G:G=B135) + ('T. S2 microarray results'!H:H=B135) &gt; 0, 0))</f>
        <v>-4.4474270000000003E-2</v>
      </c>
      <c r="H135" cm="1">
        <f t="array" ref="H135">INDEX('T. S2 microarray results'!L:L, MATCH(TRUE, ('T. S2 microarray results'!B:B=B135) + ('T. S2 microarray results'!C:C=B135) + ('T. S2 microarray results'!D:D=B135) + ('T. S2 microarray results'!E:E=B135) + ('T. S2 microarray results'!F:F=B135) + ('T. S2 microarray results'!G:G=B135) + ('T. S2 microarray results'!H:H=B135) &gt; 0, 0))</f>
        <v>-0.20852200000000001</v>
      </c>
    </row>
    <row r="136" spans="1:8" x14ac:dyDescent="0.25">
      <c r="A136" t="str" cm="1">
        <f t="array" ref="A136">INDEX('T. S2 microarray results'!A:A, MATCH(TRUE, ('T. S2 microarray results'!B:B=B136) + ('T. S2 microarray results'!C:C=B136) + ('T. S2 microarray results'!D:D=B136) + ('T. S2 microarray results'!E:E=B136) + ('T. S2 microarray results'!F:F=B136) + ('T. S2 microarray results'!G:G=B136) + ('T. S2 microarray results'!H:H=B136) &gt; 0, 0))</f>
        <v>YDR004W</v>
      </c>
      <c r="B136" t="s">
        <v>12154</v>
      </c>
      <c r="C136" s="4" t="s">
        <v>14302</v>
      </c>
      <c r="D136" s="4" t="str">
        <f t="shared" si="4"/>
        <v>*YDR004W/RAD57</v>
      </c>
      <c r="E136" s="4">
        <f t="shared" si="5"/>
        <v>1</v>
      </c>
      <c r="F136" cm="1">
        <f t="array" ref="F136">INDEX('T. S2 microarray results'!J:J, MATCH(TRUE, ('T. S2 microarray results'!B:B=B136) + ('T. S2 microarray results'!C:C=B136) + ('T. S2 microarray results'!D:D=B136) + ('T. S2 microarray results'!E:E=B136) + ('T. S2 microarray results'!F:F=B136) + ('T. S2 microarray results'!G:G=B136) + ('T. S2 microarray results'!H:H=B136) &gt; 0, 0))</f>
        <v>-0.29710399999999998</v>
      </c>
      <c r="G136" cm="1">
        <f t="array" ref="G136">INDEX('T. S2 microarray results'!K:K, MATCH(TRUE, ('T. S2 microarray results'!B:B=B136) + ('T. S2 microarray results'!C:C=B136) + ('T. S2 microarray results'!D:D=B136) + ('T. S2 microarray results'!E:E=B136) + ('T. S2 microarray results'!F:F=B136) + ('T. S2 microarray results'!G:G=B136) + ('T. S2 microarray results'!H:H=B136) &gt; 0, 0))</f>
        <v>-0.47668120000000003</v>
      </c>
      <c r="H136" cm="1">
        <f t="array" ref="H136">INDEX('T. S2 microarray results'!L:L, MATCH(TRUE, ('T. S2 microarray results'!B:B=B136) + ('T. S2 microarray results'!C:C=B136) + ('T. S2 microarray results'!D:D=B136) + ('T. S2 microarray results'!E:E=B136) + ('T. S2 microarray results'!F:F=B136) + ('T. S2 microarray results'!G:G=B136) + ('T. S2 microarray results'!H:H=B136) &gt; 0, 0))</f>
        <v>-0.48393999999999998</v>
      </c>
    </row>
    <row r="137" spans="1:8" x14ac:dyDescent="0.25">
      <c r="A137" t="str" cm="1">
        <f t="array" ref="A137">INDEX('T. S2 microarray results'!A:A, MATCH(TRUE, ('T. S2 microarray results'!B:B=B137) + ('T. S2 microarray results'!C:C=B137) + ('T. S2 microarray results'!D:D=B137) + ('T. S2 microarray results'!E:E=B137) + ('T. S2 microarray results'!F:F=B137) + ('T. S2 microarray results'!G:G=B137) + ('T. S2 microarray results'!H:H=B137) &gt; 0, 0))</f>
        <v>YDR217C</v>
      </c>
      <c r="B137" t="s">
        <v>12417</v>
      </c>
      <c r="C137" s="4" t="s">
        <v>14302</v>
      </c>
      <c r="D137" s="4" t="str">
        <f t="shared" si="4"/>
        <v>*YDR217C/RAD9</v>
      </c>
      <c r="E137" s="4">
        <f t="shared" si="5"/>
        <v>1</v>
      </c>
      <c r="F137" cm="1">
        <f t="array" ref="F137">INDEX('T. S2 microarray results'!J:J, MATCH(TRUE, ('T. S2 microarray results'!B:B=B137) + ('T. S2 microarray results'!C:C=B137) + ('T. S2 microarray results'!D:D=B137) + ('T. S2 microarray results'!E:E=B137) + ('T. S2 microarray results'!F:F=B137) + ('T. S2 microarray results'!G:G=B137) + ('T. S2 microarray results'!H:H=B137) &gt; 0, 0))</f>
        <v>8.4941900000000001E-2</v>
      </c>
      <c r="G137" cm="1">
        <f t="array" ref="G137">INDEX('T. S2 microarray results'!K:K, MATCH(TRUE, ('T. S2 microarray results'!B:B=B137) + ('T. S2 microarray results'!C:C=B137) + ('T. S2 microarray results'!D:D=B137) + ('T. S2 microarray results'!E:E=B137) + ('T. S2 microarray results'!F:F=B137) + ('T. S2 microarray results'!G:G=B137) + ('T. S2 microarray results'!H:H=B137) &gt; 0, 0))</f>
        <v>-0.401416</v>
      </c>
      <c r="H137" cm="1">
        <f t="array" ref="H137">INDEX('T. S2 microarray results'!L:L, MATCH(TRUE, ('T. S2 microarray results'!B:B=B137) + ('T. S2 microarray results'!C:C=B137) + ('T. S2 microarray results'!D:D=B137) + ('T. S2 microarray results'!E:E=B137) + ('T. S2 microarray results'!F:F=B137) + ('T. S2 microarray results'!G:G=B137) + ('T. S2 microarray results'!H:H=B137) &gt; 0, 0))</f>
        <v>-1.5832309999999999E-2</v>
      </c>
    </row>
    <row r="138" spans="1:8" x14ac:dyDescent="0.25">
      <c r="A138" t="str" cm="1">
        <f t="array" ref="A138">INDEX('T. S2 microarray results'!A:A, MATCH(TRUE, ('T. S2 microarray results'!B:B=B138) + ('T. S2 microarray results'!C:C=B138) + ('T. S2 microarray results'!D:D=B138) + ('T. S2 microarray results'!E:E=B138) + ('T. S2 microarray results'!F:F=B138) + ('T. S2 microarray results'!G:G=B138) + ('T. S2 microarray results'!H:H=B138) &gt; 0, 0))</f>
        <v>YOR101W</v>
      </c>
      <c r="B138" t="s">
        <v>1744</v>
      </c>
      <c r="C138" s="4" t="s">
        <v>14302</v>
      </c>
      <c r="D138" s="4" t="str">
        <f t="shared" si="4"/>
        <v>*YOR101W/RAS1</v>
      </c>
      <c r="E138" s="4">
        <f t="shared" si="5"/>
        <v>1</v>
      </c>
      <c r="F138" cm="1">
        <f t="array" ref="F138">INDEX('T. S2 microarray results'!J:J, MATCH(TRUE, ('T. S2 microarray results'!B:B=B138) + ('T. S2 microarray results'!C:C=B138) + ('T. S2 microarray results'!D:D=B138) + ('T. S2 microarray results'!E:E=B138) + ('T. S2 microarray results'!F:F=B138) + ('T. S2 microarray results'!G:G=B138) + ('T. S2 microarray results'!H:H=B138) &gt; 0, 0))</f>
        <v>0.17512430000000001</v>
      </c>
      <c r="G138" cm="1">
        <f t="array" ref="G138">INDEX('T. S2 microarray results'!K:K, MATCH(TRUE, ('T. S2 microarray results'!B:B=B138) + ('T. S2 microarray results'!C:C=B138) + ('T. S2 microarray results'!D:D=B138) + ('T. S2 microarray results'!E:E=B138) + ('T. S2 microarray results'!F:F=B138) + ('T. S2 microarray results'!G:G=B138) + ('T. S2 microarray results'!H:H=B138) &gt; 0, 0))</f>
        <v>-2.7729819999999998E-3</v>
      </c>
      <c r="H138" cm="1">
        <f t="array" ref="H138">INDEX('T. S2 microarray results'!L:L, MATCH(TRUE, ('T. S2 microarray results'!B:B=B138) + ('T. S2 microarray results'!C:C=B138) + ('T. S2 microarray results'!D:D=B138) + ('T. S2 microarray results'!E:E=B138) + ('T. S2 microarray results'!F:F=B138) + ('T. S2 microarray results'!G:G=B138) + ('T. S2 microarray results'!H:H=B138) &gt; 0, 0))</f>
        <v>0.22881989999999999</v>
      </c>
    </row>
    <row r="139" spans="1:8" x14ac:dyDescent="0.25">
      <c r="A139" t="str" cm="1">
        <f t="array" ref="A139">INDEX('T. S2 microarray results'!A:A, MATCH(TRUE, ('T. S2 microarray results'!B:B=B139) + ('T. S2 microarray results'!C:C=B139) + ('T. S2 microarray results'!D:D=B139) + ('T. S2 microarray results'!E:E=B139) + ('T. S2 microarray results'!F:F=B139) + ('T. S2 microarray results'!G:G=B139) + ('T. S2 microarray results'!H:H=B139) &gt; 0, 0))</f>
        <v>YNL098C</v>
      </c>
      <c r="B139" t="s">
        <v>2626</v>
      </c>
      <c r="C139" s="4" t="s">
        <v>14302</v>
      </c>
      <c r="D139" s="4" t="str">
        <f t="shared" si="4"/>
        <v>*YNL098C/RAS2</v>
      </c>
      <c r="E139" s="4">
        <f t="shared" si="5"/>
        <v>1</v>
      </c>
      <c r="F139" cm="1">
        <f t="array" ref="F139">INDEX('T. S2 microarray results'!J:J, MATCH(TRUE, ('T. S2 microarray results'!B:B=B139) + ('T. S2 microarray results'!C:C=B139) + ('T. S2 microarray results'!D:D=B139) + ('T. S2 microarray results'!E:E=B139) + ('T. S2 microarray results'!F:F=B139) + ('T. S2 microarray results'!G:G=B139) + ('T. S2 microarray results'!H:H=B139) &gt; 0, 0))</f>
        <v>-0.4259406</v>
      </c>
      <c r="G139" cm="1">
        <f t="array" ref="G139">INDEX('T. S2 microarray results'!K:K, MATCH(TRUE, ('T. S2 microarray results'!B:B=B139) + ('T. S2 microarray results'!C:C=B139) + ('T. S2 microarray results'!D:D=B139) + ('T. S2 microarray results'!E:E=B139) + ('T. S2 microarray results'!F:F=B139) + ('T. S2 microarray results'!G:G=B139) + ('T. S2 microarray results'!H:H=B139) &gt; 0, 0))</f>
        <v>-2.899743</v>
      </c>
      <c r="H139" cm="1">
        <f t="array" ref="H139">INDEX('T. S2 microarray results'!L:L, MATCH(TRUE, ('T. S2 microarray results'!B:B=B139) + ('T. S2 microarray results'!C:C=B139) + ('T. S2 microarray results'!D:D=B139) + ('T. S2 microarray results'!E:E=B139) + ('T. S2 microarray results'!F:F=B139) + ('T. S2 microarray results'!G:G=B139) + ('T. S2 microarray results'!H:H=B139) &gt; 0, 0))</f>
        <v>4.63446E-2</v>
      </c>
    </row>
    <row r="140" spans="1:8" x14ac:dyDescent="0.25">
      <c r="A140" t="str" cm="1">
        <f t="array" ref="A140">INDEX('T. S2 microarray results'!A:A, MATCH(TRUE, ('T. S2 microarray results'!B:B=B140) + ('T. S2 microarray results'!C:C=B140) + ('T. S2 microarray results'!D:D=B140) + ('T. S2 microarray results'!E:E=B140) + ('T. S2 microarray results'!F:F=B140) + ('T. S2 microarray results'!G:G=B140) + ('T. S2 microarray results'!H:H=B140) &gt; 0, 0))</f>
        <v>YBR267W</v>
      </c>
      <c r="B140" t="s">
        <v>12777</v>
      </c>
      <c r="C140" s="4" t="s">
        <v>14302</v>
      </c>
      <c r="D140" s="4" t="str">
        <f t="shared" si="4"/>
        <v>*YBR267W/REI1</v>
      </c>
      <c r="E140" s="4">
        <f t="shared" si="5"/>
        <v>1</v>
      </c>
      <c r="F140" cm="1">
        <f t="array" ref="F140">INDEX('T. S2 microarray results'!J:J, MATCH(TRUE, ('T. S2 microarray results'!B:B=B140) + ('T. S2 microarray results'!C:C=B140) + ('T. S2 microarray results'!D:D=B140) + ('T. S2 microarray results'!E:E=B140) + ('T. S2 microarray results'!F:F=B140) + ('T. S2 microarray results'!G:G=B140) + ('T. S2 microarray results'!H:H=B140) &gt; 0, 0))</f>
        <v>0.13846359999999999</v>
      </c>
      <c r="G140" cm="1">
        <f t="array" ref="G140">INDEX('T. S2 microarray results'!K:K, MATCH(TRUE, ('T. S2 microarray results'!B:B=B140) + ('T. S2 microarray results'!C:C=B140) + ('T. S2 microarray results'!D:D=B140) + ('T. S2 microarray results'!E:E=B140) + ('T. S2 microarray results'!F:F=B140) + ('T. S2 microarray results'!G:G=B140) + ('T. S2 microarray results'!H:H=B140) &gt; 0, 0))</f>
        <v>0.12804840000000001</v>
      </c>
      <c r="H140" cm="1">
        <f t="array" ref="H140">INDEX('T. S2 microarray results'!L:L, MATCH(TRUE, ('T. S2 microarray results'!B:B=B140) + ('T. S2 microarray results'!C:C=B140) + ('T. S2 microarray results'!D:D=B140) + ('T. S2 microarray results'!E:E=B140) + ('T. S2 microarray results'!F:F=B140) + ('T. S2 microarray results'!G:G=B140) + ('T. S2 microarray results'!H:H=B140) &gt; 0, 0))</f>
        <v>0.2150772</v>
      </c>
    </row>
    <row r="141" spans="1:8" x14ac:dyDescent="0.25">
      <c r="A141" t="str" cm="1">
        <f t="array" ref="A141">INDEX('T. S2 microarray results'!A:A, MATCH(TRUE, ('T. S2 microarray results'!B:B=B141) + ('T. S2 microarray results'!C:C=B141) + ('T. S2 microarray results'!D:D=B141) + ('T. S2 microarray results'!E:E=B141) + ('T. S2 microarray results'!F:F=B141) + ('T. S2 microarray results'!G:G=B141) + ('T. S2 microarray results'!H:H=B141) &gt; 0, 0))</f>
        <v>YFL033C</v>
      </c>
      <c r="B141" t="s">
        <v>9421</v>
      </c>
      <c r="C141" s="4" t="s">
        <v>14302</v>
      </c>
      <c r="D141" s="4" t="str">
        <f t="shared" si="4"/>
        <v>*YFL033C/RIM15</v>
      </c>
      <c r="E141" s="4">
        <f t="shared" si="5"/>
        <v>1</v>
      </c>
      <c r="F141" cm="1">
        <f t="array" ref="F141">INDEX('T. S2 microarray results'!J:J, MATCH(TRUE, ('T. S2 microarray results'!B:B=B141) + ('T. S2 microarray results'!C:C=B141) + ('T. S2 microarray results'!D:D=B141) + ('T. S2 microarray results'!E:E=B141) + ('T. S2 microarray results'!F:F=B141) + ('T. S2 microarray results'!G:G=B141) + ('T. S2 microarray results'!H:H=B141) &gt; 0, 0))</f>
        <v>1.193085</v>
      </c>
      <c r="G141" cm="1">
        <f t="array" ref="G141">INDEX('T. S2 microarray results'!K:K, MATCH(TRUE, ('T. S2 microarray results'!B:B=B141) + ('T. S2 microarray results'!C:C=B141) + ('T. S2 microarray results'!D:D=B141) + ('T. S2 microarray results'!E:E=B141) + ('T. S2 microarray results'!F:F=B141) + ('T. S2 microarray results'!G:G=B141) + ('T. S2 microarray results'!H:H=B141) &gt; 0, 0))</f>
        <v>0.53553229999999996</v>
      </c>
      <c r="H141" cm="1">
        <f t="array" ref="H141">INDEX('T. S2 microarray results'!L:L, MATCH(TRUE, ('T. S2 microarray results'!B:B=B141) + ('T. S2 microarray results'!C:C=B141) + ('T. S2 microarray results'!D:D=B141) + ('T. S2 microarray results'!E:E=B141) + ('T. S2 microarray results'!F:F=B141) + ('T. S2 microarray results'!G:G=B141) + ('T. S2 microarray results'!H:H=B141) &gt; 0, 0))</f>
        <v>0.77826289999999998</v>
      </c>
    </row>
    <row r="142" spans="1:8" x14ac:dyDescent="0.25">
      <c r="A142" t="str" cm="1">
        <f t="array" ref="A142">INDEX('T. S2 microarray results'!A:A, MATCH(TRUE, ('T. S2 microarray results'!B:B=B142) + ('T. S2 microarray results'!C:C=B142) + ('T. S2 microarray results'!D:D=B142) + ('T. S2 microarray results'!E:E=B142) + ('T. S2 microarray results'!F:F=B142) + ('T. S2 microarray results'!G:G=B142) + ('T. S2 microarray results'!H:H=B142) &gt; 0, 0))</f>
        <v>YLR371W</v>
      </c>
      <c r="B142" t="s">
        <v>5234</v>
      </c>
      <c r="C142" s="4" t="s">
        <v>14302</v>
      </c>
      <c r="D142" s="4" t="str">
        <f t="shared" si="4"/>
        <v>*YLR371W/ROM2</v>
      </c>
      <c r="E142" s="4">
        <f t="shared" si="5"/>
        <v>1</v>
      </c>
      <c r="F142" cm="1">
        <f t="array" ref="F142">INDEX('T. S2 microarray results'!J:J, MATCH(TRUE, ('T. S2 microarray results'!B:B=B142) + ('T. S2 microarray results'!C:C=B142) + ('T. S2 microarray results'!D:D=B142) + ('T. S2 microarray results'!E:E=B142) + ('T. S2 microarray results'!F:F=B142) + ('T. S2 microarray results'!G:G=B142) + ('T. S2 microarray results'!H:H=B142) &gt; 0, 0))</f>
        <v>-4.7415720000000001E-2</v>
      </c>
      <c r="G142" cm="1">
        <f t="array" ref="G142">INDEX('T. S2 microarray results'!K:K, MATCH(TRUE, ('T. S2 microarray results'!B:B=B142) + ('T. S2 microarray results'!C:C=B142) + ('T. S2 microarray results'!D:D=B142) + ('T. S2 microarray results'!E:E=B142) + ('T. S2 microarray results'!F:F=B142) + ('T. S2 microarray results'!G:G=B142) + ('T. S2 microarray results'!H:H=B142) &gt; 0, 0))</f>
        <v>-0.43701230000000002</v>
      </c>
      <c r="H142" cm="1">
        <f t="array" ref="H142">INDEX('T. S2 microarray results'!L:L, MATCH(TRUE, ('T. S2 microarray results'!B:B=B142) + ('T. S2 microarray results'!C:C=B142) + ('T. S2 microarray results'!D:D=B142) + ('T. S2 microarray results'!E:E=B142) + ('T. S2 microarray results'!F:F=B142) + ('T. S2 microarray results'!G:G=B142) + ('T. S2 microarray results'!H:H=B142) &gt; 0, 0))</f>
        <v>-0.1993209</v>
      </c>
    </row>
    <row r="143" spans="1:8" x14ac:dyDescent="0.25">
      <c r="A143" t="str" cm="1">
        <f t="array" ref="A143">INDEX('T. S2 microarray results'!A:A, MATCH(TRUE, ('T. S2 microarray results'!B:B=B143) + ('T. S2 microarray results'!C:C=B143) + ('T. S2 microarray results'!D:D=B143) + ('T. S2 microarray results'!E:E=B143) + ('T. S2 microarray results'!F:F=B143) + ('T. S2 microarray results'!G:G=B143) + ('T. S2 microarray results'!H:H=B143) &gt; 0, 0))</f>
        <v>YNL330C</v>
      </c>
      <c r="B143" t="s">
        <v>2119</v>
      </c>
      <c r="C143" s="4" t="s">
        <v>14302</v>
      </c>
      <c r="D143" s="4" t="str">
        <f t="shared" si="4"/>
        <v>*YNL330C/RPD3</v>
      </c>
      <c r="E143" s="4">
        <f t="shared" si="5"/>
        <v>1</v>
      </c>
      <c r="F143" cm="1">
        <f t="array" ref="F143">INDEX('T. S2 microarray results'!J:J, MATCH(TRUE, ('T. S2 microarray results'!B:B=B143) + ('T. S2 microarray results'!C:C=B143) + ('T. S2 microarray results'!D:D=B143) + ('T. S2 microarray results'!E:E=B143) + ('T. S2 microarray results'!F:F=B143) + ('T. S2 microarray results'!G:G=B143) + ('T. S2 microarray results'!H:H=B143) &gt; 0, 0))</f>
        <v>4.3339850000000003E-3</v>
      </c>
      <c r="G143" cm="1">
        <f t="array" ref="G143">INDEX('T. S2 microarray results'!K:K, MATCH(TRUE, ('T. S2 microarray results'!B:B=B143) + ('T. S2 microarray results'!C:C=B143) + ('T. S2 microarray results'!D:D=B143) + ('T. S2 microarray results'!E:E=B143) + ('T. S2 microarray results'!F:F=B143) + ('T. S2 microarray results'!G:G=B143) + ('T. S2 microarray results'!H:H=B143) &gt; 0, 0))</f>
        <v>-0.21348700000000001</v>
      </c>
      <c r="H143" cm="1">
        <f t="array" ref="H143">INDEX('T. S2 microarray results'!L:L, MATCH(TRUE, ('T. S2 microarray results'!B:B=B143) + ('T. S2 microarray results'!C:C=B143) + ('T. S2 microarray results'!D:D=B143) + ('T. S2 microarray results'!E:E=B143) + ('T. S2 microarray results'!F:F=B143) + ('T. S2 microarray results'!G:G=B143) + ('T. S2 microarray results'!H:H=B143) &gt; 0, 0))</f>
        <v>-6.2221690000000003E-2</v>
      </c>
    </row>
    <row r="144" spans="1:8" x14ac:dyDescent="0.25">
      <c r="A144" t="str" cm="1">
        <f t="array" ref="A144">INDEX('T. S2 microarray results'!A:A, MATCH(TRUE, ('T. S2 microarray results'!B:B=B144) + ('T. S2 microarray results'!C:C=B144) + ('T. S2 microarray results'!D:D=B144) + ('T. S2 microarray results'!E:E=B144) + ('T. S2 microarray results'!F:F=B144) + ('T. S2 microarray results'!G:G=B144) + ('T. S2 microarray results'!H:H=B144) &gt; 0, 0))</f>
        <v>YLR075W</v>
      </c>
      <c r="B144" t="s">
        <v>5929</v>
      </c>
      <c r="C144" s="4" t="s">
        <v>14302</v>
      </c>
      <c r="D144" s="4" t="str">
        <f t="shared" si="4"/>
        <v>*YLR075W/RPL10</v>
      </c>
      <c r="E144" s="4">
        <f t="shared" si="5"/>
        <v>1</v>
      </c>
      <c r="F144" cm="1">
        <f t="array" ref="F144">INDEX('T. S2 microarray results'!J:J, MATCH(TRUE, ('T. S2 microarray results'!B:B=B144) + ('T. S2 microarray results'!C:C=B144) + ('T. S2 microarray results'!D:D=B144) + ('T. S2 microarray results'!E:E=B144) + ('T. S2 microarray results'!F:F=B144) + ('T. S2 microarray results'!G:G=B144) + ('T. S2 microarray results'!H:H=B144) &gt; 0, 0))</f>
        <v>0.44887899999999997</v>
      </c>
      <c r="G144" cm="1">
        <f t="array" ref="G144">INDEX('T. S2 microarray results'!K:K, MATCH(TRUE, ('T. S2 microarray results'!B:B=B144) + ('T. S2 microarray results'!C:C=B144) + ('T. S2 microarray results'!D:D=B144) + ('T. S2 microarray results'!E:E=B144) + ('T. S2 microarray results'!F:F=B144) + ('T. S2 microarray results'!G:G=B144) + ('T. S2 microarray results'!H:H=B144) &gt; 0, 0))</f>
        <v>0.17996809999999999</v>
      </c>
      <c r="H144" cm="1">
        <f t="array" ref="H144">INDEX('T. S2 microarray results'!L:L, MATCH(TRUE, ('T. S2 microarray results'!B:B=B144) + ('T. S2 microarray results'!C:C=B144) + ('T. S2 microarray results'!D:D=B144) + ('T. S2 microarray results'!E:E=B144) + ('T. S2 microarray results'!F:F=B144) + ('T. S2 microarray results'!G:G=B144) + ('T. S2 microarray results'!H:H=B144) &gt; 0, 0))</f>
        <v>0.42160140000000002</v>
      </c>
    </row>
    <row r="145" spans="1:8" x14ac:dyDescent="0.25">
      <c r="A145" t="str" cm="1">
        <f t="array" ref="A145">INDEX('T. S2 microarray results'!A:A, MATCH(TRUE, ('T. S2 microarray results'!B:B=B145) + ('T. S2 microarray results'!C:C=B145) + ('T. S2 microarray results'!D:D=B145) + ('T. S2 microarray results'!E:E=B145) + ('T. S2 microarray results'!F:F=B145) + ('T. S2 microarray results'!G:G=B145) + ('T. S2 microarray results'!H:H=B145) &gt; 0, 0))</f>
        <v>YDL075W</v>
      </c>
      <c r="B145" t="s">
        <v>14138</v>
      </c>
      <c r="C145" s="4" t="s">
        <v>14302</v>
      </c>
      <c r="D145" s="4" t="str">
        <f t="shared" si="4"/>
        <v>*YDL075W/RPL31A</v>
      </c>
      <c r="E145" s="4">
        <f t="shared" si="5"/>
        <v>1</v>
      </c>
      <c r="F145" cm="1">
        <f t="array" ref="F145">INDEX('T. S2 microarray results'!J:J, MATCH(TRUE, ('T. S2 microarray results'!B:B=B145) + ('T. S2 microarray results'!C:C=B145) + ('T. S2 microarray results'!D:D=B145) + ('T. S2 microarray results'!E:E=B145) + ('T. S2 microarray results'!F:F=B145) + ('T. S2 microarray results'!G:G=B145) + ('T. S2 microarray results'!H:H=B145) &gt; 0, 0))</f>
        <v>0.36891570000000001</v>
      </c>
      <c r="G145" cm="1">
        <f t="array" ref="G145">INDEX('T. S2 microarray results'!K:K, MATCH(TRUE, ('T. S2 microarray results'!B:B=B145) + ('T. S2 microarray results'!C:C=B145) + ('T. S2 microarray results'!D:D=B145) + ('T. S2 microarray results'!E:E=B145) + ('T. S2 microarray results'!F:F=B145) + ('T. S2 microarray results'!G:G=B145) + ('T. S2 microarray results'!H:H=B145) &gt; 0, 0))</f>
        <v>0.10441930000000001</v>
      </c>
      <c r="H145" cm="1">
        <f t="array" ref="H145">INDEX('T. S2 microarray results'!L:L, MATCH(TRUE, ('T. S2 microarray results'!B:B=B145) + ('T. S2 microarray results'!C:C=B145) + ('T. S2 microarray results'!D:D=B145) + ('T. S2 microarray results'!E:E=B145) + ('T. S2 microarray results'!F:F=B145) + ('T. S2 microarray results'!G:G=B145) + ('T. S2 microarray results'!H:H=B145) &gt; 0, 0))</f>
        <v>0.51540589999999997</v>
      </c>
    </row>
    <row r="146" spans="1:8" x14ac:dyDescent="0.25">
      <c r="A146" t="str" cm="1">
        <f t="array" ref="A146">INDEX('T. S2 microarray results'!A:A, MATCH(TRUE, ('T. S2 microarray results'!B:B=B146) + ('T. S2 microarray results'!C:C=B146) + ('T. S2 microarray results'!D:D=B146) + ('T. S2 microarray results'!E:E=B146) + ('T. S2 microarray results'!F:F=B146) + ('T. S2 microarray results'!G:G=B146) + ('T. S2 microarray results'!H:H=B146) &gt; 0, 0))</f>
        <v>YLR448W</v>
      </c>
      <c r="B146" t="s">
        <v>4028</v>
      </c>
      <c r="C146" s="4" t="s">
        <v>14302</v>
      </c>
      <c r="D146" s="4" t="str">
        <f t="shared" si="4"/>
        <v>*YLR448W/RPL6B</v>
      </c>
      <c r="E146" s="4">
        <f t="shared" si="5"/>
        <v>1</v>
      </c>
      <c r="F146" cm="1">
        <f t="array" ref="F146">INDEX('T. S2 microarray results'!J:J, MATCH(TRUE, ('T. S2 microarray results'!B:B=B146) + ('T. S2 microarray results'!C:C=B146) + ('T. S2 microarray results'!D:D=B146) + ('T. S2 microarray results'!E:E=B146) + ('T. S2 microarray results'!F:F=B146) + ('T. S2 microarray results'!G:G=B146) + ('T. S2 microarray results'!H:H=B146) &gt; 0, 0))</f>
        <v>0.91397399999999995</v>
      </c>
      <c r="G146" cm="1">
        <f t="array" ref="G146">INDEX('T. S2 microarray results'!K:K, MATCH(TRUE, ('T. S2 microarray results'!B:B=B146) + ('T. S2 microarray results'!C:C=B146) + ('T. S2 microarray results'!D:D=B146) + ('T. S2 microarray results'!E:E=B146) + ('T. S2 microarray results'!F:F=B146) + ('T. S2 microarray results'!G:G=B146) + ('T. S2 microarray results'!H:H=B146) &gt; 0, 0))</f>
        <v>0.57663909999999996</v>
      </c>
      <c r="H146" cm="1">
        <f t="array" ref="H146">INDEX('T. S2 microarray results'!L:L, MATCH(TRUE, ('T. S2 microarray results'!B:B=B146) + ('T. S2 microarray results'!C:C=B146) + ('T. S2 microarray results'!D:D=B146) + ('T. S2 microarray results'!E:E=B146) + ('T. S2 microarray results'!F:F=B146) + ('T. S2 microarray results'!G:G=B146) + ('T. S2 microarray results'!H:H=B146) &gt; 0, 0))</f>
        <v>0.77947080000000002</v>
      </c>
    </row>
    <row r="147" spans="1:8" x14ac:dyDescent="0.25">
      <c r="A147" t="str" cm="1">
        <f t="array" ref="A147">INDEX('T. S2 microarray results'!A:A, MATCH(TRUE, ('T. S2 microarray results'!B:B=B147) + ('T. S2 microarray results'!C:C=B147) + ('T. S2 microarray results'!D:D=B147) + ('T. S2 microarray results'!E:E=B147) + ('T. S2 microarray results'!F:F=B147) + ('T. S2 microarray results'!G:G=B147) + ('T. S2 microarray results'!H:H=B147) &gt; 0, 0))</f>
        <v>YFL036W</v>
      </c>
      <c r="B147" t="s">
        <v>9410</v>
      </c>
      <c r="C147" s="4" t="s">
        <v>14302</v>
      </c>
      <c r="D147" s="4" t="str">
        <f t="shared" si="4"/>
        <v>*YFL036W/RPO41</v>
      </c>
      <c r="E147" s="4">
        <f t="shared" si="5"/>
        <v>1</v>
      </c>
      <c r="F147" cm="1">
        <f t="array" ref="F147">INDEX('T. S2 microarray results'!J:J, MATCH(TRUE, ('T. S2 microarray results'!B:B=B147) + ('T. S2 microarray results'!C:C=B147) + ('T. S2 microarray results'!D:D=B147) + ('T. S2 microarray results'!E:E=B147) + ('T. S2 microarray results'!F:F=B147) + ('T. S2 microarray results'!G:G=B147) + ('T. S2 microarray results'!H:H=B147) &gt; 0, 0))</f>
        <v>-0.30593219999999999</v>
      </c>
      <c r="G147" cm="1">
        <f t="array" ref="G147">INDEX('T. S2 microarray results'!K:K, MATCH(TRUE, ('T. S2 microarray results'!B:B=B147) + ('T. S2 microarray results'!C:C=B147) + ('T. S2 microarray results'!D:D=B147) + ('T. S2 microarray results'!E:E=B147) + ('T. S2 microarray results'!F:F=B147) + ('T. S2 microarray results'!G:G=B147) + ('T. S2 microarray results'!H:H=B147) &gt; 0, 0))</f>
        <v>-0.52810590000000002</v>
      </c>
      <c r="H147" cm="1">
        <f t="array" ref="H147">INDEX('T. S2 microarray results'!L:L, MATCH(TRUE, ('T. S2 microarray results'!B:B=B147) + ('T. S2 microarray results'!C:C=B147) + ('T. S2 microarray results'!D:D=B147) + ('T. S2 microarray results'!E:E=B147) + ('T. S2 microarray results'!F:F=B147) + ('T. S2 microarray results'!G:G=B147) + ('T. S2 microarray results'!H:H=B147) &gt; 0, 0))</f>
        <v>-0.41457690000000003</v>
      </c>
    </row>
    <row r="148" spans="1:8" x14ac:dyDescent="0.25">
      <c r="A148" t="str" cm="1">
        <f t="array" ref="A148">INDEX('T. S2 microarray results'!A:A, MATCH(TRUE, ('T. S2 microarray results'!B:B=B148) + ('T. S2 microarray results'!C:C=B148) + ('T. S2 microarray results'!D:D=B148) + ('T. S2 microarray results'!E:E=B148) + ('T. S2 microarray results'!F:F=B148) + ('T. S2 microarray results'!G:G=B148) + ('T. S2 microarray results'!H:H=B148) &gt; 0, 0))</f>
        <v>YDR450W</v>
      </c>
      <c r="B148" t="s">
        <v>14174</v>
      </c>
      <c r="C148" s="4" t="s">
        <v>14302</v>
      </c>
      <c r="D148" s="4" t="str">
        <f t="shared" si="4"/>
        <v>*YDR450W/RPS18A</v>
      </c>
      <c r="E148" s="4">
        <f t="shared" si="5"/>
        <v>1</v>
      </c>
      <c r="F148" cm="1">
        <f t="array" ref="F148">INDEX('T. S2 microarray results'!J:J, MATCH(TRUE, ('T. S2 microarray results'!B:B=B148) + ('T. S2 microarray results'!C:C=B148) + ('T. S2 microarray results'!D:D=B148) + ('T. S2 microarray results'!E:E=B148) + ('T. S2 microarray results'!F:F=B148) + ('T. S2 microarray results'!G:G=B148) + ('T. S2 microarray results'!H:H=B148) &gt; 0, 0))</f>
        <v>9.9466200000000005E-2</v>
      </c>
      <c r="G148" cm="1">
        <f t="array" ref="G148">INDEX('T. S2 microarray results'!K:K, MATCH(TRUE, ('T. S2 microarray results'!B:B=B148) + ('T. S2 microarray results'!C:C=B148) + ('T. S2 microarray results'!D:D=B148) + ('T. S2 microarray results'!E:E=B148) + ('T. S2 microarray results'!F:F=B148) + ('T. S2 microarray results'!G:G=B148) + ('T. S2 microarray results'!H:H=B148) &gt; 0, 0))</f>
        <v>-0.2153437</v>
      </c>
      <c r="H148" cm="1">
        <f t="array" ref="H148">INDEX('T. S2 microarray results'!L:L, MATCH(TRUE, ('T. S2 microarray results'!B:B=B148) + ('T. S2 microarray results'!C:C=B148) + ('T. S2 microarray results'!D:D=B148) + ('T. S2 microarray results'!E:E=B148) + ('T. S2 microarray results'!F:F=B148) + ('T. S2 microarray results'!G:G=B148) + ('T. S2 microarray results'!H:H=B148) &gt; 0, 0))</f>
        <v>0.19410459999999999</v>
      </c>
    </row>
    <row r="149" spans="1:8" x14ac:dyDescent="0.25">
      <c r="A149" t="str" cm="1">
        <f t="array" ref="A149">INDEX('T. S2 microarray results'!A:A, MATCH(TRUE, ('T. S2 microarray results'!B:B=B149) + ('T. S2 microarray results'!C:C=B149) + ('T. S2 microarray results'!D:D=B149) + ('T. S2 microarray results'!E:E=B149) + ('T. S2 microarray results'!F:F=B149) + ('T. S2 microarray results'!G:G=B149) + ('T. S2 microarray results'!H:H=B149) &gt; 0, 0))</f>
        <v>YDR450W</v>
      </c>
      <c r="B149" t="s">
        <v>14173</v>
      </c>
      <c r="C149" s="4" t="s">
        <v>14302</v>
      </c>
      <c r="D149" s="4" t="str">
        <f t="shared" si="4"/>
        <v>*YDR450W/RPS18B</v>
      </c>
      <c r="E149" s="4">
        <f t="shared" si="5"/>
        <v>1</v>
      </c>
      <c r="F149" cm="1">
        <f t="array" ref="F149">INDEX('T. S2 microarray results'!J:J, MATCH(TRUE, ('T. S2 microarray results'!B:B=B149) + ('T. S2 microarray results'!C:C=B149) + ('T. S2 microarray results'!D:D=B149) + ('T. S2 microarray results'!E:E=B149) + ('T. S2 microarray results'!F:F=B149) + ('T. S2 microarray results'!G:G=B149) + ('T. S2 microarray results'!H:H=B149) &gt; 0, 0))</f>
        <v>9.9466200000000005E-2</v>
      </c>
      <c r="G149" cm="1">
        <f t="array" ref="G149">INDEX('T. S2 microarray results'!K:K, MATCH(TRUE, ('T. S2 microarray results'!B:B=B149) + ('T. S2 microarray results'!C:C=B149) + ('T. S2 microarray results'!D:D=B149) + ('T. S2 microarray results'!E:E=B149) + ('T. S2 microarray results'!F:F=B149) + ('T. S2 microarray results'!G:G=B149) + ('T. S2 microarray results'!H:H=B149) &gt; 0, 0))</f>
        <v>-0.2153437</v>
      </c>
      <c r="H149" cm="1">
        <f t="array" ref="H149">INDEX('T. S2 microarray results'!L:L, MATCH(TRUE, ('T. S2 microarray results'!B:B=B149) + ('T. S2 microarray results'!C:C=B149) + ('T. S2 microarray results'!D:D=B149) + ('T. S2 microarray results'!E:E=B149) + ('T. S2 microarray results'!F:F=B149) + ('T. S2 microarray results'!G:G=B149) + ('T. S2 microarray results'!H:H=B149) &gt; 0, 0))</f>
        <v>0.19410459999999999</v>
      </c>
    </row>
    <row r="150" spans="1:8" x14ac:dyDescent="0.25">
      <c r="A150" t="str" cm="1">
        <f t="array" ref="A150">INDEX('T. S2 microarray results'!A:A, MATCH(TRUE, ('T. S2 microarray results'!B:B=B150) + ('T. S2 microarray results'!C:C=B150) + ('T. S2 microarray results'!D:D=B150) + ('T. S2 microarray results'!E:E=B150) + ('T. S2 microarray results'!F:F=B150) + ('T. S2 microarray results'!G:G=B150) + ('T. S2 microarray results'!H:H=B150) &gt; 0, 0))</f>
        <v>YBR181C</v>
      </c>
      <c r="B150" t="s">
        <v>14119</v>
      </c>
      <c r="C150" s="4" t="s">
        <v>14302</v>
      </c>
      <c r="D150" s="4" t="str">
        <f t="shared" si="4"/>
        <v>*YBR181C/RPS6B</v>
      </c>
      <c r="E150" s="4">
        <f t="shared" si="5"/>
        <v>1</v>
      </c>
      <c r="F150" cm="1">
        <f t="array" ref="F150">INDEX('T. S2 microarray results'!J:J, MATCH(TRUE, ('T. S2 microarray results'!B:B=B150) + ('T. S2 microarray results'!C:C=B150) + ('T. S2 microarray results'!D:D=B150) + ('T. S2 microarray results'!E:E=B150) + ('T. S2 microarray results'!F:F=B150) + ('T. S2 microarray results'!G:G=B150) + ('T. S2 microarray results'!H:H=B150) &gt; 0, 0))</f>
        <v>0.2742619</v>
      </c>
      <c r="G150" cm="1">
        <f t="array" ref="G150">INDEX('T. S2 microarray results'!K:K, MATCH(TRUE, ('T. S2 microarray results'!B:B=B150) + ('T. S2 microarray results'!C:C=B150) + ('T. S2 microarray results'!D:D=B150) + ('T. S2 microarray results'!E:E=B150) + ('T. S2 microarray results'!F:F=B150) + ('T. S2 microarray results'!G:G=B150) + ('T. S2 microarray results'!H:H=B150) &gt; 0, 0))</f>
        <v>-0.1123383</v>
      </c>
      <c r="H150" cm="1">
        <f t="array" ref="H150">INDEX('T. S2 microarray results'!L:L, MATCH(TRUE, ('T. S2 microarray results'!B:B=B150) + ('T. S2 microarray results'!C:C=B150) + ('T. S2 microarray results'!D:D=B150) + ('T. S2 microarray results'!E:E=B150) + ('T. S2 microarray results'!F:F=B150) + ('T. S2 microarray results'!G:G=B150) + ('T. S2 microarray results'!H:H=B150) &gt; 0, 0))</f>
        <v>0.28851690000000002</v>
      </c>
    </row>
    <row r="151" spans="1:8" x14ac:dyDescent="0.25">
      <c r="A151" t="str" cm="1">
        <f t="array" ref="A151">INDEX('T. S2 microarray results'!A:A, MATCH(TRUE, ('T. S2 microarray results'!B:B=B151) + ('T. S2 microarray results'!C:C=B151) + ('T. S2 microarray results'!D:D=B151) + ('T. S2 microarray results'!E:E=B151) + ('T. S2 microarray results'!F:F=B151) + ('T. S2 microarray results'!G:G=B151) + ('T. S2 microarray results'!H:H=B151) &gt; 0, 0))</f>
        <v>YBL103C</v>
      </c>
      <c r="B151" t="s">
        <v>12916</v>
      </c>
      <c r="C151" s="4" t="s">
        <v>14302</v>
      </c>
      <c r="D151" s="4" t="str">
        <f t="shared" si="4"/>
        <v>*YBL103C/RTG3</v>
      </c>
      <c r="E151" s="4">
        <f t="shared" si="5"/>
        <v>1</v>
      </c>
      <c r="F151" cm="1">
        <f t="array" ref="F151">INDEX('T. S2 microarray results'!J:J, MATCH(TRUE, ('T. S2 microarray results'!B:B=B151) + ('T. S2 microarray results'!C:C=B151) + ('T. S2 microarray results'!D:D=B151) + ('T. S2 microarray results'!E:E=B151) + ('T. S2 microarray results'!F:F=B151) + ('T. S2 microarray results'!G:G=B151) + ('T. S2 microarray results'!H:H=B151) &gt; 0, 0))</f>
        <v>-0.16781499999999999</v>
      </c>
      <c r="G151" cm="1">
        <f t="array" ref="G151">INDEX('T. S2 microarray results'!K:K, MATCH(TRUE, ('T. S2 microarray results'!B:B=B151) + ('T. S2 microarray results'!C:C=B151) + ('T. S2 microarray results'!D:D=B151) + ('T. S2 microarray results'!E:E=B151) + ('T. S2 microarray results'!F:F=B151) + ('T. S2 microarray results'!G:G=B151) + ('T. S2 microarray results'!H:H=B151) &gt; 0, 0))</f>
        <v>-1.1208959999999999</v>
      </c>
      <c r="H151" cm="1">
        <f t="array" ref="H151">INDEX('T. S2 microarray results'!L:L, MATCH(TRUE, ('T. S2 microarray results'!B:B=B151) + ('T. S2 microarray results'!C:C=B151) + ('T. S2 microarray results'!D:D=B151) + ('T. S2 microarray results'!E:E=B151) + ('T. S2 microarray results'!F:F=B151) + ('T. S2 microarray results'!G:G=B151) + ('T. S2 microarray results'!H:H=B151) &gt; 0, 0))</f>
        <v>-0.62226090000000001</v>
      </c>
    </row>
    <row r="152" spans="1:8" x14ac:dyDescent="0.25">
      <c r="A152" t="str" cm="1">
        <f t="array" ref="A152">INDEX('T. S2 microarray results'!A:A, MATCH(TRUE, ('T. S2 microarray results'!B:B=B152) + ('T. S2 microarray results'!C:C=B152) + ('T. S2 microarray results'!D:D=B152) + ('T. S2 microarray results'!E:E=B152) + ('T. S2 microarray results'!F:F=B152) + ('T. S2 microarray results'!G:G=B152) + ('T. S2 microarray results'!H:H=B152) &gt; 0, 0))</f>
        <v>YHR205W</v>
      </c>
      <c r="B152" t="s">
        <v>8363</v>
      </c>
      <c r="C152" s="4" t="s">
        <v>14302</v>
      </c>
      <c r="D152" s="4" t="str">
        <f t="shared" si="4"/>
        <v>*YHR205W/SCH9</v>
      </c>
      <c r="E152" s="4">
        <f t="shared" si="5"/>
        <v>1</v>
      </c>
      <c r="F152" cm="1">
        <f t="array" ref="F152">INDEX('T. S2 microarray results'!J:J, MATCH(TRUE, ('T. S2 microarray results'!B:B=B152) + ('T. S2 microarray results'!C:C=B152) + ('T. S2 microarray results'!D:D=B152) + ('T. S2 microarray results'!E:E=B152) + ('T. S2 microarray results'!F:F=B152) + ('T. S2 microarray results'!G:G=B152) + ('T. S2 microarray results'!H:H=B152) &gt; 0, 0))</f>
        <v>-2.2253820000000001E-2</v>
      </c>
      <c r="G152" cm="1">
        <f t="array" ref="G152">INDEX('T. S2 microarray results'!K:K, MATCH(TRUE, ('T. S2 microarray results'!B:B=B152) + ('T. S2 microarray results'!C:C=B152) + ('T. S2 microarray results'!D:D=B152) + ('T. S2 microarray results'!E:E=B152) + ('T. S2 microarray results'!F:F=B152) + ('T. S2 microarray results'!G:G=B152) + ('T. S2 microarray results'!H:H=B152) &gt; 0, 0))</f>
        <v>0.3818899</v>
      </c>
      <c r="H152" cm="1">
        <f t="array" ref="H152">INDEX('T. S2 microarray results'!L:L, MATCH(TRUE, ('T. S2 microarray results'!B:B=B152) + ('T. S2 microarray results'!C:C=B152) + ('T. S2 microarray results'!D:D=B152) + ('T. S2 microarray results'!E:E=B152) + ('T. S2 microarray results'!F:F=B152) + ('T. S2 microarray results'!G:G=B152) + ('T. S2 microarray results'!H:H=B152) &gt; 0, 0))</f>
        <v>0.179647</v>
      </c>
    </row>
    <row r="153" spans="1:8" x14ac:dyDescent="0.25">
      <c r="A153" t="str" cm="1">
        <f t="array" ref="A153">INDEX('T. S2 microarray results'!A:A, MATCH(TRUE, ('T. S2 microarray results'!B:B=B153) + ('T. S2 microarray results'!C:C=B153) + ('T. S2 microarray results'!D:D=B153) + ('T. S2 microarray results'!E:E=B153) + ('T. S2 microarray results'!F:F=B153) + ('T. S2 microarray results'!G:G=B153) + ('T. S2 microarray results'!H:H=B153) &gt; 0, 0))</f>
        <v>YOR367W</v>
      </c>
      <c r="B153" t="s">
        <v>1557</v>
      </c>
      <c r="C153" s="4" t="s">
        <v>14302</v>
      </c>
      <c r="D153" s="4" t="str">
        <f t="shared" si="4"/>
        <v>*YOR367W/SCP1</v>
      </c>
      <c r="E153" s="4">
        <f t="shared" si="5"/>
        <v>1</v>
      </c>
      <c r="F153" cm="1">
        <f t="array" ref="F153">INDEX('T. S2 microarray results'!J:J, MATCH(TRUE, ('T. S2 microarray results'!B:B=B153) + ('T. S2 microarray results'!C:C=B153) + ('T. S2 microarray results'!D:D=B153) + ('T. S2 microarray results'!E:E=B153) + ('T. S2 microarray results'!F:F=B153) + ('T. S2 microarray results'!G:G=B153) + ('T. S2 microarray results'!H:H=B153) &gt; 0, 0))</f>
        <v>0.13525429999999999</v>
      </c>
      <c r="G153" cm="1">
        <f t="array" ref="G153">INDEX('T. S2 microarray results'!K:K, MATCH(TRUE, ('T. S2 microarray results'!B:B=B153) + ('T. S2 microarray results'!C:C=B153) + ('T. S2 microarray results'!D:D=B153) + ('T. S2 microarray results'!E:E=B153) + ('T. S2 microarray results'!F:F=B153) + ('T. S2 microarray results'!G:G=B153) + ('T. S2 microarray results'!H:H=B153) &gt; 0, 0))</f>
        <v>-0.364842</v>
      </c>
      <c r="H153" cm="1">
        <f t="array" ref="H153">INDEX('T. S2 microarray results'!L:L, MATCH(TRUE, ('T. S2 microarray results'!B:B=B153) + ('T. S2 microarray results'!C:C=B153) + ('T. S2 microarray results'!D:D=B153) + ('T. S2 microarray results'!E:E=B153) + ('T. S2 microarray results'!F:F=B153) + ('T. S2 microarray results'!G:G=B153) + ('T. S2 microarray results'!H:H=B153) &gt; 0, 0))</f>
        <v>0.29488609999999998</v>
      </c>
    </row>
    <row r="154" spans="1:8" x14ac:dyDescent="0.25">
      <c r="A154" t="str" cm="1">
        <f t="array" ref="A154">INDEX('T. S2 microarray results'!A:A, MATCH(TRUE, ('T. S2 microarray results'!B:B=B154) + ('T. S2 microarray results'!C:C=B154) + ('T. S2 microarray results'!D:D=B154) + ('T. S2 microarray results'!E:E=B154) + ('T. S2 microarray results'!F:F=B154) + ('T. S2 microarray results'!G:G=B154) + ('T. S2 microarray results'!H:H=B154) &gt; 0, 0))</f>
        <v>YMR190C</v>
      </c>
      <c r="B154" t="s">
        <v>4228</v>
      </c>
      <c r="C154" s="4" t="s">
        <v>14302</v>
      </c>
      <c r="D154" s="4" t="str">
        <f t="shared" si="4"/>
        <v>*YMR190C/SGS1</v>
      </c>
      <c r="E154" s="4">
        <f t="shared" si="5"/>
        <v>1</v>
      </c>
      <c r="F154" cm="1">
        <f t="array" ref="F154">INDEX('T. S2 microarray results'!J:J, MATCH(TRUE, ('T. S2 microarray results'!B:B=B154) + ('T. S2 microarray results'!C:C=B154) + ('T. S2 microarray results'!D:D=B154) + ('T. S2 microarray results'!E:E=B154) + ('T. S2 microarray results'!F:F=B154) + ('T. S2 microarray results'!G:G=B154) + ('T. S2 microarray results'!H:H=B154) &gt; 0, 0))</f>
        <v>-0.34247709999999998</v>
      </c>
      <c r="G154" cm="1">
        <f t="array" ref="G154">INDEX('T. S2 microarray results'!K:K, MATCH(TRUE, ('T. S2 microarray results'!B:B=B154) + ('T. S2 microarray results'!C:C=B154) + ('T. S2 microarray results'!D:D=B154) + ('T. S2 microarray results'!E:E=B154) + ('T. S2 microarray results'!F:F=B154) + ('T. S2 microarray results'!G:G=B154) + ('T. S2 microarray results'!H:H=B154) &gt; 0, 0))</f>
        <v>-0.89441519999999997</v>
      </c>
      <c r="H154" cm="1">
        <f t="array" ref="H154">INDEX('T. S2 microarray results'!L:L, MATCH(TRUE, ('T. S2 microarray results'!B:B=B154) + ('T. S2 microarray results'!C:C=B154) + ('T. S2 microarray results'!D:D=B154) + ('T. S2 microarray results'!E:E=B154) + ('T. S2 microarray results'!F:F=B154) + ('T. S2 microarray results'!G:G=B154) + ('T. S2 microarray results'!H:H=B154) &gt; 0, 0))</f>
        <v>-0.41481780000000001</v>
      </c>
    </row>
    <row r="155" spans="1:8" x14ac:dyDescent="0.25">
      <c r="A155" t="str" cm="1">
        <f t="array" ref="A155">INDEX('T. S2 microarray results'!A:A, MATCH(TRUE, ('T. S2 microarray results'!B:B=B155) + ('T. S2 microarray results'!C:C=B155) + ('T. S2 microarray results'!D:D=B155) + ('T. S2 microarray results'!E:E=B155) + ('T. S2 microarray results'!F:F=B155) + ('T. S2 microarray results'!G:G=B155) + ('T. S2 microarray results'!H:H=B155) &gt; 0, 0))</f>
        <v>YGL208W</v>
      </c>
      <c r="B155" t="s">
        <v>8695</v>
      </c>
      <c r="C155" s="4" t="s">
        <v>14302</v>
      </c>
      <c r="D155" s="4" t="str">
        <f t="shared" si="4"/>
        <v>*YGL208W/SIP2</v>
      </c>
      <c r="E155" s="4">
        <f t="shared" si="5"/>
        <v>1</v>
      </c>
      <c r="F155" cm="1">
        <f t="array" ref="F155">INDEX('T. S2 microarray results'!J:J, MATCH(TRUE, ('T. S2 microarray results'!B:B=B155) + ('T. S2 microarray results'!C:C=B155) + ('T. S2 microarray results'!D:D=B155) + ('T. S2 microarray results'!E:E=B155) + ('T. S2 microarray results'!F:F=B155) + ('T. S2 microarray results'!G:G=B155) + ('T. S2 microarray results'!H:H=B155) &gt; 0, 0))</f>
        <v>-0.20341790000000001</v>
      </c>
      <c r="G155" cm="1">
        <f t="array" ref="G155">INDEX('T. S2 microarray results'!K:K, MATCH(TRUE, ('T. S2 microarray results'!B:B=B155) + ('T. S2 microarray results'!C:C=B155) + ('T. S2 microarray results'!D:D=B155) + ('T. S2 microarray results'!E:E=B155) + ('T. S2 microarray results'!F:F=B155) + ('T. S2 microarray results'!G:G=B155) + ('T. S2 microarray results'!H:H=B155) &gt; 0, 0))</f>
        <v>-0.5669997</v>
      </c>
      <c r="H155" cm="1">
        <f t="array" ref="H155">INDEX('T. S2 microarray results'!L:L, MATCH(TRUE, ('T. S2 microarray results'!B:B=B155) + ('T. S2 microarray results'!C:C=B155) + ('T. S2 microarray results'!D:D=B155) + ('T. S2 microarray results'!E:E=B155) + ('T. S2 microarray results'!F:F=B155) + ('T. S2 microarray results'!G:G=B155) + ('T. S2 microarray results'!H:H=B155) &gt; 0, 0))</f>
        <v>-0.1197111</v>
      </c>
    </row>
    <row r="156" spans="1:8" x14ac:dyDescent="0.25">
      <c r="A156" t="str" cm="1">
        <f t="array" ref="A156">INDEX('T. S2 microarray results'!A:A, MATCH(TRUE, ('T. S2 microarray results'!B:B=B156) + ('T. S2 microarray results'!C:C=B156) + ('T. S2 microarray results'!D:D=B156) + ('T. S2 microarray results'!E:E=B156) + ('T. S2 microarray results'!F:F=B156) + ('T. S2 microarray results'!G:G=B156) + ('T. S2 microarray results'!H:H=B156) &gt; 0, 0))</f>
        <v>YDL042C</v>
      </c>
      <c r="B156" t="s">
        <v>14290</v>
      </c>
      <c r="C156" s="4" t="s">
        <v>14302</v>
      </c>
      <c r="D156" s="4" t="str">
        <f t="shared" si="4"/>
        <v>*YDL042C/sir2</v>
      </c>
      <c r="E156" s="4">
        <f t="shared" si="5"/>
        <v>1</v>
      </c>
      <c r="F156" cm="1">
        <f t="array" ref="F156">INDEX('T. S2 microarray results'!J:J, MATCH(TRUE, ('T. S2 microarray results'!B:B=B156) + ('T. S2 microarray results'!C:C=B156) + ('T. S2 microarray results'!D:D=B156) + ('T. S2 microarray results'!E:E=B156) + ('T. S2 microarray results'!F:F=B156) + ('T. S2 microarray results'!G:G=B156) + ('T. S2 microarray results'!H:H=B156) &gt; 0, 0))</f>
        <v>0.97622750000000003</v>
      </c>
      <c r="G156" cm="1">
        <f t="array" ref="G156">INDEX('T. S2 microarray results'!K:K, MATCH(TRUE, ('T. S2 microarray results'!B:B=B156) + ('T. S2 microarray results'!C:C=B156) + ('T. S2 microarray results'!D:D=B156) + ('T. S2 microarray results'!E:E=B156) + ('T. S2 microarray results'!F:F=B156) + ('T. S2 microarray results'!G:G=B156) + ('T. S2 microarray results'!H:H=B156) &gt; 0, 0))</f>
        <v>0.62758119999999995</v>
      </c>
      <c r="H156" cm="1">
        <f t="array" ref="H156">INDEX('T. S2 microarray results'!L:L, MATCH(TRUE, ('T. S2 microarray results'!B:B=B156) + ('T. S2 microarray results'!C:C=B156) + ('T. S2 microarray results'!D:D=B156) + ('T. S2 microarray results'!E:E=B156) + ('T. S2 microarray results'!F:F=B156) + ('T. S2 microarray results'!G:G=B156) + ('T. S2 microarray results'!H:H=B156) &gt; 0, 0))</f>
        <v>0.83826089999999998</v>
      </c>
    </row>
    <row r="157" spans="1:8" x14ac:dyDescent="0.25">
      <c r="A157" t="str" cm="1">
        <f t="array" ref="A157">INDEX('T. S2 microarray results'!A:A, MATCH(TRUE, ('T. S2 microarray results'!B:B=B157) + ('T. S2 microarray results'!C:C=B157) + ('T. S2 microarray results'!D:D=B157) + ('T. S2 microarray results'!E:E=B157) + ('T. S2 microarray results'!F:F=B157) + ('T. S2 microarray results'!G:G=B157) + ('T. S2 microarray results'!H:H=B157) &gt; 0, 0))</f>
        <v>YLR442C</v>
      </c>
      <c r="B157" t="s">
        <v>14291</v>
      </c>
      <c r="C157" s="4" t="s">
        <v>14302</v>
      </c>
      <c r="D157" s="4" t="str">
        <f t="shared" si="4"/>
        <v>*YLR442C/sir3</v>
      </c>
      <c r="E157" s="4">
        <f t="shared" si="5"/>
        <v>1</v>
      </c>
      <c r="F157" cm="1">
        <f t="array" ref="F157">INDEX('T. S2 microarray results'!J:J, MATCH(TRUE, ('T. S2 microarray results'!B:B=B157) + ('T. S2 microarray results'!C:C=B157) + ('T. S2 microarray results'!D:D=B157) + ('T. S2 microarray results'!E:E=B157) + ('T. S2 microarray results'!F:F=B157) + ('T. S2 microarray results'!G:G=B157) + ('T. S2 microarray results'!H:H=B157) &gt; 0, 0))</f>
        <v>0.220419</v>
      </c>
      <c r="G157" cm="1">
        <f t="array" ref="G157">INDEX('T. S2 microarray results'!K:K, MATCH(TRUE, ('T. S2 microarray results'!B:B=B157) + ('T. S2 microarray results'!C:C=B157) + ('T. S2 microarray results'!D:D=B157) + ('T. S2 microarray results'!E:E=B157) + ('T. S2 microarray results'!F:F=B157) + ('T. S2 microarray results'!G:G=B157) + ('T. S2 microarray results'!H:H=B157) &gt; 0, 0))</f>
        <v>-6.6933480000000004E-2</v>
      </c>
      <c r="H157" cm="1">
        <f t="array" ref="H157">INDEX('T. S2 microarray results'!L:L, MATCH(TRUE, ('T. S2 microarray results'!B:B=B157) + ('T. S2 microarray results'!C:C=B157) + ('T. S2 microarray results'!D:D=B157) + ('T. S2 microarray results'!E:E=B157) + ('T. S2 microarray results'!F:F=B157) + ('T. S2 microarray results'!G:G=B157) + ('T. S2 microarray results'!H:H=B157) &gt; 0, 0))</f>
        <v>0.1616985</v>
      </c>
    </row>
    <row r="158" spans="1:8" x14ac:dyDescent="0.25">
      <c r="A158" t="str" cm="1">
        <f t="array" ref="A158">INDEX('T. S2 microarray results'!A:A, MATCH(TRUE, ('T. S2 microarray results'!B:B=B158) + ('T. S2 microarray results'!C:C=B158) + ('T. S2 microarray results'!D:D=B158) + ('T. S2 microarray results'!E:E=B158) + ('T. S2 microarray results'!F:F=B158) + ('T. S2 microarray results'!G:G=B158) + ('T. S2 microarray results'!H:H=B158) &gt; 0, 0))</f>
        <v>YDR227W</v>
      </c>
      <c r="B158" t="s">
        <v>14292</v>
      </c>
      <c r="C158" s="4" t="s">
        <v>14302</v>
      </c>
      <c r="D158" s="4" t="str">
        <f t="shared" si="4"/>
        <v>*YDR227W/sir4</v>
      </c>
      <c r="E158" s="4">
        <f t="shared" si="5"/>
        <v>1</v>
      </c>
      <c r="F158" cm="1">
        <f t="array" ref="F158">INDEX('T. S2 microarray results'!J:J, MATCH(TRUE, ('T. S2 microarray results'!B:B=B158) + ('T. S2 microarray results'!C:C=B158) + ('T. S2 microarray results'!D:D=B158) + ('T. S2 microarray results'!E:E=B158) + ('T. S2 microarray results'!F:F=B158) + ('T. S2 microarray results'!G:G=B158) + ('T. S2 microarray results'!H:H=B158) &gt; 0, 0))</f>
        <v>-0.17171890000000001</v>
      </c>
      <c r="G158" cm="1">
        <f t="array" ref="G158">INDEX('T. S2 microarray results'!K:K, MATCH(TRUE, ('T. S2 microarray results'!B:B=B158) + ('T. S2 microarray results'!C:C=B158) + ('T. S2 microarray results'!D:D=B158) + ('T. S2 microarray results'!E:E=B158) + ('T. S2 microarray results'!F:F=B158) + ('T. S2 microarray results'!G:G=B158) + ('T. S2 microarray results'!H:H=B158) &gt; 0, 0))</f>
        <v>-1.0200940000000001</v>
      </c>
      <c r="H158" cm="1">
        <f t="array" ref="H158">INDEX('T. S2 microarray results'!L:L, MATCH(TRUE, ('T. S2 microarray results'!B:B=B158) + ('T. S2 microarray results'!C:C=B158) + ('T. S2 microarray results'!D:D=B158) + ('T. S2 microarray results'!E:E=B158) + ('T. S2 microarray results'!F:F=B158) + ('T. S2 microarray results'!G:G=B158) + ('T. S2 microarray results'!H:H=B158) &gt; 0, 0))</f>
        <v>-0.36024699999999998</v>
      </c>
    </row>
    <row r="159" spans="1:8" x14ac:dyDescent="0.25">
      <c r="A159" t="str" cm="1">
        <f t="array" ref="A159">INDEX('T. S2 microarray results'!A:A, MATCH(TRUE, ('T. S2 microarray results'!B:B=B159) + ('T. S2 microarray results'!C:C=B159) + ('T. S2 microarray results'!D:D=B159) + ('T. S2 microarray results'!E:E=B159) + ('T. S2 microarray results'!F:F=B159) + ('T. S2 microarray results'!G:G=B159) + ('T. S2 microarray results'!H:H=B159) &gt; 0, 0))</f>
        <v>YDR477W</v>
      </c>
      <c r="B159" t="s">
        <v>10365</v>
      </c>
      <c r="C159" s="4" t="s">
        <v>14302</v>
      </c>
      <c r="D159" s="4" t="str">
        <f t="shared" si="4"/>
        <v>*YDR477W/SNF1</v>
      </c>
      <c r="E159" s="4">
        <f t="shared" si="5"/>
        <v>1</v>
      </c>
      <c r="F159" cm="1">
        <f t="array" ref="F159">INDEX('T. S2 microarray results'!J:J, MATCH(TRUE, ('T. S2 microarray results'!B:B=B159) + ('T. S2 microarray results'!C:C=B159) + ('T. S2 microarray results'!D:D=B159) + ('T. S2 microarray results'!E:E=B159) + ('T. S2 microarray results'!F:F=B159) + ('T. S2 microarray results'!G:G=B159) + ('T. S2 microarray results'!H:H=B159) &gt; 0, 0))</f>
        <v>0.39757629999999999</v>
      </c>
      <c r="G159" cm="1">
        <f t="array" ref="G159">INDEX('T. S2 microarray results'!K:K, MATCH(TRUE, ('T. S2 microarray results'!B:B=B159) + ('T. S2 microarray results'!C:C=B159) + ('T. S2 microarray results'!D:D=B159) + ('T. S2 microarray results'!E:E=B159) + ('T. S2 microarray results'!F:F=B159) + ('T. S2 microarray results'!G:G=B159) + ('T. S2 microarray results'!H:H=B159) &gt; 0, 0))</f>
        <v>-8.535216E-3</v>
      </c>
      <c r="H159" cm="1">
        <f t="array" ref="H159">INDEX('T. S2 microarray results'!L:L, MATCH(TRUE, ('T. S2 microarray results'!B:B=B159) + ('T. S2 microarray results'!C:C=B159) + ('T. S2 microarray results'!D:D=B159) + ('T. S2 microarray results'!E:E=B159) + ('T. S2 microarray results'!F:F=B159) + ('T. S2 microarray results'!G:G=B159) + ('T. S2 microarray results'!H:H=B159) &gt; 0, 0))</f>
        <v>3.8637890000000001E-2</v>
      </c>
    </row>
    <row r="160" spans="1:8" x14ac:dyDescent="0.25">
      <c r="A160" t="str" cm="1">
        <f t="array" ref="A160">INDEX('T. S2 microarray results'!A:A, MATCH(TRUE, ('T. S2 microarray results'!B:B=B160) + ('T. S2 microarray results'!C:C=B160) + ('T. S2 microarray results'!D:D=B160) + ('T. S2 microarray results'!E:E=B160) + ('T. S2 microarray results'!F:F=B160) + ('T. S2 microarray results'!G:G=B160) + ('T. S2 microarray results'!H:H=B160) &gt; 0, 0))</f>
        <v>YGL115W</v>
      </c>
      <c r="B160" t="s">
        <v>9980</v>
      </c>
      <c r="C160" s="4" t="s">
        <v>14302</v>
      </c>
      <c r="D160" s="4" t="str">
        <f t="shared" si="4"/>
        <v>*YGL115W/SNF4</v>
      </c>
      <c r="E160" s="4">
        <f t="shared" si="5"/>
        <v>1</v>
      </c>
      <c r="F160" cm="1">
        <f t="array" ref="F160">INDEX('T. S2 microarray results'!J:J, MATCH(TRUE, ('T. S2 microarray results'!B:B=B160) + ('T. S2 microarray results'!C:C=B160) + ('T. S2 microarray results'!D:D=B160) + ('T. S2 microarray results'!E:E=B160) + ('T. S2 microarray results'!F:F=B160) + ('T. S2 microarray results'!G:G=B160) + ('T. S2 microarray results'!H:H=B160) &gt; 0, 0))</f>
        <v>1.9285839999999999E-2</v>
      </c>
      <c r="G160" cm="1">
        <f t="array" ref="G160">INDEX('T. S2 microarray results'!K:K, MATCH(TRUE, ('T. S2 microarray results'!B:B=B160) + ('T. S2 microarray results'!C:C=B160) + ('T. S2 microarray results'!D:D=B160) + ('T. S2 microarray results'!E:E=B160) + ('T. S2 microarray results'!F:F=B160) + ('T. S2 microarray results'!G:G=B160) + ('T. S2 microarray results'!H:H=B160) &gt; 0, 0))</f>
        <v>0.1420844</v>
      </c>
      <c r="H160" cm="1">
        <f t="array" ref="H160">INDEX('T. S2 microarray results'!L:L, MATCH(TRUE, ('T. S2 microarray results'!B:B=B160) + ('T. S2 microarray results'!C:C=B160) + ('T. S2 microarray results'!D:D=B160) + ('T. S2 microarray results'!E:E=B160) + ('T. S2 microarray results'!F:F=B160) + ('T. S2 microarray results'!G:G=B160) + ('T. S2 microarray results'!H:H=B160) &gt; 0, 0))</f>
        <v>0.18291489999999999</v>
      </c>
    </row>
    <row r="161" spans="1:8" x14ac:dyDescent="0.25">
      <c r="A161" t="str" cm="1">
        <f t="array" ref="A161">INDEX('T. S2 microarray results'!A:A, MATCH(TRUE, ('T. S2 microarray results'!B:B=B161) + ('T. S2 microarray results'!C:C=B161) + ('T. S2 microarray results'!D:D=B161) + ('T. S2 microarray results'!E:E=B161) + ('T. S2 microarray results'!F:F=B161) + ('T. S2 microarray results'!G:G=B161) + ('T. S2 microarray results'!H:H=B161) &gt; 0, 0))</f>
        <v>YJR104C</v>
      </c>
      <c r="B161" t="s">
        <v>14293</v>
      </c>
      <c r="C161" s="4" t="s">
        <v>14302</v>
      </c>
      <c r="D161" s="4" t="str">
        <f t="shared" si="4"/>
        <v>*YJR104C/Sod1</v>
      </c>
      <c r="E161" s="4">
        <f t="shared" si="5"/>
        <v>1</v>
      </c>
      <c r="F161" cm="1">
        <f t="array" ref="F161">INDEX('T. S2 microarray results'!J:J, MATCH(TRUE, ('T. S2 microarray results'!B:B=B161) + ('T. S2 microarray results'!C:C=B161) + ('T. S2 microarray results'!D:D=B161) + ('T. S2 microarray results'!E:E=B161) + ('T. S2 microarray results'!F:F=B161) + ('T. S2 microarray results'!G:G=B161) + ('T. S2 microarray results'!H:H=B161) &gt; 0, 0))</f>
        <v>-8.1505439999999998E-2</v>
      </c>
      <c r="G161" cm="1">
        <f t="array" ref="G161">INDEX('T. S2 microarray results'!K:K, MATCH(TRUE, ('T. S2 microarray results'!B:B=B161) + ('T. S2 microarray results'!C:C=B161) + ('T. S2 microarray results'!D:D=B161) + ('T. S2 microarray results'!E:E=B161) + ('T. S2 microarray results'!F:F=B161) + ('T. S2 microarray results'!G:G=B161) + ('T. S2 microarray results'!H:H=B161) &gt; 0, 0))</f>
        <v>-0.1063892</v>
      </c>
      <c r="H161" cm="1">
        <f t="array" ref="H161">INDEX('T. S2 microarray results'!L:L, MATCH(TRUE, ('T. S2 microarray results'!B:B=B161) + ('T. S2 microarray results'!C:C=B161) + ('T. S2 microarray results'!D:D=B161) + ('T. S2 microarray results'!E:E=B161) + ('T. S2 microarray results'!F:F=B161) + ('T. S2 microarray results'!G:G=B161) + ('T. S2 microarray results'!H:H=B161) &gt; 0, 0))</f>
        <v>-7.300015E-2</v>
      </c>
    </row>
    <row r="162" spans="1:8" x14ac:dyDescent="0.25">
      <c r="A162" t="str" cm="1">
        <f t="array" ref="A162">INDEX('T. S2 microarray results'!A:A, MATCH(TRUE, ('T. S2 microarray results'!B:B=B162) + ('T. S2 microarray results'!C:C=B162) + ('T. S2 microarray results'!D:D=B162) + ('T. S2 microarray results'!E:E=B162) + ('T. S2 microarray results'!F:F=B162) + ('T. S2 microarray results'!G:G=B162) + ('T. S2 microarray results'!H:H=B162) &gt; 0, 0))</f>
        <v>YHR008C</v>
      </c>
      <c r="B162" t="s">
        <v>14294</v>
      </c>
      <c r="C162" s="4" t="s">
        <v>14302</v>
      </c>
      <c r="D162" s="4" t="str">
        <f t="shared" si="4"/>
        <v>*YHR008C/Sod2</v>
      </c>
      <c r="E162" s="4">
        <f t="shared" si="5"/>
        <v>1</v>
      </c>
      <c r="F162" cm="1">
        <f t="array" ref="F162">INDEX('T. S2 microarray results'!J:J, MATCH(TRUE, ('T. S2 microarray results'!B:B=B162) + ('T. S2 microarray results'!C:C=B162) + ('T. S2 microarray results'!D:D=B162) + ('T. S2 microarray results'!E:E=B162) + ('T. S2 microarray results'!F:F=B162) + ('T. S2 microarray results'!G:G=B162) + ('T. S2 microarray results'!H:H=B162) &gt; 0, 0))</f>
        <v>0.4889001</v>
      </c>
      <c r="G162" cm="1">
        <f t="array" ref="G162">INDEX('T. S2 microarray results'!K:K, MATCH(TRUE, ('T. S2 microarray results'!B:B=B162) + ('T. S2 microarray results'!C:C=B162) + ('T. S2 microarray results'!D:D=B162) + ('T. S2 microarray results'!E:E=B162) + ('T. S2 microarray results'!F:F=B162) + ('T. S2 microarray results'!G:G=B162) + ('T. S2 microarray results'!H:H=B162) &gt; 0, 0))</f>
        <v>0.43155539999999998</v>
      </c>
      <c r="H162" cm="1">
        <f t="array" ref="H162">INDEX('T. S2 microarray results'!L:L, MATCH(TRUE, ('T. S2 microarray results'!B:B=B162) + ('T. S2 microarray results'!C:C=B162) + ('T. S2 microarray results'!D:D=B162) + ('T. S2 microarray results'!E:E=B162) + ('T. S2 microarray results'!F:F=B162) + ('T. S2 microarray results'!G:G=B162) + ('T. S2 microarray results'!H:H=B162) &gt; 0, 0))</f>
        <v>0.29821059999999999</v>
      </c>
    </row>
    <row r="163" spans="1:8" x14ac:dyDescent="0.25">
      <c r="A163" t="str" cm="1">
        <f t="array" ref="A163">INDEX('T. S2 microarray results'!A:A, MATCH(TRUE, ('T. S2 microarray results'!B:B=B163) + ('T. S2 microarray results'!C:C=B163) + ('T. S2 microarray results'!D:D=B163) + ('T. S2 microarray results'!E:E=B163) + ('T. S2 microarray results'!F:F=B163) + ('T. S2 microarray results'!G:G=B163) + ('T. S2 microarray results'!H:H=B163) &gt; 0, 0))</f>
        <v>YDR293C</v>
      </c>
      <c r="B163" t="s">
        <v>11261</v>
      </c>
      <c r="C163" s="4" t="s">
        <v>14302</v>
      </c>
      <c r="D163" s="4" t="str">
        <f t="shared" si="4"/>
        <v>*YDR293C/SSD1</v>
      </c>
      <c r="E163" s="4">
        <f t="shared" si="5"/>
        <v>1</v>
      </c>
      <c r="F163" cm="1">
        <f t="array" ref="F163">INDEX('T. S2 microarray results'!J:J, MATCH(TRUE, ('T. S2 microarray results'!B:B=B163) + ('T. S2 microarray results'!C:C=B163) + ('T. S2 microarray results'!D:D=B163) + ('T. S2 microarray results'!E:E=B163) + ('T. S2 microarray results'!F:F=B163) + ('T. S2 microarray results'!G:G=B163) + ('T. S2 microarray results'!H:H=B163) &gt; 0, 0))</f>
        <v>0.1304082</v>
      </c>
      <c r="G163" cm="1">
        <f t="array" ref="G163">INDEX('T. S2 microarray results'!K:K, MATCH(TRUE, ('T. S2 microarray results'!B:B=B163) + ('T. S2 microarray results'!C:C=B163) + ('T. S2 microarray results'!D:D=B163) + ('T. S2 microarray results'!E:E=B163) + ('T. S2 microarray results'!F:F=B163) + ('T. S2 microarray results'!G:G=B163) + ('T. S2 microarray results'!H:H=B163) &gt; 0, 0))</f>
        <v>0.1563581</v>
      </c>
      <c r="H163" cm="1">
        <f t="array" ref="H163">INDEX('T. S2 microarray results'!L:L, MATCH(TRUE, ('T. S2 microarray results'!B:B=B163) + ('T. S2 microarray results'!C:C=B163) + ('T. S2 microarray results'!D:D=B163) + ('T. S2 microarray results'!E:E=B163) + ('T. S2 microarray results'!F:F=B163) + ('T. S2 microarray results'!G:G=B163) + ('T. S2 microarray results'!H:H=B163) &gt; 0, 0))</f>
        <v>-3.513322E-2</v>
      </c>
    </row>
    <row r="164" spans="1:8" x14ac:dyDescent="0.25">
      <c r="A164" t="str" cm="1">
        <f t="array" ref="A164">INDEX('T. S2 microarray results'!A:A, MATCH(TRUE, ('T. S2 microarray results'!B:B=B164) + ('T. S2 microarray results'!C:C=B164) + ('T. S2 microarray results'!D:D=B164) + ('T. S2 microarray results'!E:E=B164) + ('T. S2 microarray results'!F:F=B164) + ('T. S2 microarray results'!G:G=B164) + ('T. S2 microarray results'!H:H=B164) &gt; 0, 0))</f>
        <v>YJR066W</v>
      </c>
      <c r="B164" t="s">
        <v>6161</v>
      </c>
      <c r="C164" s="4" t="s">
        <v>14302</v>
      </c>
      <c r="D164" s="4" t="str">
        <f t="shared" si="4"/>
        <v>*YJR066W/TOR1</v>
      </c>
      <c r="E164" s="4">
        <f t="shared" si="5"/>
        <v>1</v>
      </c>
      <c r="F164" cm="1">
        <f t="array" ref="F164">INDEX('T. S2 microarray results'!J:J, MATCH(TRUE, ('T. S2 microarray results'!B:B=B164) + ('T. S2 microarray results'!C:C=B164) + ('T. S2 microarray results'!D:D=B164) + ('T. S2 microarray results'!E:E=B164) + ('T. S2 microarray results'!F:F=B164) + ('T. S2 microarray results'!G:G=B164) + ('T. S2 microarray results'!H:H=B164) &gt; 0, 0))</f>
        <v>0.79750480000000001</v>
      </c>
      <c r="G164" cm="1">
        <f t="array" ref="G164">INDEX('T. S2 microarray results'!K:K, MATCH(TRUE, ('T. S2 microarray results'!B:B=B164) + ('T. S2 microarray results'!C:C=B164) + ('T. S2 microarray results'!D:D=B164) + ('T. S2 microarray results'!E:E=B164) + ('T. S2 microarray results'!F:F=B164) + ('T. S2 microarray results'!G:G=B164) + ('T. S2 microarray results'!H:H=B164) &gt; 0, 0))</f>
        <v>0.5559963</v>
      </c>
      <c r="H164" cm="1">
        <f t="array" ref="H164">INDEX('T. S2 microarray results'!L:L, MATCH(TRUE, ('T. S2 microarray results'!B:B=B164) + ('T. S2 microarray results'!C:C=B164) + ('T. S2 microarray results'!D:D=B164) + ('T. S2 microarray results'!E:E=B164) + ('T. S2 microarray results'!F:F=B164) + ('T. S2 microarray results'!G:G=B164) + ('T. S2 microarray results'!H:H=B164) &gt; 0, 0))</f>
        <v>-4.108568</v>
      </c>
    </row>
    <row r="165" spans="1:8" x14ac:dyDescent="0.25">
      <c r="A165" t="str" cm="1">
        <f t="array" ref="A165">INDEX('T. S2 microarray results'!A:A, MATCH(TRUE, ('T. S2 microarray results'!B:B=B165) + ('T. S2 microarray results'!C:C=B165) + ('T. S2 microarray results'!D:D=B165) + ('T. S2 microarray results'!E:E=B165) + ('T. S2 microarray results'!F:F=B165) + ('T. S2 microarray results'!G:G=B165) + ('T. S2 microarray results'!H:H=B165) &gt; 0, 0))</f>
        <v>YPL203W</v>
      </c>
      <c r="B165" t="s">
        <v>1570</v>
      </c>
      <c r="C165" s="4" t="s">
        <v>14302</v>
      </c>
      <c r="D165" s="4" t="str">
        <f t="shared" si="4"/>
        <v>*YPL203W/TPK2</v>
      </c>
      <c r="E165" s="4">
        <f t="shared" si="5"/>
        <v>1</v>
      </c>
      <c r="F165" cm="1">
        <f t="array" ref="F165">INDEX('T. S2 microarray results'!J:J, MATCH(TRUE, ('T. S2 microarray results'!B:B=B165) + ('T. S2 microarray results'!C:C=B165) + ('T. S2 microarray results'!D:D=B165) + ('T. S2 microarray results'!E:E=B165) + ('T. S2 microarray results'!F:F=B165) + ('T. S2 microarray results'!G:G=B165) + ('T. S2 microarray results'!H:H=B165) &gt; 0, 0))</f>
        <v>0.153447</v>
      </c>
      <c r="G165" cm="1">
        <f t="array" ref="G165">INDEX('T. S2 microarray results'!K:K, MATCH(TRUE, ('T. S2 microarray results'!B:B=B165) + ('T. S2 microarray results'!C:C=B165) + ('T. S2 microarray results'!D:D=B165) + ('T. S2 microarray results'!E:E=B165) + ('T. S2 microarray results'!F:F=B165) + ('T. S2 microarray results'!G:G=B165) + ('T. S2 microarray results'!H:H=B165) &gt; 0, 0))</f>
        <v>0.102329</v>
      </c>
      <c r="H165" cm="1">
        <f t="array" ref="H165">INDEX('T. S2 microarray results'!L:L, MATCH(TRUE, ('T. S2 microarray results'!B:B=B165) + ('T. S2 microarray results'!C:C=B165) + ('T. S2 microarray results'!D:D=B165) + ('T. S2 microarray results'!E:E=B165) + ('T. S2 microarray results'!F:F=B165) + ('T. S2 microarray results'!G:G=B165) + ('T. S2 microarray results'!H:H=B165) &gt; 0, 0))</f>
        <v>9.0027839999999998E-2</v>
      </c>
    </row>
    <row r="166" spans="1:8" x14ac:dyDescent="0.25">
      <c r="A166" t="str" cm="1">
        <f t="array" ref="A166">INDEX('T. S2 microarray results'!A:A, MATCH(TRUE, ('T. S2 microarray results'!B:B=B166) + ('T. S2 microarray results'!C:C=B166) + ('T. S2 microarray results'!D:D=B166) + ('T. S2 microarray results'!E:E=B166) + ('T. S2 microarray results'!F:F=B166) + ('T. S2 microarray results'!G:G=B166) + ('T. S2 microarray results'!H:H=B166) &gt; 0, 0))</f>
        <v>YBR173C</v>
      </c>
      <c r="B166" t="s">
        <v>14296</v>
      </c>
      <c r="C166" s="4" t="s">
        <v>14302</v>
      </c>
      <c r="D166" s="4" t="str">
        <f t="shared" si="4"/>
        <v>*YBR173C/Ump1</v>
      </c>
      <c r="E166" s="4">
        <f t="shared" si="5"/>
        <v>1</v>
      </c>
      <c r="F166" cm="1">
        <f t="array" ref="F166">INDEX('T. S2 microarray results'!J:J, MATCH(TRUE, ('T. S2 microarray results'!B:B=B166) + ('T. S2 microarray results'!C:C=B166) + ('T. S2 microarray results'!D:D=B166) + ('T. S2 microarray results'!E:E=B166) + ('T. S2 microarray results'!F:F=B166) + ('T. S2 microarray results'!G:G=B166) + ('T. S2 microarray results'!H:H=B166) &gt; 0, 0))</f>
        <v>1.180262E-2</v>
      </c>
      <c r="G166" cm="1">
        <f t="array" ref="G166">INDEX('T. S2 microarray results'!K:K, MATCH(TRUE, ('T. S2 microarray results'!B:B=B166) + ('T. S2 microarray results'!C:C=B166) + ('T. S2 microarray results'!D:D=B166) + ('T. S2 microarray results'!E:E=B166) + ('T. S2 microarray results'!F:F=B166) + ('T. S2 microarray results'!G:G=B166) + ('T. S2 microarray results'!H:H=B166) &gt; 0, 0))</f>
        <v>-0.2312728</v>
      </c>
      <c r="H166" cm="1">
        <f t="array" ref="H166">INDEX('T. S2 microarray results'!L:L, MATCH(TRUE, ('T. S2 microarray results'!B:B=B166) + ('T. S2 microarray results'!C:C=B166) + ('T. S2 microarray results'!D:D=B166) + ('T. S2 microarray results'!E:E=B166) + ('T. S2 microarray results'!F:F=B166) + ('T. S2 microarray results'!G:G=B166) + ('T. S2 microarray results'!H:H=B166) &gt; 0, 0))</f>
        <v>0.25499699999999997</v>
      </c>
    </row>
    <row r="167" spans="1:8" x14ac:dyDescent="0.25">
      <c r="A167" t="str" cm="1">
        <f t="array" ref="A167">INDEX('T. S2 microarray results'!A:A, MATCH(TRUE, ('T. S2 microarray results'!B:B=B167) + ('T. S2 microarray results'!C:C=B167) + ('T. S2 microarray results'!D:D=B167) + ('T. S2 microarray results'!E:E=B167) + ('T. S2 microarray results'!F:F=B167) + ('T. S2 microarray results'!G:G=B167) + ('T. S2 microarray results'!H:H=B167) &gt; 0, 0))</f>
        <v>YNL229C</v>
      </c>
      <c r="B167" t="s">
        <v>3394</v>
      </c>
      <c r="C167" s="4" t="s">
        <v>14302</v>
      </c>
      <c r="D167" s="4" t="str">
        <f t="shared" si="4"/>
        <v>*YNL229C/URE2</v>
      </c>
      <c r="E167" s="4">
        <f t="shared" si="5"/>
        <v>1</v>
      </c>
      <c r="F167" cm="1">
        <f t="array" ref="F167">INDEX('T. S2 microarray results'!J:J, MATCH(TRUE, ('T. S2 microarray results'!B:B=B167) + ('T. S2 microarray results'!C:C=B167) + ('T. S2 microarray results'!D:D=B167) + ('T. S2 microarray results'!E:E=B167) + ('T. S2 microarray results'!F:F=B167) + ('T. S2 microarray results'!G:G=B167) + ('T. S2 microarray results'!H:H=B167) &gt; 0, 0))</f>
        <v>-0.1936687</v>
      </c>
      <c r="G167" cm="1">
        <f t="array" ref="G167">INDEX('T. S2 microarray results'!K:K, MATCH(TRUE, ('T. S2 microarray results'!B:B=B167) + ('T. S2 microarray results'!C:C=B167) + ('T. S2 microarray results'!D:D=B167) + ('T. S2 microarray results'!E:E=B167) + ('T. S2 microarray results'!F:F=B167) + ('T. S2 microarray results'!G:G=B167) + ('T. S2 microarray results'!H:H=B167) &gt; 0, 0))</f>
        <v>-1.0719160000000001</v>
      </c>
      <c r="H167" cm="1">
        <f t="array" ref="H167">INDEX('T. S2 microarray results'!L:L, MATCH(TRUE, ('T. S2 microarray results'!B:B=B167) + ('T. S2 microarray results'!C:C=B167) + ('T. S2 microarray results'!D:D=B167) + ('T. S2 microarray results'!E:E=B167) + ('T. S2 microarray results'!F:F=B167) + ('T. S2 microarray results'!G:G=B167) + ('T. S2 microarray results'!H:H=B167) &gt; 0, 0))</f>
        <v>-0.74802800000000003</v>
      </c>
    </row>
    <row r="168" spans="1:8" x14ac:dyDescent="0.25">
      <c r="A168" t="str" cm="1">
        <f t="array" ref="A168">INDEX('T. S2 microarray results'!A:A, MATCH(TRUE, ('T. S2 microarray results'!B:B=B168) + ('T. S2 microarray results'!C:C=B168) + ('T. S2 microarray results'!D:D=B168) + ('T. S2 microarray results'!E:E=B168) + ('T. S2 microarray results'!F:F=B168) + ('T. S2 microarray results'!G:G=B168) + ('T. S2 microarray results'!H:H=B168) &gt; 0, 0))</f>
        <v>YKR042W</v>
      </c>
      <c r="B168" t="s">
        <v>6398</v>
      </c>
      <c r="C168" s="4" t="s">
        <v>14302</v>
      </c>
      <c r="D168" s="4" t="str">
        <f t="shared" si="4"/>
        <v>*YKR042W/UTH1</v>
      </c>
      <c r="E168" s="4">
        <f t="shared" si="5"/>
        <v>1</v>
      </c>
      <c r="F168" cm="1">
        <f t="array" ref="F168">INDEX('T. S2 microarray results'!J:J, MATCH(TRUE, ('T. S2 microarray results'!B:B=B168) + ('T. S2 microarray results'!C:C=B168) + ('T. S2 microarray results'!D:D=B168) + ('T. S2 microarray results'!E:E=B168) + ('T. S2 microarray results'!F:F=B168) + ('T. S2 microarray results'!G:G=B168) + ('T. S2 microarray results'!H:H=B168) &gt; 0, 0))</f>
        <v>-0.2378825</v>
      </c>
      <c r="G168" cm="1">
        <f t="array" ref="G168">INDEX('T. S2 microarray results'!K:K, MATCH(TRUE, ('T. S2 microarray results'!B:B=B168) + ('T. S2 microarray results'!C:C=B168) + ('T. S2 microarray results'!D:D=B168) + ('T. S2 microarray results'!E:E=B168) + ('T. S2 microarray results'!F:F=B168) + ('T. S2 microarray results'!G:G=B168) + ('T. S2 microarray results'!H:H=B168) &gt; 0, 0))</f>
        <v>-0.30503920000000001</v>
      </c>
      <c r="H168" cm="1">
        <f t="array" ref="H168">INDEX('T. S2 microarray results'!L:L, MATCH(TRUE, ('T. S2 microarray results'!B:B=B168) + ('T. S2 microarray results'!C:C=B168) + ('T. S2 microarray results'!D:D=B168) + ('T. S2 microarray results'!E:E=B168) + ('T. S2 microarray results'!F:F=B168) + ('T. S2 microarray results'!G:G=B168) + ('T. S2 microarray results'!H:H=B168) &gt; 0, 0))</f>
        <v>-0.32802100000000001</v>
      </c>
    </row>
    <row r="169" spans="1:8" x14ac:dyDescent="0.25">
      <c r="A169" t="str" cm="1">
        <f t="array" ref="A169">INDEX('T. S2 microarray results'!A:A, MATCH(TRUE, ('T. S2 microarray results'!B:B=B169) + ('T. S2 microarray results'!C:C=B169) + ('T. S2 microarray results'!D:D=B169) + ('T. S2 microarray results'!E:E=B169) + ('T. S2 microarray results'!F:F=B169) + ('T. S2 microarray results'!G:G=B169) + ('T. S2 microarray results'!H:H=B169) &gt; 0, 0))</f>
        <v>YMR284W</v>
      </c>
      <c r="B169" t="s">
        <v>3993</v>
      </c>
      <c r="C169" s="4" t="s">
        <v>14302</v>
      </c>
      <c r="D169" s="4" t="str">
        <f t="shared" si="4"/>
        <v>*YMR284W/YKU70</v>
      </c>
      <c r="E169" s="4">
        <f t="shared" si="5"/>
        <v>1</v>
      </c>
      <c r="F169" cm="1">
        <f t="array" ref="F169">INDEX('T. S2 microarray results'!J:J, MATCH(TRUE, ('T. S2 microarray results'!B:B=B169) + ('T. S2 microarray results'!C:C=B169) + ('T. S2 microarray results'!D:D=B169) + ('T. S2 microarray results'!E:E=B169) + ('T. S2 microarray results'!F:F=B169) + ('T. S2 microarray results'!G:G=B169) + ('T. S2 microarray results'!H:H=B169) &gt; 0, 0))</f>
        <v>0.2811189</v>
      </c>
      <c r="G169" cm="1">
        <f t="array" ref="G169">INDEX('T. S2 microarray results'!K:K, MATCH(TRUE, ('T. S2 microarray results'!B:B=B169) + ('T. S2 microarray results'!C:C=B169) + ('T. S2 microarray results'!D:D=B169) + ('T. S2 microarray results'!E:E=B169) + ('T. S2 microarray results'!F:F=B169) + ('T. S2 microarray results'!G:G=B169) + ('T. S2 microarray results'!H:H=B169) &gt; 0, 0))</f>
        <v>1.9039029999999998E-2</v>
      </c>
      <c r="H169" cm="1">
        <f t="array" ref="H169">INDEX('T. S2 microarray results'!L:L, MATCH(TRUE, ('T. S2 microarray results'!B:B=B169) + ('T. S2 microarray results'!C:C=B169) + ('T. S2 microarray results'!D:D=B169) + ('T. S2 microarray results'!E:E=B169) + ('T. S2 microarray results'!F:F=B169) + ('T. S2 microarray results'!G:G=B169) + ('T. S2 microarray results'!H:H=B169) &gt; 0, 0))</f>
        <v>0.23073050000000001</v>
      </c>
    </row>
    <row r="170" spans="1:8" x14ac:dyDescent="0.25">
      <c r="A170" t="str" cm="1">
        <f t="array" ref="A170">INDEX('T. S2 microarray results'!A:A, MATCH(TRUE, ('T. S2 microarray results'!B:B=B170) + ('T. S2 microarray results'!C:C=B170) + ('T. S2 microarray results'!D:D=B170) + ('T. S2 microarray results'!E:E=B170) + ('T. S2 microarray results'!F:F=B170) + ('T. S2 microarray results'!G:G=B170) + ('T. S2 microarray results'!H:H=B170) &gt; 0, 0))</f>
        <v>YMR106C</v>
      </c>
      <c r="B170" t="s">
        <v>4401</v>
      </c>
      <c r="C170" s="4" t="s">
        <v>14302</v>
      </c>
      <c r="D170" s="4" t="str">
        <f t="shared" si="4"/>
        <v>*YMR106C/YKU80</v>
      </c>
      <c r="E170" s="4">
        <f t="shared" si="5"/>
        <v>1</v>
      </c>
      <c r="F170" cm="1">
        <f t="array" ref="F170">INDEX('T. S2 microarray results'!J:J, MATCH(TRUE, ('T. S2 microarray results'!B:B=B170) + ('T. S2 microarray results'!C:C=B170) + ('T. S2 microarray results'!D:D=B170) + ('T. S2 microarray results'!E:E=B170) + ('T. S2 microarray results'!F:F=B170) + ('T. S2 microarray results'!G:G=B170) + ('T. S2 microarray results'!H:H=B170) &gt; 0, 0))</f>
        <v>-0.75483210000000001</v>
      </c>
      <c r="G170" cm="1">
        <f t="array" ref="G170">INDEX('T. S2 microarray results'!K:K, MATCH(TRUE, ('T. S2 microarray results'!B:B=B170) + ('T. S2 microarray results'!C:C=B170) + ('T. S2 microarray results'!D:D=B170) + ('T. S2 microarray results'!E:E=B170) + ('T. S2 microarray results'!F:F=B170) + ('T. S2 microarray results'!G:G=B170) + ('T. S2 microarray results'!H:H=B170) &gt; 0, 0))</f>
        <v>-0.97351849999999995</v>
      </c>
      <c r="H170" cm="1">
        <f t="array" ref="H170">INDEX('T. S2 microarray results'!L:L, MATCH(TRUE, ('T. S2 microarray results'!B:B=B170) + ('T. S2 microarray results'!C:C=B170) + ('T. S2 microarray results'!D:D=B170) + ('T. S2 microarray results'!E:E=B170) + ('T. S2 microarray results'!F:F=B170) + ('T. S2 microarray results'!G:G=B170) + ('T. S2 microarray results'!H:H=B170) &gt; 0, 0))</f>
        <v>-0.67110300000000001</v>
      </c>
    </row>
    <row r="171" spans="1:8" x14ac:dyDescent="0.25">
      <c r="A171" t="str" cm="1">
        <f t="array" ref="A171">INDEX('T. S2 microarray results'!A:A, MATCH(TRUE, ('T. S2 microarray results'!B:B=B171) + ('T. S2 microarray results'!C:C=B171) + ('T. S2 microarray results'!D:D=B171) + ('T. S2 microarray results'!E:E=B171) + ('T. S2 microarray results'!F:F=B171) + ('T. S2 microarray results'!G:G=B171) + ('T. S2 microarray results'!H:H=B171) &gt; 0, 0))</f>
        <v>YMR273C</v>
      </c>
      <c r="B171" t="s">
        <v>2985</v>
      </c>
      <c r="C171" s="4" t="s">
        <v>14302</v>
      </c>
      <c r="D171" s="4" t="str">
        <f t="shared" si="4"/>
        <v>*YMR273C/ZDS1</v>
      </c>
      <c r="E171" s="4">
        <f t="shared" si="5"/>
        <v>1</v>
      </c>
      <c r="F171" cm="1">
        <f t="array" ref="F171">INDEX('T. S2 microarray results'!J:J, MATCH(TRUE, ('T. S2 microarray results'!B:B=B171) + ('T. S2 microarray results'!C:C=B171) + ('T. S2 microarray results'!D:D=B171) + ('T. S2 microarray results'!E:E=B171) + ('T. S2 microarray results'!F:F=B171) + ('T. S2 microarray results'!G:G=B171) + ('T. S2 microarray results'!H:H=B171) &gt; 0, 0))</f>
        <v>-0.50496850000000004</v>
      </c>
      <c r="G171" cm="1">
        <f t="array" ref="G171">INDEX('T. S2 microarray results'!K:K, MATCH(TRUE, ('T. S2 microarray results'!B:B=B171) + ('T. S2 microarray results'!C:C=B171) + ('T. S2 microarray results'!D:D=B171) + ('T. S2 microarray results'!E:E=B171) + ('T. S2 microarray results'!F:F=B171) + ('T. S2 microarray results'!G:G=B171) + ('T. S2 microarray results'!H:H=B171) &gt; 0, 0))</f>
        <v>-0.90817309999999996</v>
      </c>
      <c r="H171" cm="1">
        <f t="array" ref="H171">INDEX('T. S2 microarray results'!L:L, MATCH(TRUE, ('T. S2 microarray results'!B:B=B171) + ('T. S2 microarray results'!C:C=B171) + ('T. S2 microarray results'!D:D=B171) + ('T. S2 microarray results'!E:E=B171) + ('T. S2 microarray results'!F:F=B171) + ('T. S2 microarray results'!G:G=B171) + ('T. S2 microarray results'!H:H=B171) &gt; 0, 0))</f>
        <v>-0.48520839999999998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 S2 microarray results</vt:lpstr>
      <vt:lpstr>Count</vt:lpstr>
      <vt:lpstr>Check</vt:lpstr>
      <vt:lpstr>CLeaned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Bernard Chen</dc:creator>
  <cp:lastModifiedBy>Vu Quang Huy</cp:lastModifiedBy>
  <dcterms:created xsi:type="dcterms:W3CDTF">2006-01-12T21:57:40Z</dcterms:created>
  <dcterms:modified xsi:type="dcterms:W3CDTF">2026-06-01T06:39:26Z</dcterms:modified>
</cp:coreProperties>
</file>